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0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tudk.sharepoint.com/sites/42576-group15_A2A/Delte dokumenter/Main/NORDEA_Data/2_stage/data_cleaned_7_4_25/"/>
    </mc:Choice>
  </mc:AlternateContent>
  <xr:revisionPtr revIDLastSave="111" documentId="11_622F326BE63D92B8B74E09FC36FFA99F68CD6FD6" xr6:coauthVersionLast="47" xr6:coauthVersionMax="47" xr10:uidLastSave="{DA6A3CA6-F0F2-4646-976A-9ED4D2C98C03}"/>
  <bookViews>
    <workbookView xWindow="-110" yWindow="-110" windowWidth="19420" windowHeight="11020" xr2:uid="{00000000-000D-0000-FFFF-FFFF00000000}"/>
  </bookViews>
  <sheets>
    <sheet name="Bioenergy_Data" sheetId="1" r:id="rId1"/>
    <sheet name="FuelList_Final_EF" sheetId="3" r:id="rId2"/>
    <sheet name="FuelList_IntermediateStep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3" l="1"/>
  <c r="B26" i="3"/>
  <c r="B24" i="3"/>
  <c r="B19" i="3"/>
  <c r="B9" i="3"/>
  <c r="B8" i="3"/>
  <c r="B31" i="3"/>
  <c r="B29" i="3"/>
  <c r="B28" i="3"/>
  <c r="B27" i="3"/>
  <c r="B23" i="3"/>
  <c r="B22" i="3"/>
  <c r="B21" i="3"/>
  <c r="B18" i="3"/>
  <c r="B17" i="3"/>
  <c r="B14" i="3"/>
  <c r="B13" i="3"/>
  <c r="B12" i="3"/>
  <c r="B10" i="3"/>
  <c r="B7" i="3"/>
  <c r="B2" i="3"/>
  <c r="A2" i="3" a="1"/>
  <c r="A2" i="3" s="1"/>
  <c r="A39" i="2" a="1"/>
  <c r="A39" i="2" s="1"/>
  <c r="A16" i="2" a="1"/>
  <c r="A16" i="2" s="1"/>
  <c r="A2" i="2" a="1"/>
  <c r="A2" i="2" s="1"/>
  <c r="C2" i="1"/>
  <c r="O2" i="1" s="1" a="1"/>
  <c r="O2" i="1" s="1"/>
  <c r="C3" i="1"/>
  <c r="O3" i="1" s="1" a="1"/>
  <c r="O3" i="1" s="1"/>
  <c r="C4" i="1"/>
  <c r="O4" i="1" s="1" a="1"/>
  <c r="O4" i="1" s="1"/>
  <c r="C5" i="1"/>
  <c r="O5" i="1" s="1" a="1"/>
  <c r="O5" i="1" s="1"/>
  <c r="C6" i="1"/>
  <c r="O6" i="1" s="1" a="1"/>
  <c r="O6" i="1" s="1"/>
  <c r="C7" i="1"/>
  <c r="O7" i="1" s="1" a="1"/>
  <c r="O7" i="1" s="1"/>
  <c r="C8" i="1"/>
  <c r="O8" i="1" s="1" a="1"/>
  <c r="O8" i="1" s="1"/>
  <c r="C9" i="1"/>
  <c r="O9" i="1" s="1" a="1"/>
  <c r="O9" i="1" s="1"/>
  <c r="C10" i="1"/>
  <c r="O10" i="1" s="1" a="1"/>
  <c r="O10" i="1" s="1"/>
  <c r="C11" i="1"/>
  <c r="O11" i="1" s="1" a="1"/>
  <c r="O11" i="1" s="1"/>
  <c r="C12" i="1"/>
  <c r="O12" i="1" s="1" a="1"/>
  <c r="O12" i="1" s="1"/>
  <c r="C13" i="1"/>
  <c r="O13" i="1" s="1" a="1"/>
  <c r="O13" i="1" s="1"/>
  <c r="C14" i="1"/>
  <c r="O14" i="1" s="1" a="1"/>
  <c r="O14" i="1" s="1"/>
  <c r="C15" i="1"/>
  <c r="O15" i="1" s="1" a="1"/>
  <c r="O15" i="1" s="1"/>
  <c r="C16" i="1"/>
  <c r="O16" i="1" s="1" a="1"/>
  <c r="O16" i="1" s="1"/>
  <c r="C17" i="1"/>
  <c r="O17" i="1" s="1" a="1"/>
  <c r="O17" i="1" s="1"/>
  <c r="C18" i="1"/>
  <c r="O18" i="1" s="1" a="1"/>
  <c r="O18" i="1" s="1"/>
  <c r="C19" i="1"/>
  <c r="O19" i="1" s="1" a="1"/>
  <c r="O19" i="1" s="1"/>
  <c r="C20" i="1"/>
  <c r="O20" i="1" s="1" a="1"/>
  <c r="O20" i="1" s="1"/>
  <c r="C21" i="1"/>
  <c r="O21" i="1" s="1" a="1"/>
  <c r="O21" i="1" s="1"/>
  <c r="C22" i="1"/>
  <c r="O22" i="1" s="1" a="1"/>
  <c r="O22" i="1" s="1"/>
  <c r="C23" i="1"/>
  <c r="O23" i="1" s="1" a="1"/>
  <c r="O23" i="1" s="1"/>
  <c r="C24" i="1"/>
  <c r="O24" i="1" s="1" a="1"/>
  <c r="O24" i="1" s="1"/>
  <c r="C25" i="1"/>
  <c r="O25" i="1" s="1" a="1"/>
  <c r="O25" i="1" s="1"/>
  <c r="C26" i="1"/>
  <c r="O26" i="1" s="1" a="1"/>
  <c r="O26" i="1" s="1"/>
  <c r="C27" i="1"/>
  <c r="O27" i="1" s="1" a="1"/>
  <c r="O27" i="1" s="1"/>
  <c r="C28" i="1"/>
  <c r="O28" i="1" s="1" a="1"/>
  <c r="O28" i="1" s="1"/>
  <c r="C29" i="1"/>
  <c r="O29" i="1" s="1" a="1"/>
  <c r="O29" i="1" s="1"/>
  <c r="C30" i="1"/>
  <c r="O30" i="1" s="1" a="1"/>
  <c r="O30" i="1" s="1"/>
  <c r="C31" i="1"/>
  <c r="O31" i="1" s="1" a="1"/>
  <c r="O31" i="1" s="1"/>
  <c r="C32" i="1"/>
  <c r="O32" i="1" s="1" a="1"/>
  <c r="O32" i="1" s="1"/>
  <c r="C33" i="1"/>
  <c r="O33" i="1" s="1" a="1"/>
  <c r="O33" i="1" s="1"/>
  <c r="C34" i="1"/>
  <c r="O34" i="1" s="1" a="1"/>
  <c r="O34" i="1" s="1"/>
  <c r="C35" i="1"/>
  <c r="O35" i="1" s="1" a="1"/>
  <c r="O35" i="1" s="1"/>
  <c r="C36" i="1"/>
  <c r="O36" i="1" s="1" a="1"/>
  <c r="O36" i="1" s="1"/>
  <c r="C37" i="1"/>
  <c r="O37" i="1" s="1" a="1"/>
  <c r="O37" i="1" s="1"/>
  <c r="C38" i="1"/>
  <c r="O38" i="1" s="1" a="1"/>
  <c r="O38" i="1" s="1"/>
  <c r="C39" i="1"/>
  <c r="O39" i="1" s="1" a="1"/>
  <c r="O39" i="1" s="1"/>
  <c r="C40" i="1"/>
  <c r="O40" i="1" s="1" a="1"/>
  <c r="O40" i="1" s="1"/>
  <c r="C41" i="1"/>
  <c r="O41" i="1" s="1" a="1"/>
  <c r="O41" i="1" s="1"/>
  <c r="C42" i="1"/>
  <c r="O42" i="1" s="1" a="1"/>
  <c r="O42" i="1" s="1"/>
  <c r="C43" i="1"/>
  <c r="O43" i="1" s="1" a="1"/>
  <c r="O43" i="1" s="1"/>
  <c r="C44" i="1"/>
  <c r="O44" i="1" s="1" a="1"/>
  <c r="O44" i="1" s="1"/>
  <c r="C45" i="1"/>
  <c r="O45" i="1" s="1" a="1"/>
  <c r="O45" i="1" s="1"/>
  <c r="C46" i="1"/>
  <c r="O46" i="1" s="1" a="1"/>
  <c r="O46" i="1" s="1"/>
  <c r="C47" i="1"/>
  <c r="O47" i="1" s="1" a="1"/>
  <c r="O47" i="1" s="1"/>
  <c r="C48" i="1"/>
  <c r="O48" i="1" s="1" a="1"/>
  <c r="O48" i="1" s="1"/>
  <c r="C49" i="1"/>
  <c r="O49" i="1" s="1" a="1"/>
  <c r="O49" i="1" s="1"/>
  <c r="C50" i="1"/>
  <c r="O50" i="1" s="1" a="1"/>
  <c r="O50" i="1" s="1"/>
  <c r="C51" i="1"/>
  <c r="O51" i="1" s="1" a="1"/>
  <c r="O51" i="1" s="1"/>
  <c r="C52" i="1"/>
  <c r="O52" i="1" s="1" a="1"/>
  <c r="O52" i="1" s="1"/>
  <c r="C53" i="1"/>
  <c r="O53" i="1" s="1" a="1"/>
  <c r="O53" i="1" s="1"/>
  <c r="C54" i="1"/>
  <c r="O54" i="1" s="1" a="1"/>
  <c r="O54" i="1" s="1"/>
  <c r="C55" i="1"/>
  <c r="O55" i="1" s="1" a="1"/>
  <c r="O55" i="1" s="1"/>
  <c r="C56" i="1"/>
  <c r="O56" i="1" s="1" a="1"/>
  <c r="O56" i="1" s="1"/>
  <c r="C57" i="1"/>
  <c r="O57" i="1" s="1" a="1"/>
  <c r="O57" i="1" s="1"/>
  <c r="C58" i="1"/>
  <c r="O58" i="1" s="1" a="1"/>
  <c r="O58" i="1" s="1"/>
  <c r="C59" i="1"/>
  <c r="O59" i="1" s="1" a="1"/>
  <c r="O59" i="1" s="1"/>
  <c r="C60" i="1"/>
  <c r="O60" i="1" s="1" a="1"/>
  <c r="O60" i="1" s="1"/>
  <c r="C61" i="1"/>
  <c r="O61" i="1" s="1" a="1"/>
  <c r="O61" i="1" s="1"/>
  <c r="C62" i="1"/>
  <c r="O62" i="1" s="1" a="1"/>
  <c r="O62" i="1" s="1"/>
  <c r="C63" i="1"/>
  <c r="O63" i="1" s="1" a="1"/>
  <c r="O63" i="1" s="1"/>
  <c r="C64" i="1"/>
  <c r="O64" i="1" s="1" a="1"/>
  <c r="O64" i="1" s="1"/>
  <c r="C65" i="1"/>
  <c r="O65" i="1" s="1" a="1"/>
  <c r="O65" i="1" s="1"/>
  <c r="C66" i="1"/>
  <c r="O66" i="1" s="1" a="1"/>
  <c r="O66" i="1" s="1"/>
  <c r="C67" i="1"/>
  <c r="O67" i="1" s="1" a="1"/>
  <c r="O67" i="1" s="1"/>
  <c r="C68" i="1"/>
  <c r="O68" i="1" s="1" a="1"/>
  <c r="O68" i="1" s="1"/>
  <c r="C69" i="1"/>
  <c r="O69" i="1" s="1" a="1"/>
  <c r="O69" i="1" s="1"/>
  <c r="C70" i="1"/>
  <c r="O70" i="1" s="1" a="1"/>
  <c r="O70" i="1" s="1"/>
  <c r="C71" i="1"/>
  <c r="O71" i="1" s="1" a="1"/>
  <c r="O71" i="1" s="1"/>
  <c r="C72" i="1"/>
  <c r="O72" i="1" s="1" a="1"/>
  <c r="O72" i="1" s="1"/>
  <c r="C73" i="1"/>
  <c r="O73" i="1" s="1" a="1"/>
  <c r="O73" i="1" s="1"/>
  <c r="C74" i="1"/>
  <c r="O74" i="1" s="1" a="1"/>
  <c r="O74" i="1" s="1"/>
  <c r="C75" i="1"/>
  <c r="O75" i="1" s="1" a="1"/>
  <c r="O75" i="1" s="1"/>
  <c r="C76" i="1"/>
  <c r="O76" i="1" s="1" a="1"/>
  <c r="O76" i="1" s="1"/>
  <c r="C77" i="1"/>
  <c r="O77" i="1" s="1" a="1"/>
  <c r="O77" i="1" s="1"/>
  <c r="C78" i="1"/>
  <c r="O78" i="1" s="1" a="1"/>
  <c r="O78" i="1" s="1"/>
  <c r="C79" i="1"/>
  <c r="O79" i="1" s="1" a="1"/>
  <c r="O79" i="1" s="1"/>
  <c r="C80" i="1"/>
  <c r="O80" i="1" s="1" a="1"/>
  <c r="O80" i="1" s="1"/>
  <c r="C81" i="1"/>
  <c r="O81" i="1" s="1" a="1"/>
  <c r="O81" i="1" s="1"/>
  <c r="C82" i="1"/>
  <c r="O82" i="1" s="1" a="1"/>
  <c r="O82" i="1" s="1"/>
  <c r="C83" i="1"/>
  <c r="O83" i="1" s="1" a="1"/>
  <c r="O83" i="1" s="1"/>
  <c r="C84" i="1"/>
  <c r="O84" i="1" s="1" a="1"/>
  <c r="O84" i="1" s="1"/>
  <c r="C85" i="1"/>
  <c r="O85" i="1" s="1" a="1"/>
  <c r="O85" i="1" s="1"/>
  <c r="C86" i="1"/>
  <c r="O86" i="1" s="1" a="1"/>
  <c r="O86" i="1" s="1"/>
  <c r="C87" i="1"/>
  <c r="O87" i="1" s="1" a="1"/>
  <c r="O87" i="1" s="1"/>
  <c r="C88" i="1"/>
  <c r="O88" i="1" s="1" a="1"/>
  <c r="O88" i="1" s="1"/>
  <c r="C89" i="1"/>
  <c r="O89" i="1" s="1" a="1"/>
  <c r="O89" i="1" s="1"/>
  <c r="C90" i="1"/>
  <c r="O90" i="1" s="1" a="1"/>
  <c r="O90" i="1" s="1"/>
  <c r="C91" i="1"/>
  <c r="O91" i="1" s="1" a="1"/>
  <c r="O91" i="1" s="1"/>
  <c r="C92" i="1"/>
  <c r="O92" i="1" s="1" a="1"/>
  <c r="O92" i="1" s="1"/>
  <c r="C93" i="1"/>
  <c r="O93" i="1" s="1" a="1"/>
  <c r="O93" i="1" s="1"/>
  <c r="C94" i="1"/>
  <c r="O94" i="1" s="1" a="1"/>
  <c r="O94" i="1" s="1"/>
  <c r="C95" i="1"/>
  <c r="O95" i="1" s="1" a="1"/>
  <c r="O95" i="1" s="1"/>
  <c r="C96" i="1"/>
  <c r="O96" i="1" s="1" a="1"/>
  <c r="O96" i="1" s="1"/>
  <c r="C97" i="1"/>
  <c r="O97" i="1" s="1" a="1"/>
  <c r="O97" i="1" s="1"/>
  <c r="C98" i="1"/>
  <c r="O98" i="1" s="1" a="1"/>
  <c r="O98" i="1" s="1"/>
  <c r="C99" i="1"/>
  <c r="O99" i="1" s="1" a="1"/>
  <c r="O99" i="1" s="1"/>
  <c r="C100" i="1"/>
  <c r="O100" i="1" s="1" a="1"/>
  <c r="O100" i="1" s="1"/>
  <c r="C101" i="1"/>
  <c r="O101" i="1" s="1" a="1"/>
  <c r="O101" i="1" s="1"/>
  <c r="C102" i="1"/>
  <c r="O102" i="1" s="1" a="1"/>
  <c r="O102" i="1" s="1"/>
  <c r="C103" i="1"/>
  <c r="O103" i="1" s="1" a="1"/>
  <c r="O103" i="1" s="1"/>
  <c r="C104" i="1"/>
  <c r="O104" i="1" s="1" a="1"/>
  <c r="O104" i="1" s="1"/>
  <c r="C105" i="1"/>
  <c r="O105" i="1" s="1" a="1"/>
  <c r="O105" i="1" s="1"/>
  <c r="C106" i="1"/>
  <c r="O106" i="1" s="1" a="1"/>
  <c r="O106" i="1" s="1"/>
  <c r="C107" i="1"/>
  <c r="O107" i="1" s="1" a="1"/>
  <c r="O107" i="1" s="1"/>
  <c r="C108" i="1"/>
  <c r="O108" i="1" s="1" a="1"/>
  <c r="O108" i="1" s="1"/>
  <c r="C109" i="1"/>
  <c r="O109" i="1" s="1" a="1"/>
  <c r="O109" i="1" s="1"/>
  <c r="C110" i="1"/>
  <c r="O110" i="1" s="1" a="1"/>
  <c r="O110" i="1" s="1"/>
  <c r="C111" i="1"/>
  <c r="O111" i="1" s="1" a="1"/>
  <c r="O111" i="1" s="1"/>
  <c r="C112" i="1"/>
  <c r="O112" i="1" s="1" a="1"/>
  <c r="O112" i="1" s="1"/>
  <c r="C113" i="1"/>
  <c r="O113" i="1" s="1" a="1"/>
  <c r="O113" i="1" s="1"/>
  <c r="C114" i="1"/>
  <c r="O114" i="1" s="1" a="1"/>
  <c r="O114" i="1" s="1"/>
  <c r="C115" i="1"/>
  <c r="O115" i="1" s="1" a="1"/>
  <c r="O115" i="1" s="1"/>
  <c r="C116" i="1"/>
  <c r="O116" i="1" s="1" a="1"/>
  <c r="O116" i="1" s="1"/>
  <c r="C117" i="1"/>
  <c r="O117" i="1" s="1" a="1"/>
  <c r="O117" i="1" s="1"/>
  <c r="C118" i="1"/>
  <c r="O118" i="1" s="1" a="1"/>
  <c r="O118" i="1" s="1"/>
  <c r="C119" i="1"/>
  <c r="O119" i="1" s="1" a="1"/>
  <c r="O119" i="1" s="1"/>
  <c r="C120" i="1"/>
  <c r="O120" i="1" s="1" a="1"/>
  <c r="O120" i="1" s="1"/>
  <c r="C121" i="1"/>
  <c r="O121" i="1" s="1" a="1"/>
  <c r="O121" i="1" s="1"/>
  <c r="C122" i="1"/>
  <c r="O122" i="1" s="1" a="1"/>
  <c r="O122" i="1" s="1"/>
  <c r="C123" i="1"/>
  <c r="O123" i="1" s="1" a="1"/>
  <c r="O123" i="1" s="1"/>
  <c r="C124" i="1"/>
  <c r="O124" i="1" s="1" a="1"/>
  <c r="O124" i="1" s="1"/>
  <c r="C125" i="1"/>
  <c r="O125" i="1" s="1" a="1"/>
  <c r="O125" i="1" s="1"/>
  <c r="C126" i="1"/>
  <c r="O126" i="1" s="1" a="1"/>
  <c r="O126" i="1" s="1"/>
  <c r="C127" i="1"/>
  <c r="O127" i="1" s="1" a="1"/>
  <c r="O127" i="1" s="1"/>
  <c r="C128" i="1"/>
  <c r="O128" i="1" s="1" a="1"/>
  <c r="O128" i="1" s="1"/>
  <c r="C129" i="1"/>
  <c r="O129" i="1" s="1" a="1"/>
  <c r="O129" i="1" s="1"/>
  <c r="C130" i="1"/>
  <c r="O130" i="1" s="1" a="1"/>
  <c r="O130" i="1" s="1"/>
  <c r="C131" i="1"/>
  <c r="O131" i="1" s="1" a="1"/>
  <c r="O131" i="1" s="1"/>
  <c r="C132" i="1"/>
  <c r="O132" i="1" s="1" a="1"/>
  <c r="O132" i="1" s="1"/>
  <c r="C133" i="1"/>
  <c r="O133" i="1" s="1" a="1"/>
  <c r="O133" i="1" s="1"/>
  <c r="C134" i="1"/>
  <c r="O134" i="1" s="1" a="1"/>
  <c r="O134" i="1" s="1"/>
  <c r="C135" i="1"/>
  <c r="O135" i="1" s="1" a="1"/>
  <c r="O135" i="1" s="1"/>
  <c r="C136" i="1"/>
  <c r="O136" i="1" s="1" a="1"/>
  <c r="O136" i="1" s="1"/>
  <c r="C137" i="1"/>
  <c r="O137" i="1" s="1" a="1"/>
  <c r="O137" i="1" s="1"/>
  <c r="C138" i="1"/>
  <c r="O138" i="1" s="1" a="1"/>
  <c r="O138" i="1" s="1"/>
  <c r="C139" i="1"/>
  <c r="O139" i="1" s="1" a="1"/>
  <c r="O139" i="1" s="1"/>
  <c r="C140" i="1"/>
  <c r="O140" i="1" s="1" a="1"/>
  <c r="O140" i="1" s="1"/>
  <c r="C141" i="1"/>
  <c r="O141" i="1" s="1" a="1"/>
  <c r="O141" i="1" s="1"/>
  <c r="C142" i="1"/>
  <c r="O142" i="1" s="1" a="1"/>
  <c r="O142" i="1" s="1"/>
  <c r="C143" i="1"/>
  <c r="O143" i="1" s="1" a="1"/>
  <c r="O143" i="1" s="1"/>
  <c r="C144" i="1"/>
  <c r="O144" i="1" s="1" a="1"/>
  <c r="O144" i="1" s="1"/>
  <c r="C145" i="1"/>
  <c r="O145" i="1" s="1" a="1"/>
  <c r="O145" i="1" s="1"/>
  <c r="C146" i="1"/>
  <c r="O146" i="1" s="1" a="1"/>
  <c r="O146" i="1" s="1"/>
  <c r="C147" i="1"/>
  <c r="O147" i="1" s="1" a="1"/>
  <c r="O147" i="1" s="1"/>
  <c r="C148" i="1"/>
  <c r="O148" i="1" s="1" a="1"/>
  <c r="O148" i="1" s="1"/>
  <c r="C149" i="1"/>
  <c r="O149" i="1" s="1" a="1"/>
  <c r="O149" i="1" s="1"/>
  <c r="C150" i="1"/>
  <c r="O150" i="1" s="1" a="1"/>
  <c r="O150" i="1" s="1"/>
  <c r="C151" i="1"/>
  <c r="O151" i="1" s="1" a="1"/>
  <c r="O151" i="1" s="1"/>
  <c r="C152" i="1"/>
  <c r="O152" i="1" s="1" a="1"/>
  <c r="O152" i="1" s="1"/>
  <c r="C153" i="1"/>
  <c r="O153" i="1" s="1" a="1"/>
  <c r="O153" i="1" s="1"/>
  <c r="C154" i="1"/>
  <c r="O154" i="1" s="1" a="1"/>
  <c r="O154" i="1" s="1"/>
  <c r="C155" i="1"/>
  <c r="O155" i="1" s="1" a="1"/>
  <c r="O155" i="1" s="1"/>
  <c r="C156" i="1"/>
  <c r="O156" i="1" s="1" a="1"/>
  <c r="O156" i="1" s="1"/>
  <c r="C157" i="1"/>
  <c r="O157" i="1" s="1" a="1"/>
  <c r="O157" i="1" s="1"/>
  <c r="C158" i="1"/>
  <c r="O158" i="1" s="1" a="1"/>
  <c r="O158" i="1" s="1"/>
  <c r="C159" i="1"/>
  <c r="O159" i="1" s="1" a="1"/>
  <c r="O159" i="1" s="1"/>
  <c r="C160" i="1"/>
  <c r="O160" i="1" s="1" a="1"/>
  <c r="O160" i="1" s="1"/>
  <c r="C161" i="1"/>
  <c r="O161" i="1" s="1" a="1"/>
  <c r="O161" i="1" s="1"/>
  <c r="C162" i="1"/>
  <c r="O162" i="1" s="1" a="1"/>
  <c r="O162" i="1" s="1"/>
  <c r="C163" i="1"/>
  <c r="O163" i="1" s="1" a="1"/>
  <c r="O163" i="1" s="1"/>
  <c r="C164" i="1"/>
  <c r="O164" i="1" s="1" a="1"/>
  <c r="O164" i="1" s="1"/>
  <c r="C165" i="1"/>
  <c r="O165" i="1" s="1" a="1"/>
  <c r="O165" i="1" s="1"/>
  <c r="C166" i="1"/>
  <c r="O166" i="1" s="1" a="1"/>
  <c r="O166" i="1" s="1"/>
  <c r="C167" i="1"/>
  <c r="O167" i="1" s="1" a="1"/>
  <c r="O167" i="1" s="1"/>
  <c r="C168" i="1"/>
  <c r="O168" i="1" s="1" a="1"/>
  <c r="O168" i="1" s="1"/>
  <c r="C169" i="1"/>
  <c r="O169" i="1" s="1" a="1"/>
  <c r="O169" i="1" s="1"/>
  <c r="C170" i="1"/>
  <c r="O170" i="1" s="1" a="1"/>
  <c r="O170" i="1" s="1"/>
  <c r="C171" i="1"/>
  <c r="O171" i="1" s="1" a="1"/>
  <c r="O171" i="1" s="1"/>
  <c r="C172" i="1"/>
  <c r="O172" i="1" s="1" a="1"/>
  <c r="O172" i="1" s="1"/>
  <c r="C173" i="1"/>
  <c r="O173" i="1" s="1" a="1"/>
  <c r="O173" i="1" s="1"/>
  <c r="C174" i="1"/>
  <c r="O174" i="1" s="1" a="1"/>
  <c r="O174" i="1" s="1"/>
  <c r="C175" i="1"/>
  <c r="O175" i="1" s="1" a="1"/>
  <c r="O175" i="1" s="1"/>
  <c r="C176" i="1"/>
  <c r="O176" i="1" s="1" a="1"/>
  <c r="O176" i="1" s="1"/>
  <c r="C177" i="1"/>
  <c r="O177" i="1" s="1" a="1"/>
  <c r="O177" i="1" s="1"/>
  <c r="C178" i="1"/>
  <c r="O178" i="1" s="1" a="1"/>
  <c r="O178" i="1" s="1"/>
  <c r="C179" i="1"/>
  <c r="O179" i="1" s="1" a="1"/>
  <c r="O179" i="1" s="1"/>
  <c r="C180" i="1"/>
  <c r="O180" i="1" s="1" a="1"/>
  <c r="O180" i="1" s="1"/>
  <c r="C181" i="1"/>
  <c r="O181" i="1" s="1" a="1"/>
  <c r="O181" i="1" s="1"/>
  <c r="C182" i="1"/>
  <c r="O182" i="1" s="1" a="1"/>
  <c r="O182" i="1" s="1"/>
  <c r="C183" i="1"/>
  <c r="O183" i="1" s="1" a="1"/>
  <c r="O183" i="1" s="1"/>
  <c r="C184" i="1"/>
  <c r="O184" i="1" s="1" a="1"/>
  <c r="O184" i="1" s="1"/>
  <c r="C185" i="1"/>
  <c r="O185" i="1" s="1" a="1"/>
  <c r="O185" i="1" s="1"/>
  <c r="C186" i="1"/>
  <c r="O186" i="1" s="1" a="1"/>
  <c r="O186" i="1" s="1"/>
  <c r="C187" i="1"/>
  <c r="O187" i="1" s="1" a="1"/>
  <c r="O187" i="1" s="1"/>
  <c r="C188" i="1"/>
  <c r="O188" i="1" s="1" a="1"/>
  <c r="O188" i="1" s="1"/>
  <c r="C189" i="1"/>
  <c r="O189" i="1" s="1" a="1"/>
  <c r="O189" i="1" s="1"/>
  <c r="C190" i="1"/>
  <c r="O190" i="1" s="1" a="1"/>
  <c r="O190" i="1" s="1"/>
  <c r="C191" i="1"/>
  <c r="O191" i="1" s="1" a="1"/>
  <c r="O191" i="1" s="1"/>
  <c r="C192" i="1"/>
  <c r="O192" i="1" s="1" a="1"/>
  <c r="O192" i="1" s="1"/>
  <c r="C193" i="1"/>
  <c r="O193" i="1" s="1" a="1"/>
  <c r="O193" i="1" s="1"/>
  <c r="C194" i="1"/>
  <c r="O194" i="1" s="1" a="1"/>
  <c r="O194" i="1" s="1"/>
  <c r="C195" i="1"/>
  <c r="O195" i="1" s="1" a="1"/>
  <c r="O195" i="1" s="1"/>
  <c r="C196" i="1"/>
  <c r="O196" i="1" s="1" a="1"/>
  <c r="O196" i="1" s="1"/>
  <c r="C197" i="1"/>
  <c r="O197" i="1" s="1" a="1"/>
  <c r="O197" i="1" s="1"/>
  <c r="C198" i="1"/>
  <c r="O198" i="1" s="1" a="1"/>
  <c r="O198" i="1" s="1"/>
  <c r="C199" i="1"/>
  <c r="O199" i="1" s="1" a="1"/>
  <c r="O199" i="1" s="1"/>
  <c r="C200" i="1"/>
  <c r="O200" i="1" s="1" a="1"/>
  <c r="O200" i="1" s="1"/>
  <c r="C201" i="1"/>
  <c r="O201" i="1" s="1" a="1"/>
  <c r="O201" i="1" s="1"/>
  <c r="C202" i="1"/>
  <c r="O202" i="1" s="1" a="1"/>
  <c r="O202" i="1" s="1"/>
  <c r="C203" i="1"/>
  <c r="O203" i="1" s="1" a="1"/>
  <c r="O203" i="1" s="1"/>
  <c r="C204" i="1"/>
  <c r="O204" i="1" s="1" a="1"/>
  <c r="O204" i="1" s="1"/>
  <c r="C205" i="1"/>
  <c r="O205" i="1" s="1" a="1"/>
  <c r="O205" i="1" s="1"/>
  <c r="C206" i="1"/>
  <c r="O206" i="1" s="1" a="1"/>
  <c r="O206" i="1" s="1"/>
  <c r="C207" i="1"/>
  <c r="O207" i="1" s="1" a="1"/>
  <c r="O207" i="1" s="1"/>
  <c r="C208" i="1"/>
  <c r="O208" i="1" s="1" a="1"/>
  <c r="O208" i="1" s="1"/>
  <c r="C209" i="1"/>
  <c r="O209" i="1" s="1" a="1"/>
  <c r="O209" i="1" s="1"/>
  <c r="C210" i="1"/>
  <c r="O210" i="1" s="1" a="1"/>
  <c r="O210" i="1" s="1"/>
  <c r="C211" i="1"/>
  <c r="O211" i="1" s="1" a="1"/>
  <c r="O211" i="1" s="1"/>
  <c r="C212" i="1"/>
  <c r="O212" i="1" s="1" a="1"/>
  <c r="O212" i="1" s="1"/>
  <c r="C213" i="1"/>
  <c r="O213" i="1" s="1" a="1"/>
  <c r="O213" i="1" s="1"/>
  <c r="C214" i="1"/>
  <c r="O214" i="1" s="1" a="1"/>
  <c r="O214" i="1" s="1"/>
  <c r="C215" i="1"/>
  <c r="O215" i="1" s="1" a="1"/>
  <c r="O215" i="1" s="1"/>
  <c r="C216" i="1"/>
  <c r="O216" i="1" s="1" a="1"/>
  <c r="O216" i="1" s="1"/>
  <c r="C217" i="1"/>
  <c r="O217" i="1" s="1" a="1"/>
  <c r="O217" i="1" s="1"/>
  <c r="C218" i="1"/>
  <c r="O218" i="1" s="1" a="1"/>
  <c r="O218" i="1" s="1"/>
  <c r="C219" i="1"/>
  <c r="O219" i="1" s="1" a="1"/>
  <c r="O219" i="1" s="1"/>
  <c r="C220" i="1"/>
  <c r="O220" i="1" s="1" a="1"/>
  <c r="O220" i="1" s="1"/>
  <c r="C221" i="1"/>
  <c r="O221" i="1" s="1" a="1"/>
  <c r="O221" i="1" s="1"/>
  <c r="C222" i="1"/>
  <c r="O222" i="1" s="1" a="1"/>
  <c r="O222" i="1" s="1"/>
  <c r="C223" i="1"/>
  <c r="O223" i="1" s="1" a="1"/>
  <c r="O223" i="1" s="1"/>
  <c r="C224" i="1"/>
  <c r="O224" i="1" s="1" a="1"/>
  <c r="O224" i="1" s="1"/>
  <c r="C225" i="1"/>
  <c r="O225" i="1" s="1" a="1"/>
  <c r="O225" i="1" s="1"/>
  <c r="C226" i="1"/>
  <c r="O226" i="1" s="1" a="1"/>
  <c r="O226" i="1" s="1"/>
  <c r="C227" i="1"/>
  <c r="O227" i="1" s="1" a="1"/>
  <c r="O227" i="1" s="1"/>
  <c r="C228" i="1"/>
  <c r="O228" i="1" s="1" a="1"/>
  <c r="O228" i="1" s="1"/>
  <c r="C229" i="1"/>
  <c r="O229" i="1" s="1" a="1"/>
  <c r="O229" i="1" s="1"/>
  <c r="C230" i="1"/>
  <c r="O230" i="1" s="1" a="1"/>
  <c r="O230" i="1" s="1"/>
  <c r="C231" i="1"/>
  <c r="O231" i="1" s="1" a="1"/>
  <c r="O231" i="1" s="1"/>
  <c r="C232" i="1"/>
  <c r="O232" i="1" s="1" a="1"/>
  <c r="O232" i="1" s="1"/>
  <c r="C233" i="1"/>
  <c r="O233" i="1" s="1" a="1"/>
  <c r="O233" i="1" s="1"/>
  <c r="C234" i="1"/>
  <c r="O234" i="1" s="1" a="1"/>
  <c r="O234" i="1" s="1"/>
  <c r="C235" i="1"/>
  <c r="O235" i="1" s="1" a="1"/>
  <c r="O235" i="1" s="1"/>
  <c r="C236" i="1"/>
  <c r="O236" i="1" s="1" a="1"/>
  <c r="O236" i="1" s="1"/>
  <c r="C237" i="1"/>
  <c r="O237" i="1" s="1" a="1"/>
  <c r="O237" i="1" s="1"/>
  <c r="C238" i="1"/>
  <c r="O238" i="1" s="1" a="1"/>
  <c r="O238" i="1" s="1"/>
  <c r="C239" i="1"/>
  <c r="O239" i="1" s="1" a="1"/>
  <c r="O239" i="1" s="1"/>
  <c r="C240" i="1"/>
  <c r="O240" i="1" s="1" a="1"/>
  <c r="O240" i="1" s="1"/>
  <c r="C241" i="1"/>
  <c r="O241" i="1" s="1" a="1"/>
  <c r="O241" i="1" s="1"/>
  <c r="C242" i="1"/>
  <c r="O242" i="1" s="1" a="1"/>
  <c r="O242" i="1" s="1"/>
  <c r="C243" i="1"/>
  <c r="O243" i="1" s="1" a="1"/>
  <c r="O243" i="1" s="1"/>
  <c r="C244" i="1"/>
  <c r="O244" i="1" s="1" a="1"/>
  <c r="O244" i="1" s="1"/>
  <c r="C245" i="1"/>
  <c r="O245" i="1" s="1" a="1"/>
  <c r="O245" i="1" s="1"/>
  <c r="C246" i="1"/>
  <c r="O246" i="1" s="1" a="1"/>
  <c r="O246" i="1" s="1"/>
  <c r="C247" i="1"/>
  <c r="O247" i="1" s="1" a="1"/>
  <c r="O247" i="1" s="1"/>
  <c r="C248" i="1"/>
  <c r="O248" i="1" s="1" a="1"/>
  <c r="O248" i="1" s="1"/>
  <c r="C249" i="1"/>
  <c r="O249" i="1" s="1" a="1"/>
  <c r="O249" i="1" s="1"/>
  <c r="C250" i="1"/>
  <c r="O250" i="1" s="1" a="1"/>
  <c r="O250" i="1" s="1"/>
  <c r="C251" i="1"/>
  <c r="O251" i="1" s="1" a="1"/>
  <c r="O251" i="1" s="1"/>
  <c r="C252" i="1"/>
  <c r="O252" i="1" s="1" a="1"/>
  <c r="O252" i="1" s="1"/>
  <c r="C253" i="1"/>
  <c r="O253" i="1" s="1" a="1"/>
  <c r="O253" i="1" s="1"/>
  <c r="C254" i="1"/>
  <c r="O254" i="1" s="1" a="1"/>
  <c r="O254" i="1" s="1"/>
  <c r="C255" i="1"/>
  <c r="O255" i="1" s="1" a="1"/>
  <c r="O255" i="1" s="1"/>
  <c r="C256" i="1"/>
  <c r="O256" i="1" s="1" a="1"/>
  <c r="O256" i="1" s="1"/>
  <c r="C257" i="1"/>
  <c r="O257" i="1" s="1" a="1"/>
  <c r="O257" i="1" s="1"/>
  <c r="C258" i="1"/>
  <c r="O258" i="1" s="1" a="1"/>
  <c r="O258" i="1" s="1"/>
  <c r="C259" i="1"/>
  <c r="O259" i="1" s="1" a="1"/>
  <c r="O259" i="1" s="1"/>
  <c r="C260" i="1"/>
  <c r="O260" i="1" s="1" a="1"/>
  <c r="O260" i="1" s="1"/>
  <c r="C261" i="1"/>
  <c r="O261" i="1" s="1" a="1"/>
  <c r="O261" i="1" s="1"/>
  <c r="C262" i="1"/>
  <c r="O262" i="1" s="1" a="1"/>
  <c r="O262" i="1" s="1"/>
  <c r="C263" i="1"/>
  <c r="O263" i="1" s="1" a="1"/>
  <c r="O263" i="1" s="1"/>
  <c r="C264" i="1"/>
  <c r="O264" i="1" s="1" a="1"/>
  <c r="O264" i="1" s="1"/>
  <c r="C265" i="1"/>
  <c r="O265" i="1" s="1" a="1"/>
  <c r="O265" i="1" s="1"/>
  <c r="C266" i="1"/>
  <c r="O266" i="1" s="1" a="1"/>
  <c r="O266" i="1" s="1"/>
  <c r="C267" i="1"/>
  <c r="O267" i="1" s="1" a="1"/>
  <c r="O267" i="1" s="1"/>
  <c r="C268" i="1"/>
  <c r="O268" i="1" s="1" a="1"/>
  <c r="O268" i="1" s="1"/>
  <c r="C269" i="1"/>
  <c r="O269" i="1" s="1" a="1"/>
  <c r="O269" i="1" s="1"/>
  <c r="C270" i="1"/>
  <c r="O270" i="1" s="1" a="1"/>
  <c r="O270" i="1" s="1"/>
  <c r="C271" i="1"/>
  <c r="O271" i="1" s="1" a="1"/>
  <c r="O271" i="1" s="1"/>
  <c r="C272" i="1"/>
  <c r="O272" i="1" s="1" a="1"/>
  <c r="O272" i="1" s="1"/>
  <c r="C273" i="1"/>
  <c r="O273" i="1" s="1" a="1"/>
  <c r="O273" i="1" s="1"/>
  <c r="C274" i="1"/>
  <c r="O274" i="1" s="1" a="1"/>
  <c r="O274" i="1" s="1"/>
  <c r="C275" i="1"/>
  <c r="O275" i="1" s="1" a="1"/>
  <c r="O275" i="1" s="1"/>
  <c r="C276" i="1"/>
  <c r="O276" i="1" s="1" a="1"/>
  <c r="O276" i="1" s="1"/>
  <c r="C277" i="1"/>
  <c r="O277" i="1" s="1" a="1"/>
  <c r="O277" i="1" s="1"/>
  <c r="C278" i="1"/>
  <c r="O278" i="1" s="1" a="1"/>
  <c r="O278" i="1" s="1"/>
  <c r="C279" i="1"/>
  <c r="O279" i="1" s="1" a="1"/>
  <c r="O279" i="1" s="1"/>
  <c r="C280" i="1"/>
  <c r="O280" i="1" s="1" a="1"/>
  <c r="O280" i="1" s="1"/>
  <c r="C281" i="1"/>
  <c r="O281" i="1" s="1" a="1"/>
  <c r="O281" i="1" s="1"/>
  <c r="C282" i="1"/>
  <c r="O282" i="1" s="1" a="1"/>
  <c r="O282" i="1" s="1"/>
  <c r="C283" i="1"/>
  <c r="O283" i="1" s="1" a="1"/>
  <c r="O283" i="1" s="1"/>
  <c r="C284" i="1"/>
  <c r="O284" i="1" s="1" a="1"/>
  <c r="O284" i="1" s="1"/>
  <c r="C285" i="1"/>
  <c r="O285" i="1" s="1" a="1"/>
  <c r="O285" i="1" s="1"/>
  <c r="C286" i="1"/>
  <c r="O286" i="1" s="1" a="1"/>
  <c r="O286" i="1" s="1"/>
  <c r="C287" i="1"/>
  <c r="O287" i="1" s="1" a="1"/>
  <c r="O287" i="1" s="1"/>
  <c r="C288" i="1"/>
  <c r="O288" i="1" s="1" a="1"/>
  <c r="O288" i="1" s="1"/>
  <c r="C289" i="1"/>
  <c r="O289" i="1" s="1" a="1"/>
  <c r="O289" i="1" s="1"/>
  <c r="C290" i="1"/>
  <c r="O290" i="1" s="1" a="1"/>
  <c r="O290" i="1" s="1"/>
  <c r="C291" i="1"/>
  <c r="O291" i="1" s="1" a="1"/>
  <c r="O291" i="1" s="1"/>
  <c r="C292" i="1"/>
  <c r="O292" i="1" s="1" a="1"/>
  <c r="O292" i="1" s="1"/>
  <c r="C293" i="1"/>
  <c r="O293" i="1" s="1" a="1"/>
  <c r="O293" i="1" s="1"/>
  <c r="C294" i="1"/>
  <c r="O294" i="1" s="1" a="1"/>
  <c r="O294" i="1" s="1"/>
  <c r="C295" i="1"/>
  <c r="O295" i="1" s="1" a="1"/>
  <c r="O295" i="1" s="1"/>
  <c r="C296" i="1"/>
  <c r="O296" i="1" s="1" a="1"/>
  <c r="O296" i="1" s="1"/>
  <c r="C297" i="1"/>
  <c r="O297" i="1" s="1" a="1"/>
  <c r="O297" i="1" s="1"/>
  <c r="C298" i="1"/>
  <c r="O298" i="1" s="1" a="1"/>
  <c r="O298" i="1" s="1"/>
  <c r="C299" i="1"/>
  <c r="O299" i="1" s="1" a="1"/>
  <c r="O299" i="1" s="1"/>
  <c r="C300" i="1"/>
  <c r="O300" i="1" s="1" a="1"/>
  <c r="O300" i="1" s="1"/>
  <c r="C301" i="1"/>
  <c r="O301" i="1" s="1" a="1"/>
  <c r="O301" i="1" s="1"/>
  <c r="C302" i="1"/>
  <c r="O302" i="1" s="1" a="1"/>
  <c r="O302" i="1" s="1"/>
  <c r="C303" i="1"/>
  <c r="O303" i="1" s="1" a="1"/>
  <c r="O303" i="1" s="1"/>
  <c r="C304" i="1"/>
  <c r="O304" i="1" s="1" a="1"/>
  <c r="O304" i="1" s="1"/>
  <c r="C305" i="1"/>
  <c r="O305" i="1" s="1" a="1"/>
  <c r="O305" i="1" s="1"/>
  <c r="C306" i="1"/>
  <c r="O306" i="1" s="1" a="1"/>
  <c r="O306" i="1" s="1"/>
  <c r="C307" i="1"/>
  <c r="O307" i="1" s="1" a="1"/>
  <c r="O307" i="1" s="1"/>
  <c r="C308" i="1"/>
  <c r="O308" i="1" s="1" a="1"/>
  <c r="O308" i="1" s="1"/>
  <c r="C309" i="1"/>
  <c r="O309" i="1" s="1" a="1"/>
  <c r="O309" i="1" s="1"/>
  <c r="C310" i="1"/>
  <c r="O310" i="1" s="1" a="1"/>
  <c r="O310" i="1" s="1"/>
  <c r="C311" i="1"/>
  <c r="O311" i="1" s="1" a="1"/>
  <c r="O311" i="1" s="1"/>
  <c r="C312" i="1"/>
  <c r="O312" i="1" s="1" a="1"/>
  <c r="O312" i="1" s="1"/>
  <c r="C313" i="1"/>
  <c r="O313" i="1" s="1" a="1"/>
  <c r="O313" i="1" s="1"/>
  <c r="C314" i="1"/>
  <c r="O314" i="1" s="1" a="1"/>
  <c r="O314" i="1" s="1"/>
  <c r="C315" i="1"/>
  <c r="O315" i="1" s="1" a="1"/>
  <c r="O315" i="1" s="1"/>
  <c r="C316" i="1"/>
  <c r="O316" i="1" s="1" a="1"/>
  <c r="O316" i="1" s="1"/>
  <c r="C317" i="1"/>
  <c r="O317" i="1" s="1" a="1"/>
  <c r="O317" i="1" s="1"/>
  <c r="C318" i="1"/>
  <c r="O318" i="1" s="1" a="1"/>
  <c r="O318" i="1" s="1"/>
  <c r="C319" i="1"/>
  <c r="O319" i="1" s="1" a="1"/>
  <c r="O319" i="1" s="1"/>
  <c r="C320" i="1"/>
  <c r="O320" i="1" s="1" a="1"/>
  <c r="O320" i="1" s="1"/>
  <c r="C321" i="1"/>
  <c r="O321" i="1" s="1" a="1"/>
  <c r="O321" i="1" s="1"/>
  <c r="C322" i="1"/>
  <c r="O322" i="1" s="1" a="1"/>
  <c r="O322" i="1" s="1"/>
  <c r="C323" i="1"/>
  <c r="O323" i="1" s="1" a="1"/>
  <c r="O323" i="1" s="1"/>
  <c r="C324" i="1"/>
  <c r="O324" i="1" s="1" a="1"/>
  <c r="O324" i="1" s="1"/>
  <c r="C325" i="1"/>
  <c r="O325" i="1" s="1" a="1"/>
  <c r="O325" i="1" s="1"/>
  <c r="C326" i="1"/>
  <c r="O326" i="1" s="1" a="1"/>
  <c r="O326" i="1" s="1"/>
  <c r="C327" i="1"/>
  <c r="O327" i="1" s="1" a="1"/>
  <c r="O327" i="1" s="1"/>
  <c r="C328" i="1"/>
  <c r="O328" i="1" s="1" a="1"/>
  <c r="O328" i="1" s="1"/>
  <c r="C329" i="1"/>
  <c r="O329" i="1" s="1" a="1"/>
  <c r="O329" i="1" s="1"/>
  <c r="C330" i="1"/>
  <c r="O330" i="1" s="1" a="1"/>
  <c r="O330" i="1" s="1"/>
  <c r="C331" i="1"/>
  <c r="O331" i="1" s="1" a="1"/>
  <c r="O331" i="1" s="1"/>
  <c r="C332" i="1"/>
  <c r="O332" i="1" s="1" a="1"/>
  <c r="O332" i="1" s="1"/>
  <c r="C333" i="1"/>
  <c r="O333" i="1" s="1" a="1"/>
  <c r="O333" i="1" s="1"/>
  <c r="C334" i="1"/>
  <c r="O334" i="1" s="1" a="1"/>
  <c r="O334" i="1" s="1"/>
  <c r="C335" i="1"/>
  <c r="O335" i="1" s="1" a="1"/>
  <c r="O335" i="1" s="1"/>
  <c r="C336" i="1"/>
  <c r="O336" i="1" s="1" a="1"/>
  <c r="O336" i="1" s="1"/>
  <c r="C337" i="1"/>
  <c r="O337" i="1" s="1" a="1"/>
  <c r="O337" i="1" s="1"/>
  <c r="C338" i="1"/>
  <c r="O338" i="1" s="1" a="1"/>
  <c r="O338" i="1" s="1"/>
  <c r="C339" i="1"/>
  <c r="O339" i="1" s="1" a="1"/>
  <c r="O339" i="1" s="1"/>
  <c r="C340" i="1"/>
  <c r="O340" i="1" s="1" a="1"/>
  <c r="O340" i="1" s="1"/>
  <c r="C341" i="1"/>
  <c r="O341" i="1" s="1" a="1"/>
  <c r="O341" i="1" s="1"/>
  <c r="C342" i="1"/>
  <c r="O342" i="1" s="1" a="1"/>
  <c r="O342" i="1" s="1"/>
  <c r="C343" i="1"/>
  <c r="O343" i="1" s="1" a="1"/>
  <c r="O343" i="1" s="1"/>
  <c r="C344" i="1"/>
  <c r="O344" i="1" s="1" a="1"/>
  <c r="O344" i="1" s="1"/>
  <c r="C345" i="1"/>
  <c r="O345" i="1" s="1" a="1"/>
  <c r="O345" i="1" s="1"/>
  <c r="C346" i="1"/>
  <c r="O346" i="1" s="1" a="1"/>
  <c r="O346" i="1" s="1"/>
  <c r="C347" i="1"/>
  <c r="O347" i="1" s="1" a="1"/>
  <c r="O347" i="1" s="1"/>
  <c r="C348" i="1"/>
  <c r="O348" i="1" s="1" a="1"/>
  <c r="O348" i="1" s="1"/>
  <c r="C349" i="1"/>
  <c r="O349" i="1" s="1" a="1"/>
  <c r="O349" i="1" s="1"/>
  <c r="C350" i="1"/>
  <c r="O350" i="1" s="1" a="1"/>
  <c r="O350" i="1" s="1"/>
  <c r="C351" i="1"/>
  <c r="O351" i="1" s="1" a="1"/>
  <c r="O351" i="1" s="1"/>
  <c r="C352" i="1"/>
  <c r="O352" i="1" s="1" a="1"/>
  <c r="O352" i="1" s="1"/>
  <c r="C353" i="1"/>
  <c r="O353" i="1" s="1" a="1"/>
  <c r="O353" i="1" s="1"/>
  <c r="C354" i="1"/>
  <c r="O354" i="1" s="1" a="1"/>
  <c r="O354" i="1" s="1"/>
  <c r="C355" i="1"/>
  <c r="O355" i="1" s="1" a="1"/>
  <c r="O355" i="1" s="1"/>
  <c r="C356" i="1"/>
  <c r="O356" i="1" s="1" a="1"/>
  <c r="O356" i="1" s="1"/>
  <c r="C357" i="1"/>
  <c r="O357" i="1" s="1" a="1"/>
  <c r="O357" i="1" s="1"/>
  <c r="C358" i="1"/>
  <c r="O358" i="1" s="1" a="1"/>
  <c r="O358" i="1" s="1"/>
  <c r="C359" i="1"/>
  <c r="O359" i="1" s="1" a="1"/>
  <c r="O359" i="1" s="1"/>
  <c r="C360" i="1"/>
  <c r="O360" i="1" s="1" a="1"/>
  <c r="O360" i="1" s="1"/>
  <c r="C361" i="1"/>
  <c r="O361" i="1" s="1" a="1"/>
  <c r="O361" i="1" s="1"/>
  <c r="C362" i="1"/>
  <c r="O362" i="1" s="1" a="1"/>
  <c r="O362" i="1" s="1"/>
  <c r="C363" i="1"/>
  <c r="O363" i="1" s="1" a="1"/>
  <c r="O363" i="1" s="1"/>
  <c r="C364" i="1"/>
  <c r="O364" i="1" s="1" a="1"/>
  <c r="O364" i="1" s="1"/>
  <c r="C365" i="1"/>
  <c r="O365" i="1" s="1" a="1"/>
  <c r="O365" i="1" s="1"/>
  <c r="C366" i="1"/>
  <c r="O366" i="1" s="1" a="1"/>
  <c r="O366" i="1" s="1"/>
  <c r="C367" i="1"/>
  <c r="O367" i="1" s="1" a="1"/>
  <c r="O367" i="1" s="1"/>
  <c r="C368" i="1"/>
  <c r="O368" i="1" s="1" a="1"/>
  <c r="O368" i="1" s="1"/>
  <c r="C369" i="1"/>
  <c r="O369" i="1" s="1" a="1"/>
  <c r="O369" i="1" s="1"/>
  <c r="C370" i="1"/>
  <c r="O370" i="1" s="1" a="1"/>
  <c r="O370" i="1" s="1"/>
  <c r="C371" i="1"/>
  <c r="O371" i="1" s="1" a="1"/>
  <c r="O371" i="1" s="1"/>
  <c r="C372" i="1"/>
  <c r="O372" i="1" s="1" a="1"/>
  <c r="O372" i="1" s="1"/>
  <c r="C373" i="1"/>
  <c r="O373" i="1" s="1" a="1"/>
  <c r="O373" i="1" s="1"/>
  <c r="C374" i="1"/>
  <c r="O374" i="1" s="1" a="1"/>
  <c r="O374" i="1" s="1"/>
  <c r="C375" i="1"/>
  <c r="O375" i="1" s="1" a="1"/>
  <c r="O375" i="1" s="1"/>
  <c r="C376" i="1"/>
  <c r="O376" i="1" s="1" a="1"/>
  <c r="O376" i="1" s="1"/>
  <c r="C377" i="1"/>
  <c r="O377" i="1" s="1" a="1"/>
  <c r="O377" i="1" s="1"/>
  <c r="C378" i="1"/>
  <c r="O378" i="1" s="1" a="1"/>
  <c r="O378" i="1" s="1"/>
  <c r="C379" i="1"/>
  <c r="O379" i="1" s="1" a="1"/>
  <c r="O379" i="1" s="1"/>
  <c r="C380" i="1"/>
  <c r="O380" i="1" s="1" a="1"/>
  <c r="O380" i="1" s="1"/>
  <c r="C381" i="1"/>
  <c r="O381" i="1" s="1" a="1"/>
  <c r="O381" i="1" s="1"/>
  <c r="C382" i="1"/>
  <c r="O382" i="1" s="1" a="1"/>
  <c r="O382" i="1" s="1"/>
  <c r="C383" i="1"/>
  <c r="O383" i="1" s="1" a="1"/>
  <c r="O383" i="1" s="1"/>
  <c r="C384" i="1"/>
  <c r="O384" i="1" s="1" a="1"/>
  <c r="O384" i="1" s="1"/>
  <c r="C385" i="1"/>
  <c r="O385" i="1" s="1" a="1"/>
  <c r="O385" i="1" s="1"/>
  <c r="C386" i="1"/>
  <c r="O386" i="1" s="1" a="1"/>
  <c r="O386" i="1" s="1"/>
  <c r="C387" i="1"/>
  <c r="O387" i="1" s="1" a="1"/>
  <c r="O387" i="1" s="1"/>
  <c r="C388" i="1"/>
  <c r="O388" i="1" s="1" a="1"/>
  <c r="O388" i="1" s="1"/>
  <c r="C389" i="1"/>
  <c r="O389" i="1" s="1" a="1"/>
  <c r="O389" i="1" s="1"/>
  <c r="C390" i="1"/>
  <c r="O390" i="1" s="1" a="1"/>
  <c r="O390" i="1" s="1"/>
  <c r="C391" i="1"/>
  <c r="O391" i="1" s="1" a="1"/>
  <c r="O391" i="1" s="1"/>
  <c r="C392" i="1"/>
  <c r="O392" i="1" s="1" a="1"/>
  <c r="O392" i="1" s="1"/>
  <c r="C393" i="1"/>
  <c r="O393" i="1" s="1" a="1"/>
  <c r="O393" i="1" s="1"/>
  <c r="C394" i="1"/>
  <c r="O394" i="1" s="1" a="1"/>
  <c r="O394" i="1" s="1"/>
  <c r="C395" i="1"/>
  <c r="O395" i="1" s="1" a="1"/>
  <c r="O395" i="1" s="1"/>
  <c r="C396" i="1"/>
  <c r="O396" i="1" s="1" a="1"/>
  <c r="O396" i="1" s="1"/>
  <c r="C397" i="1"/>
  <c r="O397" i="1" s="1" a="1"/>
  <c r="O397" i="1" s="1"/>
  <c r="C398" i="1"/>
  <c r="O398" i="1" s="1" a="1"/>
  <c r="O398" i="1" s="1"/>
  <c r="C399" i="1"/>
  <c r="O399" i="1" s="1" a="1"/>
  <c r="O399" i="1" s="1"/>
  <c r="C400" i="1"/>
  <c r="O400" i="1" s="1" a="1"/>
  <c r="O400" i="1" s="1"/>
  <c r="C401" i="1"/>
  <c r="O401" i="1" s="1" a="1"/>
  <c r="O401" i="1" s="1"/>
  <c r="C402" i="1"/>
  <c r="O402" i="1" s="1" a="1"/>
  <c r="O402" i="1" s="1"/>
  <c r="C403" i="1"/>
  <c r="O403" i="1" s="1" a="1"/>
  <c r="O403" i="1" s="1"/>
  <c r="C404" i="1"/>
  <c r="O404" i="1" s="1" a="1"/>
  <c r="O404" i="1" s="1"/>
  <c r="C405" i="1"/>
  <c r="O405" i="1" s="1" a="1"/>
  <c r="O405" i="1" s="1"/>
  <c r="C406" i="1"/>
  <c r="O406" i="1" s="1" a="1"/>
  <c r="O406" i="1" s="1"/>
  <c r="C407" i="1"/>
  <c r="O407" i="1" s="1" a="1"/>
  <c r="O407" i="1" s="1"/>
  <c r="C408" i="1"/>
  <c r="O408" i="1" s="1" a="1"/>
  <c r="O408" i="1" s="1"/>
  <c r="C409" i="1"/>
  <c r="O409" i="1" s="1" a="1"/>
  <c r="O409" i="1" s="1"/>
  <c r="C410" i="1"/>
  <c r="O410" i="1" s="1" a="1"/>
  <c r="O410" i="1" s="1"/>
  <c r="C411" i="1"/>
  <c r="O411" i="1" s="1" a="1"/>
  <c r="O411" i="1" s="1"/>
  <c r="C412" i="1"/>
  <c r="O412" i="1" s="1" a="1"/>
  <c r="O412" i="1" s="1"/>
  <c r="C413" i="1"/>
  <c r="O413" i="1" s="1" a="1"/>
  <c r="O413" i="1" s="1"/>
  <c r="C414" i="1"/>
  <c r="O414" i="1" s="1" a="1"/>
  <c r="O414" i="1" s="1"/>
  <c r="C415" i="1"/>
  <c r="O415" i="1" s="1" a="1"/>
  <c r="O415" i="1" s="1"/>
  <c r="C416" i="1"/>
  <c r="O416" i="1" s="1" a="1"/>
  <c r="O416" i="1" s="1"/>
  <c r="C417" i="1"/>
  <c r="O417" i="1" s="1" a="1"/>
  <c r="O417" i="1" s="1"/>
  <c r="C418" i="1"/>
  <c r="O418" i="1" s="1" a="1"/>
  <c r="O418" i="1" s="1"/>
  <c r="C419" i="1"/>
  <c r="O419" i="1" s="1" a="1"/>
  <c r="O419" i="1" s="1"/>
  <c r="C420" i="1"/>
  <c r="O420" i="1" s="1" a="1"/>
  <c r="O420" i="1" s="1"/>
  <c r="C421" i="1"/>
  <c r="O421" i="1" s="1" a="1"/>
  <c r="O421" i="1" s="1"/>
  <c r="C422" i="1"/>
  <c r="O422" i="1" s="1" a="1"/>
  <c r="O422" i="1" s="1"/>
  <c r="C423" i="1"/>
  <c r="O423" i="1" s="1" a="1"/>
  <c r="O423" i="1" s="1"/>
  <c r="C424" i="1"/>
  <c r="O424" i="1" s="1" a="1"/>
  <c r="O424" i="1" s="1"/>
  <c r="C425" i="1"/>
  <c r="O425" i="1" s="1" a="1"/>
  <c r="O425" i="1" s="1"/>
  <c r="C426" i="1"/>
  <c r="O426" i="1" s="1" a="1"/>
  <c r="O426" i="1" s="1"/>
  <c r="C427" i="1"/>
  <c r="O427" i="1" s="1" a="1"/>
  <c r="O427" i="1" s="1"/>
  <c r="C428" i="1"/>
  <c r="O428" i="1" s="1" a="1"/>
  <c r="O428" i="1" s="1"/>
  <c r="C429" i="1"/>
  <c r="O429" i="1" s="1" a="1"/>
  <c r="O429" i="1" s="1"/>
  <c r="C430" i="1"/>
  <c r="O430" i="1" s="1" a="1"/>
  <c r="O430" i="1" s="1"/>
  <c r="C431" i="1"/>
  <c r="O431" i="1" s="1" a="1"/>
  <c r="O431" i="1" s="1"/>
  <c r="C432" i="1"/>
  <c r="O432" i="1" s="1" a="1"/>
  <c r="O432" i="1" s="1"/>
  <c r="C433" i="1"/>
  <c r="O433" i="1" s="1" a="1"/>
  <c r="O433" i="1" s="1"/>
  <c r="C434" i="1"/>
  <c r="O434" i="1" s="1" a="1"/>
  <c r="O434" i="1" s="1"/>
  <c r="C435" i="1"/>
  <c r="O435" i="1" s="1" a="1"/>
  <c r="O435" i="1" s="1"/>
  <c r="C436" i="1"/>
  <c r="O436" i="1" s="1" a="1"/>
  <c r="O436" i="1" s="1"/>
  <c r="C437" i="1"/>
  <c r="O437" i="1" s="1" a="1"/>
  <c r="O437" i="1" s="1"/>
  <c r="C438" i="1"/>
  <c r="O438" i="1" s="1" a="1"/>
  <c r="O438" i="1" s="1"/>
  <c r="C439" i="1"/>
  <c r="O439" i="1" s="1" a="1"/>
  <c r="O439" i="1" s="1"/>
  <c r="C440" i="1"/>
  <c r="O440" i="1" s="1" a="1"/>
  <c r="O440" i="1" s="1"/>
  <c r="C441" i="1"/>
  <c r="O441" i="1" s="1" a="1"/>
  <c r="O441" i="1" s="1"/>
  <c r="C442" i="1"/>
  <c r="O442" i="1" s="1" a="1"/>
  <c r="O442" i="1" s="1"/>
  <c r="C443" i="1"/>
  <c r="O443" i="1" s="1" a="1"/>
  <c r="O443" i="1" s="1"/>
  <c r="C444" i="1"/>
  <c r="O444" i="1" s="1" a="1"/>
  <c r="O444" i="1" s="1"/>
  <c r="C445" i="1"/>
  <c r="O445" i="1" s="1" a="1"/>
  <c r="O445" i="1" s="1"/>
  <c r="C446" i="1"/>
  <c r="O446" i="1" s="1" a="1"/>
  <c r="O446" i="1" s="1"/>
  <c r="C447" i="1"/>
  <c r="O447" i="1" s="1" a="1"/>
  <c r="O447" i="1" s="1"/>
  <c r="C448" i="1"/>
  <c r="O448" i="1" s="1" a="1"/>
  <c r="O448" i="1" s="1"/>
  <c r="C449" i="1"/>
  <c r="O449" i="1" s="1" a="1"/>
  <c r="O449" i="1" s="1"/>
  <c r="C450" i="1"/>
  <c r="O450" i="1" s="1" a="1"/>
  <c r="O450" i="1" s="1"/>
  <c r="C451" i="1"/>
  <c r="O451" i="1" s="1" a="1"/>
  <c r="O451" i="1" s="1"/>
  <c r="C452" i="1"/>
  <c r="O452" i="1" s="1" a="1"/>
  <c r="O452" i="1" s="1"/>
  <c r="C453" i="1"/>
  <c r="O453" i="1" s="1" a="1"/>
  <c r="O453" i="1" s="1"/>
  <c r="C454" i="1"/>
  <c r="O454" i="1" s="1" a="1"/>
  <c r="O454" i="1" s="1"/>
  <c r="C455" i="1"/>
  <c r="O455" i="1" s="1" a="1"/>
  <c r="O455" i="1" s="1"/>
  <c r="C456" i="1"/>
  <c r="O456" i="1" s="1" a="1"/>
  <c r="O456" i="1" s="1"/>
  <c r="C457" i="1"/>
  <c r="O457" i="1" s="1" a="1"/>
  <c r="O457" i="1" s="1"/>
  <c r="C458" i="1"/>
  <c r="O458" i="1" s="1" a="1"/>
  <c r="O458" i="1" s="1"/>
  <c r="C459" i="1"/>
  <c r="O459" i="1" s="1" a="1"/>
  <c r="O459" i="1" s="1"/>
  <c r="C460" i="1"/>
  <c r="O460" i="1" s="1" a="1"/>
  <c r="O460" i="1" s="1"/>
  <c r="C461" i="1"/>
  <c r="O461" i="1" s="1" a="1"/>
  <c r="O461" i="1" s="1"/>
  <c r="C462" i="1"/>
  <c r="O462" i="1" s="1" a="1"/>
  <c r="O462" i="1" s="1"/>
  <c r="C463" i="1"/>
  <c r="O463" i="1" s="1" a="1"/>
  <c r="O463" i="1" s="1"/>
  <c r="C464" i="1"/>
  <c r="O464" i="1" s="1" a="1"/>
  <c r="O464" i="1" s="1"/>
  <c r="C465" i="1"/>
  <c r="O465" i="1" s="1" a="1"/>
  <c r="O465" i="1" s="1"/>
  <c r="C466" i="1"/>
  <c r="O466" i="1" s="1" a="1"/>
  <c r="O466" i="1" s="1"/>
  <c r="C467" i="1"/>
  <c r="O467" i="1" s="1" a="1"/>
  <c r="O467" i="1" s="1"/>
  <c r="C468" i="1"/>
  <c r="O468" i="1" s="1" a="1"/>
  <c r="O468" i="1" s="1"/>
  <c r="C469" i="1"/>
  <c r="O469" i="1" s="1" a="1"/>
  <c r="O469" i="1" s="1"/>
  <c r="C470" i="1"/>
  <c r="O470" i="1" s="1" a="1"/>
  <c r="O470" i="1" s="1"/>
  <c r="C471" i="1"/>
  <c r="O471" i="1" s="1" a="1"/>
  <c r="O471" i="1" s="1"/>
  <c r="C472" i="1"/>
  <c r="O472" i="1" s="1" a="1"/>
  <c r="O472" i="1" s="1"/>
  <c r="C473" i="1"/>
  <c r="O473" i="1" s="1" a="1"/>
  <c r="O473" i="1" s="1"/>
  <c r="C474" i="1"/>
  <c r="O474" i="1" s="1" a="1"/>
  <c r="O474" i="1" s="1"/>
  <c r="C475" i="1"/>
  <c r="O475" i="1" s="1" a="1"/>
  <c r="O475" i="1" s="1"/>
  <c r="C476" i="1"/>
  <c r="O476" i="1" s="1" a="1"/>
  <c r="O476" i="1" s="1"/>
  <c r="C477" i="1"/>
  <c r="O477" i="1" s="1" a="1"/>
  <c r="O477" i="1" s="1"/>
  <c r="C478" i="1"/>
  <c r="O478" i="1" s="1" a="1"/>
  <c r="O478" i="1" s="1"/>
  <c r="C479" i="1"/>
  <c r="O479" i="1" s="1" a="1"/>
  <c r="O479" i="1" s="1"/>
  <c r="C480" i="1"/>
  <c r="O480" i="1" s="1" a="1"/>
  <c r="O480" i="1" s="1"/>
  <c r="C481" i="1"/>
  <c r="O481" i="1" s="1" a="1"/>
  <c r="O481" i="1" s="1"/>
  <c r="C482" i="1"/>
  <c r="O482" i="1" s="1" a="1"/>
  <c r="O482" i="1" s="1"/>
  <c r="C483" i="1"/>
  <c r="O483" i="1" s="1" a="1"/>
  <c r="O483" i="1" s="1"/>
  <c r="C484" i="1"/>
  <c r="O484" i="1" s="1" a="1"/>
  <c r="O484" i="1" s="1"/>
  <c r="C485" i="1"/>
  <c r="O485" i="1" s="1" a="1"/>
  <c r="O485" i="1" s="1"/>
  <c r="C486" i="1"/>
  <c r="O486" i="1" s="1" a="1"/>
  <c r="O486" i="1" s="1"/>
  <c r="C487" i="1"/>
  <c r="O487" i="1" s="1" a="1"/>
  <c r="O487" i="1" s="1"/>
  <c r="C488" i="1"/>
  <c r="O488" i="1" s="1" a="1"/>
  <c r="O488" i="1" s="1"/>
  <c r="C489" i="1"/>
  <c r="O489" i="1" s="1" a="1"/>
  <c r="O489" i="1" s="1"/>
  <c r="C490" i="1"/>
  <c r="O490" i="1" s="1" a="1"/>
  <c r="O490" i="1" s="1"/>
  <c r="C491" i="1"/>
  <c r="O491" i="1" s="1" a="1"/>
  <c r="O491" i="1" s="1"/>
  <c r="C492" i="1"/>
  <c r="O492" i="1" s="1" a="1"/>
  <c r="O492" i="1" s="1"/>
  <c r="C493" i="1"/>
  <c r="O493" i="1" s="1" a="1"/>
  <c r="O493" i="1" s="1"/>
  <c r="C494" i="1"/>
  <c r="O494" i="1" s="1" a="1"/>
  <c r="O494" i="1" s="1"/>
  <c r="C495" i="1"/>
  <c r="O495" i="1" s="1" a="1"/>
  <c r="O495" i="1" s="1"/>
  <c r="C496" i="1"/>
  <c r="O496" i="1" s="1" a="1"/>
  <c r="O496" i="1" s="1"/>
  <c r="C497" i="1"/>
  <c r="O497" i="1" s="1" a="1"/>
  <c r="O497" i="1" s="1"/>
  <c r="C498" i="1"/>
  <c r="O498" i="1" s="1" a="1"/>
  <c r="O498" i="1" s="1"/>
  <c r="C499" i="1"/>
  <c r="O499" i="1" s="1" a="1"/>
  <c r="O499" i="1" s="1"/>
  <c r="C500" i="1"/>
  <c r="O500" i="1" s="1" a="1"/>
  <c r="O500" i="1" s="1"/>
  <c r="C501" i="1"/>
  <c r="O501" i="1" s="1" a="1"/>
  <c r="O501" i="1" s="1"/>
  <c r="C502" i="1"/>
  <c r="O502" i="1" s="1" a="1"/>
  <c r="O502" i="1" s="1"/>
  <c r="C503" i="1"/>
  <c r="O503" i="1" s="1" a="1"/>
  <c r="O503" i="1" s="1"/>
  <c r="C504" i="1"/>
  <c r="O504" i="1" s="1" a="1"/>
  <c r="O504" i="1" s="1"/>
  <c r="C505" i="1"/>
  <c r="O505" i="1" s="1" a="1"/>
  <c r="O505" i="1" s="1"/>
  <c r="C506" i="1"/>
  <c r="O506" i="1" s="1" a="1"/>
  <c r="O506" i="1" s="1"/>
  <c r="C507" i="1"/>
  <c r="O507" i="1" s="1" a="1"/>
  <c r="O507" i="1" s="1"/>
  <c r="C508" i="1"/>
  <c r="O508" i="1" s="1" a="1"/>
  <c r="O508" i="1" s="1"/>
  <c r="C509" i="1"/>
  <c r="O509" i="1" s="1" a="1"/>
  <c r="O509" i="1" s="1"/>
  <c r="C510" i="1"/>
  <c r="O510" i="1" s="1" a="1"/>
  <c r="O510" i="1" s="1"/>
  <c r="C511" i="1"/>
  <c r="O511" i="1" s="1" a="1"/>
  <c r="O511" i="1" s="1"/>
  <c r="C512" i="1"/>
  <c r="O512" i="1" s="1" a="1"/>
  <c r="O512" i="1" s="1"/>
  <c r="C513" i="1"/>
  <c r="O513" i="1" s="1" a="1"/>
  <c r="O513" i="1" s="1"/>
  <c r="C514" i="1"/>
  <c r="O514" i="1" s="1" a="1"/>
  <c r="O514" i="1" s="1"/>
  <c r="C515" i="1"/>
  <c r="O515" i="1" s="1" a="1"/>
  <c r="O515" i="1" s="1"/>
  <c r="C516" i="1"/>
  <c r="O516" i="1" s="1" a="1"/>
  <c r="O516" i="1" s="1"/>
  <c r="C517" i="1"/>
  <c r="O517" i="1" s="1" a="1"/>
  <c r="O517" i="1" s="1"/>
  <c r="C518" i="1"/>
  <c r="O518" i="1" s="1" a="1"/>
  <c r="O518" i="1" s="1"/>
  <c r="C519" i="1"/>
  <c r="O519" i="1" s="1" a="1"/>
  <c r="O519" i="1" s="1"/>
  <c r="C520" i="1"/>
  <c r="O520" i="1" s="1" a="1"/>
  <c r="O520" i="1" s="1"/>
  <c r="C521" i="1"/>
  <c r="O521" i="1" s="1" a="1"/>
  <c r="O521" i="1" s="1"/>
  <c r="C522" i="1"/>
  <c r="O522" i="1" s="1" a="1"/>
  <c r="O522" i="1" s="1"/>
  <c r="C523" i="1"/>
  <c r="O523" i="1" s="1" a="1"/>
  <c r="O523" i="1" s="1"/>
  <c r="C524" i="1"/>
  <c r="O524" i="1" s="1" a="1"/>
  <c r="O524" i="1" s="1"/>
  <c r="C525" i="1"/>
  <c r="O525" i="1" s="1" a="1"/>
  <c r="O525" i="1" s="1"/>
  <c r="C526" i="1"/>
  <c r="O526" i="1" s="1" a="1"/>
  <c r="O526" i="1" s="1"/>
  <c r="C527" i="1"/>
  <c r="O527" i="1" s="1" a="1"/>
  <c r="O527" i="1" s="1"/>
  <c r="C528" i="1"/>
  <c r="O528" i="1" s="1" a="1"/>
  <c r="O528" i="1" s="1"/>
  <c r="C529" i="1"/>
  <c r="O529" i="1" s="1" a="1"/>
  <c r="O529" i="1" s="1"/>
  <c r="C530" i="1"/>
  <c r="O530" i="1" s="1" a="1"/>
  <c r="O530" i="1" s="1"/>
  <c r="C531" i="1"/>
  <c r="O531" i="1" s="1" a="1"/>
  <c r="O531" i="1" s="1"/>
  <c r="C532" i="1"/>
  <c r="O532" i="1" s="1" a="1"/>
  <c r="O532" i="1" s="1"/>
  <c r="C533" i="1"/>
  <c r="O533" i="1" s="1" a="1"/>
  <c r="O533" i="1" s="1"/>
  <c r="C534" i="1"/>
  <c r="O534" i="1" s="1" a="1"/>
  <c r="O534" i="1" s="1"/>
  <c r="C535" i="1"/>
  <c r="O535" i="1" s="1" a="1"/>
  <c r="O535" i="1" s="1"/>
  <c r="C536" i="1"/>
  <c r="O536" i="1" s="1" a="1"/>
  <c r="O536" i="1" s="1"/>
  <c r="C537" i="1"/>
  <c r="O537" i="1" s="1" a="1"/>
  <c r="O537" i="1" s="1"/>
  <c r="C538" i="1"/>
  <c r="O538" i="1" s="1" a="1"/>
  <c r="O538" i="1" s="1"/>
  <c r="C539" i="1"/>
  <c r="O539" i="1" s="1" a="1"/>
  <c r="O539" i="1" s="1"/>
  <c r="C540" i="1"/>
  <c r="O540" i="1" s="1" a="1"/>
  <c r="O540" i="1" s="1"/>
  <c r="C541" i="1"/>
  <c r="O541" i="1" s="1" a="1"/>
  <c r="O541" i="1" s="1"/>
  <c r="C542" i="1"/>
  <c r="O542" i="1" s="1" a="1"/>
  <c r="O542" i="1" s="1"/>
  <c r="C543" i="1"/>
  <c r="O543" i="1" s="1" a="1"/>
  <c r="O543" i="1" s="1"/>
  <c r="C544" i="1"/>
  <c r="O544" i="1" s="1" a="1"/>
  <c r="O544" i="1" s="1"/>
  <c r="C545" i="1"/>
  <c r="O545" i="1" s="1" a="1"/>
  <c r="O545" i="1" s="1"/>
  <c r="C546" i="1"/>
  <c r="O546" i="1" s="1" a="1"/>
  <c r="O546" i="1" s="1"/>
  <c r="C547" i="1"/>
  <c r="O547" i="1" s="1" a="1"/>
  <c r="O547" i="1" s="1"/>
  <c r="C548" i="1"/>
  <c r="O548" i="1" s="1" a="1"/>
  <c r="O548" i="1" s="1"/>
  <c r="C549" i="1"/>
  <c r="O549" i="1" s="1" a="1"/>
  <c r="O549" i="1" s="1"/>
  <c r="C550" i="1"/>
  <c r="O550" i="1" s="1" a="1"/>
  <c r="O550" i="1" s="1"/>
  <c r="C551" i="1"/>
  <c r="O551" i="1" s="1" a="1"/>
  <c r="O551" i="1" s="1"/>
  <c r="C552" i="1"/>
  <c r="O552" i="1" s="1" a="1"/>
  <c r="O552" i="1" s="1"/>
  <c r="C553" i="1"/>
  <c r="O553" i="1" s="1" a="1"/>
  <c r="O553" i="1" s="1"/>
  <c r="C554" i="1"/>
  <c r="O554" i="1" s="1" a="1"/>
  <c r="O554" i="1" s="1"/>
  <c r="C555" i="1"/>
  <c r="O555" i="1" s="1" a="1"/>
  <c r="O555" i="1" s="1"/>
  <c r="C556" i="1"/>
  <c r="O556" i="1" s="1" a="1"/>
  <c r="O556" i="1" s="1"/>
  <c r="C557" i="1"/>
  <c r="O557" i="1" s="1" a="1"/>
  <c r="O557" i="1" s="1"/>
  <c r="C558" i="1"/>
  <c r="O558" i="1" s="1" a="1"/>
  <c r="O558" i="1" s="1"/>
  <c r="C559" i="1"/>
  <c r="O559" i="1" s="1" a="1"/>
  <c r="O559" i="1" s="1"/>
  <c r="C560" i="1"/>
  <c r="O560" i="1" s="1" a="1"/>
  <c r="O560" i="1" s="1"/>
  <c r="C561" i="1"/>
  <c r="O561" i="1" s="1" a="1"/>
  <c r="O561" i="1" s="1"/>
  <c r="C562" i="1"/>
  <c r="O562" i="1" s="1" a="1"/>
  <c r="O562" i="1" s="1"/>
  <c r="C563" i="1"/>
  <c r="O563" i="1" s="1" a="1"/>
  <c r="O563" i="1" s="1"/>
  <c r="C564" i="1"/>
  <c r="O564" i="1" s="1" a="1"/>
  <c r="O564" i="1" s="1"/>
  <c r="C565" i="1"/>
  <c r="O565" i="1" s="1" a="1"/>
  <c r="O565" i="1" s="1"/>
  <c r="C566" i="1"/>
  <c r="O566" i="1" s="1" a="1"/>
  <c r="O566" i="1" s="1"/>
  <c r="C567" i="1"/>
  <c r="O567" i="1" s="1" a="1"/>
  <c r="O567" i="1" s="1"/>
  <c r="C568" i="1"/>
  <c r="O568" i="1" s="1" a="1"/>
  <c r="O568" i="1" s="1"/>
  <c r="C569" i="1"/>
  <c r="O569" i="1" s="1" a="1"/>
  <c r="O569" i="1" s="1"/>
  <c r="C570" i="1"/>
  <c r="O570" i="1" s="1" a="1"/>
  <c r="O570" i="1" s="1"/>
  <c r="C571" i="1"/>
  <c r="O571" i="1" s="1" a="1"/>
  <c r="O571" i="1" s="1"/>
  <c r="C572" i="1"/>
  <c r="O572" i="1" s="1" a="1"/>
  <c r="O572" i="1" s="1"/>
  <c r="C573" i="1"/>
  <c r="O573" i="1" s="1" a="1"/>
  <c r="O573" i="1" s="1"/>
  <c r="C574" i="1"/>
  <c r="O574" i="1" s="1" a="1"/>
  <c r="O574" i="1" s="1"/>
  <c r="C575" i="1"/>
  <c r="O575" i="1" s="1" a="1"/>
  <c r="O575" i="1" s="1"/>
  <c r="C576" i="1"/>
  <c r="O576" i="1" s="1" a="1"/>
  <c r="O576" i="1" s="1"/>
  <c r="C577" i="1"/>
  <c r="O577" i="1" s="1" a="1"/>
  <c r="O577" i="1" s="1"/>
  <c r="C578" i="1"/>
  <c r="O578" i="1" s="1" a="1"/>
  <c r="O578" i="1" s="1"/>
  <c r="C579" i="1"/>
  <c r="O579" i="1" s="1" a="1"/>
  <c r="O579" i="1" s="1"/>
  <c r="C580" i="1"/>
  <c r="O580" i="1" s="1" a="1"/>
  <c r="O580" i="1" s="1"/>
  <c r="C581" i="1"/>
  <c r="O581" i="1" s="1" a="1"/>
  <c r="O581" i="1" s="1"/>
  <c r="C582" i="1"/>
  <c r="O582" i="1" s="1" a="1"/>
  <c r="O582" i="1" s="1"/>
  <c r="C583" i="1"/>
  <c r="O583" i="1" s="1" a="1"/>
  <c r="O583" i="1" s="1"/>
  <c r="C584" i="1"/>
  <c r="O584" i="1" s="1" a="1"/>
  <c r="O584" i="1" s="1"/>
  <c r="C585" i="1"/>
  <c r="O585" i="1" s="1" a="1"/>
  <c r="O585" i="1" s="1"/>
  <c r="C586" i="1"/>
  <c r="O586" i="1" s="1" a="1"/>
  <c r="O586" i="1" s="1"/>
  <c r="C587" i="1"/>
  <c r="O587" i="1" s="1" a="1"/>
  <c r="O587" i="1" s="1"/>
  <c r="C588" i="1"/>
  <c r="O588" i="1" s="1" a="1"/>
  <c r="O588" i="1" s="1"/>
  <c r="C589" i="1"/>
  <c r="O589" i="1" s="1" a="1"/>
  <c r="O589" i="1" s="1"/>
  <c r="C590" i="1"/>
  <c r="O590" i="1" s="1" a="1"/>
  <c r="O590" i="1" s="1"/>
  <c r="C591" i="1"/>
  <c r="O591" i="1" s="1" a="1"/>
  <c r="O591" i="1" s="1"/>
  <c r="C592" i="1"/>
  <c r="O592" i="1" s="1" a="1"/>
  <c r="O592" i="1" s="1"/>
  <c r="C593" i="1"/>
  <c r="O593" i="1" s="1" a="1"/>
  <c r="O593" i="1" s="1"/>
  <c r="C594" i="1"/>
  <c r="O594" i="1" s="1" a="1"/>
  <c r="O594" i="1" s="1"/>
  <c r="C595" i="1"/>
  <c r="O595" i="1" s="1" a="1"/>
  <c r="O595" i="1" s="1"/>
  <c r="C596" i="1"/>
  <c r="O596" i="1" s="1" a="1"/>
  <c r="O596" i="1" s="1"/>
  <c r="C597" i="1"/>
  <c r="O597" i="1" s="1" a="1"/>
  <c r="O597" i="1" s="1"/>
  <c r="C598" i="1"/>
  <c r="O598" i="1" s="1" a="1"/>
  <c r="O598" i="1" s="1"/>
  <c r="C599" i="1"/>
  <c r="O599" i="1" s="1" a="1"/>
  <c r="O599" i="1" s="1"/>
  <c r="C600" i="1"/>
  <c r="O600" i="1" s="1" a="1"/>
  <c r="O600" i="1" s="1"/>
  <c r="C601" i="1"/>
  <c r="O601" i="1" s="1" a="1"/>
  <c r="O601" i="1" s="1"/>
  <c r="C602" i="1"/>
  <c r="O602" i="1" s="1" a="1"/>
  <c r="O602" i="1" s="1"/>
  <c r="C603" i="1"/>
  <c r="O603" i="1" s="1" a="1"/>
  <c r="O603" i="1" s="1"/>
  <c r="C604" i="1"/>
  <c r="O604" i="1" s="1" a="1"/>
  <c r="O604" i="1" s="1"/>
  <c r="C605" i="1"/>
  <c r="O605" i="1" s="1" a="1"/>
  <c r="O605" i="1" s="1"/>
  <c r="C606" i="1"/>
  <c r="O606" i="1" s="1" a="1"/>
  <c r="O606" i="1" s="1"/>
  <c r="C607" i="1"/>
  <c r="O607" i="1" s="1" a="1"/>
  <c r="O607" i="1" s="1"/>
  <c r="C608" i="1"/>
  <c r="O608" i="1" s="1" a="1"/>
  <c r="O608" i="1" s="1"/>
  <c r="C609" i="1"/>
  <c r="O609" i="1" s="1" a="1"/>
  <c r="O609" i="1" s="1"/>
  <c r="C610" i="1"/>
  <c r="O610" i="1" s="1" a="1"/>
  <c r="O610" i="1" s="1"/>
  <c r="C611" i="1"/>
  <c r="O611" i="1" s="1" a="1"/>
  <c r="O611" i="1" s="1"/>
  <c r="C612" i="1"/>
  <c r="O612" i="1" s="1" a="1"/>
  <c r="O612" i="1" s="1"/>
  <c r="C613" i="1"/>
  <c r="O613" i="1" s="1" a="1"/>
  <c r="O613" i="1" s="1"/>
  <c r="C614" i="1"/>
  <c r="O614" i="1" s="1" a="1"/>
  <c r="O614" i="1" s="1"/>
  <c r="C615" i="1"/>
  <c r="O615" i="1" s="1" a="1"/>
  <c r="O615" i="1" s="1"/>
  <c r="C616" i="1"/>
  <c r="O616" i="1" s="1" a="1"/>
  <c r="O616" i="1" s="1"/>
  <c r="C617" i="1"/>
  <c r="O617" i="1" s="1" a="1"/>
  <c r="O617" i="1" s="1"/>
  <c r="C618" i="1"/>
  <c r="O618" i="1" s="1" a="1"/>
  <c r="O618" i="1" s="1"/>
  <c r="C619" i="1"/>
  <c r="O619" i="1" s="1" a="1"/>
  <c r="O619" i="1" s="1"/>
  <c r="C620" i="1"/>
  <c r="O620" i="1" s="1" a="1"/>
  <c r="O620" i="1" s="1"/>
  <c r="C621" i="1"/>
  <c r="O621" i="1" s="1" a="1"/>
  <c r="O621" i="1" s="1"/>
  <c r="C622" i="1"/>
  <c r="O622" i="1" s="1" a="1"/>
  <c r="O622" i="1" s="1"/>
  <c r="C623" i="1"/>
  <c r="O623" i="1" s="1" a="1"/>
  <c r="O623" i="1" s="1"/>
  <c r="C624" i="1"/>
  <c r="O624" i="1" s="1" a="1"/>
  <c r="O624" i="1" s="1"/>
  <c r="C625" i="1"/>
  <c r="O625" i="1" s="1" a="1"/>
  <c r="O625" i="1" s="1"/>
  <c r="C626" i="1"/>
  <c r="O626" i="1" s="1" a="1"/>
  <c r="O626" i="1" s="1"/>
  <c r="C627" i="1"/>
  <c r="O627" i="1" s="1" a="1"/>
  <c r="O627" i="1" s="1"/>
  <c r="C628" i="1"/>
  <c r="O628" i="1" s="1" a="1"/>
  <c r="O628" i="1" s="1"/>
  <c r="C629" i="1"/>
  <c r="O629" i="1" s="1" a="1"/>
  <c r="O629" i="1" s="1"/>
  <c r="C630" i="1"/>
  <c r="O630" i="1" s="1" a="1"/>
  <c r="O630" i="1" s="1"/>
  <c r="C631" i="1"/>
  <c r="O631" i="1" s="1" a="1"/>
  <c r="O631" i="1" s="1"/>
  <c r="C632" i="1"/>
  <c r="O632" i="1" s="1" a="1"/>
  <c r="O632" i="1" s="1"/>
  <c r="C633" i="1"/>
  <c r="O633" i="1" s="1" a="1"/>
  <c r="O633" i="1" s="1"/>
  <c r="C634" i="1"/>
  <c r="O634" i="1" s="1" a="1"/>
  <c r="O634" i="1" s="1"/>
  <c r="C635" i="1"/>
  <c r="O635" i="1" s="1" a="1"/>
  <c r="O635" i="1" s="1"/>
  <c r="C636" i="1"/>
  <c r="O636" i="1" s="1" a="1"/>
  <c r="O636" i="1" s="1"/>
  <c r="C637" i="1"/>
  <c r="O637" i="1" s="1" a="1"/>
  <c r="O637" i="1" s="1"/>
  <c r="C638" i="1"/>
  <c r="O638" i="1" s="1" a="1"/>
  <c r="O638" i="1" s="1"/>
  <c r="C639" i="1"/>
  <c r="O639" i="1" s="1" a="1"/>
  <c r="O639" i="1" s="1"/>
  <c r="C640" i="1"/>
  <c r="O640" i="1" s="1" a="1"/>
  <c r="O640" i="1" s="1"/>
  <c r="C641" i="1"/>
  <c r="O641" i="1" s="1" a="1"/>
  <c r="O641" i="1" s="1"/>
  <c r="C642" i="1"/>
  <c r="O642" i="1" s="1" a="1"/>
  <c r="O642" i="1" s="1"/>
  <c r="C643" i="1"/>
  <c r="O643" i="1" s="1" a="1"/>
  <c r="O643" i="1" s="1"/>
  <c r="C644" i="1"/>
  <c r="O644" i="1" s="1" a="1"/>
  <c r="O644" i="1" s="1"/>
  <c r="C645" i="1"/>
  <c r="O645" i="1" s="1" a="1"/>
  <c r="O645" i="1" s="1"/>
  <c r="C646" i="1"/>
  <c r="O646" i="1" s="1" a="1"/>
  <c r="O646" i="1" s="1"/>
  <c r="C647" i="1"/>
  <c r="O647" i="1" s="1" a="1"/>
  <c r="O647" i="1" s="1"/>
  <c r="C648" i="1"/>
  <c r="O648" i="1" s="1" a="1"/>
  <c r="O648" i="1" s="1"/>
  <c r="C649" i="1"/>
  <c r="O649" i="1" s="1" a="1"/>
  <c r="O649" i="1" s="1"/>
  <c r="C650" i="1"/>
  <c r="O650" i="1" s="1" a="1"/>
  <c r="O650" i="1" s="1"/>
  <c r="C651" i="1"/>
  <c r="O651" i="1" s="1" a="1"/>
  <c r="O651" i="1" s="1"/>
  <c r="C652" i="1"/>
  <c r="O652" i="1" s="1" a="1"/>
  <c r="O652" i="1" s="1"/>
  <c r="C653" i="1"/>
  <c r="O653" i="1" s="1" a="1"/>
  <c r="O653" i="1" s="1"/>
  <c r="C654" i="1"/>
  <c r="O654" i="1" s="1" a="1"/>
  <c r="O654" i="1" s="1"/>
  <c r="C655" i="1"/>
  <c r="O655" i="1" s="1" a="1"/>
  <c r="O655" i="1" s="1"/>
  <c r="C656" i="1"/>
  <c r="O656" i="1" s="1" a="1"/>
  <c r="O656" i="1" s="1"/>
  <c r="C657" i="1"/>
  <c r="O657" i="1" s="1" a="1"/>
  <c r="O657" i="1" s="1"/>
  <c r="C658" i="1"/>
  <c r="O658" i="1" s="1" a="1"/>
  <c r="O658" i="1" s="1"/>
  <c r="C659" i="1"/>
  <c r="O659" i="1" s="1" a="1"/>
  <c r="O659" i="1" s="1"/>
  <c r="C660" i="1"/>
  <c r="O660" i="1" s="1" a="1"/>
  <c r="O660" i="1" s="1"/>
  <c r="C661" i="1"/>
  <c r="O661" i="1" s="1" a="1"/>
  <c r="O661" i="1" s="1"/>
  <c r="C662" i="1"/>
  <c r="O662" i="1" s="1" a="1"/>
  <c r="O662" i="1" s="1"/>
  <c r="C663" i="1"/>
  <c r="O663" i="1" s="1" a="1"/>
  <c r="O663" i="1" s="1"/>
  <c r="C664" i="1"/>
  <c r="O664" i="1" s="1" a="1"/>
  <c r="O664" i="1" s="1"/>
  <c r="C665" i="1"/>
  <c r="O665" i="1" s="1" a="1"/>
  <c r="O665" i="1" s="1"/>
  <c r="C666" i="1"/>
  <c r="O666" i="1" s="1" a="1"/>
  <c r="O666" i="1" s="1"/>
  <c r="C667" i="1"/>
  <c r="O667" i="1" s="1" a="1"/>
  <c r="O667" i="1" s="1"/>
  <c r="C668" i="1"/>
  <c r="O668" i="1" s="1" a="1"/>
  <c r="O668" i="1" s="1"/>
  <c r="C669" i="1"/>
  <c r="O669" i="1" s="1" a="1"/>
  <c r="O669" i="1" s="1"/>
  <c r="C670" i="1"/>
  <c r="O670" i="1" s="1" a="1"/>
  <c r="O670" i="1" s="1"/>
  <c r="C671" i="1"/>
  <c r="O671" i="1" s="1" a="1"/>
  <c r="O671" i="1" s="1"/>
  <c r="C672" i="1"/>
  <c r="O672" i="1" s="1" a="1"/>
  <c r="O672" i="1" s="1"/>
  <c r="C673" i="1"/>
  <c r="O673" i="1" s="1" a="1"/>
  <c r="O673" i="1" s="1"/>
  <c r="C674" i="1"/>
  <c r="O674" i="1" s="1" a="1"/>
  <c r="O674" i="1" s="1"/>
  <c r="C675" i="1"/>
  <c r="O675" i="1" s="1" a="1"/>
  <c r="O675" i="1" s="1"/>
  <c r="C676" i="1"/>
  <c r="O676" i="1" s="1" a="1"/>
  <c r="O676" i="1" s="1"/>
  <c r="C677" i="1"/>
  <c r="O677" i="1" s="1" a="1"/>
  <c r="O677" i="1" s="1"/>
  <c r="C678" i="1"/>
  <c r="O678" i="1" s="1" a="1"/>
  <c r="O678" i="1" s="1"/>
  <c r="C679" i="1"/>
  <c r="O679" i="1" s="1" a="1"/>
  <c r="O679" i="1" s="1"/>
  <c r="C680" i="1"/>
  <c r="O680" i="1" s="1" a="1"/>
  <c r="O680" i="1" s="1"/>
  <c r="C681" i="1"/>
  <c r="O681" i="1" s="1" a="1"/>
  <c r="O681" i="1" s="1"/>
  <c r="C682" i="1"/>
  <c r="O682" i="1" s="1" a="1"/>
  <c r="O682" i="1" s="1"/>
  <c r="C683" i="1"/>
  <c r="O683" i="1" s="1" a="1"/>
  <c r="O683" i="1" s="1"/>
  <c r="C684" i="1"/>
  <c r="O684" i="1" s="1" a="1"/>
  <c r="O684" i="1" s="1"/>
  <c r="C685" i="1"/>
  <c r="O685" i="1" s="1" a="1"/>
  <c r="O685" i="1" s="1"/>
  <c r="C686" i="1"/>
  <c r="O686" i="1" s="1" a="1"/>
  <c r="O686" i="1" s="1"/>
  <c r="C687" i="1"/>
  <c r="O687" i="1" s="1" a="1"/>
  <c r="O687" i="1" s="1"/>
  <c r="C688" i="1"/>
  <c r="O688" i="1" s="1" a="1"/>
  <c r="O688" i="1" s="1"/>
  <c r="C689" i="1"/>
  <c r="O689" i="1" s="1" a="1"/>
  <c r="O689" i="1" s="1"/>
  <c r="C690" i="1"/>
  <c r="O690" i="1" s="1" a="1"/>
  <c r="O690" i="1" s="1"/>
  <c r="C691" i="1"/>
  <c r="O691" i="1" s="1" a="1"/>
  <c r="O691" i="1" s="1"/>
  <c r="C692" i="1"/>
  <c r="O692" i="1" s="1" a="1"/>
  <c r="O692" i="1" s="1"/>
  <c r="C693" i="1"/>
  <c r="O693" i="1" s="1" a="1"/>
  <c r="O693" i="1" s="1"/>
  <c r="C694" i="1"/>
  <c r="O694" i="1" s="1" a="1"/>
  <c r="O694" i="1" s="1"/>
  <c r="C695" i="1"/>
  <c r="O695" i="1" s="1" a="1"/>
  <c r="O695" i="1" s="1"/>
  <c r="C696" i="1"/>
  <c r="O696" i="1" s="1" a="1"/>
  <c r="O696" i="1" s="1"/>
  <c r="C697" i="1"/>
  <c r="O697" i="1" s="1" a="1"/>
  <c r="O697" i="1" s="1"/>
  <c r="C698" i="1"/>
  <c r="O698" i="1" s="1" a="1"/>
  <c r="O698" i="1" s="1"/>
  <c r="C699" i="1"/>
  <c r="O699" i="1" s="1" a="1"/>
  <c r="O699" i="1" s="1"/>
  <c r="C700" i="1"/>
  <c r="O700" i="1" s="1" a="1"/>
  <c r="O700" i="1" s="1"/>
  <c r="C701" i="1"/>
  <c r="O701" i="1" s="1" a="1"/>
  <c r="O701" i="1" s="1"/>
  <c r="C702" i="1"/>
  <c r="O702" i="1" s="1" a="1"/>
  <c r="O702" i="1" s="1"/>
  <c r="C703" i="1"/>
  <c r="O703" i="1" s="1" a="1"/>
  <c r="O703" i="1" s="1"/>
  <c r="C704" i="1"/>
  <c r="O704" i="1" s="1" a="1"/>
  <c r="O704" i="1" s="1"/>
  <c r="C705" i="1"/>
  <c r="O705" i="1" s="1" a="1"/>
  <c r="O705" i="1" s="1"/>
  <c r="C706" i="1"/>
  <c r="O706" i="1" s="1" a="1"/>
  <c r="O706" i="1" s="1"/>
  <c r="C707" i="1"/>
  <c r="O707" i="1" s="1" a="1"/>
  <c r="O707" i="1" s="1"/>
  <c r="C708" i="1"/>
  <c r="O708" i="1" s="1" a="1"/>
  <c r="O708" i="1" s="1"/>
  <c r="C709" i="1"/>
  <c r="O709" i="1" s="1" a="1"/>
  <c r="O709" i="1" s="1"/>
  <c r="C710" i="1"/>
  <c r="O710" i="1" s="1" a="1"/>
  <c r="O710" i="1" s="1"/>
  <c r="C711" i="1"/>
  <c r="O711" i="1" s="1" a="1"/>
  <c r="O711" i="1" s="1"/>
  <c r="C712" i="1"/>
  <c r="O712" i="1" s="1" a="1"/>
  <c r="O712" i="1" s="1"/>
  <c r="C713" i="1"/>
  <c r="O713" i="1" s="1" a="1"/>
  <c r="O713" i="1" s="1"/>
  <c r="C714" i="1"/>
  <c r="O714" i="1" s="1" a="1"/>
  <c r="O714" i="1" s="1"/>
  <c r="C715" i="1"/>
  <c r="O715" i="1" s="1" a="1"/>
  <c r="O715" i="1" s="1"/>
  <c r="C716" i="1"/>
  <c r="O716" i="1" s="1" a="1"/>
  <c r="O716" i="1" s="1"/>
  <c r="C717" i="1"/>
  <c r="O717" i="1" s="1" a="1"/>
  <c r="O717" i="1" s="1"/>
  <c r="C718" i="1"/>
  <c r="O718" i="1" s="1" a="1"/>
  <c r="O718" i="1" s="1"/>
  <c r="C719" i="1"/>
  <c r="O719" i="1" s="1" a="1"/>
  <c r="O719" i="1" s="1"/>
  <c r="C720" i="1"/>
  <c r="O720" i="1" s="1" a="1"/>
  <c r="O720" i="1" s="1"/>
  <c r="C721" i="1"/>
  <c r="O721" i="1" s="1" a="1"/>
  <c r="O721" i="1" s="1"/>
  <c r="C722" i="1"/>
  <c r="O722" i="1" s="1" a="1"/>
  <c r="O722" i="1" s="1"/>
  <c r="C723" i="1"/>
  <c r="O723" i="1" s="1" a="1"/>
  <c r="O723" i="1" s="1"/>
  <c r="C724" i="1"/>
  <c r="O724" i="1" s="1" a="1"/>
  <c r="O724" i="1" s="1"/>
  <c r="C725" i="1"/>
  <c r="O725" i="1" s="1" a="1"/>
  <c r="O725" i="1" s="1"/>
  <c r="C726" i="1"/>
  <c r="O726" i="1" s="1" a="1"/>
  <c r="O726" i="1" s="1"/>
  <c r="C727" i="1"/>
  <c r="O727" i="1" s="1" a="1"/>
  <c r="O727" i="1" s="1"/>
  <c r="C728" i="1"/>
  <c r="O728" i="1" s="1" a="1"/>
  <c r="O728" i="1" s="1"/>
  <c r="C729" i="1"/>
  <c r="O729" i="1" s="1" a="1"/>
  <c r="O729" i="1" s="1"/>
  <c r="C730" i="1"/>
  <c r="O730" i="1" s="1" a="1"/>
  <c r="O730" i="1" s="1"/>
  <c r="C731" i="1"/>
  <c r="O731" i="1" s="1" a="1"/>
  <c r="O731" i="1" s="1"/>
  <c r="C732" i="1"/>
  <c r="O732" i="1" s="1" a="1"/>
  <c r="O732" i="1" s="1"/>
  <c r="C733" i="1"/>
  <c r="O733" i="1" s="1" a="1"/>
  <c r="O733" i="1" s="1"/>
  <c r="C734" i="1"/>
  <c r="O734" i="1" s="1" a="1"/>
  <c r="O734" i="1" s="1"/>
  <c r="C735" i="1"/>
  <c r="O735" i="1" s="1" a="1"/>
  <c r="O735" i="1" s="1"/>
  <c r="C736" i="1"/>
  <c r="O736" i="1" s="1" a="1"/>
  <c r="O736" i="1" s="1"/>
  <c r="C737" i="1"/>
  <c r="O737" i="1" s="1" a="1"/>
  <c r="O737" i="1" s="1"/>
  <c r="C738" i="1"/>
  <c r="O738" i="1" s="1" a="1"/>
  <c r="O738" i="1" s="1"/>
  <c r="C739" i="1"/>
  <c r="O739" i="1" s="1" a="1"/>
  <c r="O739" i="1" s="1"/>
  <c r="C740" i="1"/>
  <c r="O740" i="1" s="1" a="1"/>
  <c r="O740" i="1" s="1"/>
  <c r="C741" i="1"/>
  <c r="O741" i="1" s="1" a="1"/>
  <c r="O741" i="1" s="1"/>
  <c r="C742" i="1"/>
  <c r="O742" i="1" s="1" a="1"/>
  <c r="O742" i="1" s="1"/>
  <c r="C743" i="1"/>
  <c r="O743" i="1" s="1" a="1"/>
  <c r="O743" i="1" s="1"/>
  <c r="C744" i="1"/>
  <c r="O744" i="1" s="1" a="1"/>
  <c r="O744" i="1" s="1"/>
  <c r="C745" i="1"/>
  <c r="O745" i="1" s="1" a="1"/>
  <c r="O745" i="1" s="1"/>
  <c r="C746" i="1"/>
  <c r="O746" i="1" s="1" a="1"/>
  <c r="O746" i="1" s="1"/>
  <c r="C747" i="1"/>
  <c r="O747" i="1" s="1" a="1"/>
  <c r="O747" i="1" s="1"/>
  <c r="C748" i="1"/>
  <c r="O748" i="1" s="1" a="1"/>
  <c r="O748" i="1" s="1"/>
  <c r="C749" i="1"/>
  <c r="O749" i="1" s="1" a="1"/>
  <c r="O749" i="1" s="1"/>
  <c r="C750" i="1"/>
  <c r="O750" i="1" s="1" a="1"/>
  <c r="O750" i="1" s="1"/>
  <c r="C751" i="1"/>
  <c r="O751" i="1" s="1" a="1"/>
  <c r="O751" i="1" s="1"/>
  <c r="C752" i="1"/>
  <c r="O752" i="1" s="1" a="1"/>
  <c r="O752" i="1" s="1"/>
  <c r="C753" i="1"/>
  <c r="O753" i="1" s="1" a="1"/>
  <c r="O753" i="1" s="1"/>
  <c r="C754" i="1"/>
  <c r="O754" i="1" s="1" a="1"/>
  <c r="O754" i="1" s="1"/>
  <c r="C755" i="1"/>
  <c r="O755" i="1" s="1" a="1"/>
  <c r="O755" i="1" s="1"/>
  <c r="C756" i="1"/>
  <c r="O756" i="1" s="1" a="1"/>
  <c r="O756" i="1" s="1"/>
  <c r="C757" i="1"/>
  <c r="O757" i="1" s="1" a="1"/>
  <c r="O757" i="1" s="1"/>
  <c r="C758" i="1"/>
  <c r="O758" i="1" s="1" a="1"/>
  <c r="O758" i="1" s="1"/>
  <c r="C759" i="1"/>
  <c r="O759" i="1" s="1" a="1"/>
  <c r="O759" i="1" s="1"/>
  <c r="C760" i="1"/>
  <c r="O760" i="1" s="1" a="1"/>
  <c r="O760" i="1" s="1"/>
  <c r="C761" i="1"/>
  <c r="O761" i="1" s="1" a="1"/>
  <c r="O761" i="1" s="1"/>
  <c r="C762" i="1"/>
  <c r="O762" i="1" s="1" a="1"/>
  <c r="O762" i="1" s="1"/>
  <c r="C763" i="1"/>
  <c r="O763" i="1" s="1" a="1"/>
  <c r="O763" i="1" s="1"/>
  <c r="C764" i="1"/>
  <c r="O764" i="1" s="1" a="1"/>
  <c r="O764" i="1" s="1"/>
  <c r="C765" i="1"/>
  <c r="O765" i="1" s="1" a="1"/>
  <c r="O765" i="1" s="1"/>
  <c r="C766" i="1"/>
  <c r="O766" i="1" s="1" a="1"/>
  <c r="O766" i="1" s="1"/>
  <c r="C767" i="1"/>
  <c r="O767" i="1" s="1" a="1"/>
  <c r="O767" i="1" s="1"/>
  <c r="C768" i="1"/>
  <c r="O768" i="1" s="1" a="1"/>
  <c r="O768" i="1" s="1"/>
  <c r="C769" i="1"/>
  <c r="O769" i="1" s="1" a="1"/>
  <c r="O769" i="1" s="1"/>
  <c r="C770" i="1"/>
  <c r="O770" i="1" s="1" a="1"/>
  <c r="O770" i="1" s="1"/>
  <c r="C771" i="1"/>
  <c r="O771" i="1" s="1" a="1"/>
  <c r="O771" i="1" s="1"/>
  <c r="C772" i="1"/>
  <c r="O772" i="1" s="1" a="1"/>
  <c r="O772" i="1" s="1"/>
  <c r="C773" i="1"/>
  <c r="O773" i="1" s="1" a="1"/>
  <c r="O773" i="1" s="1"/>
  <c r="C774" i="1"/>
  <c r="O774" i="1" s="1" a="1"/>
  <c r="O774" i="1" s="1"/>
  <c r="C775" i="1"/>
  <c r="O775" i="1" s="1" a="1"/>
  <c r="O775" i="1" s="1"/>
  <c r="C776" i="1"/>
  <c r="O776" i="1" s="1" a="1"/>
  <c r="O776" i="1" s="1"/>
  <c r="C777" i="1"/>
  <c r="O777" i="1" s="1" a="1"/>
  <c r="O777" i="1" s="1"/>
  <c r="C778" i="1"/>
  <c r="O778" i="1" s="1" a="1"/>
  <c r="O778" i="1" s="1"/>
  <c r="C779" i="1"/>
  <c r="O779" i="1" s="1" a="1"/>
  <c r="O779" i="1" s="1"/>
  <c r="C780" i="1"/>
  <c r="O780" i="1" s="1" a="1"/>
  <c r="O780" i="1" s="1"/>
  <c r="C781" i="1"/>
  <c r="O781" i="1" s="1" a="1"/>
  <c r="O781" i="1" s="1"/>
  <c r="C782" i="1"/>
  <c r="O782" i="1" s="1" a="1"/>
  <c r="O782" i="1" s="1"/>
  <c r="C783" i="1"/>
  <c r="O783" i="1" s="1" a="1"/>
  <c r="O783" i="1" s="1"/>
  <c r="C784" i="1"/>
  <c r="O784" i="1" s="1" a="1"/>
  <c r="O784" i="1" s="1"/>
  <c r="C785" i="1"/>
  <c r="O785" i="1" s="1" a="1"/>
  <c r="O785" i="1" s="1"/>
  <c r="C786" i="1"/>
  <c r="O786" i="1" s="1" a="1"/>
  <c r="O786" i="1" s="1"/>
  <c r="C787" i="1"/>
  <c r="O787" i="1" s="1" a="1"/>
  <c r="O787" i="1" s="1"/>
  <c r="C788" i="1"/>
  <c r="O788" i="1" s="1" a="1"/>
  <c r="O788" i="1" s="1"/>
  <c r="C789" i="1"/>
  <c r="O789" i="1" s="1" a="1"/>
  <c r="O789" i="1" s="1"/>
  <c r="C790" i="1"/>
  <c r="O790" i="1" s="1" a="1"/>
  <c r="O790" i="1" s="1"/>
  <c r="C791" i="1"/>
  <c r="O791" i="1" s="1" a="1"/>
  <c r="O791" i="1" s="1"/>
  <c r="C792" i="1"/>
  <c r="O792" i="1" s="1" a="1"/>
  <c r="O792" i="1" s="1"/>
  <c r="C793" i="1"/>
  <c r="O793" i="1" s="1" a="1"/>
  <c r="O793" i="1" s="1"/>
  <c r="C794" i="1"/>
  <c r="O794" i="1" s="1" a="1"/>
  <c r="O794" i="1" s="1"/>
  <c r="C795" i="1"/>
  <c r="O795" i="1" s="1" a="1"/>
  <c r="O795" i="1" s="1"/>
  <c r="C796" i="1"/>
  <c r="O796" i="1" s="1" a="1"/>
  <c r="O796" i="1" s="1"/>
  <c r="C797" i="1"/>
  <c r="O797" i="1" s="1" a="1"/>
  <c r="O797" i="1" s="1"/>
  <c r="C798" i="1"/>
  <c r="O798" i="1" s="1" a="1"/>
  <c r="O798" i="1" s="1"/>
  <c r="C799" i="1"/>
  <c r="O799" i="1" s="1" a="1"/>
  <c r="O799" i="1" s="1"/>
  <c r="C800" i="1"/>
  <c r="O800" i="1" s="1" a="1"/>
  <c r="O800" i="1" s="1"/>
  <c r="C801" i="1"/>
  <c r="O801" i="1" s="1" a="1"/>
  <c r="O801" i="1" s="1"/>
  <c r="C802" i="1"/>
  <c r="O802" i="1" s="1" a="1"/>
  <c r="O802" i="1" s="1"/>
  <c r="C803" i="1"/>
  <c r="O803" i="1" s="1" a="1"/>
  <c r="O803" i="1" s="1"/>
  <c r="C804" i="1"/>
  <c r="O804" i="1" s="1" a="1"/>
  <c r="O804" i="1" s="1"/>
  <c r="C805" i="1"/>
  <c r="O805" i="1" s="1" a="1"/>
  <c r="O805" i="1" s="1"/>
  <c r="C806" i="1"/>
  <c r="O806" i="1" s="1" a="1"/>
  <c r="O806" i="1" s="1"/>
  <c r="C807" i="1"/>
  <c r="O807" i="1" s="1" a="1"/>
  <c r="O807" i="1" s="1"/>
  <c r="C808" i="1"/>
  <c r="O808" i="1" s="1" a="1"/>
  <c r="O808" i="1" s="1"/>
  <c r="C809" i="1"/>
  <c r="O809" i="1" s="1" a="1"/>
  <c r="O809" i="1" s="1"/>
  <c r="C810" i="1"/>
  <c r="O810" i="1" s="1" a="1"/>
  <c r="O810" i="1" s="1"/>
  <c r="C811" i="1"/>
  <c r="O811" i="1" s="1" a="1"/>
  <c r="O811" i="1" s="1"/>
  <c r="C812" i="1"/>
  <c r="O812" i="1" s="1" a="1"/>
  <c r="O812" i="1" s="1"/>
  <c r="C813" i="1"/>
  <c r="O813" i="1" s="1" a="1"/>
  <c r="O813" i="1" s="1"/>
  <c r="C814" i="1"/>
  <c r="O814" i="1" s="1" a="1"/>
  <c r="O814" i="1" s="1"/>
  <c r="C815" i="1"/>
  <c r="O815" i="1" s="1" a="1"/>
  <c r="O815" i="1" s="1"/>
  <c r="C816" i="1"/>
  <c r="O816" i="1" s="1" a="1"/>
  <c r="O816" i="1" s="1"/>
  <c r="C817" i="1"/>
  <c r="O817" i="1" s="1" a="1"/>
  <c r="O817" i="1" s="1"/>
  <c r="C818" i="1"/>
  <c r="O818" i="1" s="1" a="1"/>
  <c r="O818" i="1" s="1"/>
  <c r="C819" i="1"/>
  <c r="O819" i="1" s="1" a="1"/>
  <c r="O819" i="1" s="1"/>
  <c r="C820" i="1"/>
  <c r="O820" i="1" s="1" a="1"/>
  <c r="O820" i="1" s="1"/>
  <c r="C821" i="1"/>
  <c r="O821" i="1" s="1" a="1"/>
  <c r="O821" i="1" s="1"/>
  <c r="C822" i="1"/>
  <c r="O822" i="1" s="1" a="1"/>
  <c r="O822" i="1" s="1"/>
  <c r="C823" i="1"/>
  <c r="O823" i="1" s="1" a="1"/>
  <c r="O823" i="1" s="1"/>
  <c r="C824" i="1"/>
  <c r="O824" i="1" s="1" a="1"/>
  <c r="O824" i="1" s="1"/>
  <c r="C825" i="1"/>
  <c r="O825" i="1" s="1" a="1"/>
  <c r="O825" i="1" s="1"/>
  <c r="C826" i="1"/>
  <c r="O826" i="1" s="1" a="1"/>
  <c r="O826" i="1" s="1"/>
  <c r="C827" i="1"/>
  <c r="O827" i="1" s="1" a="1"/>
  <c r="O827" i="1" s="1"/>
  <c r="C828" i="1"/>
  <c r="O828" i="1" s="1" a="1"/>
  <c r="O828" i="1" s="1"/>
  <c r="C829" i="1"/>
  <c r="O829" i="1" s="1" a="1"/>
  <c r="O829" i="1" s="1"/>
  <c r="C830" i="1"/>
  <c r="O830" i="1" s="1" a="1"/>
  <c r="O830" i="1" s="1"/>
  <c r="C831" i="1"/>
  <c r="O831" i="1" s="1" a="1"/>
  <c r="O831" i="1" s="1"/>
  <c r="C832" i="1"/>
  <c r="O832" i="1" s="1" a="1"/>
  <c r="O832" i="1" s="1"/>
  <c r="C833" i="1"/>
  <c r="O833" i="1" s="1" a="1"/>
  <c r="O833" i="1" s="1"/>
  <c r="C834" i="1"/>
  <c r="O834" i="1" s="1" a="1"/>
  <c r="O834" i="1" s="1"/>
  <c r="C835" i="1"/>
  <c r="O835" i="1" s="1" a="1"/>
  <c r="O835" i="1" s="1"/>
  <c r="C836" i="1"/>
  <c r="O836" i="1" s="1" a="1"/>
  <c r="O836" i="1" s="1"/>
  <c r="C837" i="1"/>
  <c r="O837" i="1" s="1" a="1"/>
  <c r="O837" i="1" s="1"/>
  <c r="C838" i="1"/>
  <c r="O838" i="1" s="1" a="1"/>
  <c r="O838" i="1" s="1"/>
  <c r="C839" i="1"/>
  <c r="O839" i="1" s="1" a="1"/>
  <c r="O839" i="1" s="1"/>
  <c r="C840" i="1"/>
  <c r="O840" i="1" s="1" a="1"/>
  <c r="O840" i="1" s="1"/>
  <c r="C841" i="1"/>
  <c r="O841" i="1" s="1" a="1"/>
  <c r="O841" i="1" s="1"/>
  <c r="C842" i="1"/>
  <c r="O842" i="1" s="1" a="1"/>
  <c r="O842" i="1" s="1"/>
  <c r="C843" i="1"/>
  <c r="O843" i="1" s="1" a="1"/>
  <c r="O843" i="1" s="1"/>
  <c r="C844" i="1"/>
  <c r="O844" i="1" s="1" a="1"/>
  <c r="O844" i="1" s="1"/>
  <c r="C845" i="1"/>
  <c r="O845" i="1" s="1" a="1"/>
  <c r="O845" i="1" s="1"/>
  <c r="C846" i="1"/>
  <c r="O846" i="1" s="1" a="1"/>
  <c r="O846" i="1" s="1"/>
  <c r="C847" i="1"/>
  <c r="O847" i="1" s="1" a="1"/>
  <c r="O847" i="1" s="1"/>
  <c r="C848" i="1"/>
  <c r="O848" i="1" s="1" a="1"/>
  <c r="O848" i="1" s="1"/>
  <c r="C849" i="1"/>
  <c r="O849" i="1" s="1" a="1"/>
  <c r="O849" i="1" s="1"/>
  <c r="C850" i="1"/>
  <c r="O850" i="1" s="1" a="1"/>
  <c r="O850" i="1" s="1"/>
  <c r="C851" i="1"/>
  <c r="O851" i="1" s="1" a="1"/>
  <c r="O851" i="1" s="1"/>
  <c r="C852" i="1"/>
  <c r="O852" i="1" s="1" a="1"/>
  <c r="O852" i="1" s="1"/>
  <c r="C853" i="1"/>
  <c r="O853" i="1" s="1" a="1"/>
  <c r="O853" i="1" s="1"/>
  <c r="C854" i="1"/>
  <c r="O854" i="1" s="1" a="1"/>
  <c r="O854" i="1" s="1"/>
  <c r="C855" i="1"/>
  <c r="O855" i="1" s="1" a="1"/>
  <c r="O855" i="1" s="1"/>
  <c r="C856" i="1"/>
  <c r="O856" i="1" s="1" a="1"/>
  <c r="O856" i="1" s="1"/>
  <c r="C857" i="1"/>
  <c r="O857" i="1" s="1" a="1"/>
  <c r="O857" i="1" s="1"/>
  <c r="C858" i="1"/>
  <c r="O858" i="1" s="1" a="1"/>
  <c r="O858" i="1" s="1"/>
  <c r="C859" i="1"/>
  <c r="O859" i="1" s="1" a="1"/>
  <c r="O859" i="1" s="1"/>
  <c r="C860" i="1"/>
  <c r="O860" i="1" s="1" a="1"/>
  <c r="O860" i="1" s="1"/>
  <c r="C861" i="1"/>
  <c r="O861" i="1" s="1" a="1"/>
  <c r="O861" i="1" s="1"/>
  <c r="C862" i="1"/>
  <c r="O862" i="1" s="1" a="1"/>
  <c r="O862" i="1" s="1"/>
  <c r="C863" i="1"/>
  <c r="O863" i="1" s="1" a="1"/>
  <c r="O863" i="1" s="1"/>
  <c r="C864" i="1"/>
  <c r="O864" i="1" s="1" a="1"/>
  <c r="O864" i="1" s="1"/>
  <c r="C865" i="1"/>
  <c r="O865" i="1" s="1" a="1"/>
  <c r="O865" i="1" s="1"/>
  <c r="C866" i="1"/>
  <c r="O866" i="1" s="1" a="1"/>
  <c r="O866" i="1" s="1"/>
  <c r="C867" i="1"/>
  <c r="O867" i="1" s="1" a="1"/>
  <c r="O867" i="1" s="1"/>
  <c r="C868" i="1"/>
  <c r="O868" i="1" s="1" a="1"/>
  <c r="O868" i="1" s="1"/>
  <c r="C869" i="1"/>
  <c r="O869" i="1" s="1" a="1"/>
  <c r="O869" i="1" s="1"/>
  <c r="C870" i="1"/>
  <c r="O870" i="1" s="1" a="1"/>
  <c r="O870" i="1" s="1"/>
  <c r="C871" i="1"/>
  <c r="O871" i="1" s="1" a="1"/>
  <c r="O871" i="1" s="1"/>
  <c r="C872" i="1"/>
  <c r="O872" i="1" s="1" a="1"/>
  <c r="O872" i="1" s="1"/>
  <c r="C873" i="1"/>
  <c r="O873" i="1" s="1" a="1"/>
  <c r="O873" i="1" s="1"/>
  <c r="C874" i="1"/>
  <c r="O874" i="1" s="1" a="1"/>
  <c r="O874" i="1" s="1"/>
  <c r="C875" i="1"/>
  <c r="O875" i="1" s="1" a="1"/>
  <c r="O875" i="1" s="1"/>
  <c r="C876" i="1"/>
  <c r="O876" i="1" s="1" a="1"/>
  <c r="O876" i="1" s="1"/>
  <c r="C877" i="1"/>
  <c r="O877" i="1" s="1" a="1"/>
  <c r="O877" i="1" s="1"/>
  <c r="C878" i="1"/>
  <c r="O878" i="1" s="1" a="1"/>
  <c r="O878" i="1" s="1"/>
  <c r="C879" i="1"/>
  <c r="O879" i="1" s="1" a="1"/>
  <c r="O879" i="1" s="1"/>
  <c r="C880" i="1"/>
  <c r="O880" i="1" s="1" a="1"/>
  <c r="O880" i="1" s="1"/>
  <c r="C881" i="1"/>
  <c r="O881" i="1" s="1" a="1"/>
  <c r="O881" i="1" s="1"/>
  <c r="C882" i="1"/>
  <c r="O882" i="1" s="1" a="1"/>
  <c r="O882" i="1" s="1"/>
  <c r="C883" i="1"/>
  <c r="O883" i="1" s="1" a="1"/>
  <c r="O883" i="1" s="1"/>
  <c r="C884" i="1"/>
  <c r="O884" i="1" s="1" a="1"/>
  <c r="O884" i="1" s="1"/>
  <c r="C885" i="1"/>
  <c r="O885" i="1" s="1" a="1"/>
  <c r="O885" i="1" s="1"/>
  <c r="C886" i="1"/>
  <c r="O886" i="1" s="1" a="1"/>
  <c r="O886" i="1" s="1"/>
  <c r="C887" i="1"/>
  <c r="O887" i="1" s="1" a="1"/>
  <c r="O887" i="1" s="1"/>
  <c r="C888" i="1"/>
  <c r="O888" i="1" s="1" a="1"/>
  <c r="O888" i="1" s="1"/>
  <c r="C889" i="1"/>
  <c r="O889" i="1" s="1" a="1"/>
  <c r="O889" i="1" s="1"/>
  <c r="C890" i="1"/>
  <c r="O890" i="1" s="1" a="1"/>
  <c r="O890" i="1" s="1"/>
  <c r="C891" i="1"/>
  <c r="O891" i="1" s="1" a="1"/>
  <c r="O891" i="1" s="1"/>
  <c r="C892" i="1"/>
  <c r="O892" i="1" s="1" a="1"/>
  <c r="O892" i="1" s="1"/>
  <c r="C893" i="1"/>
  <c r="O893" i="1" s="1" a="1"/>
  <c r="O893" i="1" s="1"/>
  <c r="C894" i="1"/>
  <c r="O894" i="1" s="1" a="1"/>
  <c r="O894" i="1" s="1"/>
  <c r="C895" i="1"/>
  <c r="O895" i="1" s="1" a="1"/>
  <c r="O895" i="1" s="1"/>
  <c r="C896" i="1"/>
  <c r="O896" i="1" s="1" a="1"/>
  <c r="O896" i="1" s="1"/>
  <c r="C897" i="1"/>
  <c r="O897" i="1" s="1" a="1"/>
  <c r="O897" i="1" s="1"/>
  <c r="C898" i="1"/>
  <c r="O898" i="1" s="1" a="1"/>
  <c r="O898" i="1" s="1"/>
  <c r="C899" i="1"/>
  <c r="O899" i="1" s="1" a="1"/>
  <c r="O899" i="1" s="1"/>
  <c r="C900" i="1"/>
  <c r="O900" i="1" s="1" a="1"/>
  <c r="O900" i="1" s="1"/>
  <c r="C901" i="1"/>
  <c r="O901" i="1" s="1" a="1"/>
  <c r="O901" i="1" s="1"/>
  <c r="C902" i="1"/>
  <c r="O902" i="1" s="1" a="1"/>
  <c r="O902" i="1" s="1"/>
  <c r="C903" i="1"/>
  <c r="O903" i="1" s="1" a="1"/>
  <c r="O903" i="1" s="1"/>
  <c r="C904" i="1"/>
  <c r="O904" i="1" s="1" a="1"/>
  <c r="O904" i="1" s="1"/>
  <c r="C905" i="1"/>
  <c r="O905" i="1" s="1" a="1"/>
  <c r="O905" i="1" s="1"/>
  <c r="C906" i="1"/>
  <c r="O906" i="1" s="1" a="1"/>
  <c r="O906" i="1" s="1"/>
  <c r="C907" i="1"/>
  <c r="O907" i="1" s="1" a="1"/>
  <c r="O907" i="1" s="1"/>
  <c r="C908" i="1"/>
  <c r="O908" i="1" s="1" a="1"/>
  <c r="O908" i="1" s="1"/>
  <c r="C909" i="1"/>
  <c r="O909" i="1" s="1" a="1"/>
  <c r="O909" i="1" s="1"/>
  <c r="C910" i="1"/>
  <c r="O910" i="1" s="1" a="1"/>
  <c r="O910" i="1" s="1"/>
  <c r="C911" i="1"/>
  <c r="O911" i="1" s="1" a="1"/>
  <c r="O911" i="1" s="1"/>
  <c r="C912" i="1"/>
  <c r="O912" i="1" s="1" a="1"/>
  <c r="O912" i="1" s="1"/>
  <c r="C913" i="1"/>
  <c r="O913" i="1" s="1" a="1"/>
  <c r="O913" i="1" s="1"/>
  <c r="C914" i="1"/>
  <c r="O914" i="1" s="1" a="1"/>
  <c r="O914" i="1" s="1"/>
  <c r="C915" i="1"/>
  <c r="O915" i="1" s="1" a="1"/>
  <c r="O915" i="1" s="1"/>
  <c r="C916" i="1"/>
  <c r="O916" i="1" s="1" a="1"/>
  <c r="O916" i="1" s="1"/>
  <c r="C917" i="1"/>
  <c r="O917" i="1" s="1" a="1"/>
  <c r="O917" i="1" s="1"/>
  <c r="C918" i="1"/>
  <c r="O918" i="1" s="1" a="1"/>
  <c r="O918" i="1" s="1"/>
  <c r="C919" i="1"/>
  <c r="O919" i="1" s="1" a="1"/>
  <c r="O919" i="1" s="1"/>
  <c r="C920" i="1"/>
  <c r="O920" i="1" s="1" a="1"/>
  <c r="O920" i="1" s="1"/>
  <c r="C921" i="1"/>
  <c r="O921" i="1" s="1" a="1"/>
  <c r="O921" i="1" s="1"/>
  <c r="C922" i="1"/>
  <c r="O922" i="1" s="1" a="1"/>
  <c r="O922" i="1" s="1"/>
  <c r="C923" i="1"/>
  <c r="O923" i="1" s="1" a="1"/>
  <c r="O923" i="1" s="1"/>
  <c r="C924" i="1"/>
  <c r="O924" i="1" s="1" a="1"/>
  <c r="O924" i="1" s="1"/>
  <c r="C925" i="1"/>
  <c r="O925" i="1" s="1" a="1"/>
  <c r="O925" i="1" s="1"/>
  <c r="C926" i="1"/>
  <c r="O926" i="1" s="1" a="1"/>
  <c r="O926" i="1" s="1"/>
  <c r="C927" i="1"/>
  <c r="O927" i="1" s="1" a="1"/>
  <c r="O927" i="1" s="1"/>
  <c r="C928" i="1"/>
  <c r="O928" i="1" s="1" a="1"/>
  <c r="O928" i="1" s="1"/>
  <c r="C929" i="1"/>
  <c r="O929" i="1" s="1" a="1"/>
  <c r="O929" i="1" s="1"/>
  <c r="C930" i="1"/>
  <c r="O930" i="1" s="1" a="1"/>
  <c r="O930" i="1" s="1"/>
  <c r="C931" i="1"/>
  <c r="O931" i="1" s="1" a="1"/>
  <c r="O931" i="1" s="1"/>
  <c r="C932" i="1"/>
  <c r="O932" i="1" s="1" a="1"/>
  <c r="O932" i="1" s="1"/>
  <c r="C933" i="1"/>
  <c r="O933" i="1" s="1" a="1"/>
  <c r="O933" i="1" s="1"/>
  <c r="C934" i="1"/>
  <c r="O934" i="1" s="1" a="1"/>
  <c r="O934" i="1" s="1"/>
  <c r="C935" i="1"/>
  <c r="O935" i="1" s="1" a="1"/>
  <c r="O935" i="1" s="1"/>
  <c r="C936" i="1"/>
  <c r="O936" i="1" s="1" a="1"/>
  <c r="O936" i="1" s="1"/>
  <c r="C937" i="1"/>
  <c r="O937" i="1" s="1" a="1"/>
  <c r="O937" i="1" s="1"/>
  <c r="C938" i="1"/>
  <c r="O938" i="1" s="1" a="1"/>
  <c r="O938" i="1" s="1"/>
  <c r="C939" i="1"/>
  <c r="O939" i="1" s="1" a="1"/>
  <c r="O939" i="1" s="1"/>
  <c r="C940" i="1"/>
  <c r="O940" i="1" s="1" a="1"/>
  <c r="O940" i="1" s="1"/>
  <c r="C941" i="1"/>
  <c r="O941" i="1" s="1" a="1"/>
  <c r="O941" i="1" s="1"/>
  <c r="C942" i="1"/>
  <c r="O942" i="1" s="1" a="1"/>
  <c r="O942" i="1" s="1"/>
  <c r="C943" i="1"/>
  <c r="O943" i="1" s="1" a="1"/>
  <c r="O943" i="1" s="1"/>
  <c r="C944" i="1"/>
  <c r="O944" i="1" s="1" a="1"/>
  <c r="O944" i="1" s="1"/>
  <c r="C945" i="1"/>
  <c r="O945" i="1" s="1" a="1"/>
  <c r="O945" i="1" s="1"/>
  <c r="C946" i="1"/>
  <c r="O946" i="1" s="1" a="1"/>
  <c r="O946" i="1" s="1"/>
  <c r="C947" i="1"/>
  <c r="O947" i="1" s="1" a="1"/>
  <c r="O947" i="1" s="1"/>
  <c r="C948" i="1"/>
  <c r="O948" i="1" s="1" a="1"/>
  <c r="O948" i="1" s="1"/>
  <c r="C949" i="1"/>
  <c r="O949" i="1" s="1" a="1"/>
  <c r="O949" i="1" s="1"/>
  <c r="C950" i="1"/>
  <c r="O950" i="1" s="1" a="1"/>
  <c r="O950" i="1" s="1"/>
  <c r="C951" i="1"/>
  <c r="O951" i="1" s="1" a="1"/>
  <c r="O951" i="1" s="1"/>
  <c r="C952" i="1"/>
  <c r="O952" i="1" s="1" a="1"/>
  <c r="O952" i="1" s="1"/>
  <c r="C953" i="1"/>
  <c r="O953" i="1" s="1" a="1"/>
  <c r="O953" i="1" s="1"/>
  <c r="C954" i="1"/>
  <c r="O954" i="1" s="1" a="1"/>
  <c r="O954" i="1" s="1"/>
  <c r="C955" i="1"/>
  <c r="O955" i="1" s="1" a="1"/>
  <c r="O955" i="1" s="1"/>
  <c r="C956" i="1"/>
  <c r="O956" i="1" s="1" a="1"/>
  <c r="O956" i="1" s="1"/>
  <c r="C957" i="1"/>
  <c r="O957" i="1" s="1" a="1"/>
  <c r="O957" i="1" s="1"/>
  <c r="C958" i="1"/>
  <c r="O958" i="1" s="1" a="1"/>
  <c r="O958" i="1" s="1"/>
  <c r="C959" i="1"/>
  <c r="O959" i="1" s="1" a="1"/>
  <c r="O959" i="1" s="1"/>
  <c r="C960" i="1"/>
  <c r="O960" i="1" s="1" a="1"/>
  <c r="O960" i="1" s="1"/>
  <c r="C961" i="1"/>
  <c r="O961" i="1" s="1" a="1"/>
  <c r="O961" i="1" s="1"/>
  <c r="C962" i="1"/>
  <c r="O962" i="1" s="1" a="1"/>
  <c r="O962" i="1" s="1"/>
  <c r="C963" i="1"/>
  <c r="O963" i="1" s="1" a="1"/>
  <c r="O963" i="1" s="1"/>
  <c r="C964" i="1"/>
  <c r="O964" i="1" s="1" a="1"/>
  <c r="O964" i="1" s="1"/>
  <c r="C965" i="1"/>
  <c r="O965" i="1" s="1" a="1"/>
  <c r="O965" i="1" s="1"/>
  <c r="C966" i="1"/>
  <c r="O966" i="1" s="1" a="1"/>
  <c r="O966" i="1" s="1"/>
  <c r="C967" i="1"/>
  <c r="O967" i="1" s="1" a="1"/>
  <c r="O967" i="1" s="1"/>
  <c r="C968" i="1"/>
  <c r="O968" i="1" s="1" a="1"/>
  <c r="O968" i="1" s="1"/>
  <c r="C969" i="1"/>
  <c r="O969" i="1" s="1" a="1"/>
  <c r="O969" i="1" s="1"/>
  <c r="C970" i="1"/>
  <c r="O970" i="1" s="1" a="1"/>
  <c r="O970" i="1" s="1"/>
  <c r="C971" i="1"/>
  <c r="O971" i="1" s="1" a="1"/>
  <c r="O971" i="1" s="1"/>
  <c r="C972" i="1"/>
  <c r="O972" i="1" s="1" a="1"/>
  <c r="O972" i="1" s="1"/>
  <c r="C973" i="1"/>
  <c r="O973" i="1" s="1" a="1"/>
  <c r="O973" i="1" s="1"/>
  <c r="C974" i="1"/>
  <c r="O974" i="1" s="1" a="1"/>
  <c r="O974" i="1" s="1"/>
  <c r="C975" i="1"/>
  <c r="O975" i="1" s="1" a="1"/>
  <c r="O975" i="1" s="1"/>
  <c r="C976" i="1"/>
  <c r="O976" i="1" s="1" a="1"/>
  <c r="O976" i="1" s="1"/>
  <c r="C977" i="1"/>
  <c r="O977" i="1" s="1" a="1"/>
  <c r="O977" i="1" s="1"/>
  <c r="C978" i="1"/>
  <c r="O978" i="1" s="1" a="1"/>
  <c r="O978" i="1" s="1"/>
  <c r="C979" i="1"/>
  <c r="O979" i="1" s="1" a="1"/>
  <c r="O979" i="1" s="1"/>
  <c r="C980" i="1"/>
  <c r="O980" i="1" s="1" a="1"/>
  <c r="O980" i="1" s="1"/>
  <c r="C981" i="1"/>
  <c r="O981" i="1" s="1" a="1"/>
  <c r="O981" i="1" s="1"/>
  <c r="C982" i="1"/>
  <c r="O982" i="1" s="1" a="1"/>
  <c r="O982" i="1" s="1"/>
  <c r="C983" i="1"/>
  <c r="O983" i="1" s="1" a="1"/>
  <c r="O983" i="1" s="1"/>
  <c r="C984" i="1"/>
  <c r="O984" i="1" s="1" a="1"/>
  <c r="O984" i="1" s="1"/>
  <c r="C985" i="1"/>
  <c r="O985" i="1" s="1" a="1"/>
  <c r="O985" i="1" s="1"/>
  <c r="C986" i="1"/>
  <c r="O986" i="1" s="1" a="1"/>
  <c r="O986" i="1" s="1"/>
  <c r="C987" i="1"/>
  <c r="O987" i="1" s="1" a="1"/>
  <c r="O987" i="1" s="1"/>
  <c r="C988" i="1"/>
  <c r="O988" i="1" s="1" a="1"/>
  <c r="O988" i="1" s="1"/>
  <c r="C989" i="1"/>
  <c r="O989" i="1" s="1" a="1"/>
  <c r="O989" i="1" s="1"/>
  <c r="C990" i="1"/>
  <c r="O990" i="1" s="1" a="1"/>
  <c r="O990" i="1" s="1"/>
  <c r="C991" i="1"/>
  <c r="O991" i="1" s="1" a="1"/>
  <c r="O991" i="1" s="1"/>
  <c r="C992" i="1"/>
  <c r="O992" i="1" s="1" a="1"/>
  <c r="O992" i="1" s="1"/>
  <c r="C993" i="1"/>
  <c r="O993" i="1" s="1" a="1"/>
  <c r="O993" i="1" s="1"/>
  <c r="C994" i="1"/>
  <c r="O994" i="1" s="1" a="1"/>
  <c r="O994" i="1" s="1"/>
  <c r="C995" i="1"/>
  <c r="O995" i="1" s="1" a="1"/>
  <c r="O995" i="1" s="1"/>
  <c r="C996" i="1"/>
  <c r="O996" i="1" s="1" a="1"/>
  <c r="O996" i="1" s="1"/>
  <c r="C997" i="1"/>
  <c r="O997" i="1" s="1" a="1"/>
  <c r="O997" i="1" s="1"/>
  <c r="C998" i="1"/>
  <c r="O998" i="1" s="1" a="1"/>
  <c r="O998" i="1" s="1"/>
  <c r="C999" i="1"/>
  <c r="O999" i="1" s="1" a="1"/>
  <c r="O999" i="1" s="1"/>
  <c r="C1000" i="1"/>
  <c r="O1000" i="1" s="1" a="1"/>
  <c r="O1000" i="1" s="1"/>
  <c r="C1001" i="1"/>
  <c r="O1001" i="1" s="1" a="1"/>
  <c r="O1001" i="1" s="1"/>
  <c r="C1002" i="1"/>
  <c r="O1002" i="1" s="1" a="1"/>
  <c r="O1002" i="1" s="1"/>
  <c r="C1003" i="1"/>
  <c r="O1003" i="1" s="1" a="1"/>
  <c r="O1003" i="1" s="1"/>
  <c r="C1004" i="1"/>
  <c r="O1004" i="1" s="1" a="1"/>
  <c r="O1004" i="1" s="1"/>
  <c r="C1005" i="1"/>
  <c r="O1005" i="1" s="1" a="1"/>
  <c r="O1005" i="1" s="1"/>
  <c r="C1006" i="1"/>
  <c r="O1006" i="1" s="1" a="1"/>
  <c r="O1006" i="1" s="1"/>
  <c r="C1007" i="1"/>
  <c r="O1007" i="1" s="1" a="1"/>
  <c r="O1007" i="1" s="1"/>
  <c r="C1008" i="1"/>
  <c r="O1008" i="1" s="1" a="1"/>
  <c r="O1008" i="1" s="1"/>
  <c r="C1009" i="1"/>
  <c r="O1009" i="1" s="1" a="1"/>
  <c r="O1009" i="1" s="1"/>
  <c r="C1010" i="1"/>
  <c r="O1010" i="1" s="1" a="1"/>
  <c r="O1010" i="1" s="1"/>
  <c r="C1011" i="1"/>
  <c r="O1011" i="1" s="1" a="1"/>
  <c r="O1011" i="1" s="1"/>
  <c r="C1012" i="1"/>
  <c r="O1012" i="1" s="1" a="1"/>
  <c r="O1012" i="1" s="1"/>
  <c r="C1013" i="1"/>
  <c r="O1013" i="1" s="1" a="1"/>
  <c r="O1013" i="1" s="1"/>
  <c r="C1014" i="1"/>
  <c r="O1014" i="1" s="1" a="1"/>
  <c r="O1014" i="1" s="1"/>
  <c r="C1015" i="1"/>
  <c r="O1015" i="1" s="1" a="1"/>
  <c r="O1015" i="1" s="1"/>
  <c r="C1016" i="1"/>
  <c r="O1016" i="1" s="1" a="1"/>
  <c r="O1016" i="1" s="1"/>
  <c r="C1017" i="1"/>
  <c r="O1017" i="1" s="1" a="1"/>
  <c r="O1017" i="1" s="1"/>
  <c r="C1018" i="1"/>
  <c r="O1018" i="1" s="1" a="1"/>
  <c r="O1018" i="1" s="1"/>
  <c r="C1019" i="1"/>
  <c r="O1019" i="1" s="1" a="1"/>
  <c r="O1019" i="1" s="1"/>
  <c r="C1020" i="1"/>
  <c r="O1020" i="1" s="1" a="1"/>
  <c r="O1020" i="1" s="1"/>
  <c r="C1021" i="1"/>
  <c r="O1021" i="1" s="1" a="1"/>
  <c r="O1021" i="1" s="1"/>
  <c r="C1022" i="1"/>
  <c r="O1022" i="1" s="1" a="1"/>
  <c r="O1022" i="1" s="1"/>
  <c r="C1023" i="1"/>
  <c r="O1023" i="1" s="1" a="1"/>
  <c r="O1023" i="1" s="1"/>
  <c r="C1024" i="1"/>
  <c r="O1024" i="1" s="1" a="1"/>
  <c r="O1024" i="1" s="1"/>
  <c r="C1025" i="1"/>
  <c r="O1025" i="1" s="1" a="1"/>
  <c r="O1025" i="1" s="1"/>
  <c r="C1026" i="1"/>
  <c r="O1026" i="1" s="1" a="1"/>
  <c r="O1026" i="1" s="1"/>
  <c r="C1027" i="1"/>
  <c r="O1027" i="1" s="1" a="1"/>
  <c r="O1027" i="1" s="1"/>
  <c r="C1028" i="1"/>
  <c r="O1028" i="1" s="1" a="1"/>
  <c r="O1028" i="1" s="1"/>
  <c r="C1029" i="1"/>
  <c r="O1029" i="1" s="1" a="1"/>
  <c r="O1029" i="1" s="1"/>
  <c r="C1030" i="1"/>
  <c r="O1030" i="1" s="1" a="1"/>
  <c r="O1030" i="1" s="1"/>
  <c r="C1031" i="1"/>
  <c r="O1031" i="1" s="1" a="1"/>
  <c r="O1031" i="1" s="1"/>
  <c r="C1032" i="1"/>
  <c r="O1032" i="1" s="1" a="1"/>
  <c r="O1032" i="1" s="1"/>
  <c r="C1033" i="1"/>
  <c r="O1033" i="1" s="1" a="1"/>
  <c r="O1033" i="1" s="1"/>
  <c r="C1034" i="1"/>
  <c r="O1034" i="1" s="1" a="1"/>
  <c r="O1034" i="1" s="1"/>
  <c r="C1035" i="1"/>
  <c r="O1035" i="1" s="1" a="1"/>
  <c r="O1035" i="1" s="1"/>
  <c r="C1036" i="1"/>
  <c r="O1036" i="1" s="1" a="1"/>
  <c r="O1036" i="1" s="1"/>
  <c r="C1037" i="1"/>
  <c r="O1037" i="1" s="1" a="1"/>
  <c r="O1037" i="1" s="1"/>
  <c r="C1038" i="1"/>
  <c r="O1038" i="1" s="1" a="1"/>
  <c r="O1038" i="1" s="1"/>
  <c r="C1039" i="1"/>
  <c r="O1039" i="1" s="1" a="1"/>
  <c r="O1039" i="1" s="1"/>
  <c r="C1040" i="1"/>
  <c r="O1040" i="1" s="1" a="1"/>
  <c r="O1040" i="1" s="1"/>
  <c r="C1041" i="1"/>
  <c r="O1041" i="1" s="1" a="1"/>
  <c r="O1041" i="1" s="1"/>
  <c r="C1042" i="1"/>
  <c r="O1042" i="1" s="1" a="1"/>
  <c r="O1042" i="1" s="1"/>
  <c r="C1043" i="1"/>
  <c r="O1043" i="1" s="1" a="1"/>
  <c r="O1043" i="1" s="1"/>
  <c r="C1044" i="1"/>
  <c r="O1044" i="1" s="1" a="1"/>
  <c r="O1044" i="1" s="1"/>
  <c r="C1045" i="1"/>
  <c r="O1045" i="1" s="1" a="1"/>
  <c r="O1045" i="1" s="1"/>
  <c r="C1046" i="1"/>
  <c r="O1046" i="1" s="1" a="1"/>
  <c r="O1046" i="1" s="1"/>
  <c r="C1047" i="1"/>
  <c r="O1047" i="1" s="1" a="1"/>
  <c r="O1047" i="1" s="1"/>
  <c r="C1048" i="1"/>
  <c r="O1048" i="1" s="1" a="1"/>
  <c r="O1048" i="1" s="1"/>
  <c r="C1049" i="1"/>
  <c r="O1049" i="1" s="1" a="1"/>
  <c r="O1049" i="1" s="1"/>
  <c r="C1050" i="1"/>
  <c r="O1050" i="1" s="1" a="1"/>
  <c r="O1050" i="1" s="1"/>
  <c r="C1051" i="1"/>
  <c r="O1051" i="1" s="1" a="1"/>
  <c r="O1051" i="1" s="1"/>
  <c r="C1052" i="1"/>
  <c r="O1052" i="1" s="1" a="1"/>
  <c r="O1052" i="1" s="1"/>
  <c r="C1053" i="1"/>
  <c r="O1053" i="1" s="1" a="1"/>
  <c r="O1053" i="1" s="1"/>
  <c r="C1054" i="1"/>
  <c r="O1054" i="1" s="1" a="1"/>
  <c r="O1054" i="1" s="1"/>
  <c r="C1055" i="1"/>
  <c r="O1055" i="1" s="1" a="1"/>
  <c r="O1055" i="1" s="1"/>
  <c r="C1056" i="1"/>
  <c r="O1056" i="1" s="1" a="1"/>
  <c r="O1056" i="1" s="1"/>
  <c r="C1057" i="1"/>
  <c r="O1057" i="1" s="1" a="1"/>
  <c r="O1057" i="1" s="1"/>
  <c r="C1058" i="1"/>
  <c r="O1058" i="1" s="1" a="1"/>
  <c r="O1058" i="1" s="1"/>
  <c r="C1059" i="1"/>
  <c r="O1059" i="1" s="1" a="1"/>
  <c r="O1059" i="1" s="1"/>
  <c r="C1060" i="1"/>
  <c r="O1060" i="1" s="1" a="1"/>
  <c r="O1060" i="1" s="1"/>
  <c r="C1061" i="1"/>
  <c r="O1061" i="1" s="1" a="1"/>
  <c r="O1061" i="1" s="1"/>
  <c r="C1062" i="1"/>
  <c r="O1062" i="1" s="1" a="1"/>
  <c r="O1062" i="1" s="1"/>
  <c r="C1063" i="1"/>
  <c r="O1063" i="1" s="1" a="1"/>
  <c r="O1063" i="1" s="1"/>
  <c r="C1064" i="1"/>
  <c r="O1064" i="1" s="1" a="1"/>
  <c r="O1064" i="1" s="1"/>
  <c r="C1065" i="1"/>
  <c r="O1065" i="1" s="1" a="1"/>
  <c r="O1065" i="1" s="1"/>
  <c r="C1066" i="1"/>
  <c r="O1066" i="1" s="1" a="1"/>
  <c r="O1066" i="1" s="1"/>
  <c r="C1067" i="1"/>
  <c r="O1067" i="1" s="1" a="1"/>
  <c r="O1067" i="1" s="1"/>
  <c r="C1068" i="1"/>
  <c r="O1068" i="1" s="1" a="1"/>
  <c r="O1068" i="1" s="1"/>
  <c r="C1069" i="1"/>
  <c r="O1069" i="1" s="1" a="1"/>
  <c r="O1069" i="1" s="1"/>
  <c r="C1070" i="1"/>
  <c r="O1070" i="1" s="1" a="1"/>
  <c r="O1070" i="1" s="1"/>
  <c r="C1071" i="1"/>
  <c r="O1071" i="1" s="1" a="1"/>
  <c r="O1071" i="1" s="1"/>
  <c r="C1072" i="1"/>
  <c r="O1072" i="1" s="1" a="1"/>
  <c r="O1072" i="1" s="1"/>
  <c r="C1073" i="1"/>
  <c r="O1073" i="1" s="1" a="1"/>
  <c r="O1073" i="1" s="1"/>
  <c r="C1074" i="1"/>
  <c r="O1074" i="1" s="1" a="1"/>
  <c r="O1074" i="1" s="1"/>
  <c r="C1075" i="1"/>
  <c r="O1075" i="1" s="1" a="1"/>
  <c r="O1075" i="1" s="1"/>
  <c r="C1076" i="1"/>
  <c r="O1076" i="1" s="1" a="1"/>
  <c r="O1076" i="1" s="1"/>
  <c r="C1077" i="1"/>
  <c r="O1077" i="1" s="1" a="1"/>
  <c r="O1077" i="1" s="1"/>
  <c r="C1078" i="1"/>
  <c r="O1078" i="1" s="1" a="1"/>
  <c r="O1078" i="1" s="1"/>
  <c r="C1079" i="1"/>
  <c r="O1079" i="1" s="1" a="1"/>
  <c r="O1079" i="1" s="1"/>
  <c r="C1080" i="1"/>
  <c r="O1080" i="1" s="1" a="1"/>
  <c r="O1080" i="1" s="1"/>
  <c r="C1081" i="1"/>
  <c r="O1081" i="1" s="1" a="1"/>
  <c r="O1081" i="1" s="1"/>
  <c r="C1082" i="1"/>
  <c r="O1082" i="1" s="1" a="1"/>
  <c r="O1082" i="1" s="1"/>
  <c r="C1083" i="1"/>
  <c r="O1083" i="1" s="1" a="1"/>
  <c r="O1083" i="1" s="1"/>
  <c r="C1084" i="1"/>
  <c r="O1084" i="1" s="1" a="1"/>
  <c r="O1084" i="1" s="1"/>
  <c r="C1085" i="1"/>
  <c r="O1085" i="1" s="1" a="1"/>
  <c r="O1085" i="1" s="1"/>
  <c r="C1086" i="1"/>
  <c r="O1086" i="1" s="1" a="1"/>
  <c r="O1086" i="1" s="1"/>
  <c r="C1087" i="1"/>
  <c r="O1087" i="1" s="1" a="1"/>
  <c r="O1087" i="1" s="1"/>
  <c r="C1088" i="1"/>
  <c r="O1088" i="1" s="1" a="1"/>
  <c r="O1088" i="1" s="1"/>
  <c r="C1089" i="1"/>
  <c r="O1089" i="1" s="1" a="1"/>
  <c r="O1089" i="1" s="1"/>
  <c r="C1090" i="1"/>
  <c r="O1090" i="1" s="1" a="1"/>
  <c r="O1090" i="1" s="1"/>
  <c r="C1091" i="1"/>
  <c r="O1091" i="1" s="1" a="1"/>
  <c r="O1091" i="1" s="1"/>
  <c r="C1092" i="1"/>
  <c r="O1092" i="1" s="1" a="1"/>
  <c r="O1092" i="1" s="1"/>
  <c r="C1093" i="1"/>
  <c r="O1093" i="1" s="1" a="1"/>
  <c r="O1093" i="1" s="1"/>
  <c r="C1094" i="1"/>
  <c r="O1094" i="1" s="1" a="1"/>
  <c r="O1094" i="1" s="1"/>
  <c r="C1095" i="1"/>
  <c r="O1095" i="1" s="1" a="1"/>
  <c r="O1095" i="1" s="1"/>
  <c r="C1096" i="1"/>
  <c r="O1096" i="1" s="1" a="1"/>
  <c r="O1096" i="1" s="1"/>
  <c r="C1097" i="1"/>
  <c r="O1097" i="1" s="1" a="1"/>
  <c r="O1097" i="1" s="1"/>
  <c r="C1098" i="1"/>
  <c r="O1098" i="1" s="1" a="1"/>
  <c r="O1098" i="1" s="1"/>
  <c r="C1099" i="1"/>
  <c r="O1099" i="1" s="1" a="1"/>
  <c r="O1099" i="1" s="1"/>
  <c r="C1100" i="1"/>
  <c r="O1100" i="1" s="1" a="1"/>
  <c r="O1100" i="1" s="1"/>
  <c r="C1101" i="1"/>
  <c r="O1101" i="1" s="1" a="1"/>
  <c r="O1101" i="1" s="1"/>
  <c r="C1102" i="1"/>
  <c r="O1102" i="1" s="1" a="1"/>
  <c r="O1102" i="1" s="1"/>
  <c r="C1103" i="1"/>
  <c r="O1103" i="1" s="1" a="1"/>
  <c r="O1103" i="1" s="1"/>
  <c r="C1104" i="1"/>
  <c r="O1104" i="1" s="1" a="1"/>
  <c r="O1104" i="1" s="1"/>
  <c r="C1105" i="1"/>
  <c r="O1105" i="1" s="1" a="1"/>
  <c r="O1105" i="1" s="1"/>
  <c r="C1106" i="1"/>
  <c r="O1106" i="1" s="1" a="1"/>
  <c r="O1106" i="1" s="1"/>
  <c r="C1107" i="1"/>
  <c r="O1107" i="1" s="1" a="1"/>
  <c r="O1107" i="1" s="1"/>
  <c r="C1108" i="1"/>
  <c r="O1108" i="1" s="1" a="1"/>
  <c r="O1108" i="1" s="1"/>
  <c r="C1109" i="1"/>
  <c r="O1109" i="1" s="1" a="1"/>
  <c r="O1109" i="1" s="1"/>
  <c r="C1110" i="1"/>
  <c r="O1110" i="1" s="1" a="1"/>
  <c r="O1110" i="1" s="1"/>
  <c r="C1111" i="1"/>
  <c r="O1111" i="1" s="1" a="1"/>
  <c r="O1111" i="1" s="1"/>
  <c r="C1112" i="1"/>
  <c r="O1112" i="1" s="1" a="1"/>
  <c r="O1112" i="1" s="1"/>
  <c r="C1113" i="1"/>
  <c r="O1113" i="1" s="1" a="1"/>
  <c r="O1113" i="1" s="1"/>
  <c r="C1114" i="1"/>
  <c r="O1114" i="1" s="1" a="1"/>
  <c r="O1114" i="1" s="1"/>
  <c r="C1115" i="1"/>
  <c r="O1115" i="1" s="1" a="1"/>
  <c r="O1115" i="1" s="1"/>
  <c r="C1116" i="1"/>
  <c r="O1116" i="1" s="1" a="1"/>
  <c r="O1116" i="1" s="1"/>
  <c r="C1117" i="1"/>
  <c r="O1117" i="1" s="1" a="1"/>
  <c r="O1117" i="1" s="1"/>
  <c r="C1118" i="1"/>
  <c r="O1118" i="1" s="1" a="1"/>
  <c r="O1118" i="1" s="1"/>
  <c r="C1119" i="1"/>
  <c r="O1119" i="1" s="1" a="1"/>
  <c r="O1119" i="1" s="1"/>
  <c r="C1120" i="1"/>
  <c r="O1120" i="1" s="1" a="1"/>
  <c r="O1120" i="1" s="1"/>
  <c r="C1121" i="1"/>
  <c r="O1121" i="1" s="1" a="1"/>
  <c r="O1121" i="1" s="1"/>
  <c r="C1122" i="1"/>
  <c r="O1122" i="1" s="1" a="1"/>
  <c r="O1122" i="1" s="1"/>
  <c r="C1123" i="1"/>
  <c r="O1123" i="1" s="1" a="1"/>
  <c r="O1123" i="1" s="1"/>
  <c r="C1124" i="1"/>
  <c r="O1124" i="1" s="1" a="1"/>
  <c r="O1124" i="1" s="1"/>
  <c r="C1125" i="1"/>
  <c r="O1125" i="1" s="1" a="1"/>
  <c r="O1125" i="1" s="1"/>
  <c r="C1126" i="1"/>
  <c r="O1126" i="1" s="1" a="1"/>
  <c r="O1126" i="1" s="1"/>
  <c r="C1127" i="1"/>
  <c r="O1127" i="1" s="1" a="1"/>
  <c r="O1127" i="1" s="1"/>
  <c r="C1128" i="1"/>
  <c r="O1128" i="1" s="1" a="1"/>
  <c r="O1128" i="1" s="1"/>
  <c r="C1129" i="1"/>
  <c r="O1129" i="1" s="1" a="1"/>
  <c r="O1129" i="1" s="1"/>
  <c r="C1130" i="1"/>
  <c r="O1130" i="1" s="1" a="1"/>
  <c r="O1130" i="1" s="1"/>
  <c r="C1131" i="1"/>
  <c r="O1131" i="1" s="1" a="1"/>
  <c r="O1131" i="1" s="1"/>
  <c r="C1132" i="1"/>
  <c r="O1132" i="1" s="1" a="1"/>
  <c r="O1132" i="1" s="1"/>
  <c r="C1133" i="1"/>
  <c r="O1133" i="1" s="1" a="1"/>
  <c r="O1133" i="1" s="1"/>
  <c r="C1134" i="1"/>
  <c r="O1134" i="1" s="1" a="1"/>
  <c r="O1134" i="1" s="1"/>
  <c r="C1135" i="1"/>
  <c r="O1135" i="1" s="1" a="1"/>
  <c r="O1135" i="1" s="1"/>
  <c r="C1136" i="1"/>
  <c r="O1136" i="1" s="1" a="1"/>
  <c r="O1136" i="1" s="1"/>
  <c r="C1137" i="1"/>
  <c r="O1137" i="1" s="1" a="1"/>
  <c r="O1137" i="1" s="1"/>
  <c r="C1138" i="1"/>
  <c r="O1138" i="1" s="1" a="1"/>
  <c r="O1138" i="1" s="1"/>
  <c r="C1139" i="1"/>
  <c r="O1139" i="1" s="1" a="1"/>
  <c r="O1139" i="1" s="1"/>
  <c r="C1140" i="1"/>
  <c r="O1140" i="1" s="1" a="1"/>
  <c r="O1140" i="1" s="1"/>
  <c r="C1141" i="1"/>
  <c r="O1141" i="1" s="1" a="1"/>
  <c r="O1141" i="1" s="1"/>
  <c r="C1142" i="1"/>
  <c r="O1142" i="1" s="1" a="1"/>
  <c r="O1142" i="1" s="1"/>
  <c r="C1143" i="1"/>
  <c r="O1143" i="1" s="1" a="1"/>
  <c r="O1143" i="1" s="1"/>
  <c r="C1144" i="1"/>
  <c r="O1144" i="1" s="1" a="1"/>
  <c r="O1144" i="1" s="1"/>
  <c r="C1145" i="1"/>
  <c r="O1145" i="1" s="1" a="1"/>
  <c r="O1145" i="1" s="1"/>
  <c r="C1146" i="1"/>
  <c r="O1146" i="1" s="1" a="1"/>
  <c r="O1146" i="1" s="1"/>
  <c r="C1147" i="1"/>
  <c r="O1147" i="1" s="1" a="1"/>
  <c r="O1147" i="1" s="1"/>
  <c r="C1148" i="1"/>
  <c r="O1148" i="1" s="1" a="1"/>
  <c r="O1148" i="1" s="1"/>
  <c r="C1149" i="1"/>
  <c r="O1149" i="1" s="1" a="1"/>
  <c r="O1149" i="1" s="1"/>
  <c r="C1150" i="1"/>
  <c r="O1150" i="1" s="1" a="1"/>
  <c r="O1150" i="1" s="1"/>
  <c r="C1151" i="1"/>
  <c r="O1151" i="1" s="1" a="1"/>
  <c r="O1151" i="1" s="1"/>
  <c r="C1152" i="1"/>
  <c r="O1152" i="1" s="1" a="1"/>
  <c r="O1152" i="1" s="1"/>
  <c r="C1153" i="1"/>
  <c r="O1153" i="1" s="1" a="1"/>
  <c r="O1153" i="1" s="1"/>
  <c r="C1154" i="1"/>
  <c r="O1154" i="1" s="1" a="1"/>
  <c r="O1154" i="1" s="1"/>
  <c r="C1155" i="1"/>
  <c r="O1155" i="1" s="1" a="1"/>
  <c r="O1155" i="1" s="1"/>
  <c r="C1156" i="1"/>
  <c r="O1156" i="1" s="1" a="1"/>
  <c r="O1156" i="1" s="1"/>
  <c r="C1157" i="1"/>
  <c r="O1157" i="1" s="1" a="1"/>
  <c r="O1157" i="1" s="1"/>
  <c r="C1158" i="1"/>
  <c r="O1158" i="1" s="1" a="1"/>
  <c r="O1158" i="1" s="1"/>
  <c r="C1159" i="1"/>
  <c r="O1159" i="1" s="1" a="1"/>
  <c r="O1159" i="1" s="1"/>
  <c r="C1160" i="1"/>
  <c r="O1160" i="1" s="1" a="1"/>
  <c r="O1160" i="1" s="1"/>
  <c r="C1161" i="1"/>
  <c r="O1161" i="1" s="1" a="1"/>
  <c r="O1161" i="1" s="1"/>
  <c r="C1162" i="1"/>
  <c r="O1162" i="1" s="1" a="1"/>
  <c r="O1162" i="1" s="1"/>
  <c r="C1163" i="1"/>
  <c r="O1163" i="1" s="1" a="1"/>
  <c r="O1163" i="1" s="1"/>
  <c r="C1164" i="1"/>
  <c r="O1164" i="1" s="1" a="1"/>
  <c r="O1164" i="1" s="1"/>
  <c r="C1165" i="1"/>
  <c r="O1165" i="1" s="1" a="1"/>
  <c r="O1165" i="1" s="1"/>
  <c r="C1166" i="1"/>
  <c r="O1166" i="1" s="1" a="1"/>
  <c r="O1166" i="1" s="1"/>
  <c r="C1167" i="1"/>
  <c r="O1167" i="1" s="1" a="1"/>
  <c r="O1167" i="1" s="1"/>
  <c r="C1168" i="1"/>
  <c r="O1168" i="1" s="1" a="1"/>
  <c r="O1168" i="1" s="1"/>
  <c r="C1169" i="1"/>
  <c r="O1169" i="1" s="1" a="1"/>
  <c r="O1169" i="1" s="1"/>
  <c r="C1170" i="1"/>
  <c r="O1170" i="1" s="1" a="1"/>
  <c r="O1170" i="1" s="1"/>
  <c r="C1171" i="1"/>
  <c r="O1171" i="1" s="1" a="1"/>
  <c r="O1171" i="1" s="1"/>
  <c r="C1172" i="1"/>
  <c r="O1172" i="1" s="1" a="1"/>
  <c r="O1172" i="1" s="1"/>
  <c r="C1173" i="1"/>
  <c r="O1173" i="1" s="1" a="1"/>
  <c r="O1173" i="1" s="1"/>
  <c r="C1174" i="1"/>
  <c r="O1174" i="1" s="1" a="1"/>
  <c r="O1174" i="1" s="1"/>
  <c r="C1175" i="1"/>
  <c r="O1175" i="1" s="1" a="1"/>
  <c r="O1175" i="1" s="1"/>
  <c r="C1176" i="1"/>
  <c r="O1176" i="1" s="1" a="1"/>
  <c r="O1176" i="1" s="1"/>
  <c r="C1177" i="1"/>
  <c r="O1177" i="1" s="1" a="1"/>
  <c r="O1177" i="1" s="1"/>
  <c r="C1178" i="1"/>
  <c r="O1178" i="1" s="1" a="1"/>
  <c r="O1178" i="1" s="1"/>
  <c r="C1179" i="1"/>
  <c r="O1179" i="1" s="1" a="1"/>
  <c r="O1179" i="1" s="1"/>
  <c r="C1180" i="1"/>
  <c r="O1180" i="1" s="1" a="1"/>
  <c r="O1180" i="1" s="1"/>
  <c r="C1181" i="1"/>
  <c r="O1181" i="1" s="1" a="1"/>
  <c r="O1181" i="1" s="1"/>
  <c r="C1182" i="1"/>
  <c r="O1182" i="1" s="1" a="1"/>
  <c r="O1182" i="1" s="1"/>
  <c r="C1183" i="1"/>
  <c r="O1183" i="1" s="1" a="1"/>
  <c r="O1183" i="1" s="1"/>
  <c r="C1184" i="1"/>
  <c r="O1184" i="1" s="1" a="1"/>
  <c r="O1184" i="1" s="1"/>
  <c r="C1185" i="1"/>
  <c r="O1185" i="1" s="1" a="1"/>
  <c r="O1185" i="1" s="1"/>
  <c r="C1186" i="1"/>
  <c r="O1186" i="1" s="1" a="1"/>
  <c r="O1186" i="1" s="1"/>
  <c r="C1187" i="1"/>
  <c r="O1187" i="1" s="1" a="1"/>
  <c r="O1187" i="1" s="1"/>
  <c r="C1188" i="1"/>
  <c r="O1188" i="1" s="1" a="1"/>
  <c r="O1188" i="1" s="1"/>
  <c r="C1189" i="1"/>
  <c r="O1189" i="1" s="1" a="1"/>
  <c r="O1189" i="1" s="1"/>
  <c r="C1190" i="1"/>
  <c r="O1190" i="1" s="1" a="1"/>
  <c r="O1190" i="1" s="1"/>
  <c r="C1191" i="1"/>
  <c r="O1191" i="1" s="1" a="1"/>
  <c r="O1191" i="1" s="1"/>
  <c r="C1192" i="1"/>
  <c r="O1192" i="1" s="1" a="1"/>
  <c r="O1192" i="1" s="1"/>
  <c r="C1193" i="1"/>
  <c r="O1193" i="1" s="1" a="1"/>
  <c r="O1193" i="1" s="1"/>
  <c r="C1194" i="1"/>
  <c r="O1194" i="1" s="1" a="1"/>
  <c r="O1194" i="1" s="1"/>
  <c r="C1195" i="1"/>
  <c r="O1195" i="1" s="1" a="1"/>
  <c r="O1195" i="1" s="1"/>
  <c r="C1196" i="1"/>
  <c r="O1196" i="1" s="1" a="1"/>
  <c r="O1196" i="1" s="1"/>
  <c r="C1197" i="1"/>
  <c r="O1197" i="1" s="1" a="1"/>
  <c r="O1197" i="1" s="1"/>
  <c r="C1198" i="1"/>
  <c r="O1198" i="1" s="1" a="1"/>
  <c r="O1198" i="1" s="1"/>
  <c r="C1199" i="1"/>
  <c r="O1199" i="1" s="1" a="1"/>
  <c r="O1199" i="1" s="1"/>
  <c r="C1200" i="1"/>
  <c r="O1200" i="1" s="1" a="1"/>
  <c r="O1200" i="1" s="1"/>
  <c r="C1201" i="1"/>
  <c r="O1201" i="1" s="1" a="1"/>
  <c r="O1201" i="1" s="1"/>
  <c r="C1202" i="1"/>
  <c r="O1202" i="1" s="1" a="1"/>
  <c r="O1202" i="1" s="1"/>
  <c r="C1203" i="1"/>
  <c r="O1203" i="1" s="1" a="1"/>
  <c r="O1203" i="1" s="1"/>
  <c r="C1204" i="1"/>
  <c r="O1204" i="1" s="1" a="1"/>
  <c r="O1204" i="1" s="1"/>
  <c r="C1205" i="1"/>
  <c r="O1205" i="1" s="1" a="1"/>
  <c r="O1205" i="1" s="1"/>
  <c r="C1206" i="1"/>
  <c r="O1206" i="1" s="1" a="1"/>
  <c r="O1206" i="1" s="1"/>
  <c r="C1207" i="1"/>
  <c r="O1207" i="1" s="1" a="1"/>
  <c r="O1207" i="1" s="1"/>
  <c r="C1208" i="1"/>
  <c r="O1208" i="1" s="1" a="1"/>
  <c r="O1208" i="1" s="1"/>
  <c r="C1209" i="1"/>
  <c r="O1209" i="1" s="1" a="1"/>
  <c r="O1209" i="1" s="1"/>
  <c r="C1210" i="1"/>
  <c r="O1210" i="1" s="1" a="1"/>
  <c r="O1210" i="1" s="1"/>
  <c r="C1211" i="1"/>
  <c r="O1211" i="1" s="1" a="1"/>
  <c r="O1211" i="1" s="1"/>
  <c r="C1212" i="1"/>
  <c r="O1212" i="1" s="1" a="1"/>
  <c r="O1212" i="1" s="1"/>
  <c r="C1213" i="1"/>
  <c r="O1213" i="1" s="1" a="1"/>
  <c r="O1213" i="1" s="1"/>
  <c r="C1214" i="1"/>
  <c r="O1214" i="1" s="1" a="1"/>
  <c r="O1214" i="1" s="1"/>
  <c r="C1215" i="1"/>
  <c r="O1215" i="1" s="1" a="1"/>
  <c r="O1215" i="1" s="1"/>
  <c r="C1216" i="1"/>
  <c r="O1216" i="1" s="1" a="1"/>
  <c r="O1216" i="1" s="1"/>
  <c r="C1217" i="1"/>
  <c r="O1217" i="1" s="1" a="1"/>
  <c r="O1217" i="1" s="1"/>
  <c r="C1218" i="1"/>
  <c r="O1218" i="1" s="1" a="1"/>
  <c r="O1218" i="1" s="1"/>
  <c r="C1219" i="1"/>
  <c r="O1219" i="1" s="1" a="1"/>
  <c r="O1219" i="1" s="1"/>
  <c r="C1220" i="1"/>
  <c r="O1220" i="1" s="1" a="1"/>
  <c r="O1220" i="1" s="1"/>
  <c r="C1221" i="1"/>
  <c r="O1221" i="1" s="1" a="1"/>
  <c r="O1221" i="1" s="1"/>
  <c r="C1222" i="1"/>
  <c r="O1222" i="1" s="1" a="1"/>
  <c r="O1222" i="1" s="1"/>
  <c r="C1223" i="1"/>
  <c r="O1223" i="1" s="1" a="1"/>
  <c r="O1223" i="1" s="1"/>
  <c r="C1224" i="1"/>
  <c r="O1224" i="1" s="1" a="1"/>
  <c r="O1224" i="1" s="1"/>
  <c r="C1225" i="1"/>
  <c r="O1225" i="1" s="1" a="1"/>
  <c r="O1225" i="1" s="1"/>
  <c r="C1226" i="1"/>
  <c r="O1226" i="1" s="1" a="1"/>
  <c r="O1226" i="1" s="1"/>
  <c r="C1227" i="1"/>
  <c r="O1227" i="1" s="1" a="1"/>
  <c r="O1227" i="1" s="1"/>
  <c r="C1228" i="1"/>
  <c r="O1228" i="1" s="1" a="1"/>
  <c r="O1228" i="1" s="1"/>
  <c r="C1229" i="1"/>
  <c r="O1229" i="1" s="1" a="1"/>
  <c r="O1229" i="1" s="1"/>
  <c r="C1230" i="1"/>
  <c r="O1230" i="1" s="1" a="1"/>
  <c r="O1230" i="1" s="1"/>
  <c r="C1231" i="1"/>
  <c r="O1231" i="1" s="1" a="1"/>
  <c r="O1231" i="1" s="1"/>
  <c r="C1232" i="1"/>
  <c r="O1232" i="1" s="1" a="1"/>
  <c r="O1232" i="1" s="1"/>
  <c r="C1233" i="1"/>
  <c r="O1233" i="1" s="1" a="1"/>
  <c r="O1233" i="1" s="1"/>
  <c r="C1234" i="1"/>
  <c r="O1234" i="1" s="1" a="1"/>
  <c r="O1234" i="1" s="1"/>
  <c r="C1235" i="1"/>
  <c r="O1235" i="1" s="1" a="1"/>
  <c r="O1235" i="1" s="1"/>
  <c r="C1236" i="1"/>
  <c r="O1236" i="1" s="1" a="1"/>
  <c r="O1236" i="1" s="1"/>
  <c r="C1237" i="1"/>
  <c r="O1237" i="1" s="1" a="1"/>
  <c r="O1237" i="1" s="1"/>
  <c r="C1238" i="1"/>
  <c r="O1238" i="1" s="1" a="1"/>
  <c r="O1238" i="1" s="1"/>
  <c r="C1239" i="1"/>
  <c r="O1239" i="1" s="1" a="1"/>
  <c r="O1239" i="1" s="1"/>
  <c r="C1240" i="1"/>
  <c r="O1240" i="1" s="1" a="1"/>
  <c r="O1240" i="1" s="1"/>
  <c r="C1241" i="1"/>
  <c r="O1241" i="1" s="1" a="1"/>
  <c r="O1241" i="1" s="1"/>
  <c r="C1242" i="1"/>
  <c r="O1242" i="1" s="1" a="1"/>
  <c r="O1242" i="1" s="1"/>
  <c r="C1243" i="1"/>
  <c r="O1243" i="1" s="1" a="1"/>
  <c r="O1243" i="1" s="1"/>
  <c r="C1244" i="1"/>
  <c r="O1244" i="1" s="1" a="1"/>
  <c r="O1244" i="1" s="1"/>
  <c r="C1245" i="1"/>
  <c r="O1245" i="1" s="1" a="1"/>
  <c r="O1245" i="1" s="1"/>
  <c r="C1246" i="1"/>
  <c r="O1246" i="1" s="1" a="1"/>
  <c r="O1246" i="1" s="1"/>
  <c r="C1247" i="1"/>
  <c r="O1247" i="1" s="1" a="1"/>
  <c r="O1247" i="1" s="1"/>
  <c r="C1248" i="1"/>
  <c r="O1248" i="1" s="1" a="1"/>
  <c r="O1248" i="1" s="1"/>
  <c r="C1249" i="1"/>
  <c r="O1249" i="1" s="1" a="1"/>
  <c r="O1249" i="1" s="1"/>
  <c r="C1250" i="1"/>
  <c r="O1250" i="1" s="1" a="1"/>
  <c r="O1250" i="1" s="1"/>
  <c r="C1251" i="1"/>
  <c r="O1251" i="1" s="1" a="1"/>
  <c r="O1251" i="1" s="1"/>
  <c r="C1252" i="1"/>
  <c r="O1252" i="1" s="1" a="1"/>
  <c r="O1252" i="1" s="1"/>
  <c r="C1253" i="1"/>
  <c r="O1253" i="1" s="1" a="1"/>
  <c r="O1253" i="1" s="1"/>
  <c r="C1254" i="1"/>
  <c r="O1254" i="1" s="1" a="1"/>
  <c r="O1254" i="1" s="1"/>
  <c r="C1255" i="1"/>
  <c r="O1255" i="1" s="1" a="1"/>
  <c r="O1255" i="1" s="1"/>
  <c r="C1256" i="1"/>
  <c r="O1256" i="1" s="1" a="1"/>
  <c r="O1256" i="1" s="1"/>
  <c r="C1257" i="1"/>
  <c r="O1257" i="1" s="1" a="1"/>
  <c r="O1257" i="1" s="1"/>
  <c r="C1258" i="1"/>
  <c r="O1258" i="1" s="1" a="1"/>
  <c r="O1258" i="1" s="1"/>
  <c r="C1259" i="1"/>
  <c r="O1259" i="1" s="1" a="1"/>
  <c r="O1259" i="1" s="1"/>
  <c r="C1260" i="1"/>
  <c r="O1260" i="1" s="1" a="1"/>
  <c r="O1260" i="1" s="1"/>
  <c r="C1261" i="1"/>
  <c r="O1261" i="1" s="1" a="1"/>
  <c r="O1261" i="1" s="1"/>
  <c r="C1262" i="1"/>
  <c r="O1262" i="1" s="1" a="1"/>
  <c r="O1262" i="1" s="1"/>
  <c r="C1263" i="1"/>
  <c r="O1263" i="1" s="1" a="1"/>
  <c r="O1263" i="1" s="1"/>
  <c r="C1264" i="1"/>
  <c r="O1264" i="1" s="1" a="1"/>
  <c r="O1264" i="1" s="1"/>
  <c r="C1265" i="1"/>
  <c r="O1265" i="1" s="1" a="1"/>
  <c r="O1265" i="1" s="1"/>
  <c r="C1266" i="1"/>
  <c r="O1266" i="1" s="1" a="1"/>
  <c r="O1266" i="1" s="1"/>
  <c r="C1267" i="1"/>
  <c r="O1267" i="1" s="1" a="1"/>
  <c r="O1267" i="1" s="1"/>
  <c r="C1268" i="1"/>
  <c r="O1268" i="1" s="1" a="1"/>
  <c r="O1268" i="1" s="1"/>
  <c r="C1269" i="1"/>
  <c r="O1269" i="1" s="1" a="1"/>
  <c r="O1269" i="1" s="1"/>
  <c r="C1270" i="1"/>
  <c r="O1270" i="1" s="1" a="1"/>
  <c r="O1270" i="1" s="1"/>
  <c r="C1271" i="1"/>
  <c r="O1271" i="1" s="1" a="1"/>
  <c r="O1271" i="1" s="1"/>
  <c r="C1272" i="1"/>
  <c r="O1272" i="1" s="1" a="1"/>
  <c r="O1272" i="1" s="1"/>
  <c r="C1273" i="1"/>
  <c r="O1273" i="1" s="1" a="1"/>
  <c r="O1273" i="1" s="1"/>
  <c r="C1274" i="1"/>
  <c r="O1274" i="1" s="1" a="1"/>
  <c r="O1274" i="1" s="1"/>
  <c r="C1275" i="1"/>
  <c r="O1275" i="1" s="1" a="1"/>
  <c r="O1275" i="1" s="1"/>
  <c r="C1276" i="1"/>
  <c r="O1276" i="1" s="1" a="1"/>
  <c r="O1276" i="1" s="1"/>
  <c r="C1277" i="1"/>
  <c r="O1277" i="1" s="1" a="1"/>
  <c r="O1277" i="1" s="1"/>
  <c r="C1278" i="1"/>
  <c r="O1278" i="1" s="1" a="1"/>
  <c r="O1278" i="1" s="1"/>
  <c r="C1279" i="1"/>
  <c r="O1279" i="1" s="1" a="1"/>
  <c r="O1279" i="1" s="1"/>
  <c r="C1280" i="1"/>
  <c r="O1280" i="1" s="1" a="1"/>
  <c r="O1280" i="1" s="1"/>
  <c r="C1281" i="1"/>
  <c r="O1281" i="1" s="1" a="1"/>
  <c r="O1281" i="1" s="1"/>
  <c r="C1282" i="1"/>
  <c r="O1282" i="1" s="1" a="1"/>
  <c r="O1282" i="1" s="1"/>
  <c r="C1283" i="1"/>
  <c r="O1283" i="1" s="1" a="1"/>
  <c r="O1283" i="1" s="1"/>
  <c r="C1284" i="1"/>
  <c r="O1284" i="1" s="1" a="1"/>
  <c r="O1284" i="1" s="1"/>
  <c r="C1285" i="1"/>
  <c r="O1285" i="1" s="1" a="1"/>
  <c r="O1285" i="1" s="1"/>
  <c r="C1286" i="1"/>
  <c r="O1286" i="1" s="1" a="1"/>
  <c r="O1286" i="1" s="1"/>
  <c r="C1287" i="1"/>
  <c r="O1287" i="1" s="1" a="1"/>
  <c r="O1287" i="1" s="1"/>
  <c r="C1288" i="1"/>
  <c r="O1288" i="1" s="1" a="1"/>
  <c r="O1288" i="1" s="1"/>
  <c r="C1289" i="1"/>
  <c r="O1289" i="1" s="1" a="1"/>
  <c r="O1289" i="1" s="1"/>
  <c r="C1290" i="1"/>
  <c r="O1290" i="1" s="1" a="1"/>
  <c r="O1290" i="1" s="1"/>
  <c r="C1291" i="1"/>
  <c r="O1291" i="1" s="1" a="1"/>
  <c r="O1291" i="1" s="1"/>
  <c r="C1292" i="1"/>
  <c r="O1292" i="1" s="1" a="1"/>
  <c r="O1292" i="1" s="1"/>
  <c r="C1293" i="1"/>
  <c r="O1293" i="1" s="1" a="1"/>
  <c r="O1293" i="1" s="1"/>
  <c r="C1294" i="1"/>
  <c r="O1294" i="1" s="1" a="1"/>
  <c r="O1294" i="1" s="1"/>
  <c r="C1295" i="1"/>
  <c r="O1295" i="1" s="1" a="1"/>
  <c r="O1295" i="1" s="1"/>
  <c r="C1296" i="1"/>
  <c r="O1296" i="1" s="1" a="1"/>
  <c r="O1296" i="1" s="1"/>
  <c r="C1297" i="1"/>
  <c r="O1297" i="1" s="1" a="1"/>
  <c r="O1297" i="1" s="1"/>
  <c r="C1298" i="1"/>
  <c r="O1298" i="1" s="1" a="1"/>
  <c r="O1298" i="1" s="1"/>
  <c r="C1299" i="1"/>
  <c r="O1299" i="1" s="1" a="1"/>
  <c r="O1299" i="1" s="1"/>
  <c r="C1300" i="1"/>
  <c r="O1300" i="1" s="1" a="1"/>
  <c r="O1300" i="1" s="1"/>
  <c r="C1301" i="1"/>
  <c r="O1301" i="1" s="1" a="1"/>
  <c r="O1301" i="1" s="1"/>
  <c r="C1302" i="1"/>
  <c r="O1302" i="1" s="1" a="1"/>
  <c r="O1302" i="1" s="1"/>
  <c r="C1303" i="1"/>
  <c r="O1303" i="1" s="1" a="1"/>
  <c r="O1303" i="1" s="1"/>
  <c r="C1304" i="1"/>
  <c r="O1304" i="1" s="1" a="1"/>
  <c r="O1304" i="1" s="1"/>
  <c r="C1305" i="1"/>
  <c r="O1305" i="1" s="1" a="1"/>
  <c r="O1305" i="1" s="1"/>
  <c r="C1306" i="1"/>
  <c r="O1306" i="1" s="1" a="1"/>
  <c r="O1306" i="1" s="1"/>
  <c r="C1307" i="1"/>
  <c r="O1307" i="1" s="1" a="1"/>
  <c r="O1307" i="1" s="1"/>
  <c r="C1308" i="1"/>
  <c r="O1308" i="1" s="1" a="1"/>
  <c r="O1308" i="1" s="1"/>
  <c r="C1309" i="1"/>
  <c r="O1309" i="1" s="1" a="1"/>
  <c r="O1309" i="1" s="1"/>
  <c r="C1310" i="1"/>
  <c r="O1310" i="1" s="1" a="1"/>
  <c r="O1310" i="1" s="1"/>
  <c r="C1311" i="1"/>
  <c r="O1311" i="1" s="1" a="1"/>
  <c r="O1311" i="1" s="1"/>
  <c r="C1312" i="1"/>
  <c r="O1312" i="1" s="1" a="1"/>
  <c r="O1312" i="1" s="1"/>
  <c r="C1313" i="1"/>
  <c r="O1313" i="1" s="1" a="1"/>
  <c r="O1313" i="1" s="1"/>
  <c r="C1314" i="1"/>
  <c r="O1314" i="1" s="1" a="1"/>
  <c r="O1314" i="1" s="1"/>
  <c r="C1315" i="1"/>
  <c r="O1315" i="1" s="1" a="1"/>
  <c r="O1315" i="1" s="1"/>
  <c r="C1316" i="1"/>
  <c r="O1316" i="1" s="1" a="1"/>
  <c r="O1316" i="1" s="1"/>
  <c r="C1317" i="1"/>
  <c r="O1317" i="1" s="1" a="1"/>
  <c r="O1317" i="1" s="1"/>
  <c r="C1318" i="1"/>
  <c r="O1318" i="1" s="1" a="1"/>
  <c r="O1318" i="1" s="1"/>
  <c r="C1319" i="1"/>
  <c r="O1319" i="1" s="1" a="1"/>
  <c r="O1319" i="1" s="1"/>
  <c r="C1320" i="1"/>
  <c r="O1320" i="1" s="1" a="1"/>
  <c r="O1320" i="1" s="1"/>
  <c r="C1321" i="1"/>
  <c r="O1321" i="1" s="1" a="1"/>
  <c r="O1321" i="1" s="1"/>
  <c r="C1322" i="1"/>
  <c r="O1322" i="1" s="1" a="1"/>
  <c r="O1322" i="1" s="1"/>
  <c r="C1323" i="1"/>
  <c r="O1323" i="1" s="1" a="1"/>
  <c r="O1323" i="1" s="1"/>
  <c r="C1324" i="1"/>
  <c r="O1324" i="1" s="1" a="1"/>
  <c r="O1324" i="1" s="1"/>
  <c r="C1325" i="1"/>
  <c r="O1325" i="1" s="1" a="1"/>
  <c r="O1325" i="1" s="1"/>
  <c r="C1326" i="1"/>
  <c r="O1326" i="1" s="1" a="1"/>
  <c r="O1326" i="1" s="1"/>
  <c r="C1327" i="1"/>
  <c r="O1327" i="1" s="1" a="1"/>
  <c r="O1327" i="1" s="1"/>
  <c r="C1328" i="1"/>
  <c r="O1328" i="1" s="1" a="1"/>
  <c r="O1328" i="1" s="1"/>
  <c r="C1329" i="1"/>
  <c r="O1329" i="1" s="1" a="1"/>
  <c r="O1329" i="1" s="1"/>
  <c r="C1330" i="1"/>
  <c r="O1330" i="1" s="1" a="1"/>
  <c r="O1330" i="1" s="1"/>
  <c r="C1331" i="1"/>
  <c r="O1331" i="1" s="1" a="1"/>
  <c r="O1331" i="1" s="1"/>
  <c r="C1332" i="1"/>
  <c r="O1332" i="1" s="1" a="1"/>
  <c r="O1332" i="1" s="1"/>
  <c r="C1333" i="1"/>
  <c r="O1333" i="1" s="1" a="1"/>
  <c r="O1333" i="1" s="1"/>
  <c r="C1334" i="1"/>
  <c r="O1334" i="1" s="1" a="1"/>
  <c r="O1334" i="1" s="1"/>
  <c r="C1335" i="1"/>
  <c r="O1335" i="1" s="1" a="1"/>
  <c r="O1335" i="1" s="1"/>
  <c r="C1336" i="1"/>
  <c r="O1336" i="1" s="1" a="1"/>
  <c r="O1336" i="1" s="1"/>
  <c r="C1337" i="1"/>
  <c r="O1337" i="1" s="1" a="1"/>
  <c r="O1337" i="1" s="1"/>
  <c r="C1338" i="1"/>
  <c r="O1338" i="1" s="1" a="1"/>
  <c r="O1338" i="1" s="1"/>
  <c r="C1339" i="1"/>
  <c r="O1339" i="1" s="1" a="1"/>
  <c r="O1339" i="1" s="1"/>
  <c r="C1340" i="1"/>
  <c r="O1340" i="1" s="1" a="1"/>
  <c r="O1340" i="1" s="1"/>
  <c r="C1341" i="1"/>
  <c r="O1341" i="1" s="1" a="1"/>
  <c r="O1341" i="1" s="1"/>
  <c r="C1342" i="1"/>
  <c r="O1342" i="1" s="1" a="1"/>
  <c r="O1342" i="1" s="1"/>
  <c r="C1343" i="1"/>
  <c r="O1343" i="1" s="1" a="1"/>
  <c r="O1343" i="1" s="1"/>
  <c r="C1344" i="1"/>
  <c r="O1344" i="1" s="1" a="1"/>
  <c r="O1344" i="1" s="1"/>
  <c r="C1345" i="1"/>
  <c r="O1345" i="1" s="1" a="1"/>
  <c r="O1345" i="1" s="1"/>
  <c r="C1346" i="1"/>
  <c r="O1346" i="1" s="1" a="1"/>
  <c r="O1346" i="1" s="1"/>
  <c r="C1347" i="1"/>
  <c r="O1347" i="1" s="1" a="1"/>
  <c r="O1347" i="1" s="1"/>
  <c r="C1348" i="1"/>
  <c r="O1348" i="1" s="1" a="1"/>
  <c r="O1348" i="1" s="1"/>
  <c r="C1349" i="1"/>
  <c r="O1349" i="1" s="1" a="1"/>
  <c r="O1349" i="1" s="1"/>
  <c r="C1350" i="1"/>
  <c r="O1350" i="1" s="1" a="1"/>
  <c r="O1350" i="1" s="1"/>
  <c r="C1351" i="1"/>
  <c r="O1351" i="1" s="1" a="1"/>
  <c r="O1351" i="1" s="1"/>
  <c r="C1352" i="1"/>
  <c r="O1352" i="1" s="1" a="1"/>
  <c r="O1352" i="1" s="1"/>
  <c r="C1353" i="1"/>
  <c r="O1353" i="1" s="1" a="1"/>
  <c r="O1353" i="1" s="1"/>
  <c r="C1354" i="1"/>
  <c r="O1354" i="1" s="1" a="1"/>
  <c r="O1354" i="1" s="1"/>
  <c r="C1355" i="1"/>
  <c r="O1355" i="1" s="1" a="1"/>
  <c r="O1355" i="1" s="1"/>
  <c r="C1356" i="1"/>
  <c r="O1356" i="1" s="1" a="1"/>
  <c r="O1356" i="1" s="1"/>
  <c r="C1357" i="1"/>
  <c r="O1357" i="1" s="1" a="1"/>
  <c r="O1357" i="1" s="1"/>
  <c r="C1358" i="1"/>
  <c r="O1358" i="1" s="1" a="1"/>
  <c r="O1358" i="1" s="1"/>
  <c r="C1359" i="1"/>
  <c r="O1359" i="1" s="1" a="1"/>
  <c r="O1359" i="1" s="1"/>
  <c r="C1360" i="1"/>
  <c r="O1360" i="1" s="1" a="1"/>
  <c r="O1360" i="1" s="1"/>
  <c r="C1361" i="1"/>
  <c r="O1361" i="1" s="1" a="1"/>
  <c r="O1361" i="1" s="1"/>
  <c r="C1362" i="1"/>
  <c r="O1362" i="1" s="1" a="1"/>
  <c r="O1362" i="1" s="1"/>
  <c r="C1363" i="1"/>
  <c r="O1363" i="1" s="1" a="1"/>
  <c r="O1363" i="1" s="1"/>
  <c r="C1364" i="1"/>
  <c r="O1364" i="1" s="1" a="1"/>
  <c r="O1364" i="1" s="1"/>
  <c r="C1365" i="1"/>
  <c r="O1365" i="1" s="1" a="1"/>
  <c r="O1365" i="1" s="1"/>
  <c r="C1366" i="1"/>
  <c r="O1366" i="1" s="1" a="1"/>
  <c r="O1366" i="1" s="1"/>
  <c r="C1367" i="1"/>
  <c r="O1367" i="1" s="1" a="1"/>
  <c r="O1367" i="1" s="1"/>
  <c r="C1368" i="1"/>
  <c r="O1368" i="1" s="1" a="1"/>
  <c r="O1368" i="1" s="1"/>
  <c r="C1369" i="1"/>
  <c r="O1369" i="1" s="1" a="1"/>
  <c r="O1369" i="1" s="1"/>
  <c r="C1370" i="1"/>
  <c r="O1370" i="1" s="1" a="1"/>
  <c r="O1370" i="1" s="1"/>
  <c r="C1371" i="1"/>
  <c r="O1371" i="1" s="1" a="1"/>
  <c r="O1371" i="1" s="1"/>
  <c r="C1372" i="1"/>
  <c r="O1372" i="1" s="1" a="1"/>
  <c r="O1372" i="1" s="1"/>
  <c r="C1373" i="1"/>
  <c r="O1373" i="1" s="1" a="1"/>
  <c r="O1373" i="1" s="1"/>
  <c r="C1374" i="1"/>
  <c r="O1374" i="1" s="1" a="1"/>
  <c r="O1374" i="1" s="1"/>
  <c r="C1375" i="1"/>
  <c r="O1375" i="1" s="1" a="1"/>
  <c r="O1375" i="1" s="1"/>
  <c r="C1376" i="1"/>
  <c r="O1376" i="1" s="1" a="1"/>
  <c r="O1376" i="1" s="1"/>
  <c r="C1377" i="1"/>
  <c r="O1377" i="1" s="1" a="1"/>
  <c r="O1377" i="1" s="1"/>
  <c r="C1378" i="1"/>
  <c r="O1378" i="1" s="1" a="1"/>
  <c r="O1378" i="1" s="1"/>
  <c r="C1379" i="1"/>
  <c r="O1379" i="1" s="1" a="1"/>
  <c r="O1379" i="1" s="1"/>
  <c r="C1380" i="1"/>
  <c r="O1380" i="1" s="1" a="1"/>
  <c r="O1380" i="1" s="1"/>
  <c r="C1381" i="1"/>
  <c r="O1381" i="1" s="1" a="1"/>
  <c r="O1381" i="1" s="1"/>
  <c r="C1382" i="1"/>
  <c r="O1382" i="1" s="1" a="1"/>
  <c r="O1382" i="1" s="1"/>
  <c r="C1383" i="1"/>
  <c r="O1383" i="1" s="1" a="1"/>
  <c r="O1383" i="1" s="1"/>
  <c r="C1384" i="1"/>
  <c r="O1384" i="1" s="1" a="1"/>
  <c r="O1384" i="1" s="1"/>
  <c r="C1385" i="1"/>
  <c r="O1385" i="1" s="1" a="1"/>
  <c r="O1385" i="1" s="1"/>
  <c r="C1386" i="1"/>
  <c r="O1386" i="1" s="1" a="1"/>
  <c r="O1386" i="1" s="1"/>
  <c r="C1387" i="1"/>
  <c r="O1387" i="1" s="1" a="1"/>
  <c r="O1387" i="1" s="1"/>
  <c r="C1388" i="1"/>
  <c r="O1388" i="1" s="1" a="1"/>
  <c r="O1388" i="1" s="1"/>
  <c r="C1389" i="1"/>
  <c r="O1389" i="1" s="1" a="1"/>
  <c r="O1389" i="1" s="1"/>
  <c r="C1390" i="1"/>
  <c r="O1390" i="1" s="1" a="1"/>
  <c r="O1390" i="1" s="1"/>
  <c r="C1391" i="1"/>
  <c r="O1391" i="1" s="1" a="1"/>
  <c r="O1391" i="1" s="1"/>
  <c r="C1392" i="1"/>
  <c r="O1392" i="1" s="1" a="1"/>
  <c r="O1392" i="1" s="1"/>
  <c r="C1393" i="1"/>
  <c r="O1393" i="1" s="1" a="1"/>
  <c r="O1393" i="1" s="1"/>
  <c r="C1394" i="1"/>
  <c r="O1394" i="1" s="1" a="1"/>
  <c r="O1394" i="1" s="1"/>
  <c r="C1395" i="1"/>
  <c r="O1395" i="1" s="1" a="1"/>
  <c r="O1395" i="1" s="1"/>
  <c r="C1396" i="1"/>
  <c r="O1396" i="1" s="1" a="1"/>
  <c r="O1396" i="1" s="1"/>
  <c r="C1397" i="1"/>
  <c r="O1397" i="1" s="1" a="1"/>
  <c r="O1397" i="1" s="1"/>
  <c r="C1398" i="1"/>
  <c r="O1398" i="1" s="1" a="1"/>
  <c r="O1398" i="1" s="1"/>
  <c r="C1399" i="1"/>
  <c r="O1399" i="1" s="1" a="1"/>
  <c r="O1399" i="1" s="1"/>
  <c r="C1400" i="1"/>
  <c r="O1400" i="1" s="1" a="1"/>
  <c r="O1400" i="1" s="1"/>
  <c r="C1401" i="1"/>
  <c r="O1401" i="1" s="1" a="1"/>
  <c r="O1401" i="1" s="1"/>
  <c r="C1402" i="1"/>
  <c r="O1402" i="1" s="1" a="1"/>
  <c r="O1402" i="1" s="1"/>
  <c r="C1403" i="1"/>
  <c r="O1403" i="1" s="1" a="1"/>
  <c r="O1403" i="1" s="1"/>
  <c r="C1404" i="1"/>
  <c r="O1404" i="1" s="1" a="1"/>
  <c r="O1404" i="1" s="1"/>
  <c r="C1405" i="1"/>
  <c r="O1405" i="1" s="1" a="1"/>
  <c r="O1405" i="1" s="1"/>
  <c r="C1406" i="1"/>
  <c r="O1406" i="1" s="1" a="1"/>
  <c r="O1406" i="1" s="1"/>
  <c r="C1407" i="1"/>
  <c r="O1407" i="1" s="1" a="1"/>
  <c r="O1407" i="1" s="1"/>
  <c r="C1408" i="1"/>
  <c r="O1408" i="1" s="1" a="1"/>
  <c r="O1408" i="1" s="1"/>
  <c r="C1409" i="1"/>
  <c r="O1409" i="1" s="1" a="1"/>
  <c r="O1409" i="1" s="1"/>
  <c r="C1410" i="1"/>
  <c r="O1410" i="1" s="1" a="1"/>
  <c r="O1410" i="1" s="1"/>
  <c r="C1411" i="1"/>
  <c r="O1411" i="1" s="1" a="1"/>
  <c r="O1411" i="1" s="1"/>
  <c r="C1412" i="1"/>
  <c r="O1412" i="1" s="1" a="1"/>
  <c r="O1412" i="1" s="1"/>
  <c r="C1413" i="1"/>
  <c r="O1413" i="1" s="1" a="1"/>
  <c r="O1413" i="1" s="1"/>
  <c r="C1414" i="1"/>
  <c r="O1414" i="1" s="1" a="1"/>
  <c r="O1414" i="1" s="1"/>
  <c r="C1415" i="1"/>
  <c r="O1415" i="1" s="1" a="1"/>
  <c r="O1415" i="1" s="1"/>
  <c r="C1416" i="1"/>
  <c r="O1416" i="1" s="1" a="1"/>
  <c r="O1416" i="1" s="1"/>
  <c r="C1417" i="1"/>
  <c r="O1417" i="1" s="1" a="1"/>
  <c r="O1417" i="1" s="1"/>
  <c r="C1418" i="1"/>
  <c r="O1418" i="1" s="1" a="1"/>
  <c r="O1418" i="1" s="1"/>
  <c r="C1419" i="1"/>
  <c r="O1419" i="1" s="1" a="1"/>
  <c r="O1419" i="1" s="1"/>
  <c r="C1420" i="1"/>
  <c r="O1420" i="1" s="1" a="1"/>
  <c r="O1420" i="1" s="1"/>
  <c r="C1421" i="1"/>
  <c r="O1421" i="1" s="1" a="1"/>
  <c r="O1421" i="1" s="1"/>
  <c r="C1422" i="1"/>
  <c r="O1422" i="1" s="1" a="1"/>
  <c r="O1422" i="1" s="1"/>
  <c r="C1423" i="1"/>
  <c r="O1423" i="1" s="1" a="1"/>
  <c r="O1423" i="1" s="1"/>
  <c r="C1424" i="1"/>
  <c r="O1424" i="1" s="1" a="1"/>
  <c r="O1424" i="1" s="1"/>
  <c r="C1425" i="1"/>
  <c r="O1425" i="1" s="1" a="1"/>
  <c r="O1425" i="1" s="1"/>
  <c r="C1426" i="1"/>
  <c r="O1426" i="1" s="1" a="1"/>
  <c r="O1426" i="1" s="1"/>
  <c r="C1427" i="1"/>
  <c r="O1427" i="1" s="1" a="1"/>
  <c r="O1427" i="1" s="1"/>
  <c r="C1428" i="1"/>
  <c r="O1428" i="1" s="1" a="1"/>
  <c r="O1428" i="1" s="1"/>
  <c r="C1429" i="1"/>
  <c r="O1429" i="1" s="1" a="1"/>
  <c r="O1429" i="1" s="1"/>
  <c r="C1430" i="1"/>
  <c r="O1430" i="1" s="1" a="1"/>
  <c r="O1430" i="1" s="1"/>
  <c r="C1431" i="1"/>
  <c r="O1431" i="1" s="1" a="1"/>
  <c r="O1431" i="1" s="1"/>
  <c r="C1432" i="1"/>
  <c r="O1432" i="1" s="1" a="1"/>
  <c r="O1432" i="1" s="1"/>
  <c r="C1433" i="1"/>
  <c r="O1433" i="1" s="1" a="1"/>
  <c r="O1433" i="1" s="1"/>
  <c r="C1434" i="1"/>
  <c r="O1434" i="1" s="1" a="1"/>
  <c r="O1434" i="1" s="1"/>
  <c r="C1435" i="1"/>
  <c r="O1435" i="1" s="1" a="1"/>
  <c r="O1435" i="1" s="1"/>
  <c r="C1436" i="1"/>
  <c r="O1436" i="1" s="1" a="1"/>
  <c r="O1436" i="1" s="1"/>
  <c r="C1437" i="1"/>
  <c r="O1437" i="1" s="1" a="1"/>
  <c r="O1437" i="1" s="1"/>
  <c r="C1438" i="1"/>
  <c r="O1438" i="1" s="1" a="1"/>
  <c r="O1438" i="1" s="1"/>
  <c r="C1439" i="1"/>
  <c r="O1439" i="1" s="1" a="1"/>
  <c r="O1439" i="1" s="1"/>
  <c r="C1440" i="1"/>
  <c r="O1440" i="1" s="1" a="1"/>
  <c r="O1440" i="1" s="1"/>
  <c r="C1441" i="1"/>
  <c r="O1441" i="1" s="1" a="1"/>
  <c r="O1441" i="1" s="1"/>
  <c r="C1442" i="1"/>
  <c r="O1442" i="1" s="1" a="1"/>
  <c r="O1442" i="1" s="1"/>
  <c r="C1443" i="1"/>
  <c r="O1443" i="1" s="1" a="1"/>
  <c r="O1443" i="1" s="1"/>
  <c r="C1444" i="1"/>
  <c r="O1444" i="1" s="1" a="1"/>
  <c r="O1444" i="1" s="1"/>
  <c r="C1445" i="1"/>
  <c r="O1445" i="1" s="1" a="1"/>
  <c r="O1445" i="1" s="1"/>
  <c r="C1446" i="1"/>
  <c r="O1446" i="1" s="1" a="1"/>
  <c r="O1446" i="1" s="1"/>
  <c r="C1447" i="1"/>
  <c r="O1447" i="1" s="1" a="1"/>
  <c r="O1447" i="1" s="1"/>
  <c r="C1448" i="1"/>
  <c r="O1448" i="1" s="1" a="1"/>
  <c r="O1448" i="1" s="1"/>
  <c r="C1449" i="1"/>
  <c r="O1449" i="1" s="1" a="1"/>
  <c r="O1449" i="1" s="1"/>
  <c r="C1450" i="1"/>
  <c r="O1450" i="1" s="1" a="1"/>
  <c r="O1450" i="1" s="1"/>
  <c r="C1451" i="1"/>
  <c r="O1451" i="1" s="1" a="1"/>
  <c r="O1451" i="1" s="1"/>
  <c r="C1452" i="1"/>
  <c r="O1452" i="1" s="1" a="1"/>
  <c r="O1452" i="1" s="1"/>
  <c r="C1453" i="1"/>
  <c r="O1453" i="1" s="1" a="1"/>
  <c r="O1453" i="1" s="1"/>
  <c r="C1454" i="1"/>
  <c r="O1454" i="1" s="1" a="1"/>
  <c r="O1454" i="1" s="1"/>
  <c r="C1455" i="1"/>
  <c r="O1455" i="1" s="1" a="1"/>
  <c r="O1455" i="1" s="1"/>
  <c r="C1456" i="1"/>
  <c r="O1456" i="1" s="1" a="1"/>
  <c r="O1456" i="1" s="1"/>
  <c r="C1457" i="1"/>
  <c r="O1457" i="1" s="1" a="1"/>
  <c r="O1457" i="1" s="1"/>
  <c r="C1458" i="1"/>
  <c r="O1458" i="1" s="1" a="1"/>
  <c r="O1458" i="1" s="1"/>
  <c r="C1459" i="1"/>
  <c r="O1459" i="1" s="1" a="1"/>
  <c r="O1459" i="1" s="1"/>
  <c r="C1460" i="1"/>
  <c r="O1460" i="1" s="1" a="1"/>
  <c r="O1460" i="1" s="1"/>
  <c r="C1461" i="1"/>
  <c r="O1461" i="1" s="1" a="1"/>
  <c r="O1461" i="1" s="1"/>
  <c r="C1462" i="1"/>
  <c r="O1462" i="1" s="1" a="1"/>
  <c r="O1462" i="1" s="1"/>
  <c r="C1463" i="1"/>
  <c r="O1463" i="1" s="1" a="1"/>
  <c r="O1463" i="1" s="1"/>
  <c r="C1464" i="1"/>
  <c r="O1464" i="1" s="1" a="1"/>
  <c r="O1464" i="1" s="1"/>
  <c r="C1465" i="1"/>
  <c r="O1465" i="1" s="1" a="1"/>
  <c r="O1465" i="1" s="1"/>
  <c r="C1466" i="1"/>
  <c r="O1466" i="1" s="1" a="1"/>
  <c r="O1466" i="1" s="1"/>
  <c r="C1467" i="1"/>
  <c r="O1467" i="1" s="1" a="1"/>
  <c r="O1467" i="1" s="1"/>
  <c r="C1468" i="1"/>
  <c r="O1468" i="1" s="1" a="1"/>
  <c r="O1468" i="1" s="1"/>
  <c r="C1469" i="1"/>
  <c r="O1469" i="1" s="1" a="1"/>
  <c r="O1469" i="1" s="1"/>
  <c r="C1470" i="1"/>
  <c r="O1470" i="1" s="1" a="1"/>
  <c r="O1470" i="1" s="1"/>
  <c r="C1471" i="1"/>
  <c r="O1471" i="1" s="1" a="1"/>
  <c r="O1471" i="1" s="1"/>
  <c r="C1472" i="1"/>
  <c r="O1472" i="1" s="1" a="1"/>
  <c r="O1472" i="1" s="1"/>
  <c r="C1473" i="1"/>
  <c r="O1473" i="1" s="1" a="1"/>
  <c r="O1473" i="1" s="1"/>
  <c r="C1474" i="1"/>
  <c r="O1474" i="1" s="1" a="1"/>
  <c r="O1474" i="1" s="1"/>
  <c r="C1475" i="1"/>
  <c r="O1475" i="1" s="1" a="1"/>
  <c r="O1475" i="1" s="1"/>
  <c r="C1476" i="1"/>
  <c r="O1476" i="1" s="1" a="1"/>
  <c r="O1476" i="1" s="1"/>
  <c r="C1477" i="1"/>
  <c r="O1477" i="1" s="1" a="1"/>
  <c r="O1477" i="1" s="1"/>
  <c r="C1478" i="1"/>
  <c r="O1478" i="1" s="1" a="1"/>
  <c r="O1478" i="1" s="1"/>
  <c r="C1479" i="1"/>
  <c r="O1479" i="1" s="1" a="1"/>
  <c r="O1479" i="1" s="1"/>
  <c r="C1480" i="1"/>
  <c r="O1480" i="1" s="1" a="1"/>
  <c r="O1480" i="1" s="1"/>
  <c r="C1481" i="1"/>
  <c r="O1481" i="1" s="1" a="1"/>
  <c r="O1481" i="1" s="1"/>
  <c r="C1482" i="1"/>
  <c r="O1482" i="1" s="1" a="1"/>
  <c r="O1482" i="1" s="1"/>
  <c r="C1483" i="1"/>
  <c r="O1483" i="1" s="1" a="1"/>
  <c r="O1483" i="1" s="1"/>
  <c r="C1484" i="1"/>
  <c r="O1484" i="1" s="1" a="1"/>
  <c r="O1484" i="1" s="1"/>
  <c r="C1485" i="1"/>
  <c r="O1485" i="1" s="1" a="1"/>
  <c r="O1485" i="1" s="1"/>
  <c r="C1486" i="1"/>
  <c r="O1486" i="1" s="1" a="1"/>
  <c r="O1486" i="1" s="1"/>
  <c r="C1487" i="1"/>
  <c r="O1487" i="1" s="1" a="1"/>
  <c r="O1487" i="1" s="1"/>
  <c r="C1488" i="1"/>
  <c r="O1488" i="1" s="1" a="1"/>
  <c r="O1488" i="1" s="1"/>
  <c r="C1489" i="1"/>
  <c r="O1489" i="1" s="1" a="1"/>
  <c r="O1489" i="1" s="1"/>
  <c r="C1490" i="1"/>
  <c r="O1490" i="1" s="1" a="1"/>
  <c r="O1490" i="1" s="1"/>
  <c r="C1491" i="1"/>
  <c r="O1491" i="1" s="1" a="1"/>
  <c r="O1491" i="1" s="1"/>
  <c r="C1492" i="1"/>
  <c r="O1492" i="1" s="1" a="1"/>
  <c r="O1492" i="1" s="1"/>
  <c r="C1493" i="1"/>
  <c r="O1493" i="1" s="1" a="1"/>
  <c r="O1493" i="1" s="1"/>
  <c r="C1494" i="1"/>
  <c r="O1494" i="1" s="1" a="1"/>
  <c r="O1494" i="1" s="1"/>
  <c r="C1495" i="1"/>
  <c r="O1495" i="1" s="1" a="1"/>
  <c r="O1495" i="1" s="1"/>
  <c r="C1496" i="1"/>
  <c r="O1496" i="1" s="1" a="1"/>
  <c r="O1496" i="1" s="1"/>
  <c r="C1497" i="1"/>
  <c r="O1497" i="1" s="1" a="1"/>
  <c r="O1497" i="1" s="1"/>
  <c r="C1498" i="1"/>
  <c r="O1498" i="1" s="1" a="1"/>
  <c r="O1498" i="1" s="1"/>
  <c r="C1499" i="1"/>
  <c r="O1499" i="1" s="1" a="1"/>
  <c r="O1499" i="1" s="1"/>
  <c r="C1500" i="1"/>
  <c r="O1500" i="1" s="1" a="1"/>
  <c r="O1500" i="1" s="1"/>
  <c r="C1501" i="1"/>
  <c r="O1501" i="1" s="1" a="1"/>
  <c r="O1501" i="1" s="1"/>
  <c r="C1502" i="1"/>
  <c r="O1502" i="1" s="1" a="1"/>
  <c r="O1502" i="1" s="1"/>
  <c r="C1503" i="1"/>
  <c r="O1503" i="1" s="1" a="1"/>
  <c r="O1503" i="1" s="1"/>
  <c r="C1504" i="1"/>
  <c r="O1504" i="1" s="1" a="1"/>
  <c r="O1504" i="1" s="1"/>
  <c r="C1505" i="1"/>
  <c r="O1505" i="1" s="1" a="1"/>
  <c r="O1505" i="1" s="1"/>
  <c r="C1506" i="1"/>
  <c r="O1506" i="1" s="1" a="1"/>
  <c r="O1506" i="1" s="1"/>
  <c r="C1507" i="1"/>
  <c r="O1507" i="1" s="1" a="1"/>
  <c r="O1507" i="1" s="1"/>
  <c r="C1508" i="1"/>
  <c r="O1508" i="1" s="1" a="1"/>
  <c r="O1508" i="1" s="1"/>
  <c r="C1509" i="1"/>
  <c r="O1509" i="1" s="1" a="1"/>
  <c r="O1509" i="1" s="1"/>
  <c r="C1510" i="1"/>
  <c r="O1510" i="1" s="1" a="1"/>
  <c r="O1510" i="1" s="1"/>
  <c r="C1511" i="1"/>
  <c r="O1511" i="1" s="1" a="1"/>
  <c r="O1511" i="1" s="1"/>
  <c r="C1512" i="1"/>
  <c r="O1512" i="1" s="1" a="1"/>
  <c r="O1512" i="1" s="1"/>
  <c r="C1513" i="1"/>
  <c r="O1513" i="1" s="1" a="1"/>
  <c r="O1513" i="1" s="1"/>
  <c r="C1514" i="1"/>
  <c r="O1514" i="1" s="1" a="1"/>
  <c r="O1514" i="1" s="1"/>
  <c r="C1515" i="1"/>
  <c r="O1515" i="1" s="1" a="1"/>
  <c r="O1515" i="1" s="1"/>
  <c r="C1516" i="1"/>
  <c r="O1516" i="1" s="1" a="1"/>
  <c r="O1516" i="1" s="1"/>
  <c r="C1517" i="1"/>
  <c r="O1517" i="1" s="1" a="1"/>
  <c r="O1517" i="1" s="1"/>
  <c r="C1518" i="1"/>
  <c r="O1518" i="1" s="1" a="1"/>
  <c r="O1518" i="1" s="1"/>
  <c r="C1519" i="1"/>
  <c r="O1519" i="1" s="1" a="1"/>
  <c r="O1519" i="1" s="1"/>
  <c r="C1520" i="1"/>
  <c r="O1520" i="1" s="1" a="1"/>
  <c r="O1520" i="1" s="1"/>
  <c r="C1521" i="1"/>
  <c r="O1521" i="1" s="1" a="1"/>
  <c r="O1521" i="1" s="1"/>
  <c r="C1522" i="1"/>
  <c r="O1522" i="1" s="1" a="1"/>
  <c r="O1522" i="1" s="1"/>
  <c r="C1523" i="1"/>
  <c r="O1523" i="1" s="1" a="1"/>
  <c r="O1523" i="1" s="1"/>
  <c r="C1524" i="1"/>
  <c r="O1524" i="1" s="1" a="1"/>
  <c r="O1524" i="1" s="1"/>
  <c r="C1525" i="1"/>
  <c r="O1525" i="1" s="1" a="1"/>
  <c r="O1525" i="1" s="1"/>
  <c r="C1526" i="1"/>
  <c r="O1526" i="1" s="1" a="1"/>
  <c r="O1526" i="1" s="1"/>
  <c r="C1527" i="1"/>
  <c r="O1527" i="1" s="1" a="1"/>
  <c r="O1527" i="1" s="1"/>
  <c r="C1528" i="1"/>
  <c r="O1528" i="1" s="1" a="1"/>
  <c r="O1528" i="1" s="1"/>
  <c r="C1529" i="1"/>
  <c r="O1529" i="1" s="1" a="1"/>
  <c r="O1529" i="1" s="1"/>
  <c r="C1530" i="1"/>
  <c r="O1530" i="1" s="1" a="1"/>
  <c r="O1530" i="1" s="1"/>
  <c r="C1531" i="1"/>
  <c r="O1531" i="1" s="1" a="1"/>
  <c r="O1531" i="1" s="1"/>
  <c r="C1532" i="1"/>
  <c r="O1532" i="1" s="1" a="1"/>
  <c r="O1532" i="1" s="1"/>
  <c r="C1533" i="1"/>
  <c r="O1533" i="1" s="1" a="1"/>
  <c r="O1533" i="1" s="1"/>
  <c r="C1534" i="1"/>
  <c r="O1534" i="1" s="1" a="1"/>
  <c r="O1534" i="1" s="1"/>
  <c r="C1535" i="1"/>
  <c r="O1535" i="1" s="1" a="1"/>
  <c r="O1535" i="1" s="1"/>
  <c r="C1536" i="1"/>
  <c r="O1536" i="1" s="1" a="1"/>
  <c r="O1536" i="1" s="1"/>
  <c r="C1537" i="1"/>
  <c r="O1537" i="1" s="1" a="1"/>
  <c r="O1537" i="1" s="1"/>
  <c r="C1538" i="1"/>
  <c r="O1538" i="1" s="1" a="1"/>
  <c r="O1538" i="1" s="1"/>
  <c r="C1539" i="1"/>
  <c r="O1539" i="1" s="1" a="1"/>
  <c r="O1539" i="1" s="1"/>
  <c r="C1540" i="1"/>
  <c r="O1540" i="1" s="1" a="1"/>
  <c r="O1540" i="1" s="1"/>
  <c r="C1541" i="1"/>
  <c r="O1541" i="1" s="1" a="1"/>
  <c r="O1541" i="1" s="1"/>
  <c r="C1542" i="1"/>
  <c r="O1542" i="1" s="1" a="1"/>
  <c r="O1542" i="1" s="1"/>
  <c r="C1543" i="1"/>
  <c r="O1543" i="1" s="1" a="1"/>
  <c r="O1543" i="1" s="1"/>
  <c r="C1544" i="1"/>
  <c r="O1544" i="1" s="1" a="1"/>
  <c r="O1544" i="1" s="1"/>
  <c r="C1545" i="1"/>
  <c r="O1545" i="1" s="1" a="1"/>
  <c r="O1545" i="1" s="1"/>
  <c r="C1546" i="1"/>
  <c r="O1546" i="1" s="1" a="1"/>
  <c r="O1546" i="1" s="1"/>
  <c r="C1547" i="1"/>
  <c r="O1547" i="1" s="1" a="1"/>
  <c r="O1547" i="1" s="1"/>
  <c r="C1548" i="1"/>
  <c r="O1548" i="1" s="1" a="1"/>
  <c r="O1548" i="1" s="1"/>
  <c r="C1549" i="1"/>
  <c r="O1549" i="1" s="1" a="1"/>
  <c r="O1549" i="1" s="1"/>
  <c r="C1550" i="1"/>
  <c r="O1550" i="1" s="1" a="1"/>
  <c r="O1550" i="1" s="1"/>
  <c r="C1551" i="1"/>
  <c r="O1551" i="1" s="1" a="1"/>
  <c r="O1551" i="1" s="1"/>
  <c r="C1552" i="1"/>
  <c r="O1552" i="1" s="1" a="1"/>
  <c r="O1552" i="1" s="1"/>
  <c r="C1553" i="1"/>
  <c r="O1553" i="1" s="1" a="1"/>
  <c r="O1553" i="1" s="1"/>
  <c r="C1554" i="1"/>
  <c r="O1554" i="1" s="1" a="1"/>
  <c r="O1554" i="1" s="1"/>
  <c r="C1555" i="1"/>
  <c r="O1555" i="1" s="1" a="1"/>
  <c r="O1555" i="1" s="1"/>
  <c r="C1556" i="1"/>
  <c r="O1556" i="1" s="1" a="1"/>
  <c r="O1556" i="1" s="1"/>
  <c r="C1557" i="1"/>
  <c r="O1557" i="1" s="1" a="1"/>
  <c r="O1557" i="1" s="1"/>
  <c r="C1558" i="1"/>
  <c r="O1558" i="1" s="1" a="1"/>
  <c r="O1558" i="1" s="1"/>
  <c r="C1559" i="1"/>
  <c r="O1559" i="1" s="1" a="1"/>
  <c r="O1559" i="1" s="1"/>
  <c r="C1560" i="1"/>
  <c r="O1560" i="1" s="1" a="1"/>
  <c r="O1560" i="1" s="1"/>
  <c r="C1561" i="1"/>
  <c r="O1561" i="1" s="1" a="1"/>
  <c r="O1561" i="1" s="1"/>
  <c r="C1562" i="1"/>
  <c r="O1562" i="1" s="1" a="1"/>
  <c r="O1562" i="1" s="1"/>
  <c r="C1563" i="1"/>
  <c r="O1563" i="1" s="1" a="1"/>
  <c r="O1563" i="1" s="1"/>
  <c r="C1564" i="1"/>
  <c r="O1564" i="1" s="1" a="1"/>
  <c r="O1564" i="1" s="1"/>
  <c r="C1565" i="1"/>
  <c r="O1565" i="1" s="1" a="1"/>
  <c r="O1565" i="1" s="1"/>
  <c r="C1566" i="1"/>
  <c r="O1566" i="1" s="1" a="1"/>
  <c r="O1566" i="1" s="1"/>
  <c r="C1567" i="1"/>
  <c r="O1567" i="1" s="1" a="1"/>
  <c r="O1567" i="1" s="1"/>
  <c r="C1568" i="1"/>
  <c r="O1568" i="1" s="1" a="1"/>
  <c r="O1568" i="1" s="1"/>
  <c r="C1569" i="1"/>
  <c r="O1569" i="1" s="1" a="1"/>
  <c r="O1569" i="1" s="1"/>
  <c r="C1570" i="1"/>
  <c r="O1570" i="1" s="1" a="1"/>
  <c r="O1570" i="1" s="1"/>
  <c r="C1571" i="1"/>
  <c r="O1571" i="1" s="1" a="1"/>
  <c r="O1571" i="1" s="1"/>
  <c r="C1572" i="1"/>
  <c r="O1572" i="1" s="1" a="1"/>
  <c r="O1572" i="1" s="1"/>
  <c r="C1573" i="1"/>
  <c r="O1573" i="1" s="1" a="1"/>
  <c r="O1573" i="1" s="1"/>
  <c r="C1574" i="1"/>
  <c r="O1574" i="1" s="1" a="1"/>
  <c r="O1574" i="1" s="1"/>
  <c r="C1575" i="1"/>
  <c r="O1575" i="1" s="1" a="1"/>
  <c r="O1575" i="1" s="1"/>
  <c r="C1576" i="1"/>
  <c r="O1576" i="1" s="1" a="1"/>
  <c r="O1576" i="1" s="1"/>
  <c r="C1577" i="1"/>
  <c r="O1577" i="1" s="1" a="1"/>
  <c r="O1577" i="1" s="1"/>
  <c r="C1578" i="1"/>
  <c r="O1578" i="1" s="1" a="1"/>
  <c r="O1578" i="1" s="1"/>
  <c r="C1579" i="1"/>
  <c r="O1579" i="1" s="1" a="1"/>
  <c r="O1579" i="1" s="1"/>
  <c r="C1580" i="1"/>
  <c r="O1580" i="1" s="1" a="1"/>
  <c r="O1580" i="1" s="1"/>
  <c r="C1581" i="1"/>
  <c r="O1581" i="1" s="1" a="1"/>
  <c r="O1581" i="1" s="1"/>
  <c r="C1582" i="1"/>
  <c r="O1582" i="1" s="1" a="1"/>
  <c r="O1582" i="1" s="1"/>
  <c r="C1583" i="1"/>
  <c r="O1583" i="1" s="1" a="1"/>
  <c r="O1583" i="1" s="1"/>
  <c r="C1584" i="1"/>
  <c r="O1584" i="1" s="1" a="1"/>
  <c r="O1584" i="1" s="1"/>
  <c r="C1585" i="1"/>
  <c r="O1585" i="1" s="1" a="1"/>
  <c r="O1585" i="1" s="1"/>
  <c r="C1586" i="1"/>
  <c r="O1586" i="1" s="1" a="1"/>
  <c r="O1586" i="1" s="1"/>
  <c r="C1587" i="1"/>
  <c r="O1587" i="1" s="1" a="1"/>
  <c r="O1587" i="1" s="1"/>
  <c r="C1588" i="1"/>
  <c r="O1588" i="1" s="1" a="1"/>
  <c r="O1588" i="1" s="1"/>
  <c r="C1589" i="1"/>
  <c r="O1589" i="1" s="1" a="1"/>
  <c r="O1589" i="1" s="1"/>
  <c r="C1590" i="1"/>
  <c r="O1590" i="1" s="1" a="1"/>
  <c r="O1590" i="1" s="1"/>
  <c r="C1591" i="1"/>
  <c r="O1591" i="1" s="1" a="1"/>
  <c r="O1591" i="1" s="1"/>
  <c r="C1592" i="1"/>
  <c r="O1592" i="1" s="1" a="1"/>
  <c r="O1592" i="1" s="1"/>
  <c r="C1593" i="1"/>
  <c r="O1593" i="1" s="1" a="1"/>
  <c r="O1593" i="1" s="1"/>
  <c r="C1594" i="1"/>
  <c r="O1594" i="1" s="1" a="1"/>
  <c r="O1594" i="1" s="1"/>
  <c r="C1595" i="1"/>
  <c r="O1595" i="1" s="1" a="1"/>
  <c r="O1595" i="1" s="1"/>
  <c r="C1596" i="1"/>
  <c r="O1596" i="1" s="1" a="1"/>
  <c r="O1596" i="1" s="1"/>
  <c r="C1597" i="1"/>
  <c r="O1597" i="1" s="1" a="1"/>
  <c r="O1597" i="1" s="1"/>
  <c r="C1598" i="1"/>
  <c r="O1598" i="1" s="1" a="1"/>
  <c r="O1598" i="1" s="1"/>
  <c r="C1599" i="1"/>
  <c r="O1599" i="1" s="1" a="1"/>
  <c r="O1599" i="1" s="1"/>
  <c r="C1600" i="1"/>
  <c r="O1600" i="1" s="1" a="1"/>
  <c r="O1600" i="1" s="1"/>
  <c r="C1601" i="1"/>
  <c r="O1601" i="1" s="1" a="1"/>
  <c r="O1601" i="1" s="1"/>
  <c r="C1602" i="1"/>
  <c r="O1602" i="1" s="1" a="1"/>
  <c r="O1602" i="1" s="1"/>
  <c r="C1603" i="1"/>
  <c r="O1603" i="1" s="1" a="1"/>
  <c r="O1603" i="1" s="1"/>
  <c r="C1604" i="1"/>
  <c r="O1604" i="1" s="1" a="1"/>
  <c r="O1604" i="1" s="1"/>
  <c r="C1605" i="1"/>
  <c r="O1605" i="1" s="1" a="1"/>
  <c r="O1605" i="1" s="1"/>
  <c r="C1606" i="1"/>
  <c r="O1606" i="1" s="1" a="1"/>
  <c r="O1606" i="1" s="1"/>
  <c r="C1607" i="1"/>
  <c r="O1607" i="1" s="1" a="1"/>
  <c r="O1607" i="1" s="1"/>
  <c r="C1608" i="1"/>
  <c r="O1608" i="1" s="1" a="1"/>
  <c r="O1608" i="1" s="1"/>
  <c r="C1609" i="1"/>
  <c r="O1609" i="1" s="1" a="1"/>
  <c r="O1609" i="1" s="1"/>
  <c r="C1610" i="1"/>
  <c r="O1610" i="1" s="1" a="1"/>
  <c r="O1610" i="1" s="1"/>
  <c r="C1611" i="1"/>
  <c r="O1611" i="1" s="1" a="1"/>
  <c r="O1611" i="1" s="1"/>
  <c r="C1612" i="1"/>
  <c r="O1612" i="1" s="1" a="1"/>
  <c r="O1612" i="1" s="1"/>
  <c r="C1613" i="1"/>
  <c r="O1613" i="1" s="1" a="1"/>
  <c r="O1613" i="1" s="1"/>
  <c r="C1614" i="1"/>
  <c r="O1614" i="1" s="1" a="1"/>
  <c r="O1614" i="1" s="1"/>
  <c r="C1615" i="1"/>
  <c r="O1615" i="1" s="1" a="1"/>
  <c r="O1615" i="1" s="1"/>
  <c r="C1616" i="1"/>
  <c r="O1616" i="1" s="1" a="1"/>
  <c r="O1616" i="1" s="1"/>
  <c r="C1617" i="1"/>
  <c r="O1617" i="1" s="1" a="1"/>
  <c r="O1617" i="1" s="1"/>
  <c r="C1618" i="1"/>
  <c r="O1618" i="1" s="1" a="1"/>
  <c r="O1618" i="1" s="1"/>
  <c r="C1619" i="1"/>
  <c r="O1619" i="1" s="1" a="1"/>
  <c r="O1619" i="1" s="1"/>
  <c r="C1620" i="1"/>
  <c r="O1620" i="1" s="1" a="1"/>
  <c r="O1620" i="1" s="1"/>
  <c r="C1621" i="1"/>
  <c r="O1621" i="1" s="1" a="1"/>
  <c r="O1621" i="1" s="1"/>
  <c r="C1622" i="1"/>
  <c r="O1622" i="1" s="1" a="1"/>
  <c r="O1622" i="1" s="1"/>
  <c r="C1623" i="1"/>
  <c r="O1623" i="1" s="1" a="1"/>
  <c r="O1623" i="1" s="1"/>
  <c r="C1624" i="1"/>
  <c r="O1624" i="1" s="1" a="1"/>
  <c r="O1624" i="1" s="1"/>
  <c r="C1625" i="1"/>
  <c r="O1625" i="1" s="1" a="1"/>
  <c r="O1625" i="1" s="1"/>
  <c r="C1626" i="1"/>
  <c r="O1626" i="1" s="1" a="1"/>
  <c r="O1626" i="1" s="1"/>
  <c r="C1627" i="1"/>
  <c r="O1627" i="1" s="1" a="1"/>
  <c r="O1627" i="1" s="1"/>
  <c r="C1628" i="1"/>
  <c r="O1628" i="1" s="1" a="1"/>
  <c r="O1628" i="1" s="1"/>
  <c r="C1629" i="1"/>
  <c r="O1629" i="1" s="1" a="1"/>
  <c r="O1629" i="1" s="1"/>
  <c r="C1630" i="1"/>
  <c r="O1630" i="1" s="1" a="1"/>
  <c r="O1630" i="1" s="1"/>
  <c r="C1631" i="1"/>
  <c r="O1631" i="1" s="1" a="1"/>
  <c r="O1631" i="1" s="1"/>
  <c r="C1632" i="1"/>
  <c r="O1632" i="1" s="1" a="1"/>
  <c r="O1632" i="1" s="1"/>
  <c r="C1633" i="1"/>
  <c r="O1633" i="1" s="1" a="1"/>
  <c r="O1633" i="1" s="1"/>
  <c r="C1634" i="1"/>
  <c r="O1634" i="1" s="1" a="1"/>
  <c r="O1634" i="1" s="1"/>
  <c r="C1635" i="1"/>
  <c r="O1635" i="1" s="1" a="1"/>
  <c r="O1635" i="1" s="1"/>
  <c r="C1636" i="1"/>
  <c r="O1636" i="1" s="1" a="1"/>
  <c r="O1636" i="1" s="1"/>
  <c r="C1637" i="1"/>
  <c r="O1637" i="1" s="1" a="1"/>
  <c r="O1637" i="1" s="1"/>
  <c r="C1638" i="1"/>
  <c r="O1638" i="1" s="1" a="1"/>
  <c r="O1638" i="1" s="1"/>
  <c r="C1639" i="1"/>
  <c r="O1639" i="1" s="1" a="1"/>
  <c r="O1639" i="1" s="1"/>
  <c r="C1640" i="1"/>
  <c r="O1640" i="1" s="1" a="1"/>
  <c r="O1640" i="1" s="1"/>
  <c r="C1641" i="1"/>
  <c r="O1641" i="1" s="1" a="1"/>
  <c r="O1641" i="1" s="1"/>
  <c r="C1642" i="1"/>
  <c r="O1642" i="1" s="1" a="1"/>
  <c r="O1642" i="1" s="1"/>
  <c r="C1643" i="1"/>
  <c r="O1643" i="1" s="1" a="1"/>
  <c r="O1643" i="1" s="1"/>
  <c r="C1644" i="1"/>
  <c r="O1644" i="1" s="1" a="1"/>
  <c r="O1644" i="1" s="1"/>
  <c r="C1645" i="1"/>
  <c r="O1645" i="1" s="1" a="1"/>
  <c r="O1645" i="1" s="1"/>
  <c r="C1646" i="1"/>
  <c r="O1646" i="1" s="1" a="1"/>
  <c r="O1646" i="1" s="1"/>
  <c r="C1647" i="1"/>
  <c r="O1647" i="1" s="1" a="1"/>
  <c r="O1647" i="1" s="1"/>
  <c r="C1648" i="1"/>
  <c r="O1648" i="1" s="1" a="1"/>
  <c r="O1648" i="1" s="1"/>
  <c r="C1649" i="1"/>
  <c r="O1649" i="1" s="1" a="1"/>
  <c r="O1649" i="1" s="1"/>
  <c r="C1650" i="1"/>
  <c r="O1650" i="1" s="1" a="1"/>
  <c r="O1650" i="1" s="1"/>
  <c r="C1651" i="1"/>
  <c r="O1651" i="1" s="1" a="1"/>
  <c r="O1651" i="1" s="1"/>
  <c r="C1652" i="1"/>
  <c r="O1652" i="1" s="1" a="1"/>
  <c r="O1652" i="1" s="1"/>
  <c r="C1653" i="1"/>
  <c r="O1653" i="1" s="1" a="1"/>
  <c r="O1653" i="1" s="1"/>
  <c r="C1654" i="1"/>
  <c r="O1654" i="1" s="1" a="1"/>
  <c r="O1654" i="1" s="1"/>
  <c r="C1655" i="1"/>
  <c r="O1655" i="1" s="1" a="1"/>
  <c r="O1655" i="1" s="1"/>
  <c r="C1656" i="1"/>
  <c r="O1656" i="1" s="1" a="1"/>
  <c r="O1656" i="1" s="1"/>
  <c r="C1657" i="1"/>
  <c r="O1657" i="1" s="1" a="1"/>
  <c r="O1657" i="1" s="1"/>
  <c r="C1658" i="1"/>
  <c r="O1658" i="1" s="1" a="1"/>
  <c r="O1658" i="1" s="1"/>
  <c r="C1659" i="1"/>
  <c r="O1659" i="1" s="1" a="1"/>
  <c r="O1659" i="1" s="1"/>
  <c r="C1660" i="1"/>
  <c r="O1660" i="1" s="1" a="1"/>
  <c r="O1660" i="1" s="1"/>
  <c r="C1661" i="1"/>
  <c r="O1661" i="1" s="1" a="1"/>
  <c r="O1661" i="1" s="1"/>
  <c r="C1662" i="1"/>
  <c r="O1662" i="1" s="1" a="1"/>
  <c r="O1662" i="1" s="1"/>
  <c r="C1663" i="1"/>
  <c r="O1663" i="1" s="1" a="1"/>
  <c r="O1663" i="1" s="1"/>
  <c r="C1664" i="1"/>
  <c r="O1664" i="1" s="1" a="1"/>
  <c r="O1664" i="1" s="1"/>
  <c r="C1665" i="1"/>
  <c r="O1665" i="1" s="1" a="1"/>
  <c r="O1665" i="1" s="1"/>
  <c r="C1666" i="1"/>
  <c r="O1666" i="1" s="1" a="1"/>
  <c r="O1666" i="1" s="1"/>
  <c r="C1667" i="1"/>
  <c r="O1667" i="1" s="1" a="1"/>
  <c r="O1667" i="1" s="1"/>
  <c r="C1668" i="1"/>
  <c r="O1668" i="1" s="1" a="1"/>
  <c r="O1668" i="1" s="1"/>
  <c r="C1669" i="1"/>
  <c r="O1669" i="1" s="1" a="1"/>
  <c r="O1669" i="1" s="1"/>
  <c r="C1670" i="1"/>
  <c r="O1670" i="1" s="1" a="1"/>
  <c r="O1670" i="1" s="1"/>
  <c r="C1671" i="1"/>
  <c r="O1671" i="1" s="1" a="1"/>
  <c r="O1671" i="1" s="1"/>
  <c r="C1672" i="1"/>
  <c r="O1672" i="1" s="1" a="1"/>
  <c r="O1672" i="1" s="1"/>
  <c r="C1673" i="1"/>
  <c r="O1673" i="1" s="1" a="1"/>
  <c r="O1673" i="1" s="1"/>
  <c r="C1674" i="1"/>
  <c r="O1674" i="1" s="1" a="1"/>
  <c r="O1674" i="1" s="1"/>
  <c r="C1675" i="1"/>
  <c r="O1675" i="1" s="1" a="1"/>
  <c r="O1675" i="1" s="1"/>
  <c r="C1676" i="1"/>
  <c r="O1676" i="1" s="1" a="1"/>
  <c r="O1676" i="1" s="1"/>
  <c r="C1677" i="1"/>
  <c r="O1677" i="1" s="1" a="1"/>
  <c r="O1677" i="1" s="1"/>
  <c r="C1678" i="1"/>
  <c r="O1678" i="1" s="1" a="1"/>
  <c r="O1678" i="1" s="1"/>
  <c r="C1679" i="1"/>
  <c r="O1679" i="1" s="1" a="1"/>
  <c r="O1679" i="1" s="1"/>
  <c r="C1680" i="1"/>
  <c r="O1680" i="1" s="1" a="1"/>
  <c r="O1680" i="1" s="1"/>
  <c r="C1681" i="1"/>
  <c r="O1681" i="1" s="1" a="1"/>
  <c r="O1681" i="1" s="1"/>
  <c r="C1682" i="1"/>
  <c r="O1682" i="1" s="1" a="1"/>
  <c r="O1682" i="1" s="1"/>
  <c r="C1683" i="1"/>
  <c r="O1683" i="1" s="1" a="1"/>
  <c r="O1683" i="1" s="1"/>
  <c r="C1684" i="1"/>
  <c r="O1684" i="1" s="1" a="1"/>
  <c r="O1684" i="1" s="1"/>
  <c r="C1685" i="1"/>
  <c r="O1685" i="1" s="1" a="1"/>
  <c r="O1685" i="1" s="1"/>
  <c r="C1686" i="1"/>
  <c r="O1686" i="1" s="1" a="1"/>
  <c r="O1686" i="1" s="1"/>
  <c r="C1687" i="1"/>
  <c r="O1687" i="1" s="1" a="1"/>
  <c r="O1687" i="1" s="1"/>
  <c r="C1688" i="1"/>
  <c r="O1688" i="1" s="1" a="1"/>
  <c r="O1688" i="1" s="1"/>
  <c r="C1689" i="1"/>
  <c r="O1689" i="1" s="1" a="1"/>
  <c r="O1689" i="1" s="1"/>
  <c r="C1690" i="1"/>
  <c r="O1690" i="1" s="1" a="1"/>
  <c r="O1690" i="1" s="1"/>
  <c r="C1691" i="1"/>
  <c r="O1691" i="1" s="1" a="1"/>
  <c r="O1691" i="1" s="1"/>
  <c r="C1692" i="1"/>
  <c r="O1692" i="1" s="1" a="1"/>
  <c r="O1692" i="1" s="1"/>
  <c r="C1693" i="1"/>
  <c r="O1693" i="1" s="1" a="1"/>
  <c r="O1693" i="1" s="1"/>
  <c r="C1694" i="1"/>
  <c r="O1694" i="1" s="1" a="1"/>
  <c r="O1694" i="1" s="1"/>
  <c r="C1695" i="1"/>
  <c r="O1695" i="1" s="1" a="1"/>
  <c r="O1695" i="1" s="1"/>
  <c r="C1696" i="1"/>
  <c r="O1696" i="1" s="1" a="1"/>
  <c r="O1696" i="1" s="1"/>
  <c r="C1697" i="1"/>
  <c r="O1697" i="1" s="1" a="1"/>
  <c r="O1697" i="1" s="1"/>
  <c r="C1698" i="1"/>
  <c r="O1698" i="1" s="1" a="1"/>
  <c r="O1698" i="1" s="1"/>
  <c r="C1699" i="1"/>
  <c r="O1699" i="1" s="1" a="1"/>
  <c r="O1699" i="1" s="1"/>
  <c r="C1700" i="1"/>
  <c r="O1700" i="1" s="1" a="1"/>
  <c r="O1700" i="1" s="1"/>
  <c r="C1701" i="1"/>
  <c r="O1701" i="1" s="1" a="1"/>
  <c r="O1701" i="1" s="1"/>
  <c r="C1702" i="1"/>
  <c r="O1702" i="1" s="1" a="1"/>
  <c r="O1702" i="1" s="1"/>
  <c r="C1703" i="1"/>
  <c r="O1703" i="1" s="1" a="1"/>
  <c r="O1703" i="1" s="1"/>
  <c r="C1704" i="1"/>
  <c r="O1704" i="1" s="1" a="1"/>
  <c r="O1704" i="1" s="1"/>
  <c r="C1705" i="1"/>
  <c r="O1705" i="1" s="1" a="1"/>
  <c r="O1705" i="1" s="1"/>
  <c r="C1706" i="1"/>
  <c r="O1706" i="1" s="1" a="1"/>
  <c r="O1706" i="1" s="1"/>
  <c r="C1707" i="1"/>
  <c r="O1707" i="1" s="1" a="1"/>
  <c r="O1707" i="1" s="1"/>
  <c r="C1708" i="1"/>
  <c r="O1708" i="1" s="1" a="1"/>
  <c r="O1708" i="1" s="1"/>
  <c r="C1709" i="1"/>
  <c r="O1709" i="1" s="1" a="1"/>
  <c r="O1709" i="1" s="1"/>
  <c r="C1710" i="1"/>
  <c r="O1710" i="1" s="1" a="1"/>
  <c r="O1710" i="1" s="1"/>
  <c r="C1711" i="1"/>
  <c r="O1711" i="1" s="1" a="1"/>
  <c r="O1711" i="1" s="1"/>
  <c r="C1712" i="1"/>
  <c r="O1712" i="1" s="1" a="1"/>
  <c r="O1712" i="1" s="1"/>
  <c r="C1713" i="1"/>
  <c r="O1713" i="1" s="1" a="1"/>
  <c r="O1713" i="1" s="1"/>
  <c r="C1714" i="1"/>
  <c r="O1714" i="1" s="1" a="1"/>
  <c r="O1714" i="1" s="1"/>
  <c r="C1715" i="1"/>
  <c r="O1715" i="1" s="1" a="1"/>
  <c r="O1715" i="1" s="1"/>
  <c r="C1716" i="1"/>
  <c r="O1716" i="1" s="1" a="1"/>
  <c r="O1716" i="1" s="1"/>
  <c r="C1717" i="1"/>
  <c r="O1717" i="1" s="1" a="1"/>
  <c r="O1717" i="1" s="1"/>
  <c r="C1718" i="1"/>
  <c r="O1718" i="1" s="1" a="1"/>
  <c r="O1718" i="1" s="1"/>
  <c r="C1719" i="1"/>
  <c r="O1719" i="1" s="1" a="1"/>
  <c r="O1719" i="1" s="1"/>
  <c r="C1720" i="1"/>
  <c r="O1720" i="1" s="1" a="1"/>
  <c r="O1720" i="1" s="1"/>
  <c r="C1721" i="1"/>
  <c r="O1721" i="1" s="1" a="1"/>
  <c r="O1721" i="1" s="1"/>
  <c r="C1722" i="1"/>
  <c r="O1722" i="1" s="1" a="1"/>
  <c r="O1722" i="1" s="1"/>
  <c r="C1723" i="1"/>
  <c r="O1723" i="1" s="1" a="1"/>
  <c r="O1723" i="1" s="1"/>
  <c r="C1724" i="1"/>
  <c r="O1724" i="1" s="1" a="1"/>
  <c r="O1724" i="1" s="1"/>
  <c r="C1725" i="1"/>
  <c r="O1725" i="1" s="1" a="1"/>
  <c r="O1725" i="1" s="1"/>
  <c r="C1726" i="1"/>
  <c r="O1726" i="1" s="1" a="1"/>
  <c r="O1726" i="1" s="1"/>
  <c r="C1727" i="1"/>
  <c r="O1727" i="1" s="1" a="1"/>
  <c r="O1727" i="1" s="1"/>
  <c r="C1728" i="1"/>
  <c r="O1728" i="1" s="1" a="1"/>
  <c r="O1728" i="1" s="1"/>
  <c r="C1729" i="1"/>
  <c r="O1729" i="1" s="1" a="1"/>
  <c r="O1729" i="1" s="1"/>
  <c r="C1730" i="1"/>
  <c r="O1730" i="1" s="1" a="1"/>
  <c r="O1730" i="1" s="1"/>
  <c r="C1731" i="1"/>
  <c r="O1731" i="1" s="1" a="1"/>
  <c r="O1731" i="1" s="1"/>
  <c r="C1732" i="1"/>
  <c r="O1732" i="1" s="1" a="1"/>
  <c r="O1732" i="1" s="1"/>
  <c r="C1733" i="1"/>
  <c r="O1733" i="1" s="1" a="1"/>
  <c r="O1733" i="1" s="1"/>
  <c r="C1734" i="1"/>
  <c r="O1734" i="1" s="1" a="1"/>
  <c r="O1734" i="1" s="1"/>
  <c r="C1735" i="1"/>
  <c r="O1735" i="1" s="1" a="1"/>
  <c r="O1735" i="1" s="1"/>
  <c r="C1736" i="1"/>
  <c r="O1736" i="1" s="1" a="1"/>
  <c r="O1736" i="1" s="1"/>
  <c r="C1737" i="1"/>
  <c r="O1737" i="1" s="1" a="1"/>
  <c r="O1737" i="1" s="1"/>
  <c r="C1738" i="1"/>
  <c r="O1738" i="1" s="1" a="1"/>
  <c r="O1738" i="1" s="1"/>
  <c r="C1739" i="1"/>
  <c r="O1739" i="1" s="1" a="1"/>
  <c r="O1739" i="1" s="1"/>
  <c r="C1740" i="1"/>
  <c r="O1740" i="1" s="1" a="1"/>
  <c r="O1740" i="1" s="1"/>
  <c r="C1741" i="1"/>
  <c r="O1741" i="1" s="1" a="1"/>
  <c r="O1741" i="1" s="1"/>
  <c r="C1742" i="1"/>
  <c r="O1742" i="1" s="1" a="1"/>
  <c r="O1742" i="1" s="1"/>
  <c r="C1743" i="1"/>
  <c r="O1743" i="1" s="1" a="1"/>
  <c r="O1743" i="1" s="1"/>
  <c r="C1744" i="1"/>
  <c r="O1744" i="1" s="1" a="1"/>
  <c r="O1744" i="1" s="1"/>
  <c r="C1745" i="1"/>
  <c r="O1745" i="1" s="1" a="1"/>
  <c r="O1745" i="1" s="1"/>
  <c r="C1746" i="1"/>
  <c r="O1746" i="1" s="1" a="1"/>
  <c r="O1746" i="1" s="1"/>
  <c r="C1747" i="1"/>
  <c r="O1747" i="1" s="1" a="1"/>
  <c r="O1747" i="1" s="1"/>
  <c r="C1748" i="1"/>
  <c r="O1748" i="1" s="1" a="1"/>
  <c r="O1748" i="1" s="1"/>
  <c r="C1749" i="1"/>
  <c r="O1749" i="1" s="1" a="1"/>
  <c r="O1749" i="1" s="1"/>
  <c r="C1750" i="1"/>
  <c r="O1750" i="1" s="1" a="1"/>
  <c r="O1750" i="1" s="1"/>
  <c r="C1751" i="1"/>
  <c r="O1751" i="1" s="1" a="1"/>
  <c r="O1751" i="1" s="1"/>
  <c r="C1752" i="1"/>
  <c r="O1752" i="1" s="1" a="1"/>
  <c r="O1752" i="1" s="1"/>
  <c r="C1753" i="1"/>
  <c r="O1753" i="1" s="1" a="1"/>
  <c r="O1753" i="1" s="1"/>
  <c r="C1754" i="1"/>
  <c r="O1754" i="1" s="1" a="1"/>
  <c r="O1754" i="1" s="1"/>
  <c r="C1755" i="1"/>
  <c r="O1755" i="1" s="1" a="1"/>
  <c r="O1755" i="1" s="1"/>
  <c r="C1756" i="1"/>
  <c r="O1756" i="1" s="1" a="1"/>
  <c r="O1756" i="1" s="1"/>
  <c r="C1757" i="1"/>
  <c r="O1757" i="1" s="1" a="1"/>
  <c r="O1757" i="1" s="1"/>
  <c r="C1758" i="1"/>
  <c r="O1758" i="1" s="1" a="1"/>
  <c r="O1758" i="1" s="1"/>
  <c r="C1759" i="1"/>
  <c r="O1759" i="1" s="1" a="1"/>
  <c r="O1759" i="1" s="1"/>
  <c r="C1760" i="1"/>
  <c r="O1760" i="1" s="1" a="1"/>
  <c r="O1760" i="1" s="1"/>
  <c r="C1761" i="1"/>
  <c r="O1761" i="1" s="1" a="1"/>
  <c r="O1761" i="1" s="1"/>
  <c r="C1762" i="1"/>
  <c r="O1762" i="1" s="1" a="1"/>
  <c r="O1762" i="1" s="1"/>
  <c r="C1763" i="1"/>
  <c r="O1763" i="1" s="1" a="1"/>
  <c r="O1763" i="1" s="1"/>
  <c r="C1764" i="1"/>
  <c r="O1764" i="1" s="1" a="1"/>
  <c r="O1764" i="1" s="1"/>
  <c r="C1765" i="1"/>
  <c r="O1765" i="1" s="1" a="1"/>
  <c r="O1765" i="1" s="1"/>
  <c r="C1766" i="1"/>
  <c r="O1766" i="1" s="1" a="1"/>
  <c r="O1766" i="1" s="1"/>
  <c r="C1767" i="1"/>
  <c r="O1767" i="1" s="1" a="1"/>
  <c r="O1767" i="1" s="1"/>
  <c r="C1768" i="1"/>
  <c r="O1768" i="1" s="1" a="1"/>
  <c r="O1768" i="1" s="1"/>
  <c r="C1769" i="1"/>
  <c r="O1769" i="1" s="1" a="1"/>
  <c r="O1769" i="1" s="1"/>
  <c r="C1770" i="1"/>
  <c r="O1770" i="1" s="1" a="1"/>
  <c r="O1770" i="1" s="1"/>
  <c r="C1771" i="1"/>
  <c r="O1771" i="1" s="1" a="1"/>
  <c r="O1771" i="1" s="1"/>
  <c r="C1772" i="1"/>
  <c r="O1772" i="1" s="1" a="1"/>
  <c r="O1772" i="1" s="1"/>
  <c r="C1773" i="1"/>
  <c r="O1773" i="1" s="1" a="1"/>
  <c r="O1773" i="1" s="1"/>
  <c r="C1774" i="1"/>
  <c r="O1774" i="1" s="1" a="1"/>
  <c r="O1774" i="1" s="1"/>
  <c r="C1775" i="1"/>
  <c r="O1775" i="1" s="1" a="1"/>
  <c r="O1775" i="1" s="1"/>
  <c r="C1776" i="1"/>
  <c r="O1776" i="1" s="1" a="1"/>
  <c r="O1776" i="1" s="1"/>
  <c r="C1777" i="1"/>
  <c r="O1777" i="1" s="1" a="1"/>
  <c r="O1777" i="1" s="1"/>
  <c r="C1778" i="1"/>
  <c r="O1778" i="1" s="1" a="1"/>
  <c r="O1778" i="1" s="1"/>
  <c r="C1779" i="1"/>
  <c r="O1779" i="1" s="1" a="1"/>
  <c r="O1779" i="1" s="1"/>
  <c r="C1780" i="1"/>
  <c r="O1780" i="1" s="1" a="1"/>
  <c r="O1780" i="1" s="1"/>
  <c r="C1781" i="1"/>
  <c r="O1781" i="1" s="1" a="1"/>
  <c r="O1781" i="1" s="1"/>
  <c r="C1782" i="1"/>
  <c r="O1782" i="1" s="1" a="1"/>
  <c r="O1782" i="1" s="1"/>
  <c r="C1783" i="1"/>
  <c r="O1783" i="1" s="1" a="1"/>
  <c r="O1783" i="1" s="1"/>
  <c r="C1784" i="1"/>
  <c r="O1784" i="1" s="1" a="1"/>
  <c r="O1784" i="1" s="1"/>
  <c r="C1785" i="1"/>
  <c r="O1785" i="1" s="1" a="1"/>
  <c r="O1785" i="1" s="1"/>
  <c r="C1786" i="1"/>
  <c r="O1786" i="1" s="1" a="1"/>
  <c r="O1786" i="1" s="1"/>
  <c r="C1787" i="1"/>
  <c r="O1787" i="1" s="1" a="1"/>
  <c r="O1787" i="1" s="1"/>
  <c r="C1788" i="1"/>
  <c r="O1788" i="1" s="1" a="1"/>
  <c r="O1788" i="1" s="1"/>
  <c r="C1789" i="1"/>
  <c r="O1789" i="1" s="1" a="1"/>
  <c r="O1789" i="1" s="1"/>
  <c r="C1790" i="1"/>
  <c r="O1790" i="1" s="1" a="1"/>
  <c r="O1790" i="1" s="1"/>
  <c r="C1791" i="1"/>
  <c r="O1791" i="1" s="1" a="1"/>
  <c r="O1791" i="1" s="1"/>
  <c r="C1792" i="1"/>
  <c r="O1792" i="1" s="1" a="1"/>
  <c r="O1792" i="1" s="1"/>
  <c r="C1793" i="1"/>
  <c r="O1793" i="1" s="1" a="1"/>
  <c r="O1793" i="1" s="1"/>
  <c r="C1794" i="1"/>
  <c r="O1794" i="1" s="1" a="1"/>
  <c r="O1794" i="1" s="1"/>
  <c r="C1795" i="1"/>
  <c r="O1795" i="1" s="1" a="1"/>
  <c r="O1795" i="1" s="1"/>
  <c r="C1796" i="1"/>
  <c r="O1796" i="1" s="1" a="1"/>
  <c r="O1796" i="1" s="1"/>
  <c r="C1797" i="1"/>
  <c r="O1797" i="1" s="1" a="1"/>
  <c r="O1797" i="1" s="1"/>
  <c r="C1798" i="1"/>
  <c r="O1798" i="1" s="1" a="1"/>
  <c r="O1798" i="1" s="1"/>
  <c r="C1799" i="1"/>
  <c r="O1799" i="1" s="1" a="1"/>
  <c r="O1799" i="1" s="1"/>
  <c r="C1800" i="1"/>
  <c r="O1800" i="1" s="1" a="1"/>
  <c r="O1800" i="1" s="1"/>
  <c r="C1801" i="1"/>
  <c r="O1801" i="1" s="1" a="1"/>
  <c r="O1801" i="1" s="1"/>
  <c r="C1802" i="1"/>
  <c r="O1802" i="1" s="1" a="1"/>
  <c r="O1802" i="1" s="1"/>
  <c r="C1803" i="1"/>
  <c r="O1803" i="1" s="1" a="1"/>
  <c r="O1803" i="1" s="1"/>
  <c r="C1804" i="1"/>
  <c r="O1804" i="1" s="1" a="1"/>
  <c r="O1804" i="1" s="1"/>
  <c r="C1805" i="1"/>
  <c r="O1805" i="1" s="1" a="1"/>
  <c r="O1805" i="1" s="1"/>
  <c r="C1806" i="1"/>
  <c r="O1806" i="1" s="1" a="1"/>
  <c r="O1806" i="1" s="1"/>
  <c r="C1807" i="1"/>
  <c r="O1807" i="1" s="1" a="1"/>
  <c r="O1807" i="1" s="1"/>
  <c r="C1808" i="1"/>
  <c r="O1808" i="1" s="1" a="1"/>
  <c r="O1808" i="1" s="1"/>
  <c r="C1809" i="1"/>
  <c r="O1809" i="1" s="1" a="1"/>
  <c r="O1809" i="1" s="1"/>
  <c r="C1810" i="1"/>
  <c r="O1810" i="1" s="1" a="1"/>
  <c r="O1810" i="1" s="1"/>
  <c r="C1811" i="1"/>
  <c r="O1811" i="1" s="1" a="1"/>
  <c r="O1811" i="1" s="1"/>
  <c r="C1812" i="1"/>
  <c r="O1812" i="1" s="1" a="1"/>
  <c r="O1812" i="1" s="1"/>
  <c r="C1813" i="1"/>
  <c r="O1813" i="1" s="1" a="1"/>
  <c r="O1813" i="1" s="1"/>
  <c r="C1814" i="1"/>
  <c r="O1814" i="1" s="1" a="1"/>
  <c r="O1814" i="1" s="1"/>
  <c r="C1815" i="1"/>
  <c r="O1815" i="1" s="1" a="1"/>
  <c r="O1815" i="1" s="1"/>
  <c r="C1816" i="1"/>
  <c r="O1816" i="1" s="1" a="1"/>
  <c r="O1816" i="1" s="1"/>
  <c r="C1817" i="1"/>
  <c r="O1817" i="1" s="1" a="1"/>
  <c r="O1817" i="1" s="1"/>
  <c r="C1818" i="1"/>
  <c r="O1818" i="1" s="1" a="1"/>
  <c r="O1818" i="1" s="1"/>
  <c r="C1819" i="1"/>
  <c r="O1819" i="1" s="1" a="1"/>
  <c r="O1819" i="1" s="1"/>
  <c r="C1820" i="1"/>
  <c r="O1820" i="1" s="1" a="1"/>
  <c r="O1820" i="1" s="1"/>
  <c r="C1821" i="1"/>
  <c r="O1821" i="1" s="1" a="1"/>
  <c r="O1821" i="1" s="1"/>
  <c r="C1822" i="1"/>
  <c r="O1822" i="1" s="1" a="1"/>
  <c r="O1822" i="1" s="1"/>
  <c r="C1823" i="1"/>
  <c r="O1823" i="1" s="1" a="1"/>
  <c r="O1823" i="1" s="1"/>
  <c r="C1824" i="1"/>
  <c r="O1824" i="1" s="1" a="1"/>
  <c r="O1824" i="1" s="1"/>
  <c r="C1825" i="1"/>
  <c r="O1825" i="1" s="1" a="1"/>
  <c r="O1825" i="1" s="1"/>
  <c r="C1826" i="1"/>
  <c r="O1826" i="1" s="1" a="1"/>
  <c r="O1826" i="1" s="1"/>
  <c r="C1827" i="1"/>
  <c r="O1827" i="1" s="1" a="1"/>
  <c r="O1827" i="1" s="1"/>
  <c r="C1828" i="1"/>
  <c r="O1828" i="1" s="1" a="1"/>
  <c r="O1828" i="1" s="1"/>
  <c r="C1829" i="1"/>
  <c r="O1829" i="1" s="1" a="1"/>
  <c r="O1829" i="1" s="1"/>
  <c r="C1830" i="1"/>
  <c r="O1830" i="1" s="1" a="1"/>
  <c r="O1830" i="1" s="1"/>
  <c r="C1831" i="1"/>
  <c r="O1831" i="1" s="1" a="1"/>
  <c r="O1831" i="1" s="1"/>
  <c r="C1832" i="1"/>
  <c r="O1832" i="1" s="1" a="1"/>
  <c r="O1832" i="1" s="1"/>
  <c r="C1833" i="1"/>
  <c r="O1833" i="1" s="1" a="1"/>
  <c r="O1833" i="1" s="1"/>
  <c r="C1834" i="1"/>
  <c r="O1834" i="1" s="1" a="1"/>
  <c r="O1834" i="1" s="1"/>
  <c r="C1835" i="1"/>
  <c r="O1835" i="1" s="1" a="1"/>
  <c r="O1835" i="1" s="1"/>
  <c r="C1836" i="1"/>
  <c r="O1836" i="1" s="1" a="1"/>
  <c r="O1836" i="1" s="1"/>
  <c r="C1837" i="1"/>
  <c r="O1837" i="1" s="1" a="1"/>
  <c r="O1837" i="1" s="1"/>
  <c r="C1838" i="1"/>
  <c r="O1838" i="1" s="1" a="1"/>
  <c r="O1838" i="1" s="1"/>
  <c r="C1839" i="1"/>
  <c r="O1839" i="1" s="1" a="1"/>
  <c r="O1839" i="1" s="1"/>
  <c r="C1840" i="1"/>
  <c r="O1840" i="1" s="1" a="1"/>
  <c r="O1840" i="1" s="1"/>
  <c r="C1841" i="1"/>
  <c r="O1841" i="1" s="1" a="1"/>
  <c r="O1841" i="1" s="1"/>
  <c r="C1842" i="1"/>
  <c r="O1842" i="1" s="1" a="1"/>
  <c r="O1842" i="1" s="1"/>
  <c r="C1843" i="1"/>
  <c r="O1843" i="1" s="1" a="1"/>
  <c r="O1843" i="1" s="1"/>
  <c r="C1844" i="1"/>
  <c r="O1844" i="1" s="1" a="1"/>
  <c r="O1844" i="1" s="1"/>
  <c r="C1845" i="1"/>
  <c r="O1845" i="1" s="1" a="1"/>
  <c r="O1845" i="1" s="1"/>
  <c r="C1846" i="1"/>
  <c r="O1846" i="1" s="1" a="1"/>
  <c r="O1846" i="1" s="1"/>
  <c r="C1847" i="1"/>
  <c r="O1847" i="1" s="1" a="1"/>
  <c r="O1847" i="1" s="1"/>
  <c r="C1848" i="1"/>
  <c r="O1848" i="1" s="1" a="1"/>
  <c r="O1848" i="1" s="1"/>
  <c r="C1849" i="1"/>
  <c r="O1849" i="1" s="1" a="1"/>
  <c r="O1849" i="1" s="1"/>
  <c r="C1850" i="1"/>
  <c r="O1850" i="1" s="1" a="1"/>
  <c r="O1850" i="1" s="1"/>
  <c r="C1851" i="1"/>
  <c r="O1851" i="1" s="1" a="1"/>
  <c r="O1851" i="1" s="1"/>
  <c r="C1852" i="1"/>
  <c r="O1852" i="1" s="1" a="1"/>
  <c r="O1852" i="1" s="1"/>
  <c r="C1853" i="1"/>
  <c r="O1853" i="1" s="1" a="1"/>
  <c r="O1853" i="1" s="1"/>
  <c r="C1854" i="1"/>
  <c r="O1854" i="1" s="1" a="1"/>
  <c r="O1854" i="1" s="1"/>
  <c r="C1855" i="1"/>
  <c r="O1855" i="1" s="1" a="1"/>
  <c r="O1855" i="1" s="1"/>
  <c r="C1856" i="1"/>
  <c r="O1856" i="1" s="1" a="1"/>
  <c r="O1856" i="1" s="1"/>
  <c r="C1857" i="1"/>
  <c r="O1857" i="1" s="1" a="1"/>
  <c r="O1857" i="1" s="1"/>
  <c r="C1858" i="1"/>
  <c r="O1858" i="1" s="1" a="1"/>
  <c r="O1858" i="1" s="1"/>
  <c r="C1859" i="1"/>
  <c r="O1859" i="1" s="1" a="1"/>
  <c r="O1859" i="1" s="1"/>
  <c r="C1860" i="1"/>
  <c r="O1860" i="1" s="1" a="1"/>
  <c r="O1860" i="1" s="1"/>
  <c r="C1861" i="1"/>
  <c r="O1861" i="1" s="1" a="1"/>
  <c r="O1861" i="1" s="1"/>
  <c r="C1862" i="1"/>
  <c r="O1862" i="1" s="1" a="1"/>
  <c r="O1862" i="1" s="1"/>
  <c r="C1863" i="1"/>
  <c r="O1863" i="1" s="1" a="1"/>
  <c r="O1863" i="1" s="1"/>
  <c r="C1864" i="1"/>
  <c r="O1864" i="1" s="1" a="1"/>
  <c r="O1864" i="1" s="1"/>
  <c r="C1865" i="1"/>
  <c r="O1865" i="1" s="1" a="1"/>
  <c r="O1865" i="1" s="1"/>
  <c r="C1866" i="1"/>
  <c r="O1866" i="1" s="1" a="1"/>
  <c r="O1866" i="1" s="1"/>
  <c r="C1867" i="1"/>
  <c r="O1867" i="1" s="1" a="1"/>
  <c r="O1867" i="1" s="1"/>
  <c r="C1868" i="1"/>
  <c r="O1868" i="1" s="1" a="1"/>
  <c r="O1868" i="1" s="1"/>
  <c r="C1869" i="1"/>
  <c r="O1869" i="1" s="1" a="1"/>
  <c r="O1869" i="1" s="1"/>
  <c r="C1870" i="1"/>
  <c r="O1870" i="1" s="1" a="1"/>
  <c r="O1870" i="1" s="1"/>
  <c r="C1871" i="1"/>
  <c r="O1871" i="1" s="1" a="1"/>
  <c r="O1871" i="1" s="1"/>
  <c r="C1872" i="1"/>
  <c r="O1872" i="1" s="1" a="1"/>
  <c r="O1872" i="1" s="1"/>
  <c r="C1873" i="1"/>
  <c r="O1873" i="1" s="1" a="1"/>
  <c r="O1873" i="1" s="1"/>
  <c r="C1874" i="1"/>
  <c r="O1874" i="1" s="1" a="1"/>
  <c r="O1874" i="1" s="1"/>
  <c r="C1875" i="1"/>
  <c r="O1875" i="1" s="1" a="1"/>
  <c r="O1875" i="1" s="1"/>
  <c r="C1876" i="1"/>
  <c r="O1876" i="1" s="1" a="1"/>
  <c r="O1876" i="1" s="1"/>
  <c r="C1877" i="1"/>
  <c r="O1877" i="1" s="1" a="1"/>
  <c r="O1877" i="1" s="1"/>
  <c r="C1878" i="1"/>
  <c r="O1878" i="1" s="1" a="1"/>
  <c r="O1878" i="1" s="1"/>
  <c r="C1879" i="1"/>
  <c r="O1879" i="1" s="1" a="1"/>
  <c r="O1879" i="1" s="1"/>
  <c r="C1880" i="1"/>
  <c r="O1880" i="1" s="1" a="1"/>
  <c r="O1880" i="1" s="1"/>
  <c r="C1881" i="1"/>
  <c r="O1881" i="1" s="1" a="1"/>
  <c r="O1881" i="1" s="1"/>
  <c r="C1882" i="1"/>
  <c r="O1882" i="1" s="1" a="1"/>
  <c r="O1882" i="1" s="1"/>
  <c r="C1883" i="1"/>
  <c r="O1883" i="1" s="1" a="1"/>
  <c r="O1883" i="1" s="1"/>
  <c r="C1884" i="1"/>
  <c r="O1884" i="1" s="1" a="1"/>
  <c r="O1884" i="1" s="1"/>
  <c r="C1885" i="1"/>
  <c r="O1885" i="1" s="1" a="1"/>
  <c r="O1885" i="1" s="1"/>
  <c r="C1886" i="1"/>
  <c r="O1886" i="1" s="1" a="1"/>
  <c r="O1886" i="1" s="1"/>
  <c r="C1887" i="1"/>
  <c r="O1887" i="1" s="1" a="1"/>
  <c r="O1887" i="1" s="1"/>
  <c r="C1888" i="1"/>
  <c r="O1888" i="1" s="1" a="1"/>
  <c r="O1888" i="1" s="1"/>
  <c r="C1889" i="1"/>
  <c r="O1889" i="1" s="1" a="1"/>
  <c r="O1889" i="1" s="1"/>
  <c r="C1890" i="1"/>
  <c r="O1890" i="1" s="1" a="1"/>
  <c r="O1890" i="1" s="1"/>
  <c r="C1891" i="1"/>
  <c r="O1891" i="1" s="1" a="1"/>
  <c r="O1891" i="1" s="1"/>
  <c r="C1892" i="1"/>
  <c r="O1892" i="1" s="1" a="1"/>
  <c r="O1892" i="1" s="1"/>
  <c r="C1893" i="1"/>
  <c r="O1893" i="1" s="1" a="1"/>
  <c r="O1893" i="1" s="1"/>
  <c r="C1894" i="1"/>
  <c r="O1894" i="1" s="1" a="1"/>
  <c r="O1894" i="1" s="1"/>
  <c r="C1895" i="1"/>
  <c r="O1895" i="1" s="1" a="1"/>
  <c r="O1895" i="1" s="1"/>
  <c r="C1896" i="1"/>
  <c r="O1896" i="1" s="1" a="1"/>
  <c r="O1896" i="1" s="1"/>
  <c r="C1897" i="1"/>
  <c r="O1897" i="1" s="1" a="1"/>
  <c r="O1897" i="1" s="1"/>
  <c r="C1898" i="1"/>
  <c r="O1898" i="1" s="1" a="1"/>
  <c r="O1898" i="1" s="1"/>
  <c r="C1899" i="1"/>
  <c r="O1899" i="1" s="1" a="1"/>
  <c r="O1899" i="1" s="1"/>
  <c r="C1900" i="1"/>
  <c r="O1900" i="1" s="1" a="1"/>
  <c r="O1900" i="1" s="1"/>
  <c r="C1901" i="1"/>
  <c r="O1901" i="1" s="1" a="1"/>
  <c r="O1901" i="1" s="1"/>
  <c r="C1902" i="1"/>
  <c r="O1902" i="1" s="1" a="1"/>
  <c r="O1902" i="1" s="1"/>
  <c r="C1903" i="1"/>
  <c r="O1903" i="1" s="1" a="1"/>
  <c r="O1903" i="1" s="1"/>
  <c r="C1904" i="1"/>
  <c r="O1904" i="1" s="1" a="1"/>
  <c r="O1904" i="1" s="1"/>
  <c r="C1905" i="1"/>
  <c r="O1905" i="1" s="1" a="1"/>
  <c r="O1905" i="1" s="1"/>
  <c r="C1906" i="1"/>
  <c r="O1906" i="1" s="1" a="1"/>
  <c r="O1906" i="1" s="1"/>
  <c r="C1907" i="1"/>
  <c r="O1907" i="1" s="1" a="1"/>
  <c r="O1907" i="1" s="1"/>
  <c r="C1908" i="1"/>
  <c r="O1908" i="1" s="1" a="1"/>
  <c r="O1908" i="1" s="1"/>
  <c r="C1909" i="1"/>
  <c r="O1909" i="1" s="1" a="1"/>
  <c r="O1909" i="1" s="1"/>
  <c r="C1910" i="1"/>
  <c r="O1910" i="1" s="1" a="1"/>
  <c r="O1910" i="1" s="1"/>
  <c r="C1911" i="1"/>
  <c r="O1911" i="1" s="1" a="1"/>
  <c r="O1911" i="1" s="1"/>
  <c r="C1912" i="1"/>
  <c r="O1912" i="1" s="1" a="1"/>
  <c r="O1912" i="1" s="1"/>
  <c r="C1913" i="1"/>
  <c r="O1913" i="1" s="1" a="1"/>
  <c r="O1913" i="1" s="1"/>
  <c r="C1914" i="1"/>
  <c r="O1914" i="1" s="1" a="1"/>
  <c r="O1914" i="1" s="1"/>
  <c r="C1915" i="1"/>
  <c r="O1915" i="1" s="1" a="1"/>
  <c r="O1915" i="1" s="1"/>
  <c r="C1916" i="1"/>
  <c r="O1916" i="1" s="1" a="1"/>
  <c r="O1916" i="1" s="1"/>
  <c r="C1917" i="1"/>
  <c r="O1917" i="1" s="1" a="1"/>
  <c r="O1917" i="1" s="1"/>
  <c r="C1918" i="1"/>
  <c r="O1918" i="1" s="1" a="1"/>
  <c r="O1918" i="1" s="1"/>
  <c r="C1919" i="1"/>
  <c r="O1919" i="1" s="1" a="1"/>
  <c r="O1919" i="1" s="1"/>
  <c r="C1920" i="1"/>
  <c r="O1920" i="1" s="1" a="1"/>
  <c r="O1920" i="1" s="1"/>
  <c r="C1921" i="1"/>
  <c r="O1921" i="1" s="1" a="1"/>
  <c r="O1921" i="1" s="1"/>
  <c r="C1922" i="1"/>
  <c r="O1922" i="1" s="1" a="1"/>
  <c r="O1922" i="1" s="1"/>
  <c r="C1923" i="1"/>
  <c r="O1923" i="1" s="1" a="1"/>
  <c r="O1923" i="1" s="1"/>
  <c r="C1924" i="1"/>
  <c r="O1924" i="1" s="1" a="1"/>
  <c r="O1924" i="1" s="1"/>
  <c r="C1925" i="1"/>
  <c r="O1925" i="1" s="1" a="1"/>
  <c r="O1925" i="1" s="1"/>
  <c r="C1926" i="1"/>
  <c r="O1926" i="1" s="1" a="1"/>
  <c r="O1926" i="1" s="1"/>
  <c r="C1927" i="1"/>
  <c r="O1927" i="1" s="1" a="1"/>
  <c r="O1927" i="1" s="1"/>
  <c r="C1928" i="1"/>
  <c r="O1928" i="1" s="1" a="1"/>
  <c r="O1928" i="1" s="1"/>
  <c r="C1929" i="1"/>
  <c r="O1929" i="1" s="1" a="1"/>
  <c r="O1929" i="1" s="1"/>
  <c r="C1930" i="1"/>
  <c r="O1930" i="1" s="1" a="1"/>
  <c r="O1930" i="1" s="1"/>
  <c r="C1931" i="1"/>
  <c r="O1931" i="1" s="1" a="1"/>
  <c r="O1931" i="1" s="1"/>
  <c r="C1932" i="1"/>
  <c r="O1932" i="1" s="1" a="1"/>
  <c r="O1932" i="1" s="1"/>
  <c r="C1933" i="1"/>
  <c r="O1933" i="1" s="1" a="1"/>
  <c r="O1933" i="1" s="1"/>
  <c r="C1934" i="1"/>
  <c r="O1934" i="1" s="1" a="1"/>
  <c r="O1934" i="1" s="1"/>
  <c r="C1935" i="1"/>
  <c r="O1935" i="1" s="1" a="1"/>
  <c r="O1935" i="1" s="1"/>
  <c r="C1936" i="1"/>
  <c r="O1936" i="1" s="1" a="1"/>
  <c r="O1936" i="1" s="1"/>
  <c r="C1937" i="1"/>
  <c r="O1937" i="1" s="1" a="1"/>
  <c r="O1937" i="1" s="1"/>
  <c r="C1938" i="1"/>
  <c r="O1938" i="1" s="1" a="1"/>
  <c r="O1938" i="1" s="1"/>
  <c r="C1939" i="1"/>
  <c r="O1939" i="1" s="1" a="1"/>
  <c r="O1939" i="1" s="1"/>
  <c r="C1940" i="1"/>
  <c r="O1940" i="1" s="1" a="1"/>
  <c r="O1940" i="1" s="1"/>
  <c r="C1941" i="1"/>
  <c r="O1941" i="1" s="1" a="1"/>
  <c r="O1941" i="1" s="1"/>
  <c r="C1942" i="1"/>
  <c r="O1942" i="1" s="1" a="1"/>
  <c r="O1942" i="1" s="1"/>
  <c r="C1943" i="1"/>
  <c r="O1943" i="1" s="1" a="1"/>
  <c r="O1943" i="1" s="1"/>
  <c r="C1944" i="1"/>
  <c r="O1944" i="1" s="1" a="1"/>
  <c r="O1944" i="1" s="1"/>
  <c r="C1945" i="1"/>
  <c r="O1945" i="1" s="1" a="1"/>
  <c r="O1945" i="1" s="1"/>
  <c r="C1946" i="1"/>
  <c r="O1946" i="1" s="1" a="1"/>
  <c r="O1946" i="1" s="1"/>
  <c r="C1947" i="1"/>
  <c r="O1947" i="1" s="1" a="1"/>
  <c r="O1947" i="1" s="1"/>
  <c r="C1948" i="1"/>
  <c r="O1948" i="1" s="1" a="1"/>
  <c r="O1948" i="1" s="1"/>
  <c r="C1949" i="1"/>
  <c r="O1949" i="1" s="1" a="1"/>
  <c r="O1949" i="1" s="1"/>
  <c r="C1950" i="1"/>
  <c r="O1950" i="1" s="1" a="1"/>
  <c r="O1950" i="1" s="1"/>
  <c r="C1951" i="1"/>
  <c r="O1951" i="1" s="1" a="1"/>
  <c r="O1951" i="1" s="1"/>
  <c r="C1952" i="1"/>
  <c r="O1952" i="1" s="1" a="1"/>
  <c r="O1952" i="1" s="1"/>
  <c r="C1953" i="1"/>
  <c r="O1953" i="1" s="1" a="1"/>
  <c r="O1953" i="1" s="1"/>
  <c r="C1954" i="1"/>
  <c r="O1954" i="1" s="1" a="1"/>
  <c r="O1954" i="1" s="1"/>
  <c r="C1955" i="1"/>
  <c r="O1955" i="1" s="1" a="1"/>
  <c r="O1955" i="1" s="1"/>
  <c r="C1956" i="1"/>
  <c r="O1956" i="1" s="1" a="1"/>
  <c r="O1956" i="1" s="1"/>
  <c r="C1957" i="1"/>
  <c r="O1957" i="1" s="1" a="1"/>
  <c r="O1957" i="1" s="1"/>
  <c r="C1958" i="1"/>
  <c r="O1958" i="1" s="1" a="1"/>
  <c r="O1958" i="1" s="1"/>
  <c r="C1959" i="1"/>
  <c r="O1959" i="1" s="1" a="1"/>
  <c r="O1959" i="1" s="1"/>
  <c r="C1960" i="1"/>
  <c r="O1960" i="1" s="1" a="1"/>
  <c r="O1960" i="1" s="1"/>
  <c r="C1961" i="1"/>
  <c r="O1961" i="1" s="1" a="1"/>
  <c r="O1961" i="1" s="1"/>
  <c r="C1962" i="1"/>
  <c r="O1962" i="1" s="1" a="1"/>
  <c r="O1962" i="1" s="1"/>
  <c r="C1963" i="1"/>
  <c r="O1963" i="1" s="1" a="1"/>
  <c r="O1963" i="1" s="1"/>
  <c r="C1964" i="1"/>
  <c r="O1964" i="1" s="1" a="1"/>
  <c r="O1964" i="1" s="1"/>
  <c r="C1965" i="1"/>
  <c r="O1965" i="1" s="1" a="1"/>
  <c r="O1965" i="1" s="1"/>
  <c r="C1966" i="1"/>
  <c r="O1966" i="1" s="1" a="1"/>
  <c r="O1966" i="1" s="1"/>
  <c r="C1967" i="1"/>
  <c r="O1967" i="1" s="1" a="1"/>
  <c r="O1967" i="1" s="1"/>
  <c r="C1968" i="1"/>
  <c r="O1968" i="1" s="1" a="1"/>
  <c r="O1968" i="1" s="1"/>
  <c r="C1969" i="1"/>
  <c r="O1969" i="1" s="1" a="1"/>
  <c r="O1969" i="1" s="1"/>
  <c r="C1970" i="1"/>
  <c r="O1970" i="1" s="1" a="1"/>
  <c r="O1970" i="1" s="1"/>
  <c r="C1971" i="1"/>
  <c r="O1971" i="1" s="1" a="1"/>
  <c r="O1971" i="1" s="1"/>
  <c r="C1972" i="1"/>
  <c r="O1972" i="1" s="1" a="1"/>
  <c r="O1972" i="1" s="1"/>
  <c r="C1973" i="1"/>
  <c r="O1973" i="1" s="1" a="1"/>
  <c r="O1973" i="1" s="1"/>
  <c r="C1974" i="1"/>
  <c r="O1974" i="1" s="1" a="1"/>
  <c r="O1974" i="1" s="1"/>
  <c r="C1975" i="1"/>
  <c r="O1975" i="1" s="1" a="1"/>
  <c r="O1975" i="1" s="1"/>
  <c r="C1976" i="1"/>
  <c r="O1976" i="1" s="1" a="1"/>
  <c r="O1976" i="1" s="1"/>
  <c r="C1977" i="1"/>
  <c r="O1977" i="1" s="1" a="1"/>
  <c r="O1977" i="1" s="1"/>
  <c r="C1978" i="1"/>
  <c r="O1978" i="1" s="1" a="1"/>
  <c r="O1978" i="1" s="1"/>
  <c r="C1979" i="1"/>
  <c r="O1979" i="1" s="1" a="1"/>
  <c r="O1979" i="1" s="1"/>
  <c r="C1980" i="1"/>
  <c r="O1980" i="1" s="1" a="1"/>
  <c r="O1980" i="1" s="1"/>
  <c r="C1981" i="1"/>
  <c r="O1981" i="1" s="1" a="1"/>
  <c r="O1981" i="1" s="1"/>
  <c r="C1982" i="1"/>
  <c r="O1982" i="1" s="1" a="1"/>
  <c r="O1982" i="1" s="1"/>
  <c r="C1983" i="1"/>
  <c r="O1983" i="1" s="1" a="1"/>
  <c r="O1983" i="1" s="1"/>
  <c r="C1984" i="1"/>
  <c r="O1984" i="1" s="1" a="1"/>
  <c r="O1984" i="1" s="1"/>
  <c r="C1985" i="1"/>
  <c r="O1985" i="1" s="1" a="1"/>
  <c r="O1985" i="1" s="1"/>
  <c r="C1986" i="1"/>
  <c r="O1986" i="1" s="1" a="1"/>
  <c r="O1986" i="1" s="1"/>
  <c r="C1987" i="1"/>
  <c r="O1987" i="1" s="1" a="1"/>
  <c r="O1987" i="1" s="1"/>
  <c r="C1988" i="1"/>
  <c r="O1988" i="1" s="1" a="1"/>
  <c r="O1988" i="1" s="1"/>
  <c r="C1989" i="1"/>
  <c r="O1989" i="1" s="1" a="1"/>
  <c r="O1989" i="1" s="1"/>
  <c r="C1990" i="1"/>
  <c r="O1990" i="1" s="1" a="1"/>
  <c r="O1990" i="1" s="1"/>
  <c r="C1991" i="1"/>
  <c r="O1991" i="1" s="1" a="1"/>
  <c r="O1991" i="1" s="1"/>
  <c r="C1992" i="1"/>
  <c r="O1992" i="1" s="1" a="1"/>
  <c r="O1992" i="1" s="1"/>
  <c r="C1993" i="1"/>
  <c r="O1993" i="1" s="1" a="1"/>
  <c r="O1993" i="1" s="1"/>
  <c r="C1994" i="1"/>
  <c r="O1994" i="1" s="1" a="1"/>
  <c r="O1994" i="1" s="1"/>
  <c r="C1995" i="1"/>
  <c r="O1995" i="1" s="1" a="1"/>
  <c r="O1995" i="1" s="1"/>
  <c r="C1996" i="1"/>
  <c r="O1996" i="1" s="1" a="1"/>
  <c r="O1996" i="1" s="1"/>
  <c r="C1997" i="1"/>
  <c r="O1997" i="1" s="1" a="1"/>
  <c r="O1997" i="1" s="1"/>
  <c r="C1998" i="1"/>
  <c r="O1998" i="1" s="1" a="1"/>
  <c r="O1998" i="1" s="1"/>
  <c r="C1999" i="1"/>
  <c r="O1999" i="1" s="1" a="1"/>
  <c r="O1999" i="1" s="1"/>
  <c r="C2000" i="1"/>
  <c r="O2000" i="1" s="1" a="1"/>
  <c r="O2000" i="1" s="1"/>
  <c r="C2001" i="1"/>
  <c r="O2001" i="1" s="1" a="1"/>
  <c r="O2001" i="1" s="1"/>
  <c r="C2002" i="1"/>
  <c r="O2002" i="1" s="1" a="1"/>
  <c r="O2002" i="1" s="1"/>
  <c r="C2003" i="1"/>
  <c r="O2003" i="1" s="1" a="1"/>
  <c r="O2003" i="1" s="1"/>
  <c r="C2004" i="1"/>
  <c r="O2004" i="1" s="1" a="1"/>
  <c r="O2004" i="1" s="1"/>
  <c r="C2005" i="1"/>
  <c r="O2005" i="1" s="1" a="1"/>
  <c r="O2005" i="1" s="1"/>
  <c r="C2006" i="1"/>
  <c r="O2006" i="1" s="1" a="1"/>
  <c r="O2006" i="1" s="1"/>
  <c r="C2007" i="1"/>
  <c r="O2007" i="1" s="1" a="1"/>
  <c r="O2007" i="1" s="1"/>
  <c r="C2008" i="1"/>
  <c r="O2008" i="1" s="1" a="1"/>
  <c r="O2008" i="1" s="1"/>
  <c r="C2009" i="1"/>
  <c r="O2009" i="1" s="1" a="1"/>
  <c r="O2009" i="1" s="1"/>
  <c r="C2010" i="1"/>
  <c r="O2010" i="1" s="1" a="1"/>
  <c r="O2010" i="1" s="1"/>
  <c r="C2011" i="1"/>
  <c r="O2011" i="1" s="1" a="1"/>
  <c r="O2011" i="1" s="1"/>
  <c r="C2012" i="1"/>
  <c r="O2012" i="1" s="1" a="1"/>
  <c r="O2012" i="1" s="1"/>
  <c r="C2013" i="1"/>
  <c r="O2013" i="1" s="1" a="1"/>
  <c r="O2013" i="1" s="1"/>
  <c r="C2014" i="1"/>
  <c r="O2014" i="1" s="1" a="1"/>
  <c r="O2014" i="1" s="1"/>
  <c r="C2015" i="1"/>
  <c r="O2015" i="1" s="1" a="1"/>
  <c r="O2015" i="1" s="1"/>
  <c r="C2016" i="1"/>
  <c r="O2016" i="1" s="1" a="1"/>
  <c r="O2016" i="1" s="1"/>
  <c r="C2017" i="1"/>
  <c r="O2017" i="1" s="1" a="1"/>
  <c r="O2017" i="1" s="1"/>
  <c r="C2018" i="1"/>
  <c r="O2018" i="1" s="1" a="1"/>
  <c r="O2018" i="1" s="1"/>
  <c r="C2019" i="1"/>
  <c r="O2019" i="1" s="1" a="1"/>
  <c r="O2019" i="1" s="1"/>
  <c r="C2020" i="1"/>
  <c r="O2020" i="1" s="1" a="1"/>
  <c r="O2020" i="1" s="1"/>
  <c r="C2021" i="1"/>
  <c r="O2021" i="1" s="1" a="1"/>
  <c r="O2021" i="1" s="1"/>
  <c r="C2022" i="1"/>
  <c r="O2022" i="1" s="1" a="1"/>
  <c r="O2022" i="1" s="1"/>
  <c r="C2023" i="1"/>
  <c r="O2023" i="1" s="1" a="1"/>
  <c r="O2023" i="1" s="1"/>
  <c r="C2024" i="1"/>
  <c r="O2024" i="1" s="1" a="1"/>
  <c r="O2024" i="1" s="1"/>
  <c r="C2025" i="1"/>
  <c r="O2025" i="1" s="1" a="1"/>
  <c r="O2025" i="1" s="1"/>
  <c r="C2026" i="1"/>
  <c r="O2026" i="1" s="1" a="1"/>
  <c r="O2026" i="1" s="1"/>
  <c r="C2027" i="1"/>
  <c r="O2027" i="1" s="1" a="1"/>
  <c r="O2027" i="1" s="1"/>
  <c r="C2028" i="1"/>
  <c r="O2028" i="1" s="1" a="1"/>
  <c r="O2028" i="1" s="1"/>
  <c r="C2029" i="1"/>
  <c r="O2029" i="1" s="1" a="1"/>
  <c r="O2029" i="1" s="1"/>
  <c r="C2030" i="1"/>
  <c r="O2030" i="1" s="1" a="1"/>
  <c r="O2030" i="1" s="1"/>
  <c r="C2031" i="1"/>
  <c r="O2031" i="1" s="1" a="1"/>
  <c r="O2031" i="1" s="1"/>
  <c r="C2032" i="1"/>
  <c r="O2032" i="1" s="1" a="1"/>
  <c r="O2032" i="1" s="1"/>
  <c r="C2033" i="1"/>
  <c r="O2033" i="1" s="1" a="1"/>
  <c r="O2033" i="1" s="1"/>
  <c r="C2034" i="1"/>
  <c r="O2034" i="1" s="1" a="1"/>
  <c r="O2034" i="1" s="1"/>
  <c r="C2035" i="1"/>
  <c r="O2035" i="1" s="1" a="1"/>
  <c r="O2035" i="1" s="1"/>
  <c r="C2036" i="1"/>
  <c r="O2036" i="1" s="1" a="1"/>
  <c r="O2036" i="1" s="1"/>
  <c r="C2037" i="1"/>
  <c r="O2037" i="1" s="1" a="1"/>
  <c r="O2037" i="1" s="1"/>
  <c r="C2038" i="1"/>
  <c r="O2038" i="1" s="1" a="1"/>
  <c r="O2038" i="1" s="1"/>
  <c r="C2039" i="1"/>
  <c r="O2039" i="1" s="1" a="1"/>
  <c r="O2039" i="1" s="1"/>
  <c r="C2040" i="1"/>
  <c r="O2040" i="1" s="1" a="1"/>
  <c r="O2040" i="1" s="1"/>
  <c r="C2041" i="1"/>
  <c r="O2041" i="1" s="1" a="1"/>
  <c r="O2041" i="1" s="1"/>
  <c r="C2042" i="1"/>
  <c r="O2042" i="1" s="1" a="1"/>
  <c r="O2042" i="1" s="1"/>
  <c r="C2043" i="1"/>
  <c r="O2043" i="1" s="1" a="1"/>
  <c r="O2043" i="1" s="1"/>
  <c r="C2044" i="1"/>
  <c r="O2044" i="1" s="1" a="1"/>
  <c r="O2044" i="1" s="1"/>
  <c r="C2045" i="1"/>
  <c r="O2045" i="1" s="1" a="1"/>
  <c r="O2045" i="1" s="1"/>
  <c r="C2046" i="1"/>
  <c r="O2046" i="1" s="1" a="1"/>
  <c r="O2046" i="1" s="1"/>
  <c r="C2047" i="1"/>
  <c r="O2047" i="1" s="1" a="1"/>
  <c r="O2047" i="1" s="1"/>
  <c r="C2048" i="1"/>
  <c r="O2048" i="1" s="1" a="1"/>
  <c r="O2048" i="1" s="1"/>
  <c r="C2049" i="1"/>
  <c r="O2049" i="1" s="1" a="1"/>
  <c r="O2049" i="1" s="1"/>
  <c r="C2050" i="1"/>
  <c r="O2050" i="1" s="1" a="1"/>
  <c r="O2050" i="1" s="1"/>
  <c r="C2051" i="1"/>
  <c r="O2051" i="1" s="1" a="1"/>
  <c r="O2051" i="1" s="1"/>
  <c r="C2052" i="1"/>
  <c r="O2052" i="1" s="1" a="1"/>
  <c r="O2052" i="1" s="1"/>
  <c r="C2053" i="1"/>
  <c r="O2053" i="1" s="1" a="1"/>
  <c r="O2053" i="1" s="1"/>
  <c r="C2054" i="1"/>
  <c r="O2054" i="1" s="1" a="1"/>
  <c r="O2054" i="1" s="1"/>
  <c r="C2055" i="1"/>
  <c r="O2055" i="1" s="1" a="1"/>
  <c r="O2055" i="1" s="1"/>
  <c r="C2056" i="1"/>
  <c r="O2056" i="1" s="1" a="1"/>
  <c r="O2056" i="1" s="1"/>
  <c r="C2057" i="1"/>
  <c r="O2057" i="1" s="1" a="1"/>
  <c r="O2057" i="1" s="1"/>
  <c r="C2058" i="1"/>
  <c r="O2058" i="1" s="1" a="1"/>
  <c r="O2058" i="1" s="1"/>
  <c r="C2059" i="1"/>
  <c r="O2059" i="1" s="1" a="1"/>
  <c r="O2059" i="1" s="1"/>
  <c r="C2060" i="1"/>
  <c r="O2060" i="1" s="1" a="1"/>
  <c r="O2060" i="1" s="1"/>
  <c r="C2061" i="1"/>
  <c r="O2061" i="1" s="1" a="1"/>
  <c r="O2061" i="1" s="1"/>
  <c r="C2062" i="1"/>
  <c r="O2062" i="1" s="1" a="1"/>
  <c r="O2062" i="1" s="1"/>
  <c r="C2063" i="1"/>
  <c r="O2063" i="1" s="1" a="1"/>
  <c r="O2063" i="1" s="1"/>
  <c r="C2064" i="1"/>
  <c r="O2064" i="1" s="1" a="1"/>
  <c r="O2064" i="1" s="1"/>
  <c r="C2065" i="1"/>
  <c r="O2065" i="1" s="1" a="1"/>
  <c r="O2065" i="1" s="1"/>
  <c r="C2066" i="1"/>
  <c r="O2066" i="1" s="1" a="1"/>
  <c r="O2066" i="1" s="1"/>
  <c r="C2067" i="1"/>
  <c r="O2067" i="1" s="1" a="1"/>
  <c r="O2067" i="1" s="1"/>
  <c r="C2068" i="1"/>
  <c r="O2068" i="1" s="1" a="1"/>
  <c r="O2068" i="1" s="1"/>
  <c r="C2069" i="1"/>
  <c r="O2069" i="1" s="1" a="1"/>
  <c r="O2069" i="1" s="1"/>
  <c r="C2070" i="1"/>
  <c r="O2070" i="1" s="1" a="1"/>
  <c r="O2070" i="1" s="1"/>
  <c r="C2071" i="1"/>
  <c r="O2071" i="1" s="1" a="1"/>
  <c r="O2071" i="1" s="1"/>
  <c r="C2072" i="1"/>
  <c r="O2072" i="1" s="1" a="1"/>
  <c r="O2072" i="1" s="1"/>
  <c r="C2073" i="1"/>
  <c r="O2073" i="1" s="1" a="1"/>
  <c r="O2073" i="1" s="1"/>
  <c r="C2074" i="1"/>
  <c r="O2074" i="1" s="1" a="1"/>
  <c r="O2074" i="1" s="1"/>
  <c r="C2075" i="1"/>
  <c r="O2075" i="1" s="1" a="1"/>
  <c r="O2075" i="1" s="1"/>
  <c r="C2076" i="1"/>
  <c r="O2076" i="1" s="1" a="1"/>
  <c r="O2076" i="1" s="1"/>
  <c r="C2077" i="1"/>
  <c r="O2077" i="1" s="1" a="1"/>
  <c r="O2077" i="1" s="1"/>
  <c r="C2078" i="1"/>
  <c r="O2078" i="1" s="1" a="1"/>
  <c r="O2078" i="1" s="1"/>
  <c r="C2079" i="1"/>
  <c r="O2079" i="1" s="1" a="1"/>
  <c r="O2079" i="1" s="1"/>
  <c r="C2080" i="1"/>
  <c r="O2080" i="1" s="1" a="1"/>
  <c r="O2080" i="1" s="1"/>
  <c r="C2081" i="1"/>
  <c r="O2081" i="1" s="1" a="1"/>
  <c r="O2081" i="1" s="1"/>
  <c r="C2082" i="1"/>
  <c r="O2082" i="1" s="1" a="1"/>
  <c r="O2082" i="1" s="1"/>
  <c r="C2083" i="1"/>
  <c r="O2083" i="1" s="1" a="1"/>
  <c r="O2083" i="1" s="1"/>
  <c r="C2084" i="1"/>
  <c r="O2084" i="1" s="1" a="1"/>
  <c r="O2084" i="1" s="1"/>
  <c r="C2085" i="1"/>
  <c r="O2085" i="1" s="1" a="1"/>
  <c r="O2085" i="1" s="1"/>
  <c r="C2086" i="1"/>
  <c r="O2086" i="1" s="1" a="1"/>
  <c r="O2086" i="1" s="1"/>
  <c r="C2087" i="1"/>
  <c r="O2087" i="1" s="1" a="1"/>
  <c r="O2087" i="1" s="1"/>
  <c r="C2088" i="1"/>
  <c r="O2088" i="1" s="1" a="1"/>
  <c r="O2088" i="1" s="1"/>
  <c r="C2089" i="1"/>
  <c r="O2089" i="1" s="1" a="1"/>
  <c r="O2089" i="1" s="1"/>
  <c r="C2090" i="1"/>
  <c r="O2090" i="1" s="1" a="1"/>
  <c r="O2090" i="1" s="1"/>
  <c r="C2091" i="1"/>
  <c r="O2091" i="1" s="1" a="1"/>
  <c r="O2091" i="1" s="1"/>
  <c r="C2092" i="1"/>
  <c r="O2092" i="1" s="1" a="1"/>
  <c r="O2092" i="1" s="1"/>
  <c r="C2093" i="1"/>
  <c r="O2093" i="1" s="1" a="1"/>
  <c r="O2093" i="1" s="1"/>
  <c r="C2094" i="1"/>
  <c r="O2094" i="1" s="1" a="1"/>
  <c r="O2094" i="1" s="1"/>
  <c r="C2095" i="1"/>
  <c r="O2095" i="1" s="1" a="1"/>
  <c r="O2095" i="1" s="1"/>
  <c r="C2096" i="1"/>
  <c r="O2096" i="1" s="1" a="1"/>
  <c r="O2096" i="1" s="1"/>
  <c r="C2097" i="1"/>
  <c r="O2097" i="1" s="1" a="1"/>
  <c r="O2097" i="1" s="1"/>
  <c r="C2098" i="1"/>
  <c r="O2098" i="1" s="1" a="1"/>
  <c r="O2098" i="1" s="1"/>
  <c r="C2099" i="1"/>
  <c r="O2099" i="1" s="1" a="1"/>
  <c r="O2099" i="1" s="1"/>
  <c r="C2100" i="1"/>
  <c r="O2100" i="1" s="1" a="1"/>
  <c r="O2100" i="1" s="1"/>
  <c r="C2101" i="1"/>
  <c r="O2101" i="1" s="1" a="1"/>
  <c r="O2101" i="1" s="1"/>
  <c r="C2102" i="1"/>
  <c r="O2102" i="1" s="1" a="1"/>
  <c r="O2102" i="1" s="1"/>
  <c r="C2103" i="1"/>
  <c r="O2103" i="1" s="1" a="1"/>
  <c r="O2103" i="1" s="1"/>
  <c r="C2104" i="1"/>
  <c r="O2104" i="1" s="1" a="1"/>
  <c r="O2104" i="1" s="1"/>
  <c r="C2105" i="1"/>
  <c r="O2105" i="1" s="1" a="1"/>
  <c r="O2105" i="1" s="1"/>
  <c r="C2106" i="1"/>
  <c r="O2106" i="1" s="1" a="1"/>
  <c r="O2106" i="1" s="1"/>
  <c r="C2107" i="1"/>
  <c r="O2107" i="1" s="1" a="1"/>
  <c r="O2107" i="1" s="1"/>
  <c r="C2108" i="1"/>
  <c r="O2108" i="1" s="1" a="1"/>
  <c r="O2108" i="1" s="1"/>
  <c r="C2109" i="1"/>
  <c r="O2109" i="1" s="1" a="1"/>
  <c r="O2109" i="1" s="1"/>
  <c r="C2110" i="1"/>
  <c r="O2110" i="1" s="1" a="1"/>
  <c r="O2110" i="1" s="1"/>
  <c r="C2111" i="1"/>
  <c r="O2111" i="1" s="1" a="1"/>
  <c r="O2111" i="1" s="1"/>
  <c r="C2112" i="1"/>
  <c r="O2112" i="1" s="1" a="1"/>
  <c r="O2112" i="1" s="1"/>
  <c r="C2113" i="1"/>
  <c r="O2113" i="1" s="1" a="1"/>
  <c r="O2113" i="1" s="1"/>
  <c r="C2114" i="1"/>
  <c r="O2114" i="1" s="1" a="1"/>
  <c r="O2114" i="1" s="1"/>
  <c r="C2115" i="1"/>
  <c r="O2115" i="1" s="1" a="1"/>
  <c r="O2115" i="1" s="1"/>
  <c r="C2116" i="1"/>
  <c r="O2116" i="1" s="1" a="1"/>
  <c r="O2116" i="1" s="1"/>
  <c r="C2117" i="1"/>
  <c r="O2117" i="1" s="1" a="1"/>
  <c r="O2117" i="1" s="1"/>
  <c r="C2118" i="1"/>
  <c r="O2118" i="1" s="1" a="1"/>
  <c r="O2118" i="1" s="1"/>
  <c r="C2119" i="1"/>
  <c r="O2119" i="1" s="1" a="1"/>
  <c r="O2119" i="1" s="1"/>
  <c r="C2120" i="1"/>
  <c r="O2120" i="1" s="1" a="1"/>
  <c r="O2120" i="1" s="1"/>
  <c r="C2121" i="1"/>
  <c r="O2121" i="1" s="1" a="1"/>
  <c r="O2121" i="1" s="1"/>
  <c r="C2122" i="1"/>
  <c r="O2122" i="1" s="1" a="1"/>
  <c r="O2122" i="1" s="1"/>
  <c r="C2123" i="1"/>
  <c r="O2123" i="1" s="1" a="1"/>
  <c r="O2123" i="1" s="1"/>
  <c r="C2124" i="1"/>
  <c r="O2124" i="1" s="1" a="1"/>
  <c r="O2124" i="1" s="1"/>
  <c r="C2125" i="1"/>
  <c r="O2125" i="1" s="1" a="1"/>
  <c r="O2125" i="1" s="1"/>
  <c r="C2126" i="1"/>
  <c r="O2126" i="1" s="1" a="1"/>
  <c r="O2126" i="1" s="1"/>
  <c r="C2127" i="1"/>
  <c r="O2127" i="1" s="1" a="1"/>
  <c r="O2127" i="1" s="1"/>
  <c r="C2128" i="1"/>
  <c r="O2128" i="1" s="1" a="1"/>
  <c r="O2128" i="1" s="1"/>
  <c r="C2129" i="1"/>
  <c r="O2129" i="1" s="1" a="1"/>
  <c r="O2129" i="1" s="1"/>
  <c r="C2130" i="1"/>
  <c r="O2130" i="1" s="1" a="1"/>
  <c r="O2130" i="1" s="1"/>
  <c r="C2131" i="1"/>
  <c r="O2131" i="1" s="1" a="1"/>
  <c r="O2131" i="1" s="1"/>
  <c r="C2132" i="1"/>
  <c r="O2132" i="1" s="1" a="1"/>
  <c r="O2132" i="1" s="1"/>
  <c r="C2133" i="1"/>
  <c r="O2133" i="1" s="1" a="1"/>
  <c r="O2133" i="1" s="1"/>
  <c r="C2134" i="1"/>
  <c r="O2134" i="1" s="1" a="1"/>
  <c r="O2134" i="1" s="1"/>
  <c r="C2135" i="1"/>
  <c r="O2135" i="1" s="1" a="1"/>
  <c r="O2135" i="1" s="1"/>
  <c r="C2136" i="1"/>
  <c r="O2136" i="1" s="1" a="1"/>
  <c r="O2136" i="1" s="1"/>
  <c r="C2137" i="1"/>
  <c r="O2137" i="1" s="1" a="1"/>
  <c r="O2137" i="1" s="1"/>
  <c r="C2138" i="1"/>
  <c r="O2138" i="1" s="1" a="1"/>
  <c r="O2138" i="1" s="1"/>
  <c r="C2139" i="1"/>
  <c r="O2139" i="1" s="1" a="1"/>
  <c r="O2139" i="1" s="1"/>
  <c r="C2140" i="1"/>
  <c r="O2140" i="1" s="1" a="1"/>
  <c r="O2140" i="1" s="1"/>
  <c r="C2141" i="1"/>
  <c r="O2141" i="1" s="1" a="1"/>
  <c r="O2141" i="1" s="1"/>
  <c r="C2142" i="1"/>
  <c r="O2142" i="1" s="1" a="1"/>
  <c r="O2142" i="1" s="1"/>
  <c r="C2143" i="1"/>
  <c r="O2143" i="1" s="1" a="1"/>
  <c r="O2143" i="1" s="1"/>
  <c r="C2144" i="1"/>
  <c r="O2144" i="1" s="1" a="1"/>
  <c r="O2144" i="1" s="1"/>
  <c r="C2145" i="1"/>
  <c r="O2145" i="1" s="1" a="1"/>
  <c r="O2145" i="1" s="1"/>
  <c r="C2146" i="1"/>
  <c r="O2146" i="1" s="1" a="1"/>
  <c r="O2146" i="1" s="1"/>
  <c r="C2147" i="1"/>
  <c r="O2147" i="1" s="1" a="1"/>
  <c r="O2147" i="1" s="1"/>
  <c r="C2148" i="1"/>
  <c r="O2148" i="1" s="1" a="1"/>
  <c r="O2148" i="1" s="1"/>
  <c r="C2149" i="1"/>
  <c r="O2149" i="1" s="1" a="1"/>
  <c r="O2149" i="1" s="1"/>
  <c r="C2150" i="1"/>
  <c r="O2150" i="1" s="1" a="1"/>
  <c r="O2150" i="1" s="1"/>
  <c r="C2151" i="1"/>
  <c r="O2151" i="1" s="1" a="1"/>
  <c r="O2151" i="1" s="1"/>
  <c r="C2152" i="1"/>
  <c r="O2152" i="1" s="1" a="1"/>
  <c r="O2152" i="1" s="1"/>
  <c r="C2153" i="1"/>
  <c r="O2153" i="1" s="1" a="1"/>
  <c r="O2153" i="1" s="1"/>
  <c r="C2154" i="1"/>
  <c r="O2154" i="1" s="1" a="1"/>
  <c r="O2154" i="1" s="1"/>
  <c r="C2155" i="1"/>
  <c r="O2155" i="1" s="1" a="1"/>
  <c r="O2155" i="1" s="1"/>
  <c r="C2156" i="1"/>
  <c r="O2156" i="1" s="1" a="1"/>
  <c r="O2156" i="1" s="1"/>
  <c r="C2157" i="1"/>
  <c r="O2157" i="1" s="1" a="1"/>
  <c r="O2157" i="1" s="1"/>
  <c r="C2158" i="1"/>
  <c r="O2158" i="1" s="1" a="1"/>
  <c r="O2158" i="1" s="1"/>
  <c r="C2159" i="1"/>
  <c r="O2159" i="1" s="1" a="1"/>
  <c r="O2159" i="1" s="1"/>
  <c r="C2160" i="1"/>
  <c r="O2160" i="1" s="1" a="1"/>
  <c r="O2160" i="1" s="1"/>
  <c r="C2161" i="1"/>
  <c r="O2161" i="1" s="1" a="1"/>
  <c r="O2161" i="1" s="1"/>
  <c r="C2162" i="1"/>
  <c r="O2162" i="1" s="1" a="1"/>
  <c r="O2162" i="1" s="1"/>
  <c r="C2163" i="1"/>
  <c r="O2163" i="1" s="1" a="1"/>
  <c r="O2163" i="1" s="1"/>
  <c r="C2164" i="1"/>
  <c r="O2164" i="1" s="1" a="1"/>
  <c r="O2164" i="1" s="1"/>
  <c r="C2165" i="1"/>
  <c r="O2165" i="1" s="1" a="1"/>
  <c r="O2165" i="1" s="1"/>
  <c r="C2166" i="1"/>
  <c r="O2166" i="1" s="1" a="1"/>
  <c r="O2166" i="1" s="1"/>
  <c r="C2167" i="1"/>
  <c r="O2167" i="1" s="1" a="1"/>
  <c r="O2167" i="1" s="1"/>
  <c r="C2168" i="1"/>
  <c r="O2168" i="1" s="1" a="1"/>
  <c r="O2168" i="1" s="1"/>
  <c r="C2169" i="1"/>
  <c r="O2169" i="1" s="1" a="1"/>
  <c r="O2169" i="1" s="1"/>
  <c r="C2170" i="1"/>
  <c r="O2170" i="1" s="1" a="1"/>
  <c r="O2170" i="1" s="1"/>
  <c r="C2171" i="1"/>
  <c r="O2171" i="1" s="1" a="1"/>
  <c r="O2171" i="1" s="1"/>
  <c r="C2172" i="1"/>
  <c r="O2172" i="1" s="1" a="1"/>
  <c r="O2172" i="1" s="1"/>
  <c r="C2173" i="1"/>
  <c r="O2173" i="1" s="1" a="1"/>
  <c r="O2173" i="1" s="1"/>
  <c r="C2174" i="1"/>
  <c r="O2174" i="1" s="1" a="1"/>
  <c r="O2174" i="1" s="1"/>
  <c r="C2175" i="1"/>
  <c r="O2175" i="1" s="1" a="1"/>
  <c r="O2175" i="1" s="1"/>
  <c r="C2176" i="1"/>
  <c r="O2176" i="1" s="1" a="1"/>
  <c r="O2176" i="1" s="1"/>
  <c r="C2177" i="1"/>
  <c r="O2177" i="1" s="1" a="1"/>
  <c r="O2177" i="1" s="1"/>
  <c r="C2178" i="1"/>
  <c r="O2178" i="1" s="1" a="1"/>
  <c r="O2178" i="1" s="1"/>
  <c r="C2179" i="1"/>
  <c r="O2179" i="1" s="1" a="1"/>
  <c r="O2179" i="1" s="1"/>
  <c r="C2180" i="1"/>
  <c r="O2180" i="1" s="1" a="1"/>
  <c r="O2180" i="1" s="1"/>
  <c r="C2181" i="1"/>
  <c r="O2181" i="1" s="1" a="1"/>
  <c r="O2181" i="1" s="1"/>
  <c r="C2182" i="1"/>
  <c r="O2182" i="1" s="1" a="1"/>
  <c r="O2182" i="1" s="1"/>
  <c r="C2183" i="1"/>
  <c r="O2183" i="1" s="1" a="1"/>
  <c r="O2183" i="1" s="1"/>
  <c r="C2184" i="1"/>
  <c r="O2184" i="1" s="1" a="1"/>
  <c r="O2184" i="1" s="1"/>
  <c r="C2185" i="1"/>
  <c r="O2185" i="1" s="1" a="1"/>
  <c r="O2185" i="1" s="1"/>
  <c r="C2186" i="1"/>
  <c r="O2186" i="1" s="1" a="1"/>
  <c r="O2186" i="1" s="1"/>
  <c r="C2187" i="1"/>
  <c r="O2187" i="1" s="1" a="1"/>
  <c r="O2187" i="1" s="1"/>
  <c r="C2188" i="1"/>
  <c r="O2188" i="1" s="1" a="1"/>
  <c r="O2188" i="1" s="1"/>
  <c r="C2189" i="1"/>
  <c r="O2189" i="1" s="1" a="1"/>
  <c r="O2189" i="1" s="1"/>
  <c r="C2190" i="1"/>
  <c r="O2190" i="1" s="1" a="1"/>
  <c r="O2190" i="1" s="1"/>
  <c r="C2191" i="1"/>
  <c r="O2191" i="1" s="1" a="1"/>
  <c r="O2191" i="1" s="1"/>
  <c r="C2192" i="1"/>
  <c r="O2192" i="1" s="1" a="1"/>
  <c r="O2192" i="1" s="1"/>
  <c r="C2193" i="1"/>
  <c r="O2193" i="1" s="1" a="1"/>
  <c r="O2193" i="1" s="1"/>
  <c r="C2194" i="1"/>
  <c r="O2194" i="1" s="1" a="1"/>
  <c r="O2194" i="1" s="1"/>
  <c r="C2195" i="1"/>
  <c r="O2195" i="1" s="1" a="1"/>
  <c r="O2195" i="1" s="1"/>
  <c r="C2196" i="1"/>
  <c r="O2196" i="1" s="1" a="1"/>
  <c r="O2196" i="1" s="1"/>
  <c r="C2197" i="1"/>
  <c r="O2197" i="1" s="1" a="1"/>
  <c r="O2197" i="1" s="1"/>
  <c r="C2198" i="1"/>
  <c r="O2198" i="1" s="1" a="1"/>
  <c r="O2198" i="1" s="1"/>
  <c r="C2199" i="1"/>
  <c r="O2199" i="1" s="1" a="1"/>
  <c r="O2199" i="1" s="1"/>
  <c r="C2200" i="1"/>
  <c r="O2200" i="1" s="1" a="1"/>
  <c r="O2200" i="1" s="1"/>
  <c r="C2201" i="1"/>
  <c r="O2201" i="1" s="1" a="1"/>
  <c r="O2201" i="1" s="1"/>
  <c r="C2202" i="1"/>
  <c r="O2202" i="1" s="1" a="1"/>
  <c r="O2202" i="1" s="1"/>
  <c r="C2203" i="1"/>
  <c r="O2203" i="1" s="1" a="1"/>
  <c r="O2203" i="1" s="1"/>
  <c r="C2204" i="1"/>
  <c r="O2204" i="1" s="1" a="1"/>
  <c r="O2204" i="1" s="1"/>
  <c r="C2205" i="1"/>
  <c r="O2205" i="1" s="1" a="1"/>
  <c r="O2205" i="1" s="1"/>
  <c r="C2206" i="1"/>
  <c r="O2206" i="1" s="1" a="1"/>
  <c r="O2206" i="1" s="1"/>
  <c r="C2207" i="1"/>
  <c r="O2207" i="1" s="1" a="1"/>
  <c r="O2207" i="1" s="1"/>
  <c r="C2208" i="1"/>
  <c r="O2208" i="1" s="1" a="1"/>
  <c r="O2208" i="1" s="1"/>
  <c r="C2209" i="1"/>
  <c r="O2209" i="1" s="1" a="1"/>
  <c r="O2209" i="1" s="1"/>
  <c r="C2210" i="1"/>
  <c r="O2210" i="1" s="1" a="1"/>
  <c r="O2210" i="1" s="1"/>
  <c r="C2211" i="1"/>
  <c r="O2211" i="1" s="1" a="1"/>
  <c r="O2211" i="1" s="1"/>
  <c r="C2212" i="1"/>
  <c r="O2212" i="1" s="1" a="1"/>
  <c r="O2212" i="1" s="1"/>
  <c r="C2213" i="1"/>
  <c r="O2213" i="1" s="1" a="1"/>
  <c r="O2213" i="1" s="1"/>
  <c r="C2214" i="1"/>
  <c r="O2214" i="1" s="1" a="1"/>
  <c r="O2214" i="1" s="1"/>
  <c r="C2215" i="1"/>
  <c r="O2215" i="1" s="1" a="1"/>
  <c r="O2215" i="1" s="1"/>
  <c r="C2216" i="1"/>
  <c r="O2216" i="1" s="1" a="1"/>
  <c r="O2216" i="1" s="1"/>
  <c r="C2217" i="1"/>
  <c r="O2217" i="1" s="1" a="1"/>
  <c r="O2217" i="1" s="1"/>
  <c r="C2218" i="1"/>
  <c r="O2218" i="1" s="1" a="1"/>
  <c r="O2218" i="1" s="1"/>
  <c r="C2219" i="1"/>
  <c r="O2219" i="1" s="1" a="1"/>
  <c r="O2219" i="1" s="1"/>
  <c r="C2220" i="1"/>
  <c r="O2220" i="1" s="1" a="1"/>
  <c r="O2220" i="1" s="1"/>
  <c r="C2221" i="1"/>
  <c r="O2221" i="1" s="1" a="1"/>
  <c r="O2221" i="1" s="1"/>
  <c r="C2222" i="1"/>
  <c r="O2222" i="1" s="1" a="1"/>
  <c r="O2222" i="1" s="1"/>
  <c r="C2223" i="1"/>
  <c r="O2223" i="1" s="1" a="1"/>
  <c r="O2223" i="1" s="1"/>
  <c r="C2224" i="1"/>
  <c r="O2224" i="1" s="1" a="1"/>
  <c r="O2224" i="1" s="1"/>
  <c r="C2225" i="1"/>
  <c r="O2225" i="1" s="1" a="1"/>
  <c r="O2225" i="1" s="1"/>
  <c r="C2226" i="1"/>
  <c r="O2226" i="1" s="1" a="1"/>
  <c r="O2226" i="1" s="1"/>
  <c r="C2227" i="1"/>
  <c r="O2227" i="1" s="1" a="1"/>
  <c r="O2227" i="1" s="1"/>
  <c r="C2228" i="1"/>
  <c r="O2228" i="1" s="1" a="1"/>
  <c r="O2228" i="1" s="1"/>
  <c r="C2229" i="1"/>
  <c r="O2229" i="1" s="1" a="1"/>
  <c r="O2229" i="1" s="1"/>
  <c r="C2230" i="1"/>
  <c r="O2230" i="1" s="1" a="1"/>
  <c r="O2230" i="1" s="1"/>
  <c r="C2231" i="1"/>
  <c r="O2231" i="1" s="1" a="1"/>
  <c r="O2231" i="1" s="1"/>
  <c r="C2232" i="1"/>
  <c r="O2232" i="1" s="1" a="1"/>
  <c r="O2232" i="1" s="1"/>
  <c r="C2233" i="1"/>
  <c r="O2233" i="1" s="1" a="1"/>
  <c r="O2233" i="1" s="1"/>
  <c r="C2234" i="1"/>
  <c r="O2234" i="1" s="1" a="1"/>
  <c r="O2234" i="1" s="1"/>
  <c r="C2235" i="1"/>
  <c r="O2235" i="1" s="1" a="1"/>
  <c r="O2235" i="1" s="1"/>
  <c r="C2236" i="1"/>
  <c r="O2236" i="1" s="1" a="1"/>
  <c r="O2236" i="1" s="1"/>
  <c r="C2237" i="1"/>
  <c r="O2237" i="1" s="1" a="1"/>
  <c r="O2237" i="1" s="1"/>
  <c r="C2238" i="1"/>
  <c r="O2238" i="1" s="1" a="1"/>
  <c r="O2238" i="1" s="1"/>
  <c r="C2239" i="1"/>
  <c r="O2239" i="1" s="1" a="1"/>
  <c r="O2239" i="1" s="1"/>
  <c r="C2240" i="1"/>
  <c r="O2240" i="1" s="1" a="1"/>
  <c r="O2240" i="1" s="1"/>
  <c r="C2241" i="1"/>
  <c r="O2241" i="1" s="1" a="1"/>
  <c r="O2241" i="1" s="1"/>
  <c r="C2242" i="1"/>
  <c r="O2242" i="1" s="1" a="1"/>
  <c r="O2242" i="1" s="1"/>
  <c r="C2243" i="1"/>
  <c r="O2243" i="1" s="1" a="1"/>
  <c r="O2243" i="1" s="1"/>
  <c r="C2244" i="1"/>
  <c r="O2244" i="1" s="1" a="1"/>
  <c r="O2244" i="1" s="1"/>
  <c r="C2245" i="1"/>
  <c r="O2245" i="1" s="1" a="1"/>
  <c r="O2245" i="1" s="1"/>
  <c r="C2246" i="1"/>
  <c r="O2246" i="1" s="1" a="1"/>
  <c r="O2246" i="1" s="1"/>
  <c r="C2247" i="1"/>
  <c r="O2247" i="1" s="1" a="1"/>
  <c r="O2247" i="1" s="1"/>
  <c r="C2248" i="1"/>
  <c r="O2248" i="1" s="1" a="1"/>
  <c r="O2248" i="1" s="1"/>
  <c r="C2249" i="1"/>
  <c r="O2249" i="1" s="1" a="1"/>
  <c r="O2249" i="1" s="1"/>
  <c r="C2250" i="1"/>
  <c r="O2250" i="1" s="1" a="1"/>
  <c r="O2250" i="1" s="1"/>
  <c r="C2251" i="1"/>
  <c r="O2251" i="1" s="1" a="1"/>
  <c r="O2251" i="1" s="1"/>
  <c r="C2252" i="1"/>
  <c r="O2252" i="1" s="1" a="1"/>
  <c r="O2252" i="1" s="1"/>
  <c r="C2253" i="1"/>
  <c r="O2253" i="1" s="1" a="1"/>
  <c r="O2253" i="1" s="1"/>
  <c r="C2254" i="1"/>
  <c r="O2254" i="1" s="1" a="1"/>
  <c r="O2254" i="1" s="1"/>
  <c r="C2255" i="1"/>
  <c r="O2255" i="1" s="1" a="1"/>
  <c r="O2255" i="1" s="1"/>
  <c r="C2256" i="1"/>
  <c r="O2256" i="1" s="1" a="1"/>
  <c r="O2256" i="1" s="1"/>
  <c r="C2257" i="1"/>
  <c r="O2257" i="1" s="1" a="1"/>
  <c r="O2257" i="1" s="1"/>
  <c r="C2258" i="1"/>
  <c r="O2258" i="1" s="1" a="1"/>
  <c r="O2258" i="1" s="1"/>
  <c r="C2259" i="1"/>
  <c r="O2259" i="1" s="1" a="1"/>
  <c r="O2259" i="1" s="1"/>
  <c r="C2260" i="1"/>
  <c r="O2260" i="1" s="1" a="1"/>
  <c r="O2260" i="1" s="1"/>
  <c r="C2261" i="1"/>
  <c r="O2261" i="1" s="1" a="1"/>
  <c r="O2261" i="1" s="1"/>
  <c r="C2262" i="1"/>
  <c r="O2262" i="1" s="1" a="1"/>
  <c r="O2262" i="1" s="1"/>
  <c r="C2263" i="1"/>
  <c r="O2263" i="1" s="1" a="1"/>
  <c r="O2263" i="1" s="1"/>
  <c r="C2264" i="1"/>
  <c r="O2264" i="1" s="1" a="1"/>
  <c r="O2264" i="1" s="1"/>
  <c r="C2265" i="1"/>
  <c r="O2265" i="1" s="1" a="1"/>
  <c r="O2265" i="1" s="1"/>
  <c r="C2266" i="1"/>
  <c r="O2266" i="1" s="1" a="1"/>
  <c r="O2266" i="1" s="1"/>
  <c r="C2267" i="1"/>
  <c r="O2267" i="1" s="1" a="1"/>
  <c r="O2267" i="1" s="1"/>
  <c r="C2268" i="1"/>
  <c r="O2268" i="1" s="1" a="1"/>
  <c r="O2268" i="1" s="1"/>
  <c r="C2269" i="1"/>
  <c r="O2269" i="1" s="1" a="1"/>
  <c r="O2269" i="1" s="1"/>
  <c r="C2270" i="1"/>
  <c r="O2270" i="1" s="1" a="1"/>
  <c r="O2270" i="1" s="1"/>
  <c r="C2271" i="1"/>
  <c r="O2271" i="1" s="1" a="1"/>
  <c r="O2271" i="1" s="1"/>
  <c r="C2272" i="1"/>
  <c r="O2272" i="1" s="1" a="1"/>
  <c r="O2272" i="1" s="1"/>
  <c r="C2273" i="1"/>
  <c r="O2273" i="1" s="1" a="1"/>
  <c r="O2273" i="1" s="1"/>
  <c r="C2274" i="1"/>
  <c r="O2274" i="1" s="1" a="1"/>
  <c r="O2274" i="1" s="1"/>
  <c r="C2275" i="1"/>
  <c r="O2275" i="1" s="1" a="1"/>
  <c r="O2275" i="1" s="1"/>
  <c r="C2276" i="1"/>
  <c r="O2276" i="1" s="1" a="1"/>
  <c r="O2276" i="1" s="1"/>
  <c r="C2277" i="1"/>
  <c r="O2277" i="1" s="1" a="1"/>
  <c r="O2277" i="1" s="1"/>
  <c r="C2278" i="1"/>
  <c r="O2278" i="1" s="1" a="1"/>
  <c r="O2278" i="1" s="1"/>
  <c r="C2279" i="1"/>
  <c r="O2279" i="1" s="1" a="1"/>
  <c r="O2279" i="1" s="1"/>
  <c r="C2280" i="1"/>
  <c r="O2280" i="1" s="1" a="1"/>
  <c r="O2280" i="1" s="1"/>
  <c r="C2281" i="1"/>
  <c r="O2281" i="1" s="1" a="1"/>
  <c r="O2281" i="1" s="1"/>
  <c r="C2282" i="1"/>
  <c r="O2282" i="1" s="1" a="1"/>
  <c r="O2282" i="1" s="1"/>
  <c r="C2283" i="1"/>
  <c r="O2283" i="1" s="1" a="1"/>
  <c r="O2283" i="1" s="1"/>
  <c r="C2284" i="1"/>
  <c r="O2284" i="1" s="1" a="1"/>
  <c r="O2284" i="1" s="1"/>
  <c r="C2285" i="1"/>
  <c r="O2285" i="1" s="1" a="1"/>
  <c r="O2285" i="1" s="1"/>
  <c r="C2286" i="1"/>
  <c r="O2286" i="1" s="1" a="1"/>
  <c r="O2286" i="1" s="1"/>
  <c r="C2287" i="1"/>
  <c r="O2287" i="1" s="1" a="1"/>
  <c r="O2287" i="1" s="1"/>
  <c r="C2288" i="1"/>
  <c r="O2288" i="1" s="1" a="1"/>
  <c r="O2288" i="1" s="1"/>
  <c r="C2289" i="1"/>
  <c r="O2289" i="1" s="1" a="1"/>
  <c r="O2289" i="1" s="1"/>
  <c r="C2290" i="1"/>
  <c r="O2290" i="1" s="1" a="1"/>
  <c r="O2290" i="1" s="1"/>
  <c r="C2291" i="1"/>
  <c r="O2291" i="1" s="1" a="1"/>
  <c r="O2291" i="1" s="1"/>
  <c r="C2292" i="1"/>
  <c r="O2292" i="1" s="1" a="1"/>
  <c r="O2292" i="1" s="1"/>
  <c r="C2293" i="1"/>
  <c r="O2293" i="1" s="1" a="1"/>
  <c r="O2293" i="1" s="1"/>
  <c r="C2294" i="1"/>
  <c r="O2294" i="1" s="1" a="1"/>
  <c r="O2294" i="1" s="1"/>
  <c r="C2295" i="1"/>
  <c r="O2295" i="1" s="1" a="1"/>
  <c r="O2295" i="1" s="1"/>
  <c r="C2296" i="1"/>
  <c r="O2296" i="1" s="1" a="1"/>
  <c r="O2296" i="1" s="1"/>
  <c r="C2297" i="1"/>
  <c r="O2297" i="1" s="1" a="1"/>
  <c r="O2297" i="1" s="1"/>
  <c r="C2298" i="1"/>
  <c r="O2298" i="1" s="1" a="1"/>
  <c r="O2298" i="1" s="1"/>
  <c r="C2299" i="1"/>
  <c r="O2299" i="1" s="1" a="1"/>
  <c r="O2299" i="1" s="1"/>
  <c r="C2300" i="1"/>
  <c r="O2300" i="1" s="1" a="1"/>
  <c r="O2300" i="1" s="1"/>
  <c r="C2301" i="1"/>
  <c r="O2301" i="1" s="1" a="1"/>
  <c r="O2301" i="1" s="1"/>
  <c r="C2302" i="1"/>
  <c r="O2302" i="1" s="1" a="1"/>
  <c r="O2302" i="1" s="1"/>
  <c r="C2303" i="1"/>
  <c r="O2303" i="1" s="1" a="1"/>
  <c r="O2303" i="1" s="1"/>
  <c r="C2304" i="1"/>
  <c r="O2304" i="1" s="1" a="1"/>
  <c r="O2304" i="1" s="1"/>
  <c r="C2305" i="1"/>
  <c r="O2305" i="1" s="1" a="1"/>
  <c r="O2305" i="1" s="1"/>
  <c r="C2306" i="1"/>
  <c r="O2306" i="1" s="1" a="1"/>
  <c r="O2306" i="1" s="1"/>
  <c r="C2307" i="1"/>
  <c r="O2307" i="1" s="1" a="1"/>
  <c r="O2307" i="1" s="1"/>
  <c r="C2308" i="1"/>
  <c r="O2308" i="1" s="1" a="1"/>
  <c r="O2308" i="1" s="1"/>
  <c r="C2309" i="1"/>
  <c r="O2309" i="1" s="1" a="1"/>
  <c r="O2309" i="1" s="1"/>
  <c r="C2310" i="1"/>
  <c r="O2310" i="1" s="1" a="1"/>
  <c r="O2310" i="1" s="1"/>
  <c r="C2311" i="1"/>
  <c r="O2311" i="1" s="1" a="1"/>
  <c r="O2311" i="1" s="1"/>
  <c r="C2312" i="1"/>
  <c r="O2312" i="1" s="1" a="1"/>
  <c r="O2312" i="1" s="1"/>
  <c r="C2313" i="1"/>
  <c r="O2313" i="1" s="1" a="1"/>
  <c r="O2313" i="1" s="1"/>
  <c r="C2314" i="1"/>
  <c r="O2314" i="1" s="1" a="1"/>
  <c r="O2314" i="1" s="1"/>
  <c r="C2315" i="1"/>
  <c r="O2315" i="1" s="1" a="1"/>
  <c r="O2315" i="1" s="1"/>
  <c r="C2316" i="1"/>
  <c r="O2316" i="1" s="1" a="1"/>
  <c r="O2316" i="1" s="1"/>
  <c r="C2317" i="1"/>
  <c r="O2317" i="1" s="1" a="1"/>
  <c r="O2317" i="1" s="1"/>
  <c r="C2318" i="1"/>
  <c r="O2318" i="1" s="1" a="1"/>
  <c r="O2318" i="1" s="1"/>
  <c r="C2319" i="1"/>
  <c r="O2319" i="1" s="1" a="1"/>
  <c r="O2319" i="1" s="1"/>
  <c r="C2320" i="1"/>
  <c r="O2320" i="1" s="1" a="1"/>
  <c r="O2320" i="1" s="1"/>
  <c r="C2321" i="1"/>
  <c r="O2321" i="1" s="1" a="1"/>
  <c r="O2321" i="1" s="1"/>
  <c r="C2322" i="1"/>
  <c r="O2322" i="1" s="1" a="1"/>
  <c r="O2322" i="1" s="1"/>
  <c r="C2323" i="1"/>
  <c r="O2323" i="1" s="1" a="1"/>
  <c r="O2323" i="1" s="1"/>
  <c r="C2324" i="1"/>
  <c r="O2324" i="1" s="1" a="1"/>
  <c r="O2324" i="1" s="1"/>
  <c r="C2325" i="1"/>
  <c r="O2325" i="1" s="1" a="1"/>
  <c r="O2325" i="1" s="1"/>
  <c r="C2326" i="1"/>
  <c r="O2326" i="1" s="1" a="1"/>
  <c r="O2326" i="1" s="1"/>
  <c r="C2327" i="1"/>
  <c r="O2327" i="1" s="1" a="1"/>
  <c r="O2327" i="1" s="1"/>
  <c r="C2328" i="1"/>
  <c r="O2328" i="1" s="1" a="1"/>
  <c r="O2328" i="1" s="1"/>
  <c r="C2329" i="1"/>
  <c r="O2329" i="1" s="1" a="1"/>
  <c r="O2329" i="1" s="1"/>
  <c r="C2330" i="1"/>
  <c r="O2330" i="1" s="1" a="1"/>
  <c r="O2330" i="1" s="1"/>
  <c r="C2331" i="1"/>
  <c r="O2331" i="1" s="1" a="1"/>
  <c r="O2331" i="1" s="1"/>
  <c r="C2332" i="1"/>
  <c r="O2332" i="1" s="1" a="1"/>
  <c r="O2332" i="1" s="1"/>
  <c r="C2333" i="1"/>
  <c r="O2333" i="1" s="1" a="1"/>
  <c r="O2333" i="1" s="1"/>
  <c r="C2334" i="1"/>
  <c r="O2334" i="1" s="1" a="1"/>
  <c r="O2334" i="1" s="1"/>
  <c r="C2335" i="1"/>
  <c r="O2335" i="1" s="1" a="1"/>
  <c r="O2335" i="1" s="1"/>
  <c r="C2336" i="1"/>
  <c r="O2336" i="1" s="1" a="1"/>
  <c r="O2336" i="1" s="1"/>
  <c r="C2337" i="1"/>
  <c r="O2337" i="1" s="1" a="1"/>
  <c r="O2337" i="1" s="1"/>
  <c r="C2338" i="1"/>
  <c r="O2338" i="1" s="1" a="1"/>
  <c r="O2338" i="1" s="1"/>
  <c r="C2339" i="1"/>
  <c r="O2339" i="1" s="1" a="1"/>
  <c r="O2339" i="1" s="1"/>
  <c r="C2340" i="1"/>
  <c r="O2340" i="1" s="1" a="1"/>
  <c r="O2340" i="1" s="1"/>
  <c r="C2341" i="1"/>
  <c r="O2341" i="1" s="1" a="1"/>
  <c r="O2341" i="1" s="1"/>
  <c r="C2342" i="1"/>
  <c r="O2342" i="1" s="1" a="1"/>
  <c r="O2342" i="1" s="1"/>
  <c r="C2343" i="1"/>
  <c r="O2343" i="1" s="1" a="1"/>
  <c r="O2343" i="1" s="1"/>
  <c r="C2344" i="1"/>
  <c r="O2344" i="1" s="1" a="1"/>
  <c r="O2344" i="1" s="1"/>
  <c r="C2345" i="1"/>
  <c r="O2345" i="1" s="1" a="1"/>
  <c r="O2345" i="1" s="1"/>
  <c r="C2346" i="1"/>
  <c r="O2346" i="1" s="1" a="1"/>
  <c r="O2346" i="1" s="1"/>
  <c r="C2347" i="1"/>
  <c r="O2347" i="1" s="1" a="1"/>
  <c r="O2347" i="1" s="1"/>
  <c r="C2348" i="1"/>
  <c r="O2348" i="1" s="1" a="1"/>
  <c r="O2348" i="1" s="1"/>
  <c r="C2349" i="1"/>
  <c r="O2349" i="1" s="1" a="1"/>
  <c r="O2349" i="1" s="1"/>
  <c r="C2350" i="1"/>
  <c r="O2350" i="1" s="1" a="1"/>
  <c r="O2350" i="1" s="1"/>
  <c r="C2351" i="1"/>
  <c r="O2351" i="1" s="1" a="1"/>
  <c r="O2351" i="1" s="1"/>
  <c r="C2352" i="1"/>
  <c r="O2352" i="1" s="1" a="1"/>
  <c r="O2352" i="1" s="1"/>
  <c r="C2353" i="1"/>
  <c r="O2353" i="1" s="1" a="1"/>
  <c r="O2353" i="1" s="1"/>
  <c r="C2354" i="1"/>
  <c r="O2354" i="1" s="1" a="1"/>
  <c r="O2354" i="1" s="1"/>
  <c r="C2355" i="1"/>
  <c r="O2355" i="1" s="1" a="1"/>
  <c r="O2355" i="1" s="1"/>
  <c r="C2356" i="1"/>
  <c r="O2356" i="1" s="1" a="1"/>
  <c r="O2356" i="1" s="1"/>
  <c r="C2357" i="1"/>
  <c r="O2357" i="1" s="1" a="1"/>
  <c r="O2357" i="1" s="1"/>
  <c r="C2358" i="1"/>
  <c r="O2358" i="1" s="1" a="1"/>
  <c r="O2358" i="1" s="1"/>
  <c r="C2359" i="1"/>
  <c r="O2359" i="1" s="1" a="1"/>
  <c r="O2359" i="1" s="1"/>
  <c r="C2360" i="1"/>
  <c r="O2360" i="1" s="1" a="1"/>
  <c r="O2360" i="1" s="1"/>
  <c r="C2361" i="1"/>
  <c r="O2361" i="1" s="1" a="1"/>
  <c r="O2361" i="1" s="1"/>
  <c r="C2362" i="1"/>
  <c r="O2362" i="1" s="1" a="1"/>
  <c r="O2362" i="1" s="1"/>
  <c r="C2363" i="1"/>
  <c r="O2363" i="1" s="1" a="1"/>
  <c r="O2363" i="1" s="1"/>
  <c r="C2364" i="1"/>
  <c r="O2364" i="1" s="1" a="1"/>
  <c r="O2364" i="1" s="1"/>
  <c r="C2365" i="1"/>
  <c r="O2365" i="1" s="1" a="1"/>
  <c r="O2365" i="1" s="1"/>
  <c r="C2366" i="1"/>
  <c r="O2366" i="1" s="1" a="1"/>
  <c r="O2366" i="1" s="1"/>
  <c r="C2367" i="1"/>
  <c r="O2367" i="1" s="1" a="1"/>
  <c r="O2367" i="1" s="1"/>
  <c r="C2368" i="1"/>
  <c r="O2368" i="1" s="1" a="1"/>
  <c r="O2368" i="1" s="1"/>
  <c r="C2369" i="1"/>
  <c r="O2369" i="1" s="1" a="1"/>
  <c r="O2369" i="1" s="1"/>
  <c r="C2370" i="1"/>
  <c r="O2370" i="1" s="1" a="1"/>
  <c r="O2370" i="1" s="1"/>
  <c r="C2371" i="1"/>
  <c r="O2371" i="1" s="1" a="1"/>
  <c r="O2371" i="1" s="1"/>
  <c r="C2372" i="1"/>
  <c r="O2372" i="1" s="1" a="1"/>
  <c r="O2372" i="1" s="1"/>
  <c r="C2373" i="1"/>
  <c r="O2373" i="1" s="1" a="1"/>
  <c r="O2373" i="1" s="1"/>
  <c r="C2374" i="1"/>
  <c r="O2374" i="1" s="1" a="1"/>
  <c r="O2374" i="1" s="1"/>
  <c r="C2375" i="1"/>
  <c r="O2375" i="1" s="1" a="1"/>
  <c r="O2375" i="1" s="1"/>
  <c r="C2376" i="1"/>
  <c r="O2376" i="1" s="1" a="1"/>
  <c r="O2376" i="1" s="1"/>
  <c r="C2377" i="1"/>
  <c r="O2377" i="1" s="1" a="1"/>
  <c r="O2377" i="1" s="1"/>
  <c r="C2378" i="1"/>
  <c r="O2378" i="1" s="1" a="1"/>
  <c r="O2378" i="1" s="1"/>
  <c r="C2379" i="1"/>
  <c r="O2379" i="1" s="1" a="1"/>
  <c r="O2379" i="1" s="1"/>
  <c r="C2380" i="1"/>
  <c r="O2380" i="1" s="1" a="1"/>
  <c r="O2380" i="1" s="1"/>
  <c r="C2381" i="1"/>
  <c r="O2381" i="1" s="1" a="1"/>
  <c r="O2381" i="1" s="1"/>
  <c r="C2382" i="1"/>
  <c r="O2382" i="1" s="1" a="1"/>
  <c r="O2382" i="1" s="1"/>
  <c r="C2383" i="1"/>
  <c r="O2383" i="1" s="1" a="1"/>
  <c r="O2383" i="1" s="1"/>
  <c r="C2384" i="1"/>
  <c r="O2384" i="1" s="1" a="1"/>
  <c r="O2384" i="1" s="1"/>
  <c r="C2385" i="1"/>
  <c r="O2385" i="1" s="1" a="1"/>
  <c r="O2385" i="1" s="1"/>
  <c r="C2386" i="1"/>
  <c r="O2386" i="1" s="1" a="1"/>
  <c r="O2386" i="1" s="1"/>
  <c r="C2387" i="1"/>
  <c r="O2387" i="1" s="1" a="1"/>
  <c r="O2387" i="1" s="1"/>
  <c r="C2388" i="1"/>
  <c r="O2388" i="1" s="1" a="1"/>
  <c r="O2388" i="1" s="1"/>
  <c r="C2389" i="1"/>
  <c r="O2389" i="1" s="1" a="1"/>
  <c r="O2389" i="1" s="1"/>
  <c r="C2390" i="1"/>
  <c r="O2390" i="1" s="1" a="1"/>
  <c r="O2390" i="1" s="1"/>
  <c r="C2391" i="1"/>
  <c r="O2391" i="1" s="1" a="1"/>
  <c r="O2391" i="1" s="1"/>
  <c r="C2392" i="1"/>
  <c r="O2392" i="1" s="1" a="1"/>
  <c r="O2392" i="1" s="1"/>
  <c r="C2393" i="1"/>
  <c r="O2393" i="1" s="1" a="1"/>
  <c r="O2393" i="1" s="1"/>
  <c r="C2394" i="1"/>
  <c r="O2394" i="1" s="1" a="1"/>
  <c r="O2394" i="1" s="1"/>
  <c r="C2395" i="1"/>
  <c r="O2395" i="1" s="1" a="1"/>
  <c r="O2395" i="1" s="1"/>
  <c r="C2396" i="1"/>
  <c r="O2396" i="1" s="1" a="1"/>
  <c r="O2396" i="1" s="1"/>
  <c r="C2397" i="1"/>
  <c r="O2397" i="1" s="1" a="1"/>
  <c r="O2397" i="1" s="1"/>
  <c r="C2398" i="1"/>
  <c r="O2398" i="1" s="1" a="1"/>
  <c r="O2398" i="1" s="1"/>
  <c r="C2399" i="1"/>
  <c r="O2399" i="1" s="1" a="1"/>
  <c r="O2399" i="1" s="1"/>
  <c r="C2400" i="1"/>
  <c r="O2400" i="1" s="1" a="1"/>
  <c r="O2400" i="1" s="1"/>
  <c r="C2401" i="1"/>
  <c r="O2401" i="1" s="1" a="1"/>
  <c r="O2401" i="1" s="1"/>
  <c r="C2402" i="1"/>
  <c r="O2402" i="1" s="1" a="1"/>
  <c r="O2402" i="1" s="1"/>
  <c r="C2403" i="1"/>
  <c r="O2403" i="1" s="1" a="1"/>
  <c r="O2403" i="1" s="1"/>
  <c r="C2404" i="1"/>
  <c r="O2404" i="1" s="1" a="1"/>
  <c r="O2404" i="1" s="1"/>
  <c r="C2405" i="1"/>
  <c r="O2405" i="1" s="1" a="1"/>
  <c r="O2405" i="1" s="1"/>
  <c r="C2406" i="1"/>
  <c r="O2406" i="1" s="1" a="1"/>
  <c r="O2406" i="1" s="1"/>
  <c r="C2407" i="1"/>
  <c r="O2407" i="1" s="1" a="1"/>
  <c r="O2407" i="1" s="1"/>
  <c r="C2408" i="1"/>
  <c r="O2408" i="1" s="1" a="1"/>
  <c r="O2408" i="1" s="1"/>
  <c r="C2409" i="1"/>
  <c r="O2409" i="1" s="1" a="1"/>
  <c r="O2409" i="1" s="1"/>
  <c r="C2410" i="1"/>
  <c r="O2410" i="1" s="1" a="1"/>
  <c r="O2410" i="1" s="1"/>
  <c r="C2411" i="1"/>
  <c r="O2411" i="1" s="1" a="1"/>
  <c r="O2411" i="1" s="1"/>
  <c r="C2412" i="1"/>
  <c r="O2412" i="1" s="1" a="1"/>
  <c r="O2412" i="1" s="1"/>
  <c r="C2413" i="1"/>
  <c r="O2413" i="1" s="1" a="1"/>
  <c r="O2413" i="1" s="1"/>
  <c r="C2414" i="1"/>
  <c r="O2414" i="1" s="1" a="1"/>
  <c r="O2414" i="1" s="1"/>
  <c r="C2415" i="1"/>
  <c r="O2415" i="1" s="1" a="1"/>
  <c r="O2415" i="1" s="1"/>
  <c r="C2416" i="1"/>
  <c r="O2416" i="1" s="1" a="1"/>
  <c r="O2416" i="1" s="1"/>
  <c r="C2417" i="1"/>
  <c r="O2417" i="1" s="1" a="1"/>
  <c r="O2417" i="1" s="1"/>
  <c r="C2418" i="1"/>
  <c r="O2418" i="1" s="1" a="1"/>
  <c r="O2418" i="1" s="1"/>
  <c r="C2419" i="1"/>
  <c r="O2419" i="1" s="1" a="1"/>
  <c r="O2419" i="1" s="1"/>
  <c r="C2420" i="1"/>
  <c r="O2420" i="1" s="1" a="1"/>
  <c r="O2420" i="1" s="1"/>
  <c r="C2421" i="1"/>
  <c r="O2421" i="1" s="1" a="1"/>
  <c r="O2421" i="1" s="1"/>
  <c r="C2422" i="1"/>
  <c r="O2422" i="1" s="1" a="1"/>
  <c r="O2422" i="1" s="1"/>
  <c r="C2423" i="1"/>
  <c r="O2423" i="1" s="1" a="1"/>
  <c r="O2423" i="1" s="1"/>
  <c r="C2424" i="1"/>
  <c r="O2424" i="1" s="1" a="1"/>
  <c r="O2424" i="1" s="1"/>
  <c r="C2425" i="1"/>
  <c r="O2425" i="1" s="1" a="1"/>
  <c r="O2425" i="1" s="1"/>
  <c r="C2426" i="1"/>
  <c r="O2426" i="1" s="1" a="1"/>
  <c r="O2426" i="1" s="1"/>
  <c r="C2427" i="1"/>
  <c r="O2427" i="1" s="1" a="1"/>
  <c r="O2427" i="1" s="1"/>
  <c r="C2428" i="1"/>
  <c r="O2428" i="1" s="1" a="1"/>
  <c r="O2428" i="1" s="1"/>
  <c r="C2429" i="1"/>
  <c r="O2429" i="1" s="1" a="1"/>
  <c r="O2429" i="1" s="1"/>
  <c r="C2430" i="1"/>
  <c r="O2430" i="1" s="1" a="1"/>
  <c r="O2430" i="1" s="1"/>
  <c r="C2431" i="1"/>
  <c r="O2431" i="1" s="1" a="1"/>
  <c r="O2431" i="1" s="1"/>
  <c r="C2432" i="1"/>
  <c r="O2432" i="1" s="1" a="1"/>
  <c r="O2432" i="1" s="1"/>
  <c r="C2433" i="1"/>
  <c r="O2433" i="1" s="1" a="1"/>
  <c r="O2433" i="1" s="1"/>
  <c r="C2434" i="1"/>
  <c r="O2434" i="1" s="1" a="1"/>
  <c r="O2434" i="1" s="1"/>
  <c r="C2435" i="1"/>
  <c r="O2435" i="1" s="1" a="1"/>
  <c r="O2435" i="1" s="1"/>
  <c r="C2436" i="1"/>
  <c r="O2436" i="1" s="1" a="1"/>
  <c r="O2436" i="1" s="1"/>
  <c r="C2437" i="1"/>
  <c r="O2437" i="1" s="1" a="1"/>
  <c r="O2437" i="1" s="1"/>
  <c r="C2438" i="1"/>
  <c r="O2438" i="1" s="1" a="1"/>
  <c r="O2438" i="1" s="1"/>
  <c r="C2439" i="1"/>
  <c r="O2439" i="1" s="1" a="1"/>
  <c r="O2439" i="1" s="1"/>
  <c r="C2440" i="1"/>
  <c r="O2440" i="1" s="1" a="1"/>
  <c r="O2440" i="1" s="1"/>
  <c r="C2441" i="1"/>
  <c r="O2441" i="1" s="1" a="1"/>
  <c r="O2441" i="1" s="1"/>
  <c r="C2442" i="1"/>
  <c r="O2442" i="1" s="1" a="1"/>
  <c r="O2442" i="1" s="1"/>
  <c r="C2443" i="1"/>
  <c r="O2443" i="1" s="1" a="1"/>
  <c r="O2443" i="1" s="1"/>
  <c r="C2444" i="1"/>
  <c r="O2444" i="1" s="1" a="1"/>
  <c r="O2444" i="1" s="1"/>
  <c r="C2445" i="1"/>
  <c r="O2445" i="1" s="1" a="1"/>
  <c r="O2445" i="1" s="1"/>
  <c r="C2446" i="1"/>
  <c r="O2446" i="1" s="1" a="1"/>
  <c r="O2446" i="1" s="1"/>
  <c r="C2447" i="1"/>
  <c r="O2447" i="1" s="1" a="1"/>
  <c r="O2447" i="1" s="1"/>
  <c r="C2448" i="1"/>
  <c r="O2448" i="1" s="1" a="1"/>
  <c r="O2448" i="1" s="1"/>
  <c r="C2449" i="1"/>
  <c r="O2449" i="1" s="1" a="1"/>
  <c r="O2449" i="1" s="1"/>
  <c r="C2450" i="1"/>
  <c r="O2450" i="1" s="1" a="1"/>
  <c r="O2450" i="1" s="1"/>
  <c r="C2451" i="1"/>
  <c r="O2451" i="1" s="1" a="1"/>
  <c r="O2451" i="1" s="1"/>
  <c r="C2452" i="1"/>
  <c r="O2452" i="1" s="1" a="1"/>
  <c r="O2452" i="1" s="1"/>
  <c r="C2453" i="1"/>
  <c r="O2453" i="1" s="1" a="1"/>
  <c r="O2453" i="1" s="1"/>
  <c r="C2454" i="1"/>
  <c r="O2454" i="1" s="1" a="1"/>
  <c r="O2454" i="1" s="1"/>
  <c r="C2455" i="1"/>
  <c r="O2455" i="1" s="1" a="1"/>
  <c r="O2455" i="1" s="1"/>
  <c r="C2456" i="1"/>
  <c r="O2456" i="1" s="1" a="1"/>
  <c r="O2456" i="1" s="1"/>
  <c r="C2457" i="1"/>
  <c r="O2457" i="1" s="1" a="1"/>
  <c r="O2457" i="1" s="1"/>
  <c r="C2458" i="1"/>
  <c r="O2458" i="1" s="1" a="1"/>
  <c r="O2458" i="1" s="1"/>
  <c r="C2459" i="1"/>
  <c r="O2459" i="1" s="1" a="1"/>
  <c r="O2459" i="1" s="1"/>
  <c r="C2460" i="1"/>
  <c r="O2460" i="1" s="1" a="1"/>
  <c r="O2460" i="1" s="1"/>
  <c r="C2461" i="1"/>
  <c r="O2461" i="1" s="1" a="1"/>
  <c r="O2461" i="1" s="1"/>
  <c r="C2462" i="1"/>
  <c r="O2462" i="1" s="1" a="1"/>
  <c r="O2462" i="1" s="1"/>
  <c r="C2463" i="1"/>
  <c r="O2463" i="1" s="1" a="1"/>
  <c r="O2463" i="1" s="1"/>
  <c r="C2464" i="1"/>
  <c r="O2464" i="1" s="1" a="1"/>
  <c r="O2464" i="1" s="1"/>
  <c r="C2465" i="1"/>
  <c r="O2465" i="1" s="1" a="1"/>
  <c r="O2465" i="1" s="1"/>
  <c r="C2466" i="1"/>
  <c r="O2466" i="1" s="1" a="1"/>
  <c r="O2466" i="1" s="1"/>
  <c r="C2467" i="1"/>
  <c r="O2467" i="1" s="1" a="1"/>
  <c r="O2467" i="1" s="1"/>
  <c r="C2468" i="1"/>
  <c r="O2468" i="1" s="1" a="1"/>
  <c r="O2468" i="1" s="1"/>
  <c r="C2469" i="1"/>
  <c r="O2469" i="1" s="1" a="1"/>
  <c r="O2469" i="1" s="1"/>
  <c r="C2470" i="1"/>
  <c r="O2470" i="1" s="1" a="1"/>
  <c r="O2470" i="1" s="1"/>
  <c r="C2471" i="1"/>
  <c r="O2471" i="1" s="1" a="1"/>
  <c r="O2471" i="1" s="1"/>
  <c r="C2472" i="1"/>
  <c r="O2472" i="1" s="1" a="1"/>
  <c r="O2472" i="1" s="1"/>
  <c r="C2473" i="1"/>
  <c r="O2473" i="1" s="1" a="1"/>
  <c r="O2473" i="1" s="1"/>
  <c r="C2474" i="1"/>
  <c r="O2474" i="1" s="1" a="1"/>
  <c r="O2474" i="1" s="1"/>
  <c r="C2475" i="1"/>
  <c r="O2475" i="1" s="1" a="1"/>
  <c r="O2475" i="1" s="1"/>
  <c r="C2476" i="1"/>
  <c r="O2476" i="1" s="1" a="1"/>
  <c r="O2476" i="1" s="1"/>
  <c r="C2477" i="1"/>
  <c r="O2477" i="1" s="1" a="1"/>
  <c r="O2477" i="1" s="1"/>
  <c r="C2478" i="1"/>
  <c r="O2478" i="1" s="1" a="1"/>
  <c r="O2478" i="1" s="1"/>
  <c r="C2479" i="1"/>
  <c r="O2479" i="1" s="1" a="1"/>
  <c r="O2479" i="1" s="1"/>
  <c r="C2480" i="1"/>
  <c r="O2480" i="1" s="1" a="1"/>
  <c r="O2480" i="1" s="1"/>
  <c r="C2481" i="1"/>
  <c r="O2481" i="1" s="1" a="1"/>
  <c r="O2481" i="1" s="1"/>
  <c r="C2482" i="1"/>
  <c r="O2482" i="1" s="1" a="1"/>
  <c r="O2482" i="1" s="1"/>
  <c r="C2483" i="1"/>
  <c r="O2483" i="1" s="1" a="1"/>
  <c r="O2483" i="1" s="1"/>
  <c r="C2484" i="1"/>
  <c r="O2484" i="1" s="1" a="1"/>
  <c r="O2484" i="1" s="1"/>
  <c r="C2485" i="1"/>
  <c r="O2485" i="1" s="1" a="1"/>
  <c r="O2485" i="1" s="1"/>
  <c r="C2486" i="1"/>
  <c r="O2486" i="1" s="1" a="1"/>
  <c r="O2486" i="1" s="1"/>
  <c r="C2487" i="1"/>
  <c r="O2487" i="1" s="1" a="1"/>
  <c r="O2487" i="1" s="1"/>
  <c r="C2488" i="1"/>
  <c r="O2488" i="1" s="1" a="1"/>
  <c r="O2488" i="1" s="1"/>
  <c r="C2489" i="1"/>
  <c r="O2489" i="1" s="1" a="1"/>
  <c r="O2489" i="1" s="1"/>
  <c r="C2490" i="1"/>
  <c r="O2490" i="1" s="1" a="1"/>
  <c r="O2490" i="1" s="1"/>
  <c r="C2491" i="1"/>
  <c r="O2491" i="1" s="1" a="1"/>
  <c r="O2491" i="1" s="1"/>
  <c r="C2492" i="1"/>
  <c r="O2492" i="1" s="1" a="1"/>
  <c r="O2492" i="1" s="1"/>
  <c r="C2493" i="1"/>
  <c r="O2493" i="1" s="1" a="1"/>
  <c r="O2493" i="1" s="1"/>
  <c r="C2494" i="1"/>
  <c r="O2494" i="1" s="1" a="1"/>
  <c r="O2494" i="1" s="1"/>
  <c r="C2495" i="1"/>
  <c r="O2495" i="1" s="1" a="1"/>
  <c r="O2495" i="1" s="1"/>
  <c r="C2496" i="1"/>
  <c r="O2496" i="1" s="1" a="1"/>
  <c r="O2496" i="1" s="1"/>
  <c r="C2497" i="1"/>
  <c r="O2497" i="1" s="1" a="1"/>
  <c r="O2497" i="1" s="1"/>
  <c r="C2498" i="1"/>
  <c r="O2498" i="1" s="1" a="1"/>
  <c r="O2498" i="1" s="1"/>
  <c r="C2499" i="1"/>
  <c r="O2499" i="1" s="1" a="1"/>
  <c r="O2499" i="1" s="1"/>
  <c r="C2500" i="1"/>
  <c r="O2500" i="1" s="1" a="1"/>
  <c r="O2500" i="1" s="1"/>
  <c r="C2501" i="1"/>
  <c r="O2501" i="1" s="1" a="1"/>
  <c r="O2501" i="1" s="1"/>
  <c r="C2502" i="1"/>
  <c r="O2502" i="1" s="1" a="1"/>
  <c r="O2502" i="1" s="1"/>
  <c r="C2503" i="1"/>
  <c r="O2503" i="1" s="1" a="1"/>
  <c r="O2503" i="1" s="1"/>
  <c r="C2504" i="1"/>
  <c r="O2504" i="1" s="1" a="1"/>
  <c r="O2504" i="1" s="1"/>
  <c r="C2505" i="1"/>
  <c r="O2505" i="1" s="1" a="1"/>
  <c r="O2505" i="1" s="1"/>
  <c r="C2506" i="1"/>
  <c r="O2506" i="1" s="1" a="1"/>
  <c r="O2506" i="1" s="1"/>
  <c r="C2507" i="1"/>
  <c r="O2507" i="1" s="1" a="1"/>
  <c r="O2507" i="1" s="1"/>
  <c r="C2508" i="1"/>
  <c r="O2508" i="1" s="1" a="1"/>
  <c r="O2508" i="1" s="1"/>
  <c r="C2509" i="1"/>
  <c r="O2509" i="1" s="1" a="1"/>
  <c r="O2509" i="1" s="1"/>
  <c r="C2510" i="1"/>
  <c r="O2510" i="1" s="1" a="1"/>
  <c r="O2510" i="1" s="1"/>
  <c r="C2511" i="1"/>
  <c r="O2511" i="1" s="1" a="1"/>
  <c r="O2511" i="1" s="1"/>
  <c r="C2512" i="1"/>
  <c r="O2512" i="1" s="1" a="1"/>
  <c r="O2512" i="1" s="1"/>
  <c r="C2513" i="1"/>
  <c r="O2513" i="1" s="1" a="1"/>
  <c r="O2513" i="1" s="1"/>
  <c r="C2514" i="1"/>
  <c r="O2514" i="1" s="1" a="1"/>
  <c r="O2514" i="1" s="1"/>
  <c r="C2515" i="1"/>
  <c r="O2515" i="1" s="1" a="1"/>
  <c r="O2515" i="1" s="1"/>
  <c r="C2516" i="1"/>
  <c r="O2516" i="1" s="1" a="1"/>
  <c r="O2516" i="1" s="1"/>
  <c r="C2517" i="1"/>
  <c r="O2517" i="1" s="1" a="1"/>
  <c r="O2517" i="1" s="1"/>
  <c r="C2518" i="1"/>
  <c r="O2518" i="1" s="1" a="1"/>
  <c r="O2518" i="1" s="1"/>
  <c r="C2519" i="1"/>
  <c r="O2519" i="1" s="1" a="1"/>
  <c r="O2519" i="1" s="1"/>
  <c r="C2520" i="1"/>
  <c r="O2520" i="1" s="1" a="1"/>
  <c r="O2520" i="1" s="1"/>
  <c r="C2521" i="1"/>
  <c r="O2521" i="1" s="1" a="1"/>
  <c r="O2521" i="1" s="1"/>
  <c r="C2522" i="1"/>
  <c r="O2522" i="1" s="1" a="1"/>
  <c r="O2522" i="1" s="1"/>
  <c r="C2523" i="1"/>
  <c r="O2523" i="1" s="1" a="1"/>
  <c r="O2523" i="1" s="1"/>
  <c r="C2524" i="1"/>
  <c r="O2524" i="1" s="1" a="1"/>
  <c r="O2524" i="1" s="1"/>
  <c r="C2525" i="1"/>
  <c r="O2525" i="1" s="1" a="1"/>
  <c r="O2525" i="1" s="1"/>
  <c r="C2526" i="1"/>
  <c r="O2526" i="1" s="1" a="1"/>
  <c r="O2526" i="1" s="1"/>
  <c r="C2527" i="1"/>
  <c r="O2527" i="1" s="1" a="1"/>
  <c r="O2527" i="1" s="1"/>
  <c r="C2528" i="1"/>
  <c r="O2528" i="1" s="1" a="1"/>
  <c r="O2528" i="1" s="1"/>
  <c r="C2529" i="1"/>
  <c r="O2529" i="1" s="1" a="1"/>
  <c r="O2529" i="1" s="1"/>
  <c r="C2530" i="1"/>
  <c r="O2530" i="1" s="1" a="1"/>
  <c r="O2530" i="1" s="1"/>
  <c r="C2531" i="1"/>
  <c r="O2531" i="1" s="1" a="1"/>
  <c r="O2531" i="1" s="1"/>
  <c r="C2532" i="1"/>
  <c r="O2532" i="1" s="1" a="1"/>
  <c r="O2532" i="1" s="1"/>
  <c r="C2533" i="1"/>
  <c r="O2533" i="1" s="1" a="1"/>
  <c r="O2533" i="1" s="1"/>
  <c r="C2534" i="1"/>
  <c r="O2534" i="1" s="1" a="1"/>
  <c r="O2534" i="1" s="1"/>
  <c r="C2535" i="1"/>
  <c r="O2535" i="1" s="1" a="1"/>
  <c r="O2535" i="1" s="1"/>
  <c r="C2536" i="1"/>
  <c r="O2536" i="1" s="1" a="1"/>
  <c r="O2536" i="1" s="1"/>
  <c r="C2537" i="1"/>
  <c r="O2537" i="1" s="1" a="1"/>
  <c r="O2537" i="1" s="1"/>
  <c r="C2538" i="1"/>
  <c r="O2538" i="1" s="1" a="1"/>
  <c r="O2538" i="1" s="1"/>
  <c r="C2539" i="1"/>
  <c r="O2539" i="1" s="1" a="1"/>
  <c r="O2539" i="1" s="1"/>
  <c r="C2540" i="1"/>
  <c r="O2540" i="1" s="1" a="1"/>
  <c r="O2540" i="1" s="1"/>
  <c r="C2541" i="1"/>
  <c r="O2541" i="1" s="1" a="1"/>
  <c r="O2541" i="1" s="1"/>
  <c r="C2542" i="1"/>
  <c r="O2542" i="1" s="1" a="1"/>
  <c r="O2542" i="1" s="1"/>
  <c r="C2543" i="1"/>
  <c r="O2543" i="1" s="1" a="1"/>
  <c r="O2543" i="1" s="1"/>
  <c r="C2544" i="1"/>
  <c r="O2544" i="1" s="1" a="1"/>
  <c r="O2544" i="1" s="1"/>
  <c r="C2545" i="1"/>
  <c r="O2545" i="1" s="1" a="1"/>
  <c r="O2545" i="1" s="1"/>
  <c r="C2546" i="1"/>
  <c r="O2546" i="1" s="1" a="1"/>
  <c r="O2546" i="1" s="1"/>
  <c r="C2547" i="1"/>
  <c r="O2547" i="1" s="1" a="1"/>
  <c r="O2547" i="1" s="1"/>
  <c r="C2548" i="1"/>
  <c r="O2548" i="1" s="1" a="1"/>
  <c r="O2548" i="1" s="1"/>
  <c r="C2549" i="1"/>
  <c r="O2549" i="1" s="1" a="1"/>
  <c r="O2549" i="1" s="1"/>
  <c r="C2550" i="1"/>
  <c r="O2550" i="1" s="1" a="1"/>
  <c r="O2550" i="1" s="1"/>
  <c r="C2551" i="1"/>
  <c r="O2551" i="1" s="1" a="1"/>
  <c r="O2551" i="1" s="1"/>
  <c r="C2552" i="1"/>
  <c r="O2552" i="1" s="1" a="1"/>
  <c r="O2552" i="1" s="1"/>
  <c r="C2553" i="1"/>
  <c r="O2553" i="1" s="1" a="1"/>
  <c r="O2553" i="1" s="1"/>
  <c r="C2554" i="1"/>
  <c r="O2554" i="1" s="1" a="1"/>
  <c r="O2554" i="1" s="1"/>
  <c r="C2555" i="1"/>
  <c r="O2555" i="1" s="1" a="1"/>
  <c r="O2555" i="1" s="1"/>
  <c r="C2556" i="1"/>
  <c r="O2556" i="1" s="1" a="1"/>
  <c r="O2556" i="1" s="1"/>
  <c r="C2557" i="1"/>
  <c r="O2557" i="1" s="1" a="1"/>
  <c r="O2557" i="1" s="1"/>
  <c r="C2558" i="1"/>
  <c r="O2558" i="1" s="1" a="1"/>
  <c r="O2558" i="1" s="1"/>
  <c r="C2559" i="1"/>
  <c r="O2559" i="1" s="1" a="1"/>
  <c r="O2559" i="1" s="1"/>
  <c r="C2560" i="1"/>
  <c r="O2560" i="1" s="1" a="1"/>
  <c r="O2560" i="1" s="1"/>
  <c r="C2561" i="1"/>
  <c r="O2561" i="1" s="1" a="1"/>
  <c r="O2561" i="1" s="1"/>
  <c r="C2562" i="1"/>
  <c r="O2562" i="1" s="1" a="1"/>
  <c r="O2562" i="1" s="1"/>
  <c r="C2563" i="1"/>
  <c r="O2563" i="1" s="1" a="1"/>
  <c r="O2563" i="1" s="1"/>
  <c r="C2564" i="1"/>
  <c r="O2564" i="1" s="1" a="1"/>
  <c r="O2564" i="1" s="1"/>
  <c r="C2565" i="1"/>
  <c r="O2565" i="1" s="1" a="1"/>
  <c r="O2565" i="1" s="1"/>
  <c r="C2566" i="1"/>
  <c r="O2566" i="1" s="1" a="1"/>
  <c r="O2566" i="1" s="1"/>
  <c r="C2567" i="1"/>
  <c r="O2567" i="1" s="1" a="1"/>
  <c r="O2567" i="1" s="1"/>
  <c r="C2568" i="1"/>
  <c r="O2568" i="1" s="1" a="1"/>
  <c r="O2568" i="1" s="1"/>
  <c r="C2569" i="1"/>
  <c r="O2569" i="1" s="1" a="1"/>
  <c r="O2569" i="1" s="1"/>
  <c r="C2570" i="1"/>
  <c r="O2570" i="1" s="1" a="1"/>
  <c r="O2570" i="1" s="1"/>
  <c r="C2571" i="1"/>
  <c r="O2571" i="1" s="1" a="1"/>
  <c r="O2571" i="1" s="1"/>
  <c r="C2572" i="1"/>
  <c r="O2572" i="1" s="1" a="1"/>
  <c r="O2572" i="1" s="1"/>
  <c r="C2573" i="1"/>
  <c r="O2573" i="1" s="1" a="1"/>
  <c r="O2573" i="1" s="1"/>
  <c r="C2574" i="1"/>
  <c r="O2574" i="1" s="1" a="1"/>
  <c r="O2574" i="1" s="1"/>
  <c r="C2575" i="1"/>
  <c r="O2575" i="1" s="1" a="1"/>
  <c r="O2575" i="1" s="1"/>
  <c r="C2576" i="1"/>
  <c r="O2576" i="1" s="1" a="1"/>
  <c r="O2576" i="1" s="1"/>
  <c r="C2577" i="1"/>
  <c r="O2577" i="1" s="1" a="1"/>
  <c r="O2577" i="1" s="1"/>
  <c r="C2578" i="1"/>
  <c r="O2578" i="1" s="1" a="1"/>
  <c r="O2578" i="1" s="1"/>
  <c r="C2579" i="1"/>
  <c r="O2579" i="1" s="1" a="1"/>
  <c r="O2579" i="1" s="1"/>
  <c r="C2580" i="1"/>
  <c r="O2580" i="1" s="1" a="1"/>
  <c r="O2580" i="1" s="1"/>
  <c r="C2581" i="1"/>
  <c r="O2581" i="1" s="1" a="1"/>
  <c r="O2581" i="1" s="1"/>
  <c r="C2582" i="1"/>
  <c r="O2582" i="1" s="1" a="1"/>
  <c r="O2582" i="1" s="1"/>
  <c r="C2583" i="1"/>
  <c r="O2583" i="1" s="1" a="1"/>
  <c r="O2583" i="1" s="1"/>
  <c r="C2584" i="1"/>
  <c r="O2584" i="1" s="1" a="1"/>
  <c r="O2584" i="1" s="1"/>
  <c r="C2585" i="1"/>
  <c r="O2585" i="1" s="1" a="1"/>
  <c r="O2585" i="1" s="1"/>
  <c r="C2586" i="1"/>
  <c r="O2586" i="1" s="1" a="1"/>
  <c r="O2586" i="1" s="1"/>
  <c r="C2587" i="1"/>
  <c r="O2587" i="1" s="1" a="1"/>
  <c r="O2587" i="1" s="1"/>
  <c r="C2588" i="1"/>
  <c r="O2588" i="1" s="1" a="1"/>
  <c r="O2588" i="1" s="1"/>
  <c r="C2589" i="1"/>
  <c r="O2589" i="1" s="1" a="1"/>
  <c r="O2589" i="1" s="1"/>
  <c r="C2590" i="1"/>
  <c r="O2590" i="1" s="1" a="1"/>
  <c r="O2590" i="1" s="1"/>
  <c r="C2591" i="1"/>
  <c r="O2591" i="1" s="1" a="1"/>
  <c r="O2591" i="1" s="1"/>
  <c r="C2592" i="1"/>
  <c r="O2592" i="1" s="1" a="1"/>
  <c r="O2592" i="1" s="1"/>
  <c r="C2593" i="1"/>
  <c r="O2593" i="1" s="1" a="1"/>
  <c r="O2593" i="1" s="1"/>
  <c r="C2594" i="1"/>
  <c r="O2594" i="1" s="1" a="1"/>
  <c r="O2594" i="1" s="1"/>
  <c r="C2595" i="1"/>
  <c r="O2595" i="1" s="1" a="1"/>
  <c r="O2595" i="1" s="1"/>
  <c r="C2596" i="1"/>
  <c r="O2596" i="1" s="1" a="1"/>
  <c r="O2596" i="1" s="1"/>
  <c r="C2597" i="1"/>
  <c r="O2597" i="1" s="1" a="1"/>
  <c r="O2597" i="1" s="1"/>
  <c r="C2598" i="1"/>
  <c r="O2598" i="1" s="1" a="1"/>
  <c r="O2598" i="1" s="1"/>
  <c r="C2599" i="1"/>
  <c r="O2599" i="1" s="1" a="1"/>
  <c r="O2599" i="1" s="1"/>
  <c r="C2600" i="1"/>
  <c r="O2600" i="1" s="1" a="1"/>
  <c r="O2600" i="1" s="1"/>
  <c r="C2601" i="1"/>
  <c r="O2601" i="1" s="1" a="1"/>
  <c r="O2601" i="1" s="1"/>
  <c r="C2602" i="1"/>
  <c r="O2602" i="1" s="1" a="1"/>
  <c r="O2602" i="1" s="1"/>
  <c r="C2603" i="1"/>
  <c r="O2603" i="1" s="1" a="1"/>
  <c r="O2603" i="1" s="1"/>
  <c r="C2604" i="1"/>
  <c r="O2604" i="1" s="1" a="1"/>
  <c r="O2604" i="1" s="1"/>
  <c r="C2605" i="1"/>
  <c r="O2605" i="1" s="1" a="1"/>
  <c r="O2605" i="1" s="1"/>
  <c r="C2606" i="1"/>
  <c r="O2606" i="1" s="1" a="1"/>
  <c r="O2606" i="1" s="1"/>
  <c r="C2607" i="1"/>
  <c r="O2607" i="1" s="1" a="1"/>
  <c r="O2607" i="1" s="1"/>
  <c r="C2608" i="1"/>
  <c r="O2608" i="1" s="1" a="1"/>
  <c r="O2608" i="1" s="1"/>
  <c r="C2609" i="1"/>
  <c r="O2609" i="1" s="1" a="1"/>
  <c r="O2609" i="1" s="1"/>
  <c r="C2610" i="1"/>
  <c r="O2610" i="1" s="1" a="1"/>
  <c r="O2610" i="1" s="1"/>
  <c r="C2611" i="1"/>
  <c r="O2611" i="1" s="1" a="1"/>
  <c r="O2611" i="1" s="1"/>
  <c r="C2612" i="1"/>
  <c r="O2612" i="1" s="1" a="1"/>
  <c r="O2612" i="1" s="1"/>
  <c r="C2613" i="1"/>
  <c r="O2613" i="1" s="1" a="1"/>
  <c r="O2613" i="1" s="1"/>
  <c r="C2614" i="1"/>
  <c r="O2614" i="1" s="1" a="1"/>
  <c r="O2614" i="1" s="1"/>
  <c r="C2615" i="1"/>
  <c r="O2615" i="1" s="1" a="1"/>
  <c r="O2615" i="1" s="1"/>
  <c r="C2616" i="1"/>
  <c r="O2616" i="1" s="1" a="1"/>
  <c r="O2616" i="1" s="1"/>
  <c r="C2617" i="1"/>
  <c r="O2617" i="1" s="1" a="1"/>
  <c r="O2617" i="1" s="1"/>
  <c r="C2618" i="1"/>
  <c r="O2618" i="1" s="1" a="1"/>
  <c r="O2618" i="1" s="1"/>
  <c r="C2619" i="1"/>
  <c r="O2619" i="1" s="1" a="1"/>
  <c r="O2619" i="1" s="1"/>
  <c r="C2620" i="1"/>
  <c r="O2620" i="1" s="1" a="1"/>
  <c r="O2620" i="1" s="1"/>
  <c r="C2621" i="1"/>
  <c r="O2621" i="1" s="1" a="1"/>
  <c r="O2621" i="1" s="1"/>
  <c r="C2622" i="1"/>
  <c r="O2622" i="1" s="1" a="1"/>
  <c r="O2622" i="1" s="1"/>
  <c r="C2623" i="1"/>
  <c r="O2623" i="1" s="1" a="1"/>
  <c r="O2623" i="1" s="1"/>
  <c r="C2624" i="1"/>
  <c r="O2624" i="1" s="1" a="1"/>
  <c r="O2624" i="1" s="1"/>
  <c r="C2625" i="1"/>
  <c r="O2625" i="1" s="1" a="1"/>
  <c r="O2625" i="1" s="1"/>
  <c r="C2626" i="1"/>
  <c r="O2626" i="1" s="1" a="1"/>
  <c r="O2626" i="1" s="1"/>
  <c r="C2627" i="1"/>
  <c r="O2627" i="1" s="1" a="1"/>
  <c r="O2627" i="1" s="1"/>
  <c r="C2628" i="1"/>
  <c r="O2628" i="1" s="1" a="1"/>
  <c r="O2628" i="1" s="1"/>
  <c r="C2629" i="1"/>
  <c r="O2629" i="1" s="1" a="1"/>
  <c r="O2629" i="1" s="1"/>
  <c r="C2630" i="1"/>
  <c r="O2630" i="1" s="1" a="1"/>
  <c r="O2630" i="1" s="1"/>
  <c r="C2631" i="1"/>
  <c r="O2631" i="1" s="1" a="1"/>
  <c r="O2631" i="1" s="1"/>
  <c r="C2632" i="1"/>
  <c r="O2632" i="1" s="1" a="1"/>
  <c r="O2632" i="1" s="1"/>
  <c r="C2633" i="1"/>
  <c r="O2633" i="1" s="1" a="1"/>
  <c r="O2633" i="1" s="1"/>
  <c r="C2634" i="1"/>
  <c r="O2634" i="1" s="1" a="1"/>
  <c r="O2634" i="1" s="1"/>
  <c r="C2635" i="1"/>
  <c r="O2635" i="1" s="1" a="1"/>
  <c r="O2635" i="1" s="1"/>
  <c r="C2636" i="1"/>
  <c r="O2636" i="1" s="1" a="1"/>
  <c r="O2636" i="1" s="1"/>
  <c r="C2637" i="1"/>
  <c r="O2637" i="1" s="1" a="1"/>
  <c r="O2637" i="1" s="1"/>
  <c r="C2638" i="1"/>
  <c r="O2638" i="1" s="1" a="1"/>
  <c r="O2638" i="1" s="1"/>
  <c r="C2639" i="1"/>
  <c r="O2639" i="1" s="1" a="1"/>
  <c r="O2639" i="1" s="1"/>
  <c r="C2640" i="1"/>
  <c r="O2640" i="1" s="1" a="1"/>
  <c r="O2640" i="1" s="1"/>
  <c r="C2641" i="1"/>
  <c r="O2641" i="1" s="1" a="1"/>
  <c r="O2641" i="1" s="1"/>
  <c r="C2642" i="1"/>
  <c r="O2642" i="1" s="1" a="1"/>
  <c r="O2642" i="1" s="1"/>
  <c r="C2643" i="1"/>
  <c r="O2643" i="1" s="1" a="1"/>
  <c r="O2643" i="1" s="1"/>
  <c r="C2644" i="1"/>
  <c r="O2644" i="1" s="1" a="1"/>
  <c r="O2644" i="1" s="1"/>
  <c r="C2645" i="1"/>
  <c r="O2645" i="1" s="1" a="1"/>
  <c r="O2645" i="1" s="1"/>
  <c r="C2646" i="1"/>
  <c r="O2646" i="1" s="1" a="1"/>
  <c r="O2646" i="1" s="1"/>
  <c r="C2647" i="1"/>
  <c r="O2647" i="1" s="1" a="1"/>
  <c r="O2647" i="1" s="1"/>
  <c r="C2648" i="1"/>
  <c r="O2648" i="1" s="1" a="1"/>
  <c r="O2648" i="1" s="1"/>
  <c r="C2649" i="1"/>
  <c r="O2649" i="1" s="1" a="1"/>
  <c r="O2649" i="1" s="1"/>
  <c r="C2650" i="1"/>
  <c r="O2650" i="1" s="1" a="1"/>
  <c r="O2650" i="1" s="1"/>
  <c r="C2651" i="1"/>
  <c r="O2651" i="1" s="1" a="1"/>
  <c r="O2651" i="1" s="1"/>
  <c r="C2652" i="1"/>
  <c r="O2652" i="1" s="1" a="1"/>
  <c r="O2652" i="1" s="1"/>
  <c r="C2653" i="1"/>
  <c r="O2653" i="1" s="1" a="1"/>
  <c r="O2653" i="1" s="1"/>
  <c r="C2654" i="1"/>
  <c r="O2654" i="1" s="1" a="1"/>
  <c r="O2654" i="1" s="1"/>
  <c r="C2655" i="1"/>
  <c r="O2655" i="1" s="1" a="1"/>
  <c r="O2655" i="1" s="1"/>
  <c r="C2656" i="1"/>
  <c r="O2656" i="1" s="1" a="1"/>
  <c r="O2656" i="1" s="1"/>
  <c r="C2657" i="1"/>
  <c r="O2657" i="1" s="1" a="1"/>
  <c r="O2657" i="1" s="1"/>
  <c r="C2658" i="1"/>
  <c r="O2658" i="1" s="1" a="1"/>
  <c r="O2658" i="1" s="1"/>
  <c r="C2659" i="1"/>
  <c r="O2659" i="1" s="1" a="1"/>
  <c r="O2659" i="1" s="1"/>
  <c r="C2660" i="1"/>
  <c r="O2660" i="1" s="1" a="1"/>
  <c r="O2660" i="1" s="1"/>
  <c r="C2661" i="1"/>
  <c r="O2661" i="1" s="1" a="1"/>
  <c r="O2661" i="1" s="1"/>
  <c r="C2662" i="1"/>
  <c r="O2662" i="1" s="1" a="1"/>
  <c r="O2662" i="1" s="1"/>
  <c r="C2663" i="1"/>
  <c r="O2663" i="1" s="1" a="1"/>
  <c r="O2663" i="1" s="1"/>
  <c r="C2664" i="1"/>
  <c r="O2664" i="1" s="1" a="1"/>
  <c r="O2664" i="1" s="1"/>
  <c r="C2665" i="1"/>
  <c r="O2665" i="1" s="1" a="1"/>
  <c r="O2665" i="1" s="1"/>
  <c r="C2666" i="1"/>
  <c r="O2666" i="1" s="1" a="1"/>
  <c r="O2666" i="1" s="1"/>
  <c r="C2667" i="1"/>
  <c r="O2667" i="1" s="1" a="1"/>
  <c r="O2667" i="1" s="1"/>
  <c r="C2668" i="1"/>
  <c r="O2668" i="1" s="1" a="1"/>
  <c r="O2668" i="1" s="1"/>
  <c r="C2669" i="1"/>
  <c r="O2669" i="1" s="1" a="1"/>
  <c r="O2669" i="1" s="1"/>
  <c r="C2670" i="1"/>
  <c r="O2670" i="1" s="1" a="1"/>
  <c r="O2670" i="1" s="1"/>
  <c r="C2671" i="1"/>
  <c r="O2671" i="1" s="1" a="1"/>
  <c r="O2671" i="1" s="1"/>
  <c r="C2672" i="1"/>
  <c r="O2672" i="1" s="1" a="1"/>
  <c r="O2672" i="1" s="1"/>
  <c r="C2673" i="1"/>
  <c r="O2673" i="1" s="1" a="1"/>
  <c r="O2673" i="1" s="1"/>
  <c r="C2674" i="1"/>
  <c r="O2674" i="1" s="1" a="1"/>
  <c r="O2674" i="1" s="1"/>
  <c r="C2675" i="1"/>
  <c r="O2675" i="1" s="1" a="1"/>
  <c r="O2675" i="1" s="1"/>
  <c r="C2676" i="1"/>
  <c r="O2676" i="1" s="1" a="1"/>
  <c r="O2676" i="1" s="1"/>
  <c r="C2677" i="1"/>
  <c r="O2677" i="1" s="1" a="1"/>
  <c r="O2677" i="1" s="1"/>
  <c r="C2678" i="1"/>
  <c r="O2678" i="1" s="1" a="1"/>
  <c r="O2678" i="1" s="1"/>
  <c r="C2679" i="1"/>
  <c r="O2679" i="1" s="1" a="1"/>
  <c r="O2679" i="1" s="1"/>
  <c r="C2680" i="1"/>
  <c r="O2680" i="1" s="1" a="1"/>
  <c r="O2680" i="1" s="1"/>
  <c r="C2681" i="1"/>
  <c r="O2681" i="1" s="1" a="1"/>
  <c r="O2681" i="1" s="1"/>
  <c r="C2682" i="1"/>
  <c r="O2682" i="1" s="1" a="1"/>
  <c r="O2682" i="1" s="1"/>
  <c r="C2683" i="1"/>
  <c r="O2683" i="1" s="1" a="1"/>
  <c r="O2683" i="1" s="1"/>
  <c r="C2684" i="1"/>
  <c r="O2684" i="1" s="1" a="1"/>
  <c r="O2684" i="1" s="1"/>
  <c r="C2685" i="1"/>
  <c r="O2685" i="1" s="1" a="1"/>
  <c r="O2685" i="1" s="1"/>
  <c r="C2686" i="1"/>
  <c r="O2686" i="1" s="1" a="1"/>
  <c r="O2686" i="1" s="1"/>
  <c r="C2687" i="1"/>
  <c r="O2687" i="1" s="1" a="1"/>
  <c r="O2687" i="1" s="1"/>
  <c r="C2688" i="1"/>
  <c r="O2688" i="1" s="1" a="1"/>
  <c r="O2688" i="1" s="1"/>
  <c r="C2689" i="1"/>
  <c r="O2689" i="1" s="1" a="1"/>
  <c r="O2689" i="1" s="1"/>
  <c r="C2690" i="1"/>
  <c r="O2690" i="1" s="1" a="1"/>
  <c r="O2690" i="1" s="1"/>
  <c r="C2691" i="1"/>
  <c r="O2691" i="1" s="1" a="1"/>
  <c r="O2691" i="1" s="1"/>
  <c r="C2692" i="1"/>
  <c r="O2692" i="1" s="1" a="1"/>
  <c r="O2692" i="1" s="1"/>
  <c r="C2693" i="1"/>
  <c r="O2693" i="1" s="1" a="1"/>
  <c r="O2693" i="1" s="1"/>
  <c r="C2694" i="1"/>
  <c r="O2694" i="1" s="1" a="1"/>
  <c r="O2694" i="1" s="1"/>
  <c r="C2695" i="1"/>
  <c r="O2695" i="1" s="1" a="1"/>
  <c r="O2695" i="1" s="1"/>
  <c r="C2696" i="1"/>
  <c r="O2696" i="1" s="1" a="1"/>
  <c r="O2696" i="1" s="1"/>
  <c r="C2697" i="1"/>
  <c r="O2697" i="1" s="1" a="1"/>
  <c r="O2697" i="1" s="1"/>
  <c r="C2698" i="1"/>
  <c r="O2698" i="1" s="1" a="1"/>
  <c r="O2698" i="1" s="1"/>
  <c r="C2699" i="1"/>
  <c r="O2699" i="1" s="1" a="1"/>
  <c r="O2699" i="1" s="1"/>
  <c r="C2700" i="1"/>
  <c r="O2700" i="1" s="1" a="1"/>
  <c r="O2700" i="1" s="1"/>
  <c r="C2701" i="1"/>
  <c r="O2701" i="1" s="1" a="1"/>
  <c r="O2701" i="1" s="1"/>
  <c r="C2702" i="1"/>
  <c r="O2702" i="1" s="1" a="1"/>
  <c r="O2702" i="1" s="1"/>
  <c r="C2703" i="1"/>
  <c r="O2703" i="1" s="1" a="1"/>
  <c r="O2703" i="1" s="1"/>
  <c r="C2704" i="1"/>
  <c r="O2704" i="1" s="1" a="1"/>
  <c r="O2704" i="1" s="1"/>
  <c r="C2705" i="1"/>
  <c r="O2705" i="1" s="1" a="1"/>
  <c r="O2705" i="1" s="1"/>
  <c r="C2706" i="1"/>
  <c r="O2706" i="1" s="1" a="1"/>
  <c r="O2706" i="1" s="1"/>
  <c r="C2707" i="1"/>
  <c r="O2707" i="1" s="1" a="1"/>
  <c r="O2707" i="1" s="1"/>
  <c r="C2708" i="1"/>
  <c r="O2708" i="1" s="1" a="1"/>
  <c r="O2708" i="1" s="1"/>
  <c r="C2709" i="1"/>
  <c r="O2709" i="1" s="1" a="1"/>
  <c r="O2709" i="1" s="1"/>
  <c r="C2710" i="1"/>
  <c r="O2710" i="1" s="1" a="1"/>
  <c r="O2710" i="1" s="1"/>
  <c r="C2711" i="1"/>
  <c r="O2711" i="1" s="1" a="1"/>
  <c r="O2711" i="1" s="1"/>
  <c r="C2712" i="1"/>
  <c r="O2712" i="1" s="1" a="1"/>
  <c r="O2712" i="1" s="1"/>
  <c r="C2713" i="1"/>
  <c r="O2713" i="1" s="1" a="1"/>
  <c r="O2713" i="1" s="1"/>
  <c r="C2714" i="1"/>
  <c r="O2714" i="1" s="1" a="1"/>
  <c r="O2714" i="1" s="1"/>
  <c r="C2715" i="1"/>
  <c r="O2715" i="1" s="1" a="1"/>
  <c r="O2715" i="1" s="1"/>
  <c r="C2716" i="1"/>
  <c r="O2716" i="1" s="1" a="1"/>
  <c r="O2716" i="1" s="1"/>
  <c r="C2717" i="1"/>
  <c r="O2717" i="1" s="1" a="1"/>
  <c r="O2717" i="1" s="1"/>
  <c r="C2718" i="1"/>
  <c r="O2718" i="1" s="1" a="1"/>
  <c r="O2718" i="1" s="1"/>
  <c r="C2719" i="1"/>
  <c r="O2719" i="1" s="1" a="1"/>
  <c r="O2719" i="1" s="1"/>
  <c r="C2720" i="1"/>
  <c r="O2720" i="1" s="1" a="1"/>
  <c r="O2720" i="1" s="1"/>
  <c r="C2721" i="1"/>
  <c r="O2721" i="1" s="1" a="1"/>
  <c r="O2721" i="1" s="1"/>
  <c r="C2722" i="1"/>
  <c r="O2722" i="1" s="1" a="1"/>
  <c r="O2722" i="1" s="1"/>
  <c r="C2723" i="1"/>
  <c r="O2723" i="1" s="1" a="1"/>
  <c r="O2723" i="1" s="1"/>
  <c r="C2724" i="1"/>
  <c r="O2724" i="1" s="1" a="1"/>
  <c r="O2724" i="1" s="1"/>
  <c r="C2725" i="1"/>
  <c r="O2725" i="1" s="1" a="1"/>
  <c r="O2725" i="1" s="1"/>
  <c r="C2726" i="1"/>
  <c r="O2726" i="1" s="1" a="1"/>
  <c r="O2726" i="1" s="1"/>
  <c r="C2727" i="1"/>
  <c r="O2727" i="1" s="1" a="1"/>
  <c r="O2727" i="1" s="1"/>
  <c r="C2728" i="1"/>
  <c r="O2728" i="1" s="1" a="1"/>
  <c r="O2728" i="1" s="1"/>
  <c r="C2729" i="1"/>
  <c r="O2729" i="1" s="1" a="1"/>
  <c r="O2729" i="1" s="1"/>
  <c r="C2730" i="1"/>
  <c r="O2730" i="1" s="1" a="1"/>
  <c r="O2730" i="1" s="1"/>
  <c r="C2731" i="1"/>
  <c r="O2731" i="1" s="1" a="1"/>
  <c r="O2731" i="1" s="1"/>
  <c r="C2732" i="1"/>
  <c r="O2732" i="1" s="1" a="1"/>
  <c r="O2732" i="1" s="1"/>
  <c r="C2733" i="1"/>
  <c r="O2733" i="1" s="1" a="1"/>
  <c r="O2733" i="1" s="1"/>
  <c r="C2734" i="1"/>
  <c r="O2734" i="1" s="1" a="1"/>
  <c r="O2734" i="1" s="1"/>
  <c r="C2735" i="1"/>
  <c r="O2735" i="1" s="1" a="1"/>
  <c r="O2735" i="1" s="1"/>
  <c r="C2736" i="1"/>
  <c r="O2736" i="1" s="1" a="1"/>
  <c r="O2736" i="1" s="1"/>
  <c r="C2737" i="1"/>
  <c r="O2737" i="1" s="1" a="1"/>
  <c r="O2737" i="1" s="1"/>
  <c r="C2738" i="1"/>
  <c r="O2738" i="1" s="1" a="1"/>
  <c r="O2738" i="1" s="1"/>
  <c r="C2739" i="1"/>
  <c r="O2739" i="1" s="1" a="1"/>
  <c r="O2739" i="1" s="1"/>
  <c r="C2740" i="1"/>
  <c r="O2740" i="1" s="1" a="1"/>
  <c r="O2740" i="1" s="1"/>
  <c r="C2741" i="1"/>
  <c r="O2741" i="1" s="1" a="1"/>
  <c r="O2741" i="1" s="1"/>
  <c r="C2742" i="1"/>
  <c r="O2742" i="1" s="1" a="1"/>
  <c r="O2742" i="1" s="1"/>
  <c r="C2743" i="1"/>
  <c r="O2743" i="1" s="1" a="1"/>
  <c r="O2743" i="1" s="1"/>
  <c r="C2744" i="1"/>
  <c r="O2744" i="1" s="1" a="1"/>
  <c r="O2744" i="1" s="1"/>
  <c r="C2745" i="1"/>
  <c r="O2745" i="1" s="1" a="1"/>
  <c r="O2745" i="1" s="1"/>
  <c r="C2746" i="1"/>
  <c r="O2746" i="1" s="1" a="1"/>
  <c r="O2746" i="1" s="1"/>
  <c r="C2747" i="1"/>
  <c r="O2747" i="1" s="1" a="1"/>
  <c r="O2747" i="1" s="1"/>
  <c r="C2748" i="1"/>
  <c r="O2748" i="1" s="1" a="1"/>
  <c r="O2748" i="1" s="1"/>
  <c r="C2749" i="1"/>
  <c r="O2749" i="1" s="1" a="1"/>
  <c r="O2749" i="1" s="1"/>
  <c r="C2750" i="1"/>
  <c r="O2750" i="1" s="1" a="1"/>
  <c r="O2750" i="1" s="1"/>
  <c r="C2751" i="1"/>
  <c r="O2751" i="1" s="1" a="1"/>
  <c r="O2751" i="1" s="1"/>
  <c r="C2752" i="1"/>
  <c r="O2752" i="1" s="1" a="1"/>
  <c r="O2752" i="1" s="1"/>
  <c r="C2753" i="1"/>
  <c r="O2753" i="1" s="1" a="1"/>
  <c r="O2753" i="1" s="1"/>
  <c r="C2754" i="1"/>
  <c r="O2754" i="1" s="1" a="1"/>
  <c r="O2754" i="1" s="1"/>
  <c r="C2755" i="1"/>
  <c r="O2755" i="1" s="1" a="1"/>
  <c r="O2755" i="1" s="1"/>
  <c r="C2756" i="1"/>
  <c r="O2756" i="1" s="1" a="1"/>
  <c r="O2756" i="1" s="1"/>
  <c r="C2757" i="1"/>
  <c r="O2757" i="1" s="1" a="1"/>
  <c r="O2757" i="1" s="1"/>
  <c r="C2758" i="1"/>
  <c r="O2758" i="1" s="1" a="1"/>
  <c r="O2758" i="1" s="1"/>
  <c r="C2759" i="1"/>
  <c r="O2759" i="1" s="1" a="1"/>
  <c r="O2759" i="1" s="1"/>
  <c r="C2760" i="1"/>
  <c r="O2760" i="1" s="1" a="1"/>
  <c r="O2760" i="1" s="1"/>
  <c r="C2761" i="1"/>
  <c r="O2761" i="1" s="1" a="1"/>
  <c r="O2761" i="1" s="1"/>
  <c r="C2762" i="1"/>
  <c r="O2762" i="1" s="1" a="1"/>
  <c r="O2762" i="1" s="1"/>
  <c r="C2763" i="1"/>
  <c r="O2763" i="1" s="1" a="1"/>
  <c r="O2763" i="1" s="1"/>
  <c r="C2764" i="1"/>
  <c r="O2764" i="1" s="1" a="1"/>
  <c r="O2764" i="1" s="1"/>
  <c r="C2765" i="1"/>
  <c r="O2765" i="1" s="1" a="1"/>
  <c r="O2765" i="1" s="1"/>
  <c r="C2766" i="1"/>
  <c r="O2766" i="1" s="1" a="1"/>
  <c r="O2766" i="1" s="1"/>
  <c r="C2767" i="1"/>
  <c r="O2767" i="1" s="1" a="1"/>
  <c r="O2767" i="1" s="1"/>
  <c r="C2768" i="1"/>
  <c r="O2768" i="1" s="1" a="1"/>
  <c r="O2768" i="1" s="1"/>
  <c r="C2769" i="1"/>
  <c r="O2769" i="1" s="1" a="1"/>
  <c r="O2769" i="1" s="1"/>
  <c r="C2770" i="1"/>
  <c r="O2770" i="1" s="1" a="1"/>
  <c r="O2770" i="1" s="1"/>
  <c r="C2771" i="1"/>
  <c r="O2771" i="1" s="1" a="1"/>
  <c r="O2771" i="1" s="1"/>
  <c r="C2772" i="1"/>
  <c r="O2772" i="1" s="1" a="1"/>
  <c r="O2772" i="1" s="1"/>
  <c r="C2773" i="1"/>
  <c r="O2773" i="1" s="1" a="1"/>
  <c r="O2773" i="1" s="1"/>
  <c r="C2774" i="1"/>
  <c r="O2774" i="1" s="1" a="1"/>
  <c r="O2774" i="1" s="1"/>
  <c r="C2775" i="1"/>
  <c r="O2775" i="1" s="1" a="1"/>
  <c r="O2775" i="1" s="1"/>
  <c r="C2776" i="1"/>
  <c r="O2776" i="1" s="1" a="1"/>
  <c r="O2776" i="1" s="1"/>
  <c r="C2777" i="1"/>
  <c r="O2777" i="1" s="1" a="1"/>
  <c r="O2777" i="1" s="1"/>
  <c r="C2778" i="1"/>
  <c r="O2778" i="1" s="1" a="1"/>
  <c r="O2778" i="1" s="1"/>
  <c r="C2779" i="1"/>
  <c r="O2779" i="1" s="1" a="1"/>
  <c r="O2779" i="1" s="1"/>
  <c r="C2780" i="1"/>
  <c r="O2780" i="1" s="1" a="1"/>
  <c r="O2780" i="1" s="1"/>
  <c r="C2781" i="1"/>
  <c r="O2781" i="1" s="1" a="1"/>
  <c r="O2781" i="1" s="1"/>
  <c r="C2782" i="1"/>
  <c r="O2782" i="1" s="1" a="1"/>
  <c r="O2782" i="1" s="1"/>
  <c r="C2783" i="1"/>
  <c r="O2783" i="1" s="1" a="1"/>
  <c r="O2783" i="1" s="1"/>
  <c r="C2784" i="1"/>
  <c r="O2784" i="1" s="1" a="1"/>
  <c r="O2784" i="1" s="1"/>
  <c r="C2785" i="1"/>
  <c r="O2785" i="1" s="1" a="1"/>
  <c r="O2785" i="1" s="1"/>
  <c r="C2786" i="1"/>
  <c r="O2786" i="1" s="1" a="1"/>
  <c r="O2786" i="1" s="1"/>
  <c r="C2787" i="1"/>
  <c r="O2787" i="1" s="1" a="1"/>
  <c r="O2787" i="1" s="1"/>
  <c r="C2788" i="1"/>
  <c r="O2788" i="1" s="1" a="1"/>
  <c r="O2788" i="1" s="1"/>
  <c r="C2789" i="1"/>
  <c r="O2789" i="1" s="1" a="1"/>
  <c r="O2789" i="1" s="1"/>
  <c r="C2790" i="1"/>
  <c r="O2790" i="1" s="1" a="1"/>
  <c r="O2790" i="1" s="1"/>
  <c r="C2791" i="1"/>
  <c r="O2791" i="1" s="1" a="1"/>
  <c r="O2791" i="1" s="1"/>
  <c r="C2792" i="1"/>
  <c r="O2792" i="1" s="1" a="1"/>
  <c r="O2792" i="1" s="1"/>
  <c r="C2793" i="1"/>
  <c r="O2793" i="1" s="1" a="1"/>
  <c r="O2793" i="1" s="1"/>
  <c r="C2794" i="1"/>
  <c r="O2794" i="1" s="1" a="1"/>
  <c r="O2794" i="1" s="1"/>
  <c r="C2795" i="1"/>
  <c r="O2795" i="1" s="1" a="1"/>
  <c r="O2795" i="1" s="1"/>
  <c r="C2796" i="1"/>
  <c r="O2796" i="1" s="1" a="1"/>
  <c r="O2796" i="1" s="1"/>
  <c r="C2797" i="1"/>
  <c r="O2797" i="1" s="1" a="1"/>
  <c r="O2797" i="1" s="1"/>
  <c r="C2798" i="1"/>
  <c r="O2798" i="1" s="1" a="1"/>
  <c r="O2798" i="1" s="1"/>
  <c r="C2799" i="1"/>
  <c r="O2799" i="1" s="1" a="1"/>
  <c r="O2799" i="1" s="1"/>
  <c r="C2800" i="1"/>
  <c r="O2800" i="1" s="1" a="1"/>
  <c r="O2800" i="1" s="1"/>
  <c r="C2801" i="1"/>
  <c r="O2801" i="1" s="1" a="1"/>
  <c r="O2801" i="1" s="1"/>
  <c r="C2802" i="1"/>
  <c r="O2802" i="1" s="1" a="1"/>
  <c r="O2802" i="1" s="1"/>
  <c r="C2803" i="1"/>
  <c r="O2803" i="1" s="1" a="1"/>
  <c r="O2803" i="1" s="1"/>
  <c r="C2804" i="1"/>
  <c r="O2804" i="1" s="1" a="1"/>
  <c r="O2804" i="1" s="1"/>
  <c r="C2805" i="1"/>
  <c r="O2805" i="1" s="1" a="1"/>
  <c r="O2805" i="1" s="1"/>
  <c r="C2806" i="1"/>
  <c r="O2806" i="1" s="1" a="1"/>
  <c r="O2806" i="1" s="1"/>
  <c r="C2807" i="1"/>
  <c r="O2807" i="1" s="1" a="1"/>
  <c r="O2807" i="1" s="1"/>
  <c r="C2808" i="1"/>
  <c r="O2808" i="1" s="1" a="1"/>
  <c r="O2808" i="1" s="1"/>
  <c r="C2809" i="1"/>
  <c r="O2809" i="1" s="1" a="1"/>
  <c r="O2809" i="1" s="1"/>
  <c r="C2810" i="1"/>
  <c r="O2810" i="1" s="1" a="1"/>
  <c r="O2810" i="1" s="1"/>
  <c r="C2811" i="1"/>
  <c r="O2811" i="1" s="1" a="1"/>
  <c r="O2811" i="1" s="1"/>
  <c r="C2812" i="1"/>
  <c r="O2812" i="1" s="1" a="1"/>
  <c r="O2812" i="1" s="1"/>
  <c r="C2813" i="1"/>
  <c r="O2813" i="1" s="1" a="1"/>
  <c r="O2813" i="1" s="1"/>
  <c r="C2814" i="1"/>
  <c r="O2814" i="1" s="1" a="1"/>
  <c r="O2814" i="1" s="1"/>
  <c r="C2815" i="1"/>
  <c r="O2815" i="1" s="1" a="1"/>
  <c r="O2815" i="1" s="1"/>
  <c r="C2816" i="1"/>
  <c r="O2816" i="1" s="1" a="1"/>
  <c r="O2816" i="1" s="1"/>
  <c r="C2817" i="1"/>
  <c r="O2817" i="1" s="1" a="1"/>
  <c r="O2817" i="1" s="1"/>
  <c r="C2818" i="1"/>
  <c r="O2818" i="1" s="1" a="1"/>
  <c r="O2818" i="1" s="1"/>
  <c r="C2819" i="1"/>
  <c r="O2819" i="1" s="1" a="1"/>
  <c r="O2819" i="1" s="1"/>
  <c r="C2820" i="1"/>
  <c r="O2820" i="1" s="1" a="1"/>
  <c r="O2820" i="1" s="1"/>
  <c r="C2821" i="1"/>
  <c r="O2821" i="1" s="1" a="1"/>
  <c r="O2821" i="1" s="1"/>
  <c r="C2822" i="1"/>
  <c r="O2822" i="1" s="1" a="1"/>
  <c r="O2822" i="1" s="1"/>
  <c r="C2823" i="1"/>
  <c r="O2823" i="1" s="1" a="1"/>
  <c r="O2823" i="1" s="1"/>
  <c r="C2824" i="1"/>
  <c r="O2824" i="1" s="1" a="1"/>
  <c r="O2824" i="1" s="1"/>
  <c r="C2825" i="1"/>
  <c r="O2825" i="1" s="1" a="1"/>
  <c r="O2825" i="1" s="1"/>
  <c r="C2826" i="1"/>
  <c r="O2826" i="1" s="1" a="1"/>
  <c r="O2826" i="1" s="1"/>
  <c r="C2827" i="1"/>
  <c r="O2827" i="1" s="1" a="1"/>
  <c r="O2827" i="1" s="1"/>
  <c r="C2828" i="1"/>
  <c r="O2828" i="1" s="1" a="1"/>
  <c r="O2828" i="1" s="1"/>
  <c r="C2829" i="1"/>
  <c r="O2829" i="1" s="1" a="1"/>
  <c r="O2829" i="1" s="1"/>
  <c r="C2830" i="1"/>
  <c r="O2830" i="1" s="1" a="1"/>
  <c r="O2830" i="1" s="1"/>
  <c r="C2831" i="1"/>
  <c r="O2831" i="1" s="1" a="1"/>
  <c r="O2831" i="1" s="1"/>
  <c r="C2832" i="1"/>
  <c r="O2832" i="1" s="1" a="1"/>
  <c r="O2832" i="1" s="1"/>
  <c r="C2833" i="1"/>
  <c r="O2833" i="1" s="1" a="1"/>
  <c r="O2833" i="1" s="1"/>
  <c r="C2834" i="1"/>
  <c r="O2834" i="1" s="1" a="1"/>
  <c r="O2834" i="1" s="1"/>
  <c r="C2835" i="1"/>
  <c r="O2835" i="1" s="1" a="1"/>
  <c r="O2835" i="1" s="1"/>
  <c r="C2836" i="1"/>
  <c r="O2836" i="1" s="1" a="1"/>
  <c r="O2836" i="1" s="1"/>
  <c r="C2837" i="1"/>
  <c r="O2837" i="1" s="1" a="1"/>
  <c r="O2837" i="1" s="1"/>
  <c r="N2" i="1"/>
  <c r="P2" i="1" s="1"/>
  <c r="N3" i="1"/>
  <c r="P3" i="1" s="1"/>
  <c r="N4" i="1"/>
  <c r="P4" i="1" s="1"/>
  <c r="N5" i="1"/>
  <c r="P5" i="1" s="1"/>
  <c r="N6" i="1"/>
  <c r="P6" i="1" s="1"/>
  <c r="N7" i="1"/>
  <c r="P7" i="1" s="1"/>
  <c r="N8" i="1"/>
  <c r="P8" i="1" s="1"/>
  <c r="N9" i="1"/>
  <c r="P9" i="1" s="1"/>
  <c r="Q9" i="1" s="1"/>
  <c r="R9" i="1" s="1"/>
  <c r="N10" i="1"/>
  <c r="P10" i="1" s="1"/>
  <c r="N11" i="1"/>
  <c r="P11" i="1" s="1"/>
  <c r="N12" i="1"/>
  <c r="P12" i="1" s="1"/>
  <c r="N13" i="1"/>
  <c r="P13" i="1" s="1"/>
  <c r="N14" i="1"/>
  <c r="P14" i="1" s="1"/>
  <c r="N15" i="1"/>
  <c r="P15" i="1" s="1"/>
  <c r="N16" i="1"/>
  <c r="P16" i="1" s="1"/>
  <c r="N17" i="1"/>
  <c r="P17" i="1" s="1"/>
  <c r="Q17" i="1" s="1"/>
  <c r="R17" i="1" s="1"/>
  <c r="N18" i="1"/>
  <c r="P18" i="1" s="1"/>
  <c r="N19" i="1"/>
  <c r="P19" i="1" s="1"/>
  <c r="N20" i="1"/>
  <c r="P20" i="1" s="1"/>
  <c r="N21" i="1"/>
  <c r="P21" i="1" s="1"/>
  <c r="N22" i="1"/>
  <c r="P22" i="1" s="1"/>
  <c r="N23" i="1"/>
  <c r="P23" i="1" s="1"/>
  <c r="N24" i="1"/>
  <c r="P24" i="1" s="1"/>
  <c r="N25" i="1"/>
  <c r="P25" i="1" s="1"/>
  <c r="Q25" i="1" s="1"/>
  <c r="R25" i="1" s="1"/>
  <c r="N26" i="1"/>
  <c r="P26" i="1" s="1"/>
  <c r="N27" i="1"/>
  <c r="P27" i="1" s="1"/>
  <c r="N28" i="1"/>
  <c r="P28" i="1" s="1"/>
  <c r="N29" i="1"/>
  <c r="P29" i="1" s="1"/>
  <c r="N30" i="1"/>
  <c r="P30" i="1" s="1"/>
  <c r="N31" i="1"/>
  <c r="P31" i="1" s="1"/>
  <c r="N32" i="1"/>
  <c r="P32" i="1" s="1"/>
  <c r="N33" i="1"/>
  <c r="P33" i="1" s="1"/>
  <c r="Q33" i="1" s="1"/>
  <c r="R33" i="1" s="1"/>
  <c r="N34" i="1"/>
  <c r="P34" i="1" s="1"/>
  <c r="N35" i="1"/>
  <c r="P35" i="1" s="1"/>
  <c r="N36" i="1"/>
  <c r="P36" i="1" s="1"/>
  <c r="N37" i="1"/>
  <c r="P37" i="1" s="1"/>
  <c r="N38" i="1"/>
  <c r="P38" i="1" s="1"/>
  <c r="N39" i="1"/>
  <c r="P39" i="1" s="1"/>
  <c r="N40" i="1"/>
  <c r="P40" i="1" s="1"/>
  <c r="N41" i="1"/>
  <c r="P41" i="1" s="1"/>
  <c r="Q41" i="1" s="1"/>
  <c r="R41" i="1" s="1"/>
  <c r="N42" i="1"/>
  <c r="P42" i="1" s="1"/>
  <c r="N43" i="1"/>
  <c r="P43" i="1" s="1"/>
  <c r="N44" i="1"/>
  <c r="P44" i="1" s="1"/>
  <c r="N45" i="1"/>
  <c r="P45" i="1" s="1"/>
  <c r="N46" i="1"/>
  <c r="P46" i="1" s="1"/>
  <c r="N47" i="1"/>
  <c r="P47" i="1" s="1"/>
  <c r="N48" i="1"/>
  <c r="P48" i="1" s="1"/>
  <c r="N49" i="1"/>
  <c r="P49" i="1" s="1"/>
  <c r="Q49" i="1" s="1"/>
  <c r="R49" i="1" s="1"/>
  <c r="N50" i="1"/>
  <c r="P50" i="1" s="1"/>
  <c r="N51" i="1"/>
  <c r="P51" i="1" s="1"/>
  <c r="N52" i="1"/>
  <c r="P52" i="1" s="1"/>
  <c r="N53" i="1"/>
  <c r="P53" i="1" s="1"/>
  <c r="N54" i="1"/>
  <c r="P54" i="1" s="1"/>
  <c r="N55" i="1"/>
  <c r="P55" i="1" s="1"/>
  <c r="N56" i="1"/>
  <c r="P56" i="1" s="1"/>
  <c r="N57" i="1"/>
  <c r="P57" i="1" s="1"/>
  <c r="Q57" i="1" s="1"/>
  <c r="R57" i="1" s="1"/>
  <c r="N58" i="1"/>
  <c r="P58" i="1" s="1"/>
  <c r="N59" i="1"/>
  <c r="P59" i="1" s="1"/>
  <c r="N60" i="1"/>
  <c r="P60" i="1" s="1"/>
  <c r="N61" i="1"/>
  <c r="P61" i="1" s="1"/>
  <c r="N62" i="1"/>
  <c r="P62" i="1" s="1"/>
  <c r="N63" i="1"/>
  <c r="P63" i="1" s="1"/>
  <c r="N64" i="1"/>
  <c r="P64" i="1" s="1"/>
  <c r="N65" i="1"/>
  <c r="P65" i="1" s="1"/>
  <c r="Q65" i="1" s="1"/>
  <c r="R65" i="1" s="1"/>
  <c r="N66" i="1"/>
  <c r="P66" i="1" s="1"/>
  <c r="N67" i="1"/>
  <c r="P67" i="1" s="1"/>
  <c r="N68" i="1"/>
  <c r="P68" i="1" s="1"/>
  <c r="N69" i="1"/>
  <c r="P69" i="1" s="1"/>
  <c r="N70" i="1"/>
  <c r="P70" i="1" s="1"/>
  <c r="N71" i="1"/>
  <c r="P71" i="1" s="1"/>
  <c r="N72" i="1"/>
  <c r="P72" i="1" s="1"/>
  <c r="N73" i="1"/>
  <c r="P73" i="1" s="1"/>
  <c r="Q73" i="1" s="1"/>
  <c r="R73" i="1" s="1"/>
  <c r="N74" i="1"/>
  <c r="P74" i="1" s="1"/>
  <c r="N75" i="1"/>
  <c r="P75" i="1" s="1"/>
  <c r="N76" i="1"/>
  <c r="P76" i="1" s="1"/>
  <c r="N77" i="1"/>
  <c r="P77" i="1" s="1"/>
  <c r="N78" i="1"/>
  <c r="P78" i="1" s="1"/>
  <c r="N79" i="1"/>
  <c r="P79" i="1" s="1"/>
  <c r="N80" i="1"/>
  <c r="P80" i="1" s="1"/>
  <c r="N81" i="1"/>
  <c r="P81" i="1" s="1"/>
  <c r="Q81" i="1" s="1"/>
  <c r="R81" i="1" s="1"/>
  <c r="N82" i="1"/>
  <c r="P82" i="1" s="1"/>
  <c r="N83" i="1"/>
  <c r="P83" i="1" s="1"/>
  <c r="N84" i="1"/>
  <c r="P84" i="1" s="1"/>
  <c r="N85" i="1"/>
  <c r="P85" i="1" s="1"/>
  <c r="N86" i="1"/>
  <c r="P86" i="1" s="1"/>
  <c r="N87" i="1"/>
  <c r="P87" i="1" s="1"/>
  <c r="N88" i="1"/>
  <c r="P88" i="1" s="1"/>
  <c r="N89" i="1"/>
  <c r="P89" i="1" s="1"/>
  <c r="Q89" i="1" s="1"/>
  <c r="R89" i="1" s="1"/>
  <c r="N90" i="1"/>
  <c r="P90" i="1" s="1"/>
  <c r="N91" i="1"/>
  <c r="P91" i="1" s="1"/>
  <c r="N92" i="1"/>
  <c r="P92" i="1" s="1"/>
  <c r="N93" i="1"/>
  <c r="P93" i="1" s="1"/>
  <c r="N94" i="1"/>
  <c r="P94" i="1" s="1"/>
  <c r="N95" i="1"/>
  <c r="P95" i="1" s="1"/>
  <c r="N96" i="1"/>
  <c r="P96" i="1" s="1"/>
  <c r="N97" i="1"/>
  <c r="P97" i="1" s="1"/>
  <c r="Q97" i="1" s="1"/>
  <c r="R97" i="1" s="1"/>
  <c r="N98" i="1"/>
  <c r="P98" i="1" s="1"/>
  <c r="N99" i="1"/>
  <c r="P99" i="1" s="1"/>
  <c r="N100" i="1"/>
  <c r="P100" i="1" s="1"/>
  <c r="N101" i="1"/>
  <c r="P101" i="1" s="1"/>
  <c r="N102" i="1"/>
  <c r="P102" i="1" s="1"/>
  <c r="N103" i="1"/>
  <c r="P103" i="1" s="1"/>
  <c r="N104" i="1"/>
  <c r="P104" i="1" s="1"/>
  <c r="N105" i="1"/>
  <c r="P105" i="1" s="1"/>
  <c r="Q105" i="1" s="1"/>
  <c r="R105" i="1" s="1"/>
  <c r="N106" i="1"/>
  <c r="P106" i="1" s="1"/>
  <c r="N107" i="1"/>
  <c r="P107" i="1" s="1"/>
  <c r="N108" i="1"/>
  <c r="P108" i="1" s="1"/>
  <c r="N109" i="1"/>
  <c r="P109" i="1" s="1"/>
  <c r="N110" i="1"/>
  <c r="P110" i="1" s="1"/>
  <c r="N111" i="1"/>
  <c r="P111" i="1" s="1"/>
  <c r="N112" i="1"/>
  <c r="P112" i="1" s="1"/>
  <c r="N113" i="1"/>
  <c r="P113" i="1" s="1"/>
  <c r="Q113" i="1" s="1"/>
  <c r="R113" i="1" s="1"/>
  <c r="N114" i="1"/>
  <c r="P114" i="1" s="1"/>
  <c r="N115" i="1"/>
  <c r="P115" i="1" s="1"/>
  <c r="N116" i="1"/>
  <c r="P116" i="1" s="1"/>
  <c r="N117" i="1"/>
  <c r="P117" i="1" s="1"/>
  <c r="N118" i="1"/>
  <c r="P118" i="1" s="1"/>
  <c r="N119" i="1"/>
  <c r="P119" i="1" s="1"/>
  <c r="N120" i="1"/>
  <c r="P120" i="1" s="1"/>
  <c r="N121" i="1"/>
  <c r="P121" i="1" s="1"/>
  <c r="Q121" i="1" s="1"/>
  <c r="R121" i="1" s="1"/>
  <c r="N122" i="1"/>
  <c r="P122" i="1" s="1"/>
  <c r="N123" i="1"/>
  <c r="P123" i="1" s="1"/>
  <c r="N124" i="1"/>
  <c r="P124" i="1" s="1"/>
  <c r="N125" i="1"/>
  <c r="P125" i="1" s="1"/>
  <c r="N126" i="1"/>
  <c r="P126" i="1" s="1"/>
  <c r="N127" i="1"/>
  <c r="P127" i="1" s="1"/>
  <c r="N128" i="1"/>
  <c r="P128" i="1" s="1"/>
  <c r="N129" i="1"/>
  <c r="P129" i="1" s="1"/>
  <c r="Q129" i="1" s="1"/>
  <c r="R129" i="1" s="1"/>
  <c r="N130" i="1"/>
  <c r="P130" i="1" s="1"/>
  <c r="N131" i="1"/>
  <c r="P131" i="1" s="1"/>
  <c r="N132" i="1"/>
  <c r="P132" i="1" s="1"/>
  <c r="N133" i="1"/>
  <c r="P133" i="1" s="1"/>
  <c r="N134" i="1"/>
  <c r="P134" i="1" s="1"/>
  <c r="N135" i="1"/>
  <c r="P135" i="1" s="1"/>
  <c r="N136" i="1"/>
  <c r="P136" i="1" s="1"/>
  <c r="N137" i="1"/>
  <c r="P137" i="1" s="1"/>
  <c r="Q137" i="1" s="1"/>
  <c r="R137" i="1" s="1"/>
  <c r="N138" i="1"/>
  <c r="P138" i="1" s="1"/>
  <c r="N139" i="1"/>
  <c r="P139" i="1" s="1"/>
  <c r="N140" i="1"/>
  <c r="P140" i="1" s="1"/>
  <c r="N141" i="1"/>
  <c r="P141" i="1" s="1"/>
  <c r="N142" i="1"/>
  <c r="P142" i="1" s="1"/>
  <c r="N143" i="1"/>
  <c r="P143" i="1" s="1"/>
  <c r="N144" i="1"/>
  <c r="P144" i="1" s="1"/>
  <c r="N145" i="1"/>
  <c r="P145" i="1" s="1"/>
  <c r="Q145" i="1" s="1"/>
  <c r="R145" i="1" s="1"/>
  <c r="N146" i="1"/>
  <c r="P146" i="1" s="1"/>
  <c r="N147" i="1"/>
  <c r="P147" i="1" s="1"/>
  <c r="N148" i="1"/>
  <c r="P148" i="1" s="1"/>
  <c r="N149" i="1"/>
  <c r="P149" i="1" s="1"/>
  <c r="N150" i="1"/>
  <c r="P150" i="1" s="1"/>
  <c r="N151" i="1"/>
  <c r="P151" i="1" s="1"/>
  <c r="N152" i="1"/>
  <c r="P152" i="1" s="1"/>
  <c r="N153" i="1"/>
  <c r="P153" i="1" s="1"/>
  <c r="Q153" i="1" s="1"/>
  <c r="R153" i="1" s="1"/>
  <c r="N154" i="1"/>
  <c r="P154" i="1" s="1"/>
  <c r="N155" i="1"/>
  <c r="P155" i="1" s="1"/>
  <c r="N156" i="1"/>
  <c r="P156" i="1" s="1"/>
  <c r="N157" i="1"/>
  <c r="P157" i="1" s="1"/>
  <c r="N158" i="1"/>
  <c r="P158" i="1" s="1"/>
  <c r="N159" i="1"/>
  <c r="P159" i="1" s="1"/>
  <c r="N160" i="1"/>
  <c r="P160" i="1" s="1"/>
  <c r="N161" i="1"/>
  <c r="P161" i="1" s="1"/>
  <c r="Q161" i="1" s="1"/>
  <c r="R161" i="1" s="1"/>
  <c r="N162" i="1"/>
  <c r="P162" i="1" s="1"/>
  <c r="N163" i="1"/>
  <c r="P163" i="1" s="1"/>
  <c r="N164" i="1"/>
  <c r="P164" i="1" s="1"/>
  <c r="N165" i="1"/>
  <c r="P165" i="1" s="1"/>
  <c r="N166" i="1"/>
  <c r="P166" i="1" s="1"/>
  <c r="N167" i="1"/>
  <c r="P167" i="1" s="1"/>
  <c r="N168" i="1"/>
  <c r="P168" i="1" s="1"/>
  <c r="N169" i="1"/>
  <c r="P169" i="1" s="1"/>
  <c r="Q169" i="1" s="1"/>
  <c r="R169" i="1" s="1"/>
  <c r="N170" i="1"/>
  <c r="P170" i="1" s="1"/>
  <c r="N171" i="1"/>
  <c r="P171" i="1" s="1"/>
  <c r="N172" i="1"/>
  <c r="P172" i="1" s="1"/>
  <c r="N173" i="1"/>
  <c r="P173" i="1" s="1"/>
  <c r="N174" i="1"/>
  <c r="P174" i="1" s="1"/>
  <c r="N175" i="1"/>
  <c r="P175" i="1" s="1"/>
  <c r="N176" i="1"/>
  <c r="P176" i="1" s="1"/>
  <c r="N177" i="1"/>
  <c r="P177" i="1" s="1"/>
  <c r="Q177" i="1" s="1"/>
  <c r="R177" i="1" s="1"/>
  <c r="N178" i="1"/>
  <c r="P178" i="1" s="1"/>
  <c r="N179" i="1"/>
  <c r="P179" i="1" s="1"/>
  <c r="N180" i="1"/>
  <c r="P180" i="1" s="1"/>
  <c r="N181" i="1"/>
  <c r="P181" i="1" s="1"/>
  <c r="N182" i="1"/>
  <c r="P182" i="1" s="1"/>
  <c r="N183" i="1"/>
  <c r="P183" i="1" s="1"/>
  <c r="N184" i="1"/>
  <c r="P184" i="1" s="1"/>
  <c r="N185" i="1"/>
  <c r="P185" i="1" s="1"/>
  <c r="Q185" i="1" s="1"/>
  <c r="R185" i="1" s="1"/>
  <c r="N186" i="1"/>
  <c r="P186" i="1" s="1"/>
  <c r="N187" i="1"/>
  <c r="P187" i="1" s="1"/>
  <c r="N188" i="1"/>
  <c r="P188" i="1" s="1"/>
  <c r="N189" i="1"/>
  <c r="P189" i="1" s="1"/>
  <c r="N190" i="1"/>
  <c r="P190" i="1" s="1"/>
  <c r="N191" i="1"/>
  <c r="P191" i="1" s="1"/>
  <c r="N192" i="1"/>
  <c r="P192" i="1" s="1"/>
  <c r="N193" i="1"/>
  <c r="P193" i="1" s="1"/>
  <c r="Q193" i="1" s="1"/>
  <c r="R193" i="1" s="1"/>
  <c r="N194" i="1"/>
  <c r="P194" i="1" s="1"/>
  <c r="N195" i="1"/>
  <c r="P195" i="1" s="1"/>
  <c r="N196" i="1"/>
  <c r="P196" i="1" s="1"/>
  <c r="N197" i="1"/>
  <c r="P197" i="1" s="1"/>
  <c r="N198" i="1"/>
  <c r="P198" i="1" s="1"/>
  <c r="N199" i="1"/>
  <c r="P199" i="1" s="1"/>
  <c r="N200" i="1"/>
  <c r="P200" i="1" s="1"/>
  <c r="N201" i="1"/>
  <c r="P201" i="1" s="1"/>
  <c r="Q201" i="1" s="1"/>
  <c r="R201" i="1" s="1"/>
  <c r="N202" i="1"/>
  <c r="P202" i="1" s="1"/>
  <c r="N203" i="1"/>
  <c r="P203" i="1" s="1"/>
  <c r="N204" i="1"/>
  <c r="P204" i="1" s="1"/>
  <c r="N205" i="1"/>
  <c r="P205" i="1" s="1"/>
  <c r="N206" i="1"/>
  <c r="P206" i="1" s="1"/>
  <c r="N207" i="1"/>
  <c r="P207" i="1" s="1"/>
  <c r="N208" i="1"/>
  <c r="P208" i="1" s="1"/>
  <c r="N209" i="1"/>
  <c r="P209" i="1" s="1"/>
  <c r="Q209" i="1" s="1"/>
  <c r="R209" i="1" s="1"/>
  <c r="N210" i="1"/>
  <c r="P210" i="1" s="1"/>
  <c r="N211" i="1"/>
  <c r="P211" i="1" s="1"/>
  <c r="N212" i="1"/>
  <c r="P212" i="1" s="1"/>
  <c r="N213" i="1"/>
  <c r="P213" i="1" s="1"/>
  <c r="N214" i="1"/>
  <c r="P214" i="1" s="1"/>
  <c r="N215" i="1"/>
  <c r="P215" i="1" s="1"/>
  <c r="N216" i="1"/>
  <c r="P216" i="1" s="1"/>
  <c r="N217" i="1"/>
  <c r="P217" i="1" s="1"/>
  <c r="Q217" i="1" s="1"/>
  <c r="R217" i="1" s="1"/>
  <c r="N218" i="1"/>
  <c r="P218" i="1" s="1"/>
  <c r="N219" i="1"/>
  <c r="P219" i="1" s="1"/>
  <c r="N220" i="1"/>
  <c r="P220" i="1" s="1"/>
  <c r="N221" i="1"/>
  <c r="P221" i="1" s="1"/>
  <c r="N222" i="1"/>
  <c r="P222" i="1" s="1"/>
  <c r="N223" i="1"/>
  <c r="P223" i="1" s="1"/>
  <c r="N224" i="1"/>
  <c r="P224" i="1" s="1"/>
  <c r="N225" i="1"/>
  <c r="P225" i="1" s="1"/>
  <c r="Q225" i="1" s="1"/>
  <c r="R225" i="1" s="1"/>
  <c r="N226" i="1"/>
  <c r="P226" i="1" s="1"/>
  <c r="N227" i="1"/>
  <c r="P227" i="1" s="1"/>
  <c r="N228" i="1"/>
  <c r="P228" i="1" s="1"/>
  <c r="N229" i="1"/>
  <c r="P229" i="1" s="1"/>
  <c r="N230" i="1"/>
  <c r="P230" i="1" s="1"/>
  <c r="N231" i="1"/>
  <c r="P231" i="1" s="1"/>
  <c r="N232" i="1"/>
  <c r="P232" i="1" s="1"/>
  <c r="N233" i="1"/>
  <c r="P233" i="1" s="1"/>
  <c r="Q233" i="1" s="1"/>
  <c r="R233" i="1" s="1"/>
  <c r="N234" i="1"/>
  <c r="P234" i="1" s="1"/>
  <c r="N235" i="1"/>
  <c r="P235" i="1" s="1"/>
  <c r="N236" i="1"/>
  <c r="P236" i="1" s="1"/>
  <c r="N237" i="1"/>
  <c r="P237" i="1" s="1"/>
  <c r="N238" i="1"/>
  <c r="P238" i="1" s="1"/>
  <c r="N239" i="1"/>
  <c r="P239" i="1" s="1"/>
  <c r="N240" i="1"/>
  <c r="P240" i="1" s="1"/>
  <c r="N241" i="1"/>
  <c r="P241" i="1" s="1"/>
  <c r="Q241" i="1" s="1"/>
  <c r="R241" i="1" s="1"/>
  <c r="N242" i="1"/>
  <c r="P242" i="1" s="1"/>
  <c r="N243" i="1"/>
  <c r="P243" i="1" s="1"/>
  <c r="N244" i="1"/>
  <c r="P244" i="1" s="1"/>
  <c r="N245" i="1"/>
  <c r="P245" i="1" s="1"/>
  <c r="N246" i="1"/>
  <c r="P246" i="1" s="1"/>
  <c r="N247" i="1"/>
  <c r="P247" i="1" s="1"/>
  <c r="N248" i="1"/>
  <c r="P248" i="1" s="1"/>
  <c r="N249" i="1"/>
  <c r="P249" i="1" s="1"/>
  <c r="Q249" i="1" s="1"/>
  <c r="R249" i="1" s="1"/>
  <c r="N250" i="1"/>
  <c r="P250" i="1" s="1"/>
  <c r="N251" i="1"/>
  <c r="P251" i="1" s="1"/>
  <c r="N252" i="1"/>
  <c r="P252" i="1" s="1"/>
  <c r="N253" i="1"/>
  <c r="P253" i="1" s="1"/>
  <c r="N254" i="1"/>
  <c r="P254" i="1" s="1"/>
  <c r="N255" i="1"/>
  <c r="P255" i="1" s="1"/>
  <c r="N256" i="1"/>
  <c r="P256" i="1" s="1"/>
  <c r="N257" i="1"/>
  <c r="P257" i="1" s="1"/>
  <c r="Q257" i="1" s="1"/>
  <c r="R257" i="1" s="1"/>
  <c r="N258" i="1"/>
  <c r="P258" i="1" s="1"/>
  <c r="N259" i="1"/>
  <c r="P259" i="1" s="1"/>
  <c r="N260" i="1"/>
  <c r="P260" i="1" s="1"/>
  <c r="N261" i="1"/>
  <c r="P261" i="1" s="1"/>
  <c r="N262" i="1"/>
  <c r="P262" i="1" s="1"/>
  <c r="N263" i="1"/>
  <c r="P263" i="1" s="1"/>
  <c r="N264" i="1"/>
  <c r="P264" i="1" s="1"/>
  <c r="N265" i="1"/>
  <c r="P265" i="1" s="1"/>
  <c r="Q265" i="1" s="1"/>
  <c r="R265" i="1" s="1"/>
  <c r="N266" i="1"/>
  <c r="P266" i="1" s="1"/>
  <c r="N267" i="1"/>
  <c r="P267" i="1" s="1"/>
  <c r="N268" i="1"/>
  <c r="P268" i="1" s="1"/>
  <c r="N269" i="1"/>
  <c r="P269" i="1" s="1"/>
  <c r="N270" i="1"/>
  <c r="P270" i="1" s="1"/>
  <c r="N271" i="1"/>
  <c r="P271" i="1" s="1"/>
  <c r="N272" i="1"/>
  <c r="P272" i="1" s="1"/>
  <c r="N273" i="1"/>
  <c r="P273" i="1" s="1"/>
  <c r="Q273" i="1" s="1"/>
  <c r="R273" i="1" s="1"/>
  <c r="N274" i="1"/>
  <c r="P274" i="1" s="1"/>
  <c r="N275" i="1"/>
  <c r="P275" i="1" s="1"/>
  <c r="N276" i="1"/>
  <c r="P276" i="1" s="1"/>
  <c r="N277" i="1"/>
  <c r="P277" i="1" s="1"/>
  <c r="N278" i="1"/>
  <c r="P278" i="1" s="1"/>
  <c r="N279" i="1"/>
  <c r="P279" i="1" s="1"/>
  <c r="N280" i="1"/>
  <c r="P280" i="1" s="1"/>
  <c r="N281" i="1"/>
  <c r="P281" i="1" s="1"/>
  <c r="Q281" i="1" s="1"/>
  <c r="R281" i="1" s="1"/>
  <c r="N282" i="1"/>
  <c r="P282" i="1" s="1"/>
  <c r="N283" i="1"/>
  <c r="P283" i="1" s="1"/>
  <c r="N284" i="1"/>
  <c r="P284" i="1" s="1"/>
  <c r="N285" i="1"/>
  <c r="P285" i="1" s="1"/>
  <c r="N286" i="1"/>
  <c r="P286" i="1" s="1"/>
  <c r="N287" i="1"/>
  <c r="P287" i="1" s="1"/>
  <c r="N288" i="1"/>
  <c r="P288" i="1" s="1"/>
  <c r="N289" i="1"/>
  <c r="P289" i="1" s="1"/>
  <c r="Q289" i="1" s="1"/>
  <c r="R289" i="1" s="1"/>
  <c r="N290" i="1"/>
  <c r="P290" i="1" s="1"/>
  <c r="N291" i="1"/>
  <c r="P291" i="1" s="1"/>
  <c r="N292" i="1"/>
  <c r="P292" i="1" s="1"/>
  <c r="N293" i="1"/>
  <c r="P293" i="1" s="1"/>
  <c r="N294" i="1"/>
  <c r="P294" i="1" s="1"/>
  <c r="N295" i="1"/>
  <c r="P295" i="1" s="1"/>
  <c r="N296" i="1"/>
  <c r="P296" i="1" s="1"/>
  <c r="N297" i="1"/>
  <c r="P297" i="1" s="1"/>
  <c r="Q297" i="1" s="1"/>
  <c r="R297" i="1" s="1"/>
  <c r="N298" i="1"/>
  <c r="P298" i="1" s="1"/>
  <c r="N299" i="1"/>
  <c r="P299" i="1" s="1"/>
  <c r="N300" i="1"/>
  <c r="P300" i="1" s="1"/>
  <c r="N301" i="1"/>
  <c r="P301" i="1" s="1"/>
  <c r="N302" i="1"/>
  <c r="P302" i="1" s="1"/>
  <c r="N303" i="1"/>
  <c r="P303" i="1" s="1"/>
  <c r="N304" i="1"/>
  <c r="P304" i="1" s="1"/>
  <c r="N305" i="1"/>
  <c r="P305" i="1" s="1"/>
  <c r="Q305" i="1" s="1"/>
  <c r="R305" i="1" s="1"/>
  <c r="N306" i="1"/>
  <c r="P306" i="1" s="1"/>
  <c r="N307" i="1"/>
  <c r="P307" i="1" s="1"/>
  <c r="N308" i="1"/>
  <c r="P308" i="1" s="1"/>
  <c r="N309" i="1"/>
  <c r="P309" i="1" s="1"/>
  <c r="N310" i="1"/>
  <c r="P310" i="1" s="1"/>
  <c r="N311" i="1"/>
  <c r="P311" i="1" s="1"/>
  <c r="N312" i="1"/>
  <c r="P312" i="1" s="1"/>
  <c r="N313" i="1"/>
  <c r="P313" i="1" s="1"/>
  <c r="Q313" i="1" s="1"/>
  <c r="R313" i="1" s="1"/>
  <c r="N314" i="1"/>
  <c r="P314" i="1" s="1"/>
  <c r="N315" i="1"/>
  <c r="P315" i="1" s="1"/>
  <c r="N316" i="1"/>
  <c r="P316" i="1" s="1"/>
  <c r="N317" i="1"/>
  <c r="P317" i="1" s="1"/>
  <c r="N318" i="1"/>
  <c r="P318" i="1" s="1"/>
  <c r="N319" i="1"/>
  <c r="P319" i="1" s="1"/>
  <c r="N320" i="1"/>
  <c r="P320" i="1" s="1"/>
  <c r="N321" i="1"/>
  <c r="P321" i="1" s="1"/>
  <c r="Q321" i="1" s="1"/>
  <c r="R321" i="1" s="1"/>
  <c r="N322" i="1"/>
  <c r="P322" i="1" s="1"/>
  <c r="N323" i="1"/>
  <c r="P323" i="1" s="1"/>
  <c r="N324" i="1"/>
  <c r="P324" i="1" s="1"/>
  <c r="N325" i="1"/>
  <c r="P325" i="1" s="1"/>
  <c r="N326" i="1"/>
  <c r="P326" i="1" s="1"/>
  <c r="N327" i="1"/>
  <c r="P327" i="1" s="1"/>
  <c r="N328" i="1"/>
  <c r="P328" i="1" s="1"/>
  <c r="N329" i="1"/>
  <c r="P329" i="1" s="1"/>
  <c r="Q329" i="1" s="1"/>
  <c r="R329" i="1" s="1"/>
  <c r="N330" i="1"/>
  <c r="P330" i="1" s="1"/>
  <c r="N331" i="1"/>
  <c r="P331" i="1" s="1"/>
  <c r="N332" i="1"/>
  <c r="P332" i="1" s="1"/>
  <c r="N333" i="1"/>
  <c r="P333" i="1" s="1"/>
  <c r="N334" i="1"/>
  <c r="P334" i="1" s="1"/>
  <c r="N335" i="1"/>
  <c r="P335" i="1" s="1"/>
  <c r="N336" i="1"/>
  <c r="P336" i="1" s="1"/>
  <c r="N337" i="1"/>
  <c r="P337" i="1" s="1"/>
  <c r="Q337" i="1" s="1"/>
  <c r="R337" i="1" s="1"/>
  <c r="N338" i="1"/>
  <c r="P338" i="1" s="1"/>
  <c r="N339" i="1"/>
  <c r="P339" i="1" s="1"/>
  <c r="N340" i="1"/>
  <c r="P340" i="1" s="1"/>
  <c r="N341" i="1"/>
  <c r="P341" i="1" s="1"/>
  <c r="N342" i="1"/>
  <c r="P342" i="1" s="1"/>
  <c r="N343" i="1"/>
  <c r="P343" i="1" s="1"/>
  <c r="N344" i="1"/>
  <c r="P344" i="1" s="1"/>
  <c r="N345" i="1"/>
  <c r="P345" i="1" s="1"/>
  <c r="Q345" i="1" s="1"/>
  <c r="R345" i="1" s="1"/>
  <c r="N346" i="1"/>
  <c r="P346" i="1" s="1"/>
  <c r="N347" i="1"/>
  <c r="P347" i="1" s="1"/>
  <c r="N348" i="1"/>
  <c r="P348" i="1" s="1"/>
  <c r="N349" i="1"/>
  <c r="P349" i="1" s="1"/>
  <c r="N350" i="1"/>
  <c r="P350" i="1" s="1"/>
  <c r="N351" i="1"/>
  <c r="P351" i="1" s="1"/>
  <c r="N352" i="1"/>
  <c r="P352" i="1" s="1"/>
  <c r="N353" i="1"/>
  <c r="P353" i="1" s="1"/>
  <c r="Q353" i="1" s="1"/>
  <c r="R353" i="1" s="1"/>
  <c r="N354" i="1"/>
  <c r="P354" i="1" s="1"/>
  <c r="N355" i="1"/>
  <c r="P355" i="1" s="1"/>
  <c r="N356" i="1"/>
  <c r="P356" i="1" s="1"/>
  <c r="N357" i="1"/>
  <c r="P357" i="1" s="1"/>
  <c r="N358" i="1"/>
  <c r="P358" i="1" s="1"/>
  <c r="N359" i="1"/>
  <c r="P359" i="1" s="1"/>
  <c r="N360" i="1"/>
  <c r="P360" i="1" s="1"/>
  <c r="N361" i="1"/>
  <c r="P361" i="1" s="1"/>
  <c r="Q361" i="1" s="1"/>
  <c r="R361" i="1" s="1"/>
  <c r="N362" i="1"/>
  <c r="P362" i="1" s="1"/>
  <c r="N363" i="1"/>
  <c r="P363" i="1" s="1"/>
  <c r="N364" i="1"/>
  <c r="P364" i="1" s="1"/>
  <c r="N365" i="1"/>
  <c r="P365" i="1" s="1"/>
  <c r="N366" i="1"/>
  <c r="P366" i="1" s="1"/>
  <c r="N367" i="1"/>
  <c r="P367" i="1" s="1"/>
  <c r="N368" i="1"/>
  <c r="P368" i="1" s="1"/>
  <c r="N369" i="1"/>
  <c r="P369" i="1" s="1"/>
  <c r="Q369" i="1" s="1"/>
  <c r="R369" i="1" s="1"/>
  <c r="N370" i="1"/>
  <c r="P370" i="1" s="1"/>
  <c r="N371" i="1"/>
  <c r="P371" i="1" s="1"/>
  <c r="N372" i="1"/>
  <c r="P372" i="1" s="1"/>
  <c r="N373" i="1"/>
  <c r="P373" i="1" s="1"/>
  <c r="N374" i="1"/>
  <c r="P374" i="1" s="1"/>
  <c r="N375" i="1"/>
  <c r="P375" i="1" s="1"/>
  <c r="N376" i="1"/>
  <c r="P376" i="1" s="1"/>
  <c r="N377" i="1"/>
  <c r="P377" i="1" s="1"/>
  <c r="Q377" i="1" s="1"/>
  <c r="R377" i="1" s="1"/>
  <c r="N378" i="1"/>
  <c r="P378" i="1" s="1"/>
  <c r="N379" i="1"/>
  <c r="P379" i="1" s="1"/>
  <c r="N380" i="1"/>
  <c r="P380" i="1" s="1"/>
  <c r="N381" i="1"/>
  <c r="P381" i="1" s="1"/>
  <c r="N382" i="1"/>
  <c r="P382" i="1" s="1"/>
  <c r="N383" i="1"/>
  <c r="P383" i="1" s="1"/>
  <c r="N384" i="1"/>
  <c r="P384" i="1" s="1"/>
  <c r="N385" i="1"/>
  <c r="P385" i="1" s="1"/>
  <c r="Q385" i="1" s="1"/>
  <c r="R385" i="1" s="1"/>
  <c r="N386" i="1"/>
  <c r="P386" i="1" s="1"/>
  <c r="N387" i="1"/>
  <c r="P387" i="1" s="1"/>
  <c r="N388" i="1"/>
  <c r="P388" i="1" s="1"/>
  <c r="N389" i="1"/>
  <c r="P389" i="1" s="1"/>
  <c r="N390" i="1"/>
  <c r="P390" i="1" s="1"/>
  <c r="N391" i="1"/>
  <c r="P391" i="1" s="1"/>
  <c r="N392" i="1"/>
  <c r="P392" i="1" s="1"/>
  <c r="N393" i="1"/>
  <c r="P393" i="1" s="1"/>
  <c r="Q393" i="1" s="1"/>
  <c r="R393" i="1" s="1"/>
  <c r="N394" i="1"/>
  <c r="P394" i="1" s="1"/>
  <c r="N395" i="1"/>
  <c r="P395" i="1" s="1"/>
  <c r="N396" i="1"/>
  <c r="P396" i="1" s="1"/>
  <c r="N397" i="1"/>
  <c r="P397" i="1" s="1"/>
  <c r="N398" i="1"/>
  <c r="P398" i="1" s="1"/>
  <c r="N399" i="1"/>
  <c r="P399" i="1" s="1"/>
  <c r="N400" i="1"/>
  <c r="P400" i="1" s="1"/>
  <c r="N401" i="1"/>
  <c r="P401" i="1" s="1"/>
  <c r="Q401" i="1" s="1"/>
  <c r="R401" i="1" s="1"/>
  <c r="N402" i="1"/>
  <c r="P402" i="1" s="1"/>
  <c r="N403" i="1"/>
  <c r="P403" i="1" s="1"/>
  <c r="N404" i="1"/>
  <c r="P404" i="1" s="1"/>
  <c r="N405" i="1"/>
  <c r="P405" i="1" s="1"/>
  <c r="N406" i="1"/>
  <c r="P406" i="1" s="1"/>
  <c r="N407" i="1"/>
  <c r="P407" i="1" s="1"/>
  <c r="N408" i="1"/>
  <c r="P408" i="1" s="1"/>
  <c r="N409" i="1"/>
  <c r="P409" i="1" s="1"/>
  <c r="Q409" i="1" s="1"/>
  <c r="R409" i="1" s="1"/>
  <c r="N410" i="1"/>
  <c r="P410" i="1" s="1"/>
  <c r="N411" i="1"/>
  <c r="P411" i="1" s="1"/>
  <c r="N412" i="1"/>
  <c r="P412" i="1" s="1"/>
  <c r="N413" i="1"/>
  <c r="P413" i="1" s="1"/>
  <c r="N414" i="1"/>
  <c r="P414" i="1" s="1"/>
  <c r="N415" i="1"/>
  <c r="P415" i="1" s="1"/>
  <c r="N416" i="1"/>
  <c r="P416" i="1" s="1"/>
  <c r="N417" i="1"/>
  <c r="P417" i="1" s="1"/>
  <c r="Q417" i="1" s="1"/>
  <c r="R417" i="1" s="1"/>
  <c r="N418" i="1"/>
  <c r="P418" i="1" s="1"/>
  <c r="N419" i="1"/>
  <c r="P419" i="1" s="1"/>
  <c r="N420" i="1"/>
  <c r="P420" i="1" s="1"/>
  <c r="N421" i="1"/>
  <c r="P421" i="1" s="1"/>
  <c r="N422" i="1"/>
  <c r="P422" i="1" s="1"/>
  <c r="N423" i="1"/>
  <c r="P423" i="1" s="1"/>
  <c r="N424" i="1"/>
  <c r="P424" i="1" s="1"/>
  <c r="N425" i="1"/>
  <c r="P425" i="1" s="1"/>
  <c r="Q425" i="1" s="1"/>
  <c r="R425" i="1" s="1"/>
  <c r="N426" i="1"/>
  <c r="P426" i="1" s="1"/>
  <c r="N427" i="1"/>
  <c r="P427" i="1" s="1"/>
  <c r="N428" i="1"/>
  <c r="P428" i="1" s="1"/>
  <c r="N429" i="1"/>
  <c r="P429" i="1" s="1"/>
  <c r="N430" i="1"/>
  <c r="P430" i="1" s="1"/>
  <c r="N431" i="1"/>
  <c r="P431" i="1" s="1"/>
  <c r="N432" i="1"/>
  <c r="P432" i="1" s="1"/>
  <c r="N433" i="1"/>
  <c r="P433" i="1" s="1"/>
  <c r="Q433" i="1" s="1"/>
  <c r="R433" i="1" s="1"/>
  <c r="N434" i="1"/>
  <c r="P434" i="1" s="1"/>
  <c r="N435" i="1"/>
  <c r="P435" i="1" s="1"/>
  <c r="N436" i="1"/>
  <c r="P436" i="1" s="1"/>
  <c r="N437" i="1"/>
  <c r="P437" i="1" s="1"/>
  <c r="N438" i="1"/>
  <c r="P438" i="1" s="1"/>
  <c r="N439" i="1"/>
  <c r="P439" i="1" s="1"/>
  <c r="N440" i="1"/>
  <c r="P440" i="1" s="1"/>
  <c r="N441" i="1"/>
  <c r="P441" i="1" s="1"/>
  <c r="Q441" i="1" s="1"/>
  <c r="R441" i="1" s="1"/>
  <c r="N442" i="1"/>
  <c r="P442" i="1" s="1"/>
  <c r="N443" i="1"/>
  <c r="P443" i="1" s="1"/>
  <c r="N444" i="1"/>
  <c r="P444" i="1" s="1"/>
  <c r="N445" i="1"/>
  <c r="P445" i="1" s="1"/>
  <c r="N446" i="1"/>
  <c r="P446" i="1" s="1"/>
  <c r="N447" i="1"/>
  <c r="P447" i="1" s="1"/>
  <c r="N448" i="1"/>
  <c r="P448" i="1" s="1"/>
  <c r="N449" i="1"/>
  <c r="P449" i="1" s="1"/>
  <c r="Q449" i="1" s="1"/>
  <c r="R449" i="1" s="1"/>
  <c r="N450" i="1"/>
  <c r="P450" i="1" s="1"/>
  <c r="N451" i="1"/>
  <c r="P451" i="1" s="1"/>
  <c r="N452" i="1"/>
  <c r="P452" i="1" s="1"/>
  <c r="N453" i="1"/>
  <c r="P453" i="1" s="1"/>
  <c r="N454" i="1"/>
  <c r="P454" i="1" s="1"/>
  <c r="N455" i="1"/>
  <c r="P455" i="1" s="1"/>
  <c r="N456" i="1"/>
  <c r="P456" i="1" s="1"/>
  <c r="N457" i="1"/>
  <c r="P457" i="1" s="1"/>
  <c r="Q457" i="1" s="1"/>
  <c r="R457" i="1" s="1"/>
  <c r="N458" i="1"/>
  <c r="P458" i="1" s="1"/>
  <c r="N459" i="1"/>
  <c r="P459" i="1" s="1"/>
  <c r="N460" i="1"/>
  <c r="P460" i="1" s="1"/>
  <c r="N461" i="1"/>
  <c r="P461" i="1" s="1"/>
  <c r="N462" i="1"/>
  <c r="P462" i="1" s="1"/>
  <c r="N463" i="1"/>
  <c r="P463" i="1" s="1"/>
  <c r="N464" i="1"/>
  <c r="P464" i="1" s="1"/>
  <c r="N465" i="1"/>
  <c r="P465" i="1" s="1"/>
  <c r="Q465" i="1" s="1"/>
  <c r="R465" i="1" s="1"/>
  <c r="N466" i="1"/>
  <c r="P466" i="1" s="1"/>
  <c r="N467" i="1"/>
  <c r="P467" i="1" s="1"/>
  <c r="N468" i="1"/>
  <c r="P468" i="1" s="1"/>
  <c r="N469" i="1"/>
  <c r="P469" i="1" s="1"/>
  <c r="N470" i="1"/>
  <c r="P470" i="1" s="1"/>
  <c r="N471" i="1"/>
  <c r="P471" i="1" s="1"/>
  <c r="N472" i="1"/>
  <c r="P472" i="1" s="1"/>
  <c r="N473" i="1"/>
  <c r="P473" i="1" s="1"/>
  <c r="Q473" i="1" s="1"/>
  <c r="R473" i="1" s="1"/>
  <c r="N474" i="1"/>
  <c r="P474" i="1" s="1"/>
  <c r="N475" i="1"/>
  <c r="P475" i="1" s="1"/>
  <c r="N476" i="1"/>
  <c r="P476" i="1" s="1"/>
  <c r="N477" i="1"/>
  <c r="P477" i="1" s="1"/>
  <c r="N478" i="1"/>
  <c r="P478" i="1" s="1"/>
  <c r="N479" i="1"/>
  <c r="P479" i="1" s="1"/>
  <c r="N480" i="1"/>
  <c r="P480" i="1" s="1"/>
  <c r="N481" i="1"/>
  <c r="P481" i="1" s="1"/>
  <c r="Q481" i="1" s="1"/>
  <c r="R481" i="1" s="1"/>
  <c r="N482" i="1"/>
  <c r="P482" i="1" s="1"/>
  <c r="N483" i="1"/>
  <c r="P483" i="1" s="1"/>
  <c r="N484" i="1"/>
  <c r="P484" i="1" s="1"/>
  <c r="N485" i="1"/>
  <c r="P485" i="1" s="1"/>
  <c r="N486" i="1"/>
  <c r="P486" i="1" s="1"/>
  <c r="N487" i="1"/>
  <c r="P487" i="1" s="1"/>
  <c r="N488" i="1"/>
  <c r="P488" i="1" s="1"/>
  <c r="N489" i="1"/>
  <c r="P489" i="1" s="1"/>
  <c r="Q489" i="1" s="1"/>
  <c r="R489" i="1" s="1"/>
  <c r="N490" i="1"/>
  <c r="P490" i="1" s="1"/>
  <c r="N491" i="1"/>
  <c r="P491" i="1" s="1"/>
  <c r="N492" i="1"/>
  <c r="P492" i="1" s="1"/>
  <c r="N493" i="1"/>
  <c r="P493" i="1" s="1"/>
  <c r="N494" i="1"/>
  <c r="P494" i="1" s="1"/>
  <c r="N495" i="1"/>
  <c r="P495" i="1" s="1"/>
  <c r="N496" i="1"/>
  <c r="P496" i="1" s="1"/>
  <c r="N497" i="1"/>
  <c r="P497" i="1" s="1"/>
  <c r="Q497" i="1" s="1"/>
  <c r="R497" i="1" s="1"/>
  <c r="N498" i="1"/>
  <c r="P498" i="1" s="1"/>
  <c r="N499" i="1"/>
  <c r="P499" i="1" s="1"/>
  <c r="N500" i="1"/>
  <c r="P500" i="1" s="1"/>
  <c r="N501" i="1"/>
  <c r="P501" i="1" s="1"/>
  <c r="N502" i="1"/>
  <c r="P502" i="1" s="1"/>
  <c r="N503" i="1"/>
  <c r="P503" i="1" s="1"/>
  <c r="N504" i="1"/>
  <c r="P504" i="1" s="1"/>
  <c r="N505" i="1"/>
  <c r="P505" i="1" s="1"/>
  <c r="Q505" i="1" s="1"/>
  <c r="R505" i="1" s="1"/>
  <c r="N506" i="1"/>
  <c r="P506" i="1" s="1"/>
  <c r="N507" i="1"/>
  <c r="P507" i="1" s="1"/>
  <c r="N508" i="1"/>
  <c r="P508" i="1" s="1"/>
  <c r="N509" i="1"/>
  <c r="P509" i="1" s="1"/>
  <c r="N510" i="1"/>
  <c r="P510" i="1" s="1"/>
  <c r="N511" i="1"/>
  <c r="P511" i="1" s="1"/>
  <c r="N512" i="1"/>
  <c r="P512" i="1" s="1"/>
  <c r="N513" i="1"/>
  <c r="P513" i="1" s="1"/>
  <c r="Q513" i="1" s="1"/>
  <c r="R513" i="1" s="1"/>
  <c r="N514" i="1"/>
  <c r="P514" i="1" s="1"/>
  <c r="N515" i="1"/>
  <c r="P515" i="1" s="1"/>
  <c r="N516" i="1"/>
  <c r="P516" i="1" s="1"/>
  <c r="N517" i="1"/>
  <c r="P517" i="1" s="1"/>
  <c r="N518" i="1"/>
  <c r="P518" i="1" s="1"/>
  <c r="N519" i="1"/>
  <c r="P519" i="1" s="1"/>
  <c r="N520" i="1"/>
  <c r="P520" i="1" s="1"/>
  <c r="N521" i="1"/>
  <c r="P521" i="1" s="1"/>
  <c r="Q521" i="1" s="1"/>
  <c r="R521" i="1" s="1"/>
  <c r="N522" i="1"/>
  <c r="P522" i="1" s="1"/>
  <c r="N523" i="1"/>
  <c r="P523" i="1" s="1"/>
  <c r="N524" i="1"/>
  <c r="P524" i="1" s="1"/>
  <c r="N525" i="1"/>
  <c r="P525" i="1" s="1"/>
  <c r="N526" i="1"/>
  <c r="P526" i="1" s="1"/>
  <c r="N527" i="1"/>
  <c r="P527" i="1" s="1"/>
  <c r="N528" i="1"/>
  <c r="P528" i="1" s="1"/>
  <c r="N529" i="1"/>
  <c r="P529" i="1" s="1"/>
  <c r="Q529" i="1" s="1"/>
  <c r="R529" i="1" s="1"/>
  <c r="N530" i="1"/>
  <c r="P530" i="1" s="1"/>
  <c r="N531" i="1"/>
  <c r="P531" i="1" s="1"/>
  <c r="N532" i="1"/>
  <c r="P532" i="1" s="1"/>
  <c r="N533" i="1"/>
  <c r="P533" i="1" s="1"/>
  <c r="N534" i="1"/>
  <c r="P534" i="1" s="1"/>
  <c r="N535" i="1"/>
  <c r="P535" i="1" s="1"/>
  <c r="N536" i="1"/>
  <c r="P536" i="1" s="1"/>
  <c r="N537" i="1"/>
  <c r="P537" i="1" s="1"/>
  <c r="Q537" i="1" s="1"/>
  <c r="R537" i="1" s="1"/>
  <c r="N538" i="1"/>
  <c r="P538" i="1" s="1"/>
  <c r="N539" i="1"/>
  <c r="P539" i="1" s="1"/>
  <c r="N540" i="1"/>
  <c r="P540" i="1" s="1"/>
  <c r="N541" i="1"/>
  <c r="P541" i="1" s="1"/>
  <c r="N542" i="1"/>
  <c r="P542" i="1" s="1"/>
  <c r="N543" i="1"/>
  <c r="P543" i="1" s="1"/>
  <c r="N544" i="1"/>
  <c r="P544" i="1" s="1"/>
  <c r="N545" i="1"/>
  <c r="P545" i="1" s="1"/>
  <c r="Q545" i="1" s="1"/>
  <c r="R545" i="1" s="1"/>
  <c r="N546" i="1"/>
  <c r="P546" i="1" s="1"/>
  <c r="N547" i="1"/>
  <c r="P547" i="1" s="1"/>
  <c r="N548" i="1"/>
  <c r="P548" i="1" s="1"/>
  <c r="N549" i="1"/>
  <c r="P549" i="1" s="1"/>
  <c r="N550" i="1"/>
  <c r="P550" i="1" s="1"/>
  <c r="N551" i="1"/>
  <c r="P551" i="1" s="1"/>
  <c r="N552" i="1"/>
  <c r="P552" i="1" s="1"/>
  <c r="N553" i="1"/>
  <c r="P553" i="1" s="1"/>
  <c r="Q553" i="1" s="1"/>
  <c r="R553" i="1" s="1"/>
  <c r="N554" i="1"/>
  <c r="P554" i="1" s="1"/>
  <c r="N555" i="1"/>
  <c r="P555" i="1" s="1"/>
  <c r="N556" i="1"/>
  <c r="P556" i="1" s="1"/>
  <c r="N557" i="1"/>
  <c r="P557" i="1" s="1"/>
  <c r="N558" i="1"/>
  <c r="P558" i="1" s="1"/>
  <c r="N559" i="1"/>
  <c r="P559" i="1" s="1"/>
  <c r="N560" i="1"/>
  <c r="P560" i="1" s="1"/>
  <c r="N561" i="1"/>
  <c r="P561" i="1" s="1"/>
  <c r="Q561" i="1" s="1"/>
  <c r="R561" i="1" s="1"/>
  <c r="N562" i="1"/>
  <c r="P562" i="1" s="1"/>
  <c r="N563" i="1"/>
  <c r="P563" i="1" s="1"/>
  <c r="N564" i="1"/>
  <c r="P564" i="1" s="1"/>
  <c r="N565" i="1"/>
  <c r="P565" i="1" s="1"/>
  <c r="N566" i="1"/>
  <c r="P566" i="1" s="1"/>
  <c r="N567" i="1"/>
  <c r="P567" i="1" s="1"/>
  <c r="N568" i="1"/>
  <c r="P568" i="1" s="1"/>
  <c r="N569" i="1"/>
  <c r="P569" i="1" s="1"/>
  <c r="Q569" i="1" s="1"/>
  <c r="R569" i="1" s="1"/>
  <c r="N570" i="1"/>
  <c r="P570" i="1" s="1"/>
  <c r="N571" i="1"/>
  <c r="P571" i="1" s="1"/>
  <c r="N572" i="1"/>
  <c r="P572" i="1" s="1"/>
  <c r="N573" i="1"/>
  <c r="P573" i="1" s="1"/>
  <c r="N574" i="1"/>
  <c r="P574" i="1" s="1"/>
  <c r="N575" i="1"/>
  <c r="P575" i="1" s="1"/>
  <c r="N576" i="1"/>
  <c r="P576" i="1" s="1"/>
  <c r="N577" i="1"/>
  <c r="P577" i="1" s="1"/>
  <c r="Q577" i="1" s="1"/>
  <c r="R577" i="1" s="1"/>
  <c r="N578" i="1"/>
  <c r="P578" i="1" s="1"/>
  <c r="N579" i="1"/>
  <c r="P579" i="1" s="1"/>
  <c r="N580" i="1"/>
  <c r="P580" i="1" s="1"/>
  <c r="N581" i="1"/>
  <c r="P581" i="1" s="1"/>
  <c r="N582" i="1"/>
  <c r="P582" i="1" s="1"/>
  <c r="N583" i="1"/>
  <c r="P583" i="1" s="1"/>
  <c r="N584" i="1"/>
  <c r="P584" i="1" s="1"/>
  <c r="N585" i="1"/>
  <c r="P585" i="1" s="1"/>
  <c r="Q585" i="1" s="1"/>
  <c r="R585" i="1" s="1"/>
  <c r="N586" i="1"/>
  <c r="P586" i="1" s="1"/>
  <c r="N587" i="1"/>
  <c r="P587" i="1" s="1"/>
  <c r="N588" i="1"/>
  <c r="P588" i="1" s="1"/>
  <c r="N589" i="1"/>
  <c r="P589" i="1" s="1"/>
  <c r="N590" i="1"/>
  <c r="P590" i="1" s="1"/>
  <c r="N591" i="1"/>
  <c r="P591" i="1" s="1"/>
  <c r="N592" i="1"/>
  <c r="P592" i="1" s="1"/>
  <c r="N593" i="1"/>
  <c r="P593" i="1" s="1"/>
  <c r="Q593" i="1" s="1"/>
  <c r="R593" i="1" s="1"/>
  <c r="N594" i="1"/>
  <c r="P594" i="1" s="1"/>
  <c r="N595" i="1"/>
  <c r="P595" i="1" s="1"/>
  <c r="N596" i="1"/>
  <c r="P596" i="1" s="1"/>
  <c r="N597" i="1"/>
  <c r="P597" i="1" s="1"/>
  <c r="N598" i="1"/>
  <c r="P598" i="1" s="1"/>
  <c r="N599" i="1"/>
  <c r="P599" i="1" s="1"/>
  <c r="N600" i="1"/>
  <c r="P600" i="1" s="1"/>
  <c r="N601" i="1"/>
  <c r="P601" i="1" s="1"/>
  <c r="Q601" i="1" s="1"/>
  <c r="R601" i="1" s="1"/>
  <c r="N602" i="1"/>
  <c r="P602" i="1" s="1"/>
  <c r="N603" i="1"/>
  <c r="P603" i="1" s="1"/>
  <c r="N604" i="1"/>
  <c r="P604" i="1" s="1"/>
  <c r="N605" i="1"/>
  <c r="P605" i="1" s="1"/>
  <c r="N606" i="1"/>
  <c r="P606" i="1" s="1"/>
  <c r="N607" i="1"/>
  <c r="P607" i="1" s="1"/>
  <c r="N608" i="1"/>
  <c r="P608" i="1" s="1"/>
  <c r="N609" i="1"/>
  <c r="P609" i="1" s="1"/>
  <c r="Q609" i="1" s="1"/>
  <c r="R609" i="1" s="1"/>
  <c r="N610" i="1"/>
  <c r="P610" i="1" s="1"/>
  <c r="N611" i="1"/>
  <c r="P611" i="1" s="1"/>
  <c r="N612" i="1"/>
  <c r="P612" i="1" s="1"/>
  <c r="N613" i="1"/>
  <c r="P613" i="1" s="1"/>
  <c r="N614" i="1"/>
  <c r="P614" i="1" s="1"/>
  <c r="N615" i="1"/>
  <c r="P615" i="1" s="1"/>
  <c r="N616" i="1"/>
  <c r="P616" i="1" s="1"/>
  <c r="N617" i="1"/>
  <c r="P617" i="1" s="1"/>
  <c r="Q617" i="1" s="1"/>
  <c r="R617" i="1" s="1"/>
  <c r="N618" i="1"/>
  <c r="P618" i="1" s="1"/>
  <c r="N619" i="1"/>
  <c r="P619" i="1" s="1"/>
  <c r="N620" i="1"/>
  <c r="P620" i="1" s="1"/>
  <c r="N621" i="1"/>
  <c r="P621" i="1" s="1"/>
  <c r="N622" i="1"/>
  <c r="P622" i="1" s="1"/>
  <c r="N623" i="1"/>
  <c r="P623" i="1" s="1"/>
  <c r="N624" i="1"/>
  <c r="P624" i="1" s="1"/>
  <c r="N625" i="1"/>
  <c r="P625" i="1" s="1"/>
  <c r="Q625" i="1" s="1"/>
  <c r="R625" i="1" s="1"/>
  <c r="N626" i="1"/>
  <c r="P626" i="1" s="1"/>
  <c r="N627" i="1"/>
  <c r="P627" i="1" s="1"/>
  <c r="N628" i="1"/>
  <c r="P628" i="1" s="1"/>
  <c r="N629" i="1"/>
  <c r="P629" i="1" s="1"/>
  <c r="N630" i="1"/>
  <c r="P630" i="1" s="1"/>
  <c r="N631" i="1"/>
  <c r="P631" i="1" s="1"/>
  <c r="N632" i="1"/>
  <c r="P632" i="1" s="1"/>
  <c r="N633" i="1"/>
  <c r="P633" i="1" s="1"/>
  <c r="Q633" i="1" s="1"/>
  <c r="R633" i="1" s="1"/>
  <c r="N634" i="1"/>
  <c r="P634" i="1" s="1"/>
  <c r="N635" i="1"/>
  <c r="P635" i="1" s="1"/>
  <c r="N636" i="1"/>
  <c r="P636" i="1" s="1"/>
  <c r="N637" i="1"/>
  <c r="P637" i="1" s="1"/>
  <c r="N638" i="1"/>
  <c r="P638" i="1" s="1"/>
  <c r="N639" i="1"/>
  <c r="P639" i="1" s="1"/>
  <c r="N640" i="1"/>
  <c r="P640" i="1" s="1"/>
  <c r="N641" i="1"/>
  <c r="P641" i="1" s="1"/>
  <c r="Q641" i="1" s="1"/>
  <c r="R641" i="1" s="1"/>
  <c r="N642" i="1"/>
  <c r="P642" i="1" s="1"/>
  <c r="N643" i="1"/>
  <c r="P643" i="1" s="1"/>
  <c r="N644" i="1"/>
  <c r="P644" i="1" s="1"/>
  <c r="N645" i="1"/>
  <c r="P645" i="1" s="1"/>
  <c r="N646" i="1"/>
  <c r="P646" i="1" s="1"/>
  <c r="N647" i="1"/>
  <c r="P647" i="1" s="1"/>
  <c r="N648" i="1"/>
  <c r="P648" i="1" s="1"/>
  <c r="N649" i="1"/>
  <c r="P649" i="1" s="1"/>
  <c r="Q649" i="1" s="1"/>
  <c r="R649" i="1" s="1"/>
  <c r="N650" i="1"/>
  <c r="P650" i="1" s="1"/>
  <c r="N651" i="1"/>
  <c r="P651" i="1" s="1"/>
  <c r="N652" i="1"/>
  <c r="P652" i="1" s="1"/>
  <c r="N653" i="1"/>
  <c r="P653" i="1" s="1"/>
  <c r="N654" i="1"/>
  <c r="P654" i="1" s="1"/>
  <c r="N655" i="1"/>
  <c r="P655" i="1" s="1"/>
  <c r="N656" i="1"/>
  <c r="P656" i="1" s="1"/>
  <c r="N657" i="1"/>
  <c r="P657" i="1" s="1"/>
  <c r="Q657" i="1" s="1"/>
  <c r="R657" i="1" s="1"/>
  <c r="N658" i="1"/>
  <c r="P658" i="1" s="1"/>
  <c r="N659" i="1"/>
  <c r="P659" i="1" s="1"/>
  <c r="N660" i="1"/>
  <c r="P660" i="1" s="1"/>
  <c r="N661" i="1"/>
  <c r="P661" i="1" s="1"/>
  <c r="N662" i="1"/>
  <c r="P662" i="1" s="1"/>
  <c r="N663" i="1"/>
  <c r="P663" i="1" s="1"/>
  <c r="N664" i="1"/>
  <c r="P664" i="1" s="1"/>
  <c r="N665" i="1"/>
  <c r="P665" i="1" s="1"/>
  <c r="Q665" i="1" s="1"/>
  <c r="R665" i="1" s="1"/>
  <c r="N666" i="1"/>
  <c r="P666" i="1" s="1"/>
  <c r="N667" i="1"/>
  <c r="P667" i="1" s="1"/>
  <c r="N668" i="1"/>
  <c r="P668" i="1" s="1"/>
  <c r="N669" i="1"/>
  <c r="P669" i="1" s="1"/>
  <c r="N670" i="1"/>
  <c r="P670" i="1" s="1"/>
  <c r="N671" i="1"/>
  <c r="P671" i="1" s="1"/>
  <c r="N672" i="1"/>
  <c r="P672" i="1" s="1"/>
  <c r="N673" i="1"/>
  <c r="P673" i="1" s="1"/>
  <c r="Q673" i="1" s="1"/>
  <c r="R673" i="1" s="1"/>
  <c r="N674" i="1"/>
  <c r="P674" i="1" s="1"/>
  <c r="N675" i="1"/>
  <c r="P675" i="1" s="1"/>
  <c r="N676" i="1"/>
  <c r="P676" i="1" s="1"/>
  <c r="N677" i="1"/>
  <c r="P677" i="1" s="1"/>
  <c r="N678" i="1"/>
  <c r="P678" i="1" s="1"/>
  <c r="N679" i="1"/>
  <c r="P679" i="1" s="1"/>
  <c r="N680" i="1"/>
  <c r="P680" i="1" s="1"/>
  <c r="N681" i="1"/>
  <c r="P681" i="1" s="1"/>
  <c r="Q681" i="1" s="1"/>
  <c r="R681" i="1" s="1"/>
  <c r="N682" i="1"/>
  <c r="P682" i="1" s="1"/>
  <c r="N683" i="1"/>
  <c r="P683" i="1" s="1"/>
  <c r="N684" i="1"/>
  <c r="P684" i="1" s="1"/>
  <c r="N685" i="1"/>
  <c r="P685" i="1" s="1"/>
  <c r="N686" i="1"/>
  <c r="P686" i="1" s="1"/>
  <c r="N687" i="1"/>
  <c r="P687" i="1" s="1"/>
  <c r="N688" i="1"/>
  <c r="P688" i="1" s="1"/>
  <c r="N689" i="1"/>
  <c r="P689" i="1" s="1"/>
  <c r="Q689" i="1" s="1"/>
  <c r="R689" i="1" s="1"/>
  <c r="N690" i="1"/>
  <c r="P690" i="1" s="1"/>
  <c r="N691" i="1"/>
  <c r="P691" i="1" s="1"/>
  <c r="N692" i="1"/>
  <c r="P692" i="1" s="1"/>
  <c r="N693" i="1"/>
  <c r="P693" i="1" s="1"/>
  <c r="N694" i="1"/>
  <c r="P694" i="1" s="1"/>
  <c r="N695" i="1"/>
  <c r="P695" i="1" s="1"/>
  <c r="N696" i="1"/>
  <c r="P696" i="1" s="1"/>
  <c r="N697" i="1"/>
  <c r="P697" i="1" s="1"/>
  <c r="Q697" i="1" s="1"/>
  <c r="R697" i="1" s="1"/>
  <c r="N698" i="1"/>
  <c r="P698" i="1" s="1"/>
  <c r="N699" i="1"/>
  <c r="P699" i="1" s="1"/>
  <c r="N700" i="1"/>
  <c r="P700" i="1" s="1"/>
  <c r="N701" i="1"/>
  <c r="P701" i="1" s="1"/>
  <c r="N702" i="1"/>
  <c r="P702" i="1" s="1"/>
  <c r="N703" i="1"/>
  <c r="P703" i="1" s="1"/>
  <c r="N704" i="1"/>
  <c r="P704" i="1" s="1"/>
  <c r="N705" i="1"/>
  <c r="P705" i="1" s="1"/>
  <c r="Q705" i="1" s="1"/>
  <c r="R705" i="1" s="1"/>
  <c r="N706" i="1"/>
  <c r="P706" i="1" s="1"/>
  <c r="N707" i="1"/>
  <c r="P707" i="1" s="1"/>
  <c r="N708" i="1"/>
  <c r="P708" i="1" s="1"/>
  <c r="N709" i="1"/>
  <c r="P709" i="1" s="1"/>
  <c r="N710" i="1"/>
  <c r="P710" i="1" s="1"/>
  <c r="N711" i="1"/>
  <c r="P711" i="1" s="1"/>
  <c r="N712" i="1"/>
  <c r="P712" i="1" s="1"/>
  <c r="N713" i="1"/>
  <c r="P713" i="1" s="1"/>
  <c r="Q713" i="1" s="1"/>
  <c r="R713" i="1" s="1"/>
  <c r="N714" i="1"/>
  <c r="P714" i="1" s="1"/>
  <c r="N715" i="1"/>
  <c r="P715" i="1" s="1"/>
  <c r="N716" i="1"/>
  <c r="P716" i="1" s="1"/>
  <c r="N717" i="1"/>
  <c r="P717" i="1" s="1"/>
  <c r="N718" i="1"/>
  <c r="P718" i="1" s="1"/>
  <c r="N719" i="1"/>
  <c r="P719" i="1" s="1"/>
  <c r="N720" i="1"/>
  <c r="P720" i="1" s="1"/>
  <c r="N721" i="1"/>
  <c r="P721" i="1" s="1"/>
  <c r="Q721" i="1" s="1"/>
  <c r="R721" i="1" s="1"/>
  <c r="N722" i="1"/>
  <c r="P722" i="1" s="1"/>
  <c r="N723" i="1"/>
  <c r="P723" i="1" s="1"/>
  <c r="N724" i="1"/>
  <c r="P724" i="1" s="1"/>
  <c r="N725" i="1"/>
  <c r="P725" i="1" s="1"/>
  <c r="N726" i="1"/>
  <c r="P726" i="1" s="1"/>
  <c r="N727" i="1"/>
  <c r="P727" i="1" s="1"/>
  <c r="N728" i="1"/>
  <c r="P728" i="1" s="1"/>
  <c r="N729" i="1"/>
  <c r="P729" i="1" s="1"/>
  <c r="Q729" i="1" s="1"/>
  <c r="R729" i="1" s="1"/>
  <c r="N730" i="1"/>
  <c r="P730" i="1" s="1"/>
  <c r="N731" i="1"/>
  <c r="P731" i="1" s="1"/>
  <c r="N732" i="1"/>
  <c r="P732" i="1" s="1"/>
  <c r="N733" i="1"/>
  <c r="P733" i="1" s="1"/>
  <c r="N734" i="1"/>
  <c r="P734" i="1" s="1"/>
  <c r="N735" i="1"/>
  <c r="P735" i="1" s="1"/>
  <c r="N736" i="1"/>
  <c r="P736" i="1" s="1"/>
  <c r="N737" i="1"/>
  <c r="P737" i="1" s="1"/>
  <c r="Q737" i="1" s="1"/>
  <c r="R737" i="1" s="1"/>
  <c r="N738" i="1"/>
  <c r="P738" i="1" s="1"/>
  <c r="N739" i="1"/>
  <c r="P739" i="1" s="1"/>
  <c r="N740" i="1"/>
  <c r="P740" i="1" s="1"/>
  <c r="N741" i="1"/>
  <c r="P741" i="1" s="1"/>
  <c r="N742" i="1"/>
  <c r="P742" i="1" s="1"/>
  <c r="N743" i="1"/>
  <c r="P743" i="1" s="1"/>
  <c r="N744" i="1"/>
  <c r="P744" i="1" s="1"/>
  <c r="N745" i="1"/>
  <c r="P745" i="1" s="1"/>
  <c r="Q745" i="1" s="1"/>
  <c r="R745" i="1" s="1"/>
  <c r="N746" i="1"/>
  <c r="P746" i="1" s="1"/>
  <c r="N747" i="1"/>
  <c r="P747" i="1" s="1"/>
  <c r="N748" i="1"/>
  <c r="P748" i="1" s="1"/>
  <c r="N749" i="1"/>
  <c r="P749" i="1" s="1"/>
  <c r="N750" i="1"/>
  <c r="P750" i="1" s="1"/>
  <c r="N751" i="1"/>
  <c r="P751" i="1" s="1"/>
  <c r="N752" i="1"/>
  <c r="P752" i="1" s="1"/>
  <c r="N753" i="1"/>
  <c r="P753" i="1" s="1"/>
  <c r="Q753" i="1" s="1"/>
  <c r="R753" i="1" s="1"/>
  <c r="N754" i="1"/>
  <c r="P754" i="1" s="1"/>
  <c r="N755" i="1"/>
  <c r="P755" i="1" s="1"/>
  <c r="N756" i="1"/>
  <c r="P756" i="1" s="1"/>
  <c r="N757" i="1"/>
  <c r="P757" i="1" s="1"/>
  <c r="N758" i="1"/>
  <c r="P758" i="1" s="1"/>
  <c r="N759" i="1"/>
  <c r="P759" i="1" s="1"/>
  <c r="N760" i="1"/>
  <c r="P760" i="1" s="1"/>
  <c r="N761" i="1"/>
  <c r="P761" i="1" s="1"/>
  <c r="Q761" i="1" s="1"/>
  <c r="R761" i="1" s="1"/>
  <c r="N762" i="1"/>
  <c r="P762" i="1" s="1"/>
  <c r="N763" i="1"/>
  <c r="P763" i="1" s="1"/>
  <c r="N764" i="1"/>
  <c r="P764" i="1" s="1"/>
  <c r="N765" i="1"/>
  <c r="P765" i="1" s="1"/>
  <c r="N766" i="1"/>
  <c r="P766" i="1" s="1"/>
  <c r="N767" i="1"/>
  <c r="P767" i="1" s="1"/>
  <c r="N768" i="1"/>
  <c r="P768" i="1" s="1"/>
  <c r="N769" i="1"/>
  <c r="P769" i="1" s="1"/>
  <c r="Q769" i="1" s="1"/>
  <c r="R769" i="1" s="1"/>
  <c r="N770" i="1"/>
  <c r="P770" i="1" s="1"/>
  <c r="N771" i="1"/>
  <c r="P771" i="1" s="1"/>
  <c r="N772" i="1"/>
  <c r="P772" i="1" s="1"/>
  <c r="N773" i="1"/>
  <c r="P773" i="1" s="1"/>
  <c r="N774" i="1"/>
  <c r="P774" i="1" s="1"/>
  <c r="N775" i="1"/>
  <c r="P775" i="1" s="1"/>
  <c r="N776" i="1"/>
  <c r="P776" i="1" s="1"/>
  <c r="N777" i="1"/>
  <c r="P777" i="1" s="1"/>
  <c r="Q777" i="1" s="1"/>
  <c r="R777" i="1" s="1"/>
  <c r="N778" i="1"/>
  <c r="P778" i="1" s="1"/>
  <c r="N779" i="1"/>
  <c r="P779" i="1" s="1"/>
  <c r="N780" i="1"/>
  <c r="P780" i="1" s="1"/>
  <c r="N781" i="1"/>
  <c r="P781" i="1" s="1"/>
  <c r="N782" i="1"/>
  <c r="P782" i="1" s="1"/>
  <c r="N783" i="1"/>
  <c r="P783" i="1" s="1"/>
  <c r="N784" i="1"/>
  <c r="P784" i="1" s="1"/>
  <c r="N785" i="1"/>
  <c r="P785" i="1" s="1"/>
  <c r="Q785" i="1" s="1"/>
  <c r="R785" i="1" s="1"/>
  <c r="N786" i="1"/>
  <c r="P786" i="1" s="1"/>
  <c r="N787" i="1"/>
  <c r="P787" i="1" s="1"/>
  <c r="N788" i="1"/>
  <c r="P788" i="1" s="1"/>
  <c r="N789" i="1"/>
  <c r="P789" i="1" s="1"/>
  <c r="N790" i="1"/>
  <c r="P790" i="1" s="1"/>
  <c r="N791" i="1"/>
  <c r="P791" i="1" s="1"/>
  <c r="N792" i="1"/>
  <c r="P792" i="1" s="1"/>
  <c r="N793" i="1"/>
  <c r="P793" i="1" s="1"/>
  <c r="Q793" i="1" s="1"/>
  <c r="R793" i="1" s="1"/>
  <c r="N794" i="1"/>
  <c r="P794" i="1" s="1"/>
  <c r="N795" i="1"/>
  <c r="P795" i="1" s="1"/>
  <c r="N796" i="1"/>
  <c r="P796" i="1" s="1"/>
  <c r="N797" i="1"/>
  <c r="P797" i="1" s="1"/>
  <c r="N798" i="1"/>
  <c r="P798" i="1" s="1"/>
  <c r="N799" i="1"/>
  <c r="P799" i="1" s="1"/>
  <c r="N800" i="1"/>
  <c r="P800" i="1" s="1"/>
  <c r="N801" i="1"/>
  <c r="P801" i="1" s="1"/>
  <c r="Q801" i="1" s="1"/>
  <c r="R801" i="1" s="1"/>
  <c r="N802" i="1"/>
  <c r="P802" i="1" s="1"/>
  <c r="N803" i="1"/>
  <c r="P803" i="1" s="1"/>
  <c r="N804" i="1"/>
  <c r="P804" i="1" s="1"/>
  <c r="N805" i="1"/>
  <c r="P805" i="1" s="1"/>
  <c r="N806" i="1"/>
  <c r="P806" i="1" s="1"/>
  <c r="N807" i="1"/>
  <c r="P807" i="1" s="1"/>
  <c r="N808" i="1"/>
  <c r="P808" i="1" s="1"/>
  <c r="N809" i="1"/>
  <c r="P809" i="1" s="1"/>
  <c r="Q809" i="1" s="1"/>
  <c r="R809" i="1" s="1"/>
  <c r="N810" i="1"/>
  <c r="P810" i="1" s="1"/>
  <c r="N811" i="1"/>
  <c r="P811" i="1" s="1"/>
  <c r="N812" i="1"/>
  <c r="P812" i="1" s="1"/>
  <c r="N813" i="1"/>
  <c r="P813" i="1" s="1"/>
  <c r="N814" i="1"/>
  <c r="P814" i="1" s="1"/>
  <c r="N815" i="1"/>
  <c r="P815" i="1" s="1"/>
  <c r="N816" i="1"/>
  <c r="P816" i="1" s="1"/>
  <c r="N817" i="1"/>
  <c r="P817" i="1" s="1"/>
  <c r="Q817" i="1" s="1"/>
  <c r="R817" i="1" s="1"/>
  <c r="N818" i="1"/>
  <c r="P818" i="1" s="1"/>
  <c r="N819" i="1"/>
  <c r="P819" i="1" s="1"/>
  <c r="N820" i="1"/>
  <c r="P820" i="1" s="1"/>
  <c r="N821" i="1"/>
  <c r="P821" i="1" s="1"/>
  <c r="N822" i="1"/>
  <c r="P822" i="1" s="1"/>
  <c r="N823" i="1"/>
  <c r="P823" i="1" s="1"/>
  <c r="N824" i="1"/>
  <c r="P824" i="1" s="1"/>
  <c r="N825" i="1"/>
  <c r="P825" i="1" s="1"/>
  <c r="Q825" i="1" s="1"/>
  <c r="R825" i="1" s="1"/>
  <c r="N826" i="1"/>
  <c r="P826" i="1" s="1"/>
  <c r="N827" i="1"/>
  <c r="P827" i="1" s="1"/>
  <c r="N828" i="1"/>
  <c r="P828" i="1" s="1"/>
  <c r="N829" i="1"/>
  <c r="P829" i="1" s="1"/>
  <c r="N830" i="1"/>
  <c r="P830" i="1" s="1"/>
  <c r="N831" i="1"/>
  <c r="P831" i="1" s="1"/>
  <c r="N832" i="1"/>
  <c r="P832" i="1" s="1"/>
  <c r="N833" i="1"/>
  <c r="P833" i="1" s="1"/>
  <c r="Q833" i="1" s="1"/>
  <c r="R833" i="1" s="1"/>
  <c r="N834" i="1"/>
  <c r="P834" i="1" s="1"/>
  <c r="N835" i="1"/>
  <c r="P835" i="1" s="1"/>
  <c r="N836" i="1"/>
  <c r="P836" i="1" s="1"/>
  <c r="N837" i="1"/>
  <c r="P837" i="1" s="1"/>
  <c r="N838" i="1"/>
  <c r="P838" i="1" s="1"/>
  <c r="N839" i="1"/>
  <c r="P839" i="1" s="1"/>
  <c r="N840" i="1"/>
  <c r="P840" i="1" s="1"/>
  <c r="N841" i="1"/>
  <c r="P841" i="1" s="1"/>
  <c r="Q841" i="1" s="1"/>
  <c r="R841" i="1" s="1"/>
  <c r="N842" i="1"/>
  <c r="P842" i="1" s="1"/>
  <c r="N843" i="1"/>
  <c r="P843" i="1" s="1"/>
  <c r="N844" i="1"/>
  <c r="P844" i="1" s="1"/>
  <c r="N845" i="1"/>
  <c r="P845" i="1" s="1"/>
  <c r="N846" i="1"/>
  <c r="P846" i="1" s="1"/>
  <c r="N847" i="1"/>
  <c r="P847" i="1" s="1"/>
  <c r="N848" i="1"/>
  <c r="P848" i="1" s="1"/>
  <c r="N849" i="1"/>
  <c r="P849" i="1" s="1"/>
  <c r="Q849" i="1" s="1"/>
  <c r="R849" i="1" s="1"/>
  <c r="N850" i="1"/>
  <c r="P850" i="1" s="1"/>
  <c r="N851" i="1"/>
  <c r="P851" i="1" s="1"/>
  <c r="N852" i="1"/>
  <c r="P852" i="1" s="1"/>
  <c r="N853" i="1"/>
  <c r="P853" i="1" s="1"/>
  <c r="N854" i="1"/>
  <c r="P854" i="1" s="1"/>
  <c r="N855" i="1"/>
  <c r="P855" i="1" s="1"/>
  <c r="N856" i="1"/>
  <c r="P856" i="1" s="1"/>
  <c r="N857" i="1"/>
  <c r="P857" i="1" s="1"/>
  <c r="Q857" i="1" s="1"/>
  <c r="R857" i="1" s="1"/>
  <c r="N858" i="1"/>
  <c r="P858" i="1" s="1"/>
  <c r="N859" i="1"/>
  <c r="P859" i="1" s="1"/>
  <c r="N860" i="1"/>
  <c r="P860" i="1" s="1"/>
  <c r="N861" i="1"/>
  <c r="P861" i="1" s="1"/>
  <c r="N862" i="1"/>
  <c r="P862" i="1" s="1"/>
  <c r="N863" i="1"/>
  <c r="P863" i="1" s="1"/>
  <c r="N864" i="1"/>
  <c r="P864" i="1" s="1"/>
  <c r="N865" i="1"/>
  <c r="P865" i="1" s="1"/>
  <c r="Q865" i="1" s="1"/>
  <c r="R865" i="1" s="1"/>
  <c r="N866" i="1"/>
  <c r="P866" i="1" s="1"/>
  <c r="N867" i="1"/>
  <c r="P867" i="1" s="1"/>
  <c r="N868" i="1"/>
  <c r="P868" i="1" s="1"/>
  <c r="N869" i="1"/>
  <c r="P869" i="1" s="1"/>
  <c r="N870" i="1"/>
  <c r="P870" i="1" s="1"/>
  <c r="N871" i="1"/>
  <c r="P871" i="1" s="1"/>
  <c r="N872" i="1"/>
  <c r="P872" i="1" s="1"/>
  <c r="N873" i="1"/>
  <c r="P873" i="1" s="1"/>
  <c r="Q873" i="1" s="1"/>
  <c r="R873" i="1" s="1"/>
  <c r="N874" i="1"/>
  <c r="P874" i="1" s="1"/>
  <c r="N875" i="1"/>
  <c r="P875" i="1" s="1"/>
  <c r="N876" i="1"/>
  <c r="P876" i="1" s="1"/>
  <c r="N877" i="1"/>
  <c r="P877" i="1" s="1"/>
  <c r="N878" i="1"/>
  <c r="P878" i="1" s="1"/>
  <c r="N879" i="1"/>
  <c r="P879" i="1" s="1"/>
  <c r="N880" i="1"/>
  <c r="P880" i="1" s="1"/>
  <c r="N881" i="1"/>
  <c r="P881" i="1" s="1"/>
  <c r="Q881" i="1" s="1"/>
  <c r="R881" i="1" s="1"/>
  <c r="N882" i="1"/>
  <c r="P882" i="1" s="1"/>
  <c r="N883" i="1"/>
  <c r="P883" i="1" s="1"/>
  <c r="N884" i="1"/>
  <c r="P884" i="1" s="1"/>
  <c r="N885" i="1"/>
  <c r="P885" i="1" s="1"/>
  <c r="N886" i="1"/>
  <c r="P886" i="1" s="1"/>
  <c r="N887" i="1"/>
  <c r="P887" i="1" s="1"/>
  <c r="N888" i="1"/>
  <c r="P888" i="1" s="1"/>
  <c r="N889" i="1"/>
  <c r="P889" i="1" s="1"/>
  <c r="Q889" i="1" s="1"/>
  <c r="R889" i="1" s="1"/>
  <c r="N890" i="1"/>
  <c r="P890" i="1" s="1"/>
  <c r="N891" i="1"/>
  <c r="P891" i="1" s="1"/>
  <c r="N892" i="1"/>
  <c r="P892" i="1" s="1"/>
  <c r="N893" i="1"/>
  <c r="P893" i="1" s="1"/>
  <c r="N894" i="1"/>
  <c r="P894" i="1" s="1"/>
  <c r="N895" i="1"/>
  <c r="P895" i="1" s="1"/>
  <c r="N896" i="1"/>
  <c r="P896" i="1" s="1"/>
  <c r="N897" i="1"/>
  <c r="P897" i="1" s="1"/>
  <c r="Q897" i="1" s="1"/>
  <c r="R897" i="1" s="1"/>
  <c r="N898" i="1"/>
  <c r="P898" i="1" s="1"/>
  <c r="N899" i="1"/>
  <c r="P899" i="1" s="1"/>
  <c r="N900" i="1"/>
  <c r="P900" i="1" s="1"/>
  <c r="N901" i="1"/>
  <c r="P901" i="1" s="1"/>
  <c r="N902" i="1"/>
  <c r="P902" i="1" s="1"/>
  <c r="N903" i="1"/>
  <c r="P903" i="1" s="1"/>
  <c r="N904" i="1"/>
  <c r="P904" i="1" s="1"/>
  <c r="N905" i="1"/>
  <c r="P905" i="1" s="1"/>
  <c r="Q905" i="1" s="1"/>
  <c r="R905" i="1" s="1"/>
  <c r="N906" i="1"/>
  <c r="P906" i="1" s="1"/>
  <c r="N907" i="1"/>
  <c r="P907" i="1" s="1"/>
  <c r="N908" i="1"/>
  <c r="P908" i="1" s="1"/>
  <c r="N909" i="1"/>
  <c r="P909" i="1" s="1"/>
  <c r="N910" i="1"/>
  <c r="P910" i="1" s="1"/>
  <c r="N911" i="1"/>
  <c r="P911" i="1" s="1"/>
  <c r="N912" i="1"/>
  <c r="P912" i="1" s="1"/>
  <c r="N913" i="1"/>
  <c r="P913" i="1" s="1"/>
  <c r="Q913" i="1" s="1"/>
  <c r="R913" i="1" s="1"/>
  <c r="N914" i="1"/>
  <c r="P914" i="1" s="1"/>
  <c r="N915" i="1"/>
  <c r="P915" i="1" s="1"/>
  <c r="N916" i="1"/>
  <c r="P916" i="1" s="1"/>
  <c r="N917" i="1"/>
  <c r="P917" i="1" s="1"/>
  <c r="N918" i="1"/>
  <c r="P918" i="1" s="1"/>
  <c r="N919" i="1"/>
  <c r="P919" i="1" s="1"/>
  <c r="N920" i="1"/>
  <c r="P920" i="1" s="1"/>
  <c r="N921" i="1"/>
  <c r="P921" i="1" s="1"/>
  <c r="Q921" i="1" s="1"/>
  <c r="R921" i="1" s="1"/>
  <c r="N922" i="1"/>
  <c r="P922" i="1" s="1"/>
  <c r="N923" i="1"/>
  <c r="P923" i="1" s="1"/>
  <c r="N924" i="1"/>
  <c r="P924" i="1" s="1"/>
  <c r="N925" i="1"/>
  <c r="P925" i="1" s="1"/>
  <c r="N926" i="1"/>
  <c r="P926" i="1" s="1"/>
  <c r="N927" i="1"/>
  <c r="P927" i="1" s="1"/>
  <c r="N928" i="1"/>
  <c r="P928" i="1" s="1"/>
  <c r="N929" i="1"/>
  <c r="P929" i="1" s="1"/>
  <c r="Q929" i="1" s="1"/>
  <c r="R929" i="1" s="1"/>
  <c r="N930" i="1"/>
  <c r="P930" i="1" s="1"/>
  <c r="N931" i="1"/>
  <c r="P931" i="1" s="1"/>
  <c r="N932" i="1"/>
  <c r="P932" i="1" s="1"/>
  <c r="N933" i="1"/>
  <c r="P933" i="1" s="1"/>
  <c r="N934" i="1"/>
  <c r="P934" i="1" s="1"/>
  <c r="N935" i="1"/>
  <c r="P935" i="1" s="1"/>
  <c r="N936" i="1"/>
  <c r="P936" i="1" s="1"/>
  <c r="N937" i="1"/>
  <c r="P937" i="1" s="1"/>
  <c r="Q937" i="1" s="1"/>
  <c r="R937" i="1" s="1"/>
  <c r="N938" i="1"/>
  <c r="P938" i="1" s="1"/>
  <c r="N939" i="1"/>
  <c r="P939" i="1" s="1"/>
  <c r="N940" i="1"/>
  <c r="P940" i="1" s="1"/>
  <c r="N941" i="1"/>
  <c r="P941" i="1" s="1"/>
  <c r="N942" i="1"/>
  <c r="P942" i="1" s="1"/>
  <c r="N943" i="1"/>
  <c r="P943" i="1" s="1"/>
  <c r="N944" i="1"/>
  <c r="P944" i="1" s="1"/>
  <c r="N945" i="1"/>
  <c r="P945" i="1" s="1"/>
  <c r="Q945" i="1" s="1"/>
  <c r="R945" i="1" s="1"/>
  <c r="N946" i="1"/>
  <c r="P946" i="1" s="1"/>
  <c r="N947" i="1"/>
  <c r="P947" i="1" s="1"/>
  <c r="N948" i="1"/>
  <c r="P948" i="1" s="1"/>
  <c r="N949" i="1"/>
  <c r="P949" i="1" s="1"/>
  <c r="N950" i="1"/>
  <c r="P950" i="1" s="1"/>
  <c r="N951" i="1"/>
  <c r="P951" i="1" s="1"/>
  <c r="N952" i="1"/>
  <c r="P952" i="1" s="1"/>
  <c r="N953" i="1"/>
  <c r="P953" i="1" s="1"/>
  <c r="Q953" i="1" s="1"/>
  <c r="R953" i="1" s="1"/>
  <c r="N954" i="1"/>
  <c r="P954" i="1" s="1"/>
  <c r="N955" i="1"/>
  <c r="P955" i="1" s="1"/>
  <c r="N956" i="1"/>
  <c r="P956" i="1" s="1"/>
  <c r="N957" i="1"/>
  <c r="P957" i="1" s="1"/>
  <c r="N958" i="1"/>
  <c r="P958" i="1" s="1"/>
  <c r="N959" i="1"/>
  <c r="P959" i="1" s="1"/>
  <c r="N960" i="1"/>
  <c r="P960" i="1" s="1"/>
  <c r="N961" i="1"/>
  <c r="P961" i="1" s="1"/>
  <c r="Q961" i="1" s="1"/>
  <c r="R961" i="1" s="1"/>
  <c r="N962" i="1"/>
  <c r="P962" i="1" s="1"/>
  <c r="N963" i="1"/>
  <c r="P963" i="1" s="1"/>
  <c r="N964" i="1"/>
  <c r="P964" i="1" s="1"/>
  <c r="N965" i="1"/>
  <c r="P965" i="1" s="1"/>
  <c r="N966" i="1"/>
  <c r="P966" i="1" s="1"/>
  <c r="N967" i="1"/>
  <c r="P967" i="1" s="1"/>
  <c r="N968" i="1"/>
  <c r="P968" i="1" s="1"/>
  <c r="N969" i="1"/>
  <c r="P969" i="1" s="1"/>
  <c r="Q969" i="1" s="1"/>
  <c r="R969" i="1" s="1"/>
  <c r="N970" i="1"/>
  <c r="P970" i="1" s="1"/>
  <c r="N971" i="1"/>
  <c r="P971" i="1" s="1"/>
  <c r="N972" i="1"/>
  <c r="P972" i="1" s="1"/>
  <c r="N973" i="1"/>
  <c r="P973" i="1" s="1"/>
  <c r="N974" i="1"/>
  <c r="P974" i="1" s="1"/>
  <c r="N975" i="1"/>
  <c r="P975" i="1" s="1"/>
  <c r="N976" i="1"/>
  <c r="P976" i="1" s="1"/>
  <c r="N977" i="1"/>
  <c r="P977" i="1" s="1"/>
  <c r="Q977" i="1" s="1"/>
  <c r="R977" i="1" s="1"/>
  <c r="N978" i="1"/>
  <c r="P978" i="1" s="1"/>
  <c r="N979" i="1"/>
  <c r="P979" i="1" s="1"/>
  <c r="N980" i="1"/>
  <c r="P980" i="1" s="1"/>
  <c r="N981" i="1"/>
  <c r="P981" i="1" s="1"/>
  <c r="N982" i="1"/>
  <c r="P982" i="1" s="1"/>
  <c r="N983" i="1"/>
  <c r="P983" i="1" s="1"/>
  <c r="N984" i="1"/>
  <c r="P984" i="1" s="1"/>
  <c r="N985" i="1"/>
  <c r="P985" i="1" s="1"/>
  <c r="Q985" i="1" s="1"/>
  <c r="R985" i="1" s="1"/>
  <c r="N986" i="1"/>
  <c r="P986" i="1" s="1"/>
  <c r="N987" i="1"/>
  <c r="P987" i="1" s="1"/>
  <c r="N988" i="1"/>
  <c r="P988" i="1" s="1"/>
  <c r="N989" i="1"/>
  <c r="P989" i="1" s="1"/>
  <c r="N990" i="1"/>
  <c r="P990" i="1" s="1"/>
  <c r="N991" i="1"/>
  <c r="P991" i="1" s="1"/>
  <c r="N992" i="1"/>
  <c r="P992" i="1" s="1"/>
  <c r="N993" i="1"/>
  <c r="P993" i="1" s="1"/>
  <c r="Q993" i="1" s="1"/>
  <c r="R993" i="1" s="1"/>
  <c r="N994" i="1"/>
  <c r="P994" i="1" s="1"/>
  <c r="N995" i="1"/>
  <c r="P995" i="1" s="1"/>
  <c r="N996" i="1"/>
  <c r="P996" i="1" s="1"/>
  <c r="N997" i="1"/>
  <c r="P997" i="1" s="1"/>
  <c r="N998" i="1"/>
  <c r="P998" i="1" s="1"/>
  <c r="N999" i="1"/>
  <c r="P999" i="1" s="1"/>
  <c r="N1000" i="1"/>
  <c r="P1000" i="1" s="1"/>
  <c r="N1001" i="1"/>
  <c r="P1001" i="1" s="1"/>
  <c r="Q1001" i="1" s="1"/>
  <c r="R1001" i="1" s="1"/>
  <c r="N1002" i="1"/>
  <c r="P1002" i="1" s="1"/>
  <c r="N1003" i="1"/>
  <c r="P1003" i="1" s="1"/>
  <c r="N1004" i="1"/>
  <c r="P1004" i="1" s="1"/>
  <c r="N1005" i="1"/>
  <c r="P1005" i="1" s="1"/>
  <c r="N1006" i="1"/>
  <c r="P1006" i="1" s="1"/>
  <c r="N1007" i="1"/>
  <c r="P1007" i="1" s="1"/>
  <c r="N1008" i="1"/>
  <c r="P1008" i="1" s="1"/>
  <c r="N1009" i="1"/>
  <c r="P1009" i="1" s="1"/>
  <c r="Q1009" i="1" s="1"/>
  <c r="R1009" i="1" s="1"/>
  <c r="N1010" i="1"/>
  <c r="P1010" i="1" s="1"/>
  <c r="N1011" i="1"/>
  <c r="P1011" i="1" s="1"/>
  <c r="N1012" i="1"/>
  <c r="P1012" i="1" s="1"/>
  <c r="N1013" i="1"/>
  <c r="P1013" i="1" s="1"/>
  <c r="N1014" i="1"/>
  <c r="P1014" i="1" s="1"/>
  <c r="N1015" i="1"/>
  <c r="P1015" i="1" s="1"/>
  <c r="N1016" i="1"/>
  <c r="P1016" i="1" s="1"/>
  <c r="N1017" i="1"/>
  <c r="P1017" i="1" s="1"/>
  <c r="Q1017" i="1" s="1"/>
  <c r="R1017" i="1" s="1"/>
  <c r="N1018" i="1"/>
  <c r="P1018" i="1" s="1"/>
  <c r="N1019" i="1"/>
  <c r="P1019" i="1" s="1"/>
  <c r="N1020" i="1"/>
  <c r="P1020" i="1" s="1"/>
  <c r="N1021" i="1"/>
  <c r="P1021" i="1" s="1"/>
  <c r="N1022" i="1"/>
  <c r="P1022" i="1" s="1"/>
  <c r="N1023" i="1"/>
  <c r="P1023" i="1" s="1"/>
  <c r="N1024" i="1"/>
  <c r="P1024" i="1" s="1"/>
  <c r="N1025" i="1"/>
  <c r="P1025" i="1" s="1"/>
  <c r="Q1025" i="1" s="1"/>
  <c r="R1025" i="1" s="1"/>
  <c r="N1026" i="1"/>
  <c r="P1026" i="1" s="1"/>
  <c r="N1027" i="1"/>
  <c r="P1027" i="1" s="1"/>
  <c r="N1028" i="1"/>
  <c r="P1028" i="1" s="1"/>
  <c r="N1029" i="1"/>
  <c r="P1029" i="1" s="1"/>
  <c r="N1030" i="1"/>
  <c r="P1030" i="1" s="1"/>
  <c r="N1031" i="1"/>
  <c r="P1031" i="1" s="1"/>
  <c r="N1032" i="1"/>
  <c r="P1032" i="1" s="1"/>
  <c r="N1033" i="1"/>
  <c r="P1033" i="1" s="1"/>
  <c r="Q1033" i="1" s="1"/>
  <c r="R1033" i="1" s="1"/>
  <c r="N1034" i="1"/>
  <c r="P1034" i="1" s="1"/>
  <c r="N1035" i="1"/>
  <c r="P1035" i="1" s="1"/>
  <c r="N1036" i="1"/>
  <c r="P1036" i="1" s="1"/>
  <c r="N1037" i="1"/>
  <c r="P1037" i="1" s="1"/>
  <c r="N1038" i="1"/>
  <c r="P1038" i="1" s="1"/>
  <c r="N1039" i="1"/>
  <c r="P1039" i="1" s="1"/>
  <c r="N1040" i="1"/>
  <c r="P1040" i="1" s="1"/>
  <c r="N1041" i="1"/>
  <c r="P1041" i="1" s="1"/>
  <c r="Q1041" i="1" s="1"/>
  <c r="R1041" i="1" s="1"/>
  <c r="N1042" i="1"/>
  <c r="P1042" i="1" s="1"/>
  <c r="N1043" i="1"/>
  <c r="P1043" i="1" s="1"/>
  <c r="N1044" i="1"/>
  <c r="P1044" i="1" s="1"/>
  <c r="N1045" i="1"/>
  <c r="P1045" i="1" s="1"/>
  <c r="N1046" i="1"/>
  <c r="P1046" i="1" s="1"/>
  <c r="N1047" i="1"/>
  <c r="P1047" i="1" s="1"/>
  <c r="N1048" i="1"/>
  <c r="P1048" i="1" s="1"/>
  <c r="N1049" i="1"/>
  <c r="P1049" i="1" s="1"/>
  <c r="Q1049" i="1" s="1"/>
  <c r="R1049" i="1" s="1"/>
  <c r="N1050" i="1"/>
  <c r="P1050" i="1" s="1"/>
  <c r="N1051" i="1"/>
  <c r="P1051" i="1" s="1"/>
  <c r="N1052" i="1"/>
  <c r="P1052" i="1" s="1"/>
  <c r="N1053" i="1"/>
  <c r="P1053" i="1" s="1"/>
  <c r="N1054" i="1"/>
  <c r="P1054" i="1" s="1"/>
  <c r="N1055" i="1"/>
  <c r="P1055" i="1" s="1"/>
  <c r="N1056" i="1"/>
  <c r="P1056" i="1" s="1"/>
  <c r="N1057" i="1"/>
  <c r="P1057" i="1" s="1"/>
  <c r="Q1057" i="1" s="1"/>
  <c r="R1057" i="1" s="1"/>
  <c r="N1058" i="1"/>
  <c r="P1058" i="1" s="1"/>
  <c r="N1059" i="1"/>
  <c r="P1059" i="1" s="1"/>
  <c r="N1060" i="1"/>
  <c r="P1060" i="1" s="1"/>
  <c r="N1061" i="1"/>
  <c r="P1061" i="1" s="1"/>
  <c r="N1062" i="1"/>
  <c r="P1062" i="1" s="1"/>
  <c r="N1063" i="1"/>
  <c r="P1063" i="1" s="1"/>
  <c r="N1064" i="1"/>
  <c r="P1064" i="1" s="1"/>
  <c r="N1065" i="1"/>
  <c r="P1065" i="1" s="1"/>
  <c r="Q1065" i="1" s="1"/>
  <c r="R1065" i="1" s="1"/>
  <c r="N1066" i="1"/>
  <c r="P1066" i="1" s="1"/>
  <c r="N1067" i="1"/>
  <c r="P1067" i="1" s="1"/>
  <c r="N1068" i="1"/>
  <c r="P1068" i="1" s="1"/>
  <c r="N1069" i="1"/>
  <c r="P1069" i="1" s="1"/>
  <c r="N1070" i="1"/>
  <c r="P1070" i="1" s="1"/>
  <c r="N1071" i="1"/>
  <c r="P1071" i="1" s="1"/>
  <c r="N1072" i="1"/>
  <c r="P1072" i="1" s="1"/>
  <c r="N1073" i="1"/>
  <c r="P1073" i="1" s="1"/>
  <c r="Q1073" i="1" s="1"/>
  <c r="R1073" i="1" s="1"/>
  <c r="N1074" i="1"/>
  <c r="P1074" i="1" s="1"/>
  <c r="N1075" i="1"/>
  <c r="P1075" i="1" s="1"/>
  <c r="N1076" i="1"/>
  <c r="P1076" i="1" s="1"/>
  <c r="N1077" i="1"/>
  <c r="P1077" i="1" s="1"/>
  <c r="N1078" i="1"/>
  <c r="P1078" i="1" s="1"/>
  <c r="N1079" i="1"/>
  <c r="P1079" i="1" s="1"/>
  <c r="N1080" i="1"/>
  <c r="P1080" i="1" s="1"/>
  <c r="N1081" i="1"/>
  <c r="P1081" i="1" s="1"/>
  <c r="Q1081" i="1" s="1"/>
  <c r="R1081" i="1" s="1"/>
  <c r="N1082" i="1"/>
  <c r="P1082" i="1" s="1"/>
  <c r="N1083" i="1"/>
  <c r="P1083" i="1" s="1"/>
  <c r="N1084" i="1"/>
  <c r="P1084" i="1" s="1"/>
  <c r="N1085" i="1"/>
  <c r="P1085" i="1" s="1"/>
  <c r="N1086" i="1"/>
  <c r="P1086" i="1" s="1"/>
  <c r="N1087" i="1"/>
  <c r="P1087" i="1" s="1"/>
  <c r="N1088" i="1"/>
  <c r="P1088" i="1" s="1"/>
  <c r="N1089" i="1"/>
  <c r="P1089" i="1" s="1"/>
  <c r="Q1089" i="1" s="1"/>
  <c r="R1089" i="1" s="1"/>
  <c r="N1090" i="1"/>
  <c r="P1090" i="1" s="1"/>
  <c r="N1091" i="1"/>
  <c r="P1091" i="1" s="1"/>
  <c r="N1092" i="1"/>
  <c r="P1092" i="1" s="1"/>
  <c r="N1093" i="1"/>
  <c r="P1093" i="1" s="1"/>
  <c r="N1094" i="1"/>
  <c r="P1094" i="1" s="1"/>
  <c r="N1095" i="1"/>
  <c r="P1095" i="1" s="1"/>
  <c r="N1096" i="1"/>
  <c r="P1096" i="1" s="1"/>
  <c r="N1097" i="1"/>
  <c r="P1097" i="1" s="1"/>
  <c r="Q1097" i="1" s="1"/>
  <c r="R1097" i="1" s="1"/>
  <c r="N1098" i="1"/>
  <c r="P1098" i="1" s="1"/>
  <c r="N1099" i="1"/>
  <c r="P1099" i="1" s="1"/>
  <c r="N1100" i="1"/>
  <c r="P1100" i="1" s="1"/>
  <c r="N1101" i="1"/>
  <c r="P1101" i="1" s="1"/>
  <c r="N1102" i="1"/>
  <c r="P1102" i="1" s="1"/>
  <c r="N1103" i="1"/>
  <c r="P1103" i="1" s="1"/>
  <c r="N1104" i="1"/>
  <c r="P1104" i="1" s="1"/>
  <c r="N1105" i="1"/>
  <c r="P1105" i="1" s="1"/>
  <c r="Q1105" i="1" s="1"/>
  <c r="R1105" i="1" s="1"/>
  <c r="N1106" i="1"/>
  <c r="P1106" i="1" s="1"/>
  <c r="N1107" i="1"/>
  <c r="P1107" i="1" s="1"/>
  <c r="N1108" i="1"/>
  <c r="P1108" i="1" s="1"/>
  <c r="N1109" i="1"/>
  <c r="P1109" i="1" s="1"/>
  <c r="N1110" i="1"/>
  <c r="P1110" i="1" s="1"/>
  <c r="N1111" i="1"/>
  <c r="P1111" i="1" s="1"/>
  <c r="N1112" i="1"/>
  <c r="P1112" i="1" s="1"/>
  <c r="N1113" i="1"/>
  <c r="P1113" i="1" s="1"/>
  <c r="Q1113" i="1" s="1"/>
  <c r="R1113" i="1" s="1"/>
  <c r="N1114" i="1"/>
  <c r="P1114" i="1" s="1"/>
  <c r="N1115" i="1"/>
  <c r="P1115" i="1" s="1"/>
  <c r="N1116" i="1"/>
  <c r="P1116" i="1" s="1"/>
  <c r="N1117" i="1"/>
  <c r="P1117" i="1" s="1"/>
  <c r="N1118" i="1"/>
  <c r="P1118" i="1" s="1"/>
  <c r="N1119" i="1"/>
  <c r="P1119" i="1" s="1"/>
  <c r="N1120" i="1"/>
  <c r="P1120" i="1" s="1"/>
  <c r="N1121" i="1"/>
  <c r="P1121" i="1" s="1"/>
  <c r="Q1121" i="1" s="1"/>
  <c r="R1121" i="1" s="1"/>
  <c r="N1122" i="1"/>
  <c r="P1122" i="1" s="1"/>
  <c r="N1123" i="1"/>
  <c r="P1123" i="1" s="1"/>
  <c r="N1124" i="1"/>
  <c r="P1124" i="1" s="1"/>
  <c r="N1125" i="1"/>
  <c r="P1125" i="1" s="1"/>
  <c r="N1126" i="1"/>
  <c r="P1126" i="1" s="1"/>
  <c r="N1127" i="1"/>
  <c r="P1127" i="1" s="1"/>
  <c r="N1128" i="1"/>
  <c r="P1128" i="1" s="1"/>
  <c r="N1129" i="1"/>
  <c r="P1129" i="1" s="1"/>
  <c r="Q1129" i="1" s="1"/>
  <c r="R1129" i="1" s="1"/>
  <c r="N1130" i="1"/>
  <c r="P1130" i="1" s="1"/>
  <c r="N1131" i="1"/>
  <c r="P1131" i="1" s="1"/>
  <c r="N1132" i="1"/>
  <c r="P1132" i="1" s="1"/>
  <c r="N1133" i="1"/>
  <c r="P1133" i="1" s="1"/>
  <c r="N1134" i="1"/>
  <c r="P1134" i="1" s="1"/>
  <c r="N1135" i="1"/>
  <c r="P1135" i="1" s="1"/>
  <c r="N1136" i="1"/>
  <c r="P1136" i="1" s="1"/>
  <c r="N1137" i="1"/>
  <c r="P1137" i="1" s="1"/>
  <c r="Q1137" i="1" s="1"/>
  <c r="R1137" i="1" s="1"/>
  <c r="N1138" i="1"/>
  <c r="P1138" i="1" s="1"/>
  <c r="N1139" i="1"/>
  <c r="P1139" i="1" s="1"/>
  <c r="N1140" i="1"/>
  <c r="P1140" i="1" s="1"/>
  <c r="N1141" i="1"/>
  <c r="P1141" i="1" s="1"/>
  <c r="N1142" i="1"/>
  <c r="P1142" i="1" s="1"/>
  <c r="N1143" i="1"/>
  <c r="P1143" i="1" s="1"/>
  <c r="N1144" i="1"/>
  <c r="P1144" i="1" s="1"/>
  <c r="N1145" i="1"/>
  <c r="P1145" i="1" s="1"/>
  <c r="Q1145" i="1" s="1"/>
  <c r="R1145" i="1" s="1"/>
  <c r="N1146" i="1"/>
  <c r="P1146" i="1" s="1"/>
  <c r="N1147" i="1"/>
  <c r="P1147" i="1" s="1"/>
  <c r="N1148" i="1"/>
  <c r="P1148" i="1" s="1"/>
  <c r="N1149" i="1"/>
  <c r="P1149" i="1" s="1"/>
  <c r="N1150" i="1"/>
  <c r="P1150" i="1" s="1"/>
  <c r="N1151" i="1"/>
  <c r="P1151" i="1" s="1"/>
  <c r="N1152" i="1"/>
  <c r="P1152" i="1" s="1"/>
  <c r="N1153" i="1"/>
  <c r="P1153" i="1" s="1"/>
  <c r="Q1153" i="1" s="1"/>
  <c r="R1153" i="1" s="1"/>
  <c r="N1154" i="1"/>
  <c r="P1154" i="1" s="1"/>
  <c r="N1155" i="1"/>
  <c r="P1155" i="1" s="1"/>
  <c r="N1156" i="1"/>
  <c r="P1156" i="1" s="1"/>
  <c r="N1157" i="1"/>
  <c r="P1157" i="1" s="1"/>
  <c r="N1158" i="1"/>
  <c r="P1158" i="1" s="1"/>
  <c r="N1159" i="1"/>
  <c r="P1159" i="1" s="1"/>
  <c r="N1160" i="1"/>
  <c r="P1160" i="1" s="1"/>
  <c r="N1161" i="1"/>
  <c r="P1161" i="1" s="1"/>
  <c r="Q1161" i="1" s="1"/>
  <c r="R1161" i="1" s="1"/>
  <c r="N1162" i="1"/>
  <c r="P1162" i="1" s="1"/>
  <c r="N1163" i="1"/>
  <c r="P1163" i="1" s="1"/>
  <c r="N1164" i="1"/>
  <c r="P1164" i="1" s="1"/>
  <c r="N1165" i="1"/>
  <c r="P1165" i="1" s="1"/>
  <c r="N1166" i="1"/>
  <c r="P1166" i="1" s="1"/>
  <c r="N1167" i="1"/>
  <c r="P1167" i="1" s="1"/>
  <c r="N1168" i="1"/>
  <c r="P1168" i="1" s="1"/>
  <c r="N1169" i="1"/>
  <c r="P1169" i="1" s="1"/>
  <c r="Q1169" i="1" s="1"/>
  <c r="R1169" i="1" s="1"/>
  <c r="N1170" i="1"/>
  <c r="P1170" i="1" s="1"/>
  <c r="N1171" i="1"/>
  <c r="P1171" i="1" s="1"/>
  <c r="N1172" i="1"/>
  <c r="P1172" i="1" s="1"/>
  <c r="N1173" i="1"/>
  <c r="P1173" i="1" s="1"/>
  <c r="N1174" i="1"/>
  <c r="P1174" i="1" s="1"/>
  <c r="N1175" i="1"/>
  <c r="P1175" i="1" s="1"/>
  <c r="N1176" i="1"/>
  <c r="P1176" i="1" s="1"/>
  <c r="N1177" i="1"/>
  <c r="P1177" i="1" s="1"/>
  <c r="Q1177" i="1" s="1"/>
  <c r="R1177" i="1" s="1"/>
  <c r="N1178" i="1"/>
  <c r="P1178" i="1" s="1"/>
  <c r="N1179" i="1"/>
  <c r="P1179" i="1" s="1"/>
  <c r="N1180" i="1"/>
  <c r="P1180" i="1" s="1"/>
  <c r="N1181" i="1"/>
  <c r="P1181" i="1" s="1"/>
  <c r="N1182" i="1"/>
  <c r="P1182" i="1" s="1"/>
  <c r="N1183" i="1"/>
  <c r="P1183" i="1" s="1"/>
  <c r="N1184" i="1"/>
  <c r="P1184" i="1" s="1"/>
  <c r="N1185" i="1"/>
  <c r="P1185" i="1" s="1"/>
  <c r="Q1185" i="1" s="1"/>
  <c r="R1185" i="1" s="1"/>
  <c r="N1186" i="1"/>
  <c r="P1186" i="1" s="1"/>
  <c r="N1187" i="1"/>
  <c r="P1187" i="1" s="1"/>
  <c r="N1188" i="1"/>
  <c r="P1188" i="1" s="1"/>
  <c r="N1189" i="1"/>
  <c r="P1189" i="1" s="1"/>
  <c r="N1190" i="1"/>
  <c r="P1190" i="1" s="1"/>
  <c r="N1191" i="1"/>
  <c r="P1191" i="1" s="1"/>
  <c r="N1192" i="1"/>
  <c r="P1192" i="1" s="1"/>
  <c r="N1193" i="1"/>
  <c r="P1193" i="1" s="1"/>
  <c r="Q1193" i="1" s="1"/>
  <c r="R1193" i="1" s="1"/>
  <c r="N1194" i="1"/>
  <c r="P1194" i="1" s="1"/>
  <c r="N1195" i="1"/>
  <c r="P1195" i="1" s="1"/>
  <c r="N1196" i="1"/>
  <c r="P1196" i="1" s="1"/>
  <c r="N1197" i="1"/>
  <c r="P1197" i="1" s="1"/>
  <c r="N1198" i="1"/>
  <c r="P1198" i="1" s="1"/>
  <c r="N1199" i="1"/>
  <c r="P1199" i="1" s="1"/>
  <c r="N1200" i="1"/>
  <c r="P1200" i="1" s="1"/>
  <c r="N1201" i="1"/>
  <c r="P1201" i="1" s="1"/>
  <c r="Q1201" i="1" s="1"/>
  <c r="R1201" i="1" s="1"/>
  <c r="N1202" i="1"/>
  <c r="P1202" i="1" s="1"/>
  <c r="N1203" i="1"/>
  <c r="P1203" i="1" s="1"/>
  <c r="N1204" i="1"/>
  <c r="P1204" i="1" s="1"/>
  <c r="N1205" i="1"/>
  <c r="P1205" i="1" s="1"/>
  <c r="N1206" i="1"/>
  <c r="P1206" i="1" s="1"/>
  <c r="N1207" i="1"/>
  <c r="P1207" i="1" s="1"/>
  <c r="N1208" i="1"/>
  <c r="P1208" i="1" s="1"/>
  <c r="N1209" i="1"/>
  <c r="P1209" i="1" s="1"/>
  <c r="Q1209" i="1" s="1"/>
  <c r="R1209" i="1" s="1"/>
  <c r="N1210" i="1"/>
  <c r="P1210" i="1" s="1"/>
  <c r="N1211" i="1"/>
  <c r="P1211" i="1" s="1"/>
  <c r="N1212" i="1"/>
  <c r="P1212" i="1" s="1"/>
  <c r="N1213" i="1"/>
  <c r="P1213" i="1" s="1"/>
  <c r="N1214" i="1"/>
  <c r="P1214" i="1" s="1"/>
  <c r="N1215" i="1"/>
  <c r="P1215" i="1" s="1"/>
  <c r="N1216" i="1"/>
  <c r="P1216" i="1" s="1"/>
  <c r="N1217" i="1"/>
  <c r="P1217" i="1" s="1"/>
  <c r="Q1217" i="1" s="1"/>
  <c r="R1217" i="1" s="1"/>
  <c r="N1218" i="1"/>
  <c r="P1218" i="1" s="1"/>
  <c r="N1219" i="1"/>
  <c r="P1219" i="1" s="1"/>
  <c r="N1220" i="1"/>
  <c r="P1220" i="1" s="1"/>
  <c r="N1221" i="1"/>
  <c r="P1221" i="1" s="1"/>
  <c r="N1222" i="1"/>
  <c r="P1222" i="1" s="1"/>
  <c r="N1223" i="1"/>
  <c r="P1223" i="1" s="1"/>
  <c r="N1224" i="1"/>
  <c r="P1224" i="1" s="1"/>
  <c r="N1225" i="1"/>
  <c r="P1225" i="1" s="1"/>
  <c r="Q1225" i="1" s="1"/>
  <c r="R1225" i="1" s="1"/>
  <c r="N1226" i="1"/>
  <c r="P1226" i="1" s="1"/>
  <c r="N1227" i="1"/>
  <c r="P1227" i="1" s="1"/>
  <c r="N1228" i="1"/>
  <c r="P1228" i="1" s="1"/>
  <c r="N1229" i="1"/>
  <c r="P1229" i="1" s="1"/>
  <c r="N1230" i="1"/>
  <c r="P1230" i="1" s="1"/>
  <c r="N1231" i="1"/>
  <c r="P1231" i="1" s="1"/>
  <c r="N1232" i="1"/>
  <c r="P1232" i="1" s="1"/>
  <c r="N1233" i="1"/>
  <c r="P1233" i="1" s="1"/>
  <c r="Q1233" i="1" s="1"/>
  <c r="R1233" i="1" s="1"/>
  <c r="N1234" i="1"/>
  <c r="P1234" i="1" s="1"/>
  <c r="N1235" i="1"/>
  <c r="P1235" i="1" s="1"/>
  <c r="N1236" i="1"/>
  <c r="P1236" i="1" s="1"/>
  <c r="N1237" i="1"/>
  <c r="P1237" i="1" s="1"/>
  <c r="N1238" i="1"/>
  <c r="P1238" i="1" s="1"/>
  <c r="N1239" i="1"/>
  <c r="P1239" i="1" s="1"/>
  <c r="N1240" i="1"/>
  <c r="P1240" i="1" s="1"/>
  <c r="N1241" i="1"/>
  <c r="P1241" i="1" s="1"/>
  <c r="Q1241" i="1" s="1"/>
  <c r="R1241" i="1" s="1"/>
  <c r="N1242" i="1"/>
  <c r="P1242" i="1" s="1"/>
  <c r="N1243" i="1"/>
  <c r="P1243" i="1" s="1"/>
  <c r="N1244" i="1"/>
  <c r="P1244" i="1" s="1"/>
  <c r="N1245" i="1"/>
  <c r="P1245" i="1" s="1"/>
  <c r="N1246" i="1"/>
  <c r="P1246" i="1" s="1"/>
  <c r="N1247" i="1"/>
  <c r="P1247" i="1" s="1"/>
  <c r="N1248" i="1"/>
  <c r="P1248" i="1" s="1"/>
  <c r="N1249" i="1"/>
  <c r="P1249" i="1" s="1"/>
  <c r="Q1249" i="1" s="1"/>
  <c r="R1249" i="1" s="1"/>
  <c r="N1250" i="1"/>
  <c r="P1250" i="1" s="1"/>
  <c r="N1251" i="1"/>
  <c r="P1251" i="1" s="1"/>
  <c r="N1252" i="1"/>
  <c r="P1252" i="1" s="1"/>
  <c r="N1253" i="1"/>
  <c r="P1253" i="1" s="1"/>
  <c r="N1254" i="1"/>
  <c r="P1254" i="1" s="1"/>
  <c r="N1255" i="1"/>
  <c r="P1255" i="1" s="1"/>
  <c r="N1256" i="1"/>
  <c r="P1256" i="1" s="1"/>
  <c r="N1257" i="1"/>
  <c r="P1257" i="1" s="1"/>
  <c r="Q1257" i="1" s="1"/>
  <c r="R1257" i="1" s="1"/>
  <c r="N1258" i="1"/>
  <c r="P1258" i="1" s="1"/>
  <c r="N1259" i="1"/>
  <c r="P1259" i="1" s="1"/>
  <c r="N1260" i="1"/>
  <c r="P1260" i="1" s="1"/>
  <c r="N1261" i="1"/>
  <c r="P1261" i="1" s="1"/>
  <c r="N1262" i="1"/>
  <c r="P1262" i="1" s="1"/>
  <c r="N1263" i="1"/>
  <c r="P1263" i="1" s="1"/>
  <c r="N1264" i="1"/>
  <c r="P1264" i="1" s="1"/>
  <c r="N1265" i="1"/>
  <c r="P1265" i="1" s="1"/>
  <c r="Q1265" i="1" s="1"/>
  <c r="R1265" i="1" s="1"/>
  <c r="N1266" i="1"/>
  <c r="P1266" i="1" s="1"/>
  <c r="N1267" i="1"/>
  <c r="P1267" i="1" s="1"/>
  <c r="N1268" i="1"/>
  <c r="P1268" i="1" s="1"/>
  <c r="N1269" i="1"/>
  <c r="P1269" i="1" s="1"/>
  <c r="N1270" i="1"/>
  <c r="P1270" i="1" s="1"/>
  <c r="N1271" i="1"/>
  <c r="P1271" i="1" s="1"/>
  <c r="N1272" i="1"/>
  <c r="P1272" i="1" s="1"/>
  <c r="N1273" i="1"/>
  <c r="P1273" i="1" s="1"/>
  <c r="Q1273" i="1" s="1"/>
  <c r="R1273" i="1" s="1"/>
  <c r="N1274" i="1"/>
  <c r="P1274" i="1" s="1"/>
  <c r="N1275" i="1"/>
  <c r="P1275" i="1" s="1"/>
  <c r="N1276" i="1"/>
  <c r="P1276" i="1" s="1"/>
  <c r="N1277" i="1"/>
  <c r="P1277" i="1" s="1"/>
  <c r="N1278" i="1"/>
  <c r="P1278" i="1" s="1"/>
  <c r="N1279" i="1"/>
  <c r="P1279" i="1" s="1"/>
  <c r="N1280" i="1"/>
  <c r="P1280" i="1" s="1"/>
  <c r="N1281" i="1"/>
  <c r="P1281" i="1" s="1"/>
  <c r="Q1281" i="1" s="1"/>
  <c r="R1281" i="1" s="1"/>
  <c r="N1282" i="1"/>
  <c r="P1282" i="1" s="1"/>
  <c r="N1283" i="1"/>
  <c r="P1283" i="1" s="1"/>
  <c r="N1284" i="1"/>
  <c r="P1284" i="1" s="1"/>
  <c r="N1285" i="1"/>
  <c r="P1285" i="1" s="1"/>
  <c r="N1286" i="1"/>
  <c r="P1286" i="1" s="1"/>
  <c r="N1287" i="1"/>
  <c r="P1287" i="1" s="1"/>
  <c r="N1288" i="1"/>
  <c r="P1288" i="1" s="1"/>
  <c r="N1289" i="1"/>
  <c r="P1289" i="1" s="1"/>
  <c r="Q1289" i="1" s="1"/>
  <c r="R1289" i="1" s="1"/>
  <c r="N1290" i="1"/>
  <c r="P1290" i="1" s="1"/>
  <c r="N1291" i="1"/>
  <c r="P1291" i="1" s="1"/>
  <c r="N1292" i="1"/>
  <c r="P1292" i="1" s="1"/>
  <c r="N1293" i="1"/>
  <c r="P1293" i="1" s="1"/>
  <c r="N1294" i="1"/>
  <c r="P1294" i="1" s="1"/>
  <c r="N1295" i="1"/>
  <c r="P1295" i="1" s="1"/>
  <c r="N1296" i="1"/>
  <c r="P1296" i="1" s="1"/>
  <c r="N1297" i="1"/>
  <c r="P1297" i="1" s="1"/>
  <c r="Q1297" i="1" s="1"/>
  <c r="R1297" i="1" s="1"/>
  <c r="N1298" i="1"/>
  <c r="P1298" i="1" s="1"/>
  <c r="N1299" i="1"/>
  <c r="P1299" i="1" s="1"/>
  <c r="N1300" i="1"/>
  <c r="P1300" i="1" s="1"/>
  <c r="N1301" i="1"/>
  <c r="P1301" i="1" s="1"/>
  <c r="N1302" i="1"/>
  <c r="P1302" i="1" s="1"/>
  <c r="N1303" i="1"/>
  <c r="P1303" i="1" s="1"/>
  <c r="N1304" i="1"/>
  <c r="P1304" i="1" s="1"/>
  <c r="N1305" i="1"/>
  <c r="P1305" i="1" s="1"/>
  <c r="Q1305" i="1" s="1"/>
  <c r="R1305" i="1" s="1"/>
  <c r="N1306" i="1"/>
  <c r="P1306" i="1" s="1"/>
  <c r="N1307" i="1"/>
  <c r="P1307" i="1" s="1"/>
  <c r="N1308" i="1"/>
  <c r="P1308" i="1" s="1"/>
  <c r="N1309" i="1"/>
  <c r="P1309" i="1" s="1"/>
  <c r="N1310" i="1"/>
  <c r="P1310" i="1" s="1"/>
  <c r="N1311" i="1"/>
  <c r="P1311" i="1" s="1"/>
  <c r="N1312" i="1"/>
  <c r="P1312" i="1" s="1"/>
  <c r="N1313" i="1"/>
  <c r="P1313" i="1" s="1"/>
  <c r="Q1313" i="1" s="1"/>
  <c r="R1313" i="1" s="1"/>
  <c r="N1314" i="1"/>
  <c r="P1314" i="1" s="1"/>
  <c r="N1315" i="1"/>
  <c r="P1315" i="1" s="1"/>
  <c r="N1316" i="1"/>
  <c r="P1316" i="1" s="1"/>
  <c r="N1317" i="1"/>
  <c r="P1317" i="1" s="1"/>
  <c r="N1318" i="1"/>
  <c r="P1318" i="1" s="1"/>
  <c r="N1319" i="1"/>
  <c r="P1319" i="1" s="1"/>
  <c r="N1320" i="1"/>
  <c r="P1320" i="1" s="1"/>
  <c r="N1321" i="1"/>
  <c r="P1321" i="1" s="1"/>
  <c r="Q1321" i="1" s="1"/>
  <c r="R1321" i="1" s="1"/>
  <c r="N1322" i="1"/>
  <c r="P1322" i="1" s="1"/>
  <c r="N1323" i="1"/>
  <c r="P1323" i="1" s="1"/>
  <c r="N1324" i="1"/>
  <c r="P1324" i="1" s="1"/>
  <c r="N1325" i="1"/>
  <c r="P1325" i="1" s="1"/>
  <c r="N1326" i="1"/>
  <c r="P1326" i="1" s="1"/>
  <c r="N1327" i="1"/>
  <c r="P1327" i="1" s="1"/>
  <c r="N1328" i="1"/>
  <c r="P1328" i="1" s="1"/>
  <c r="N1329" i="1"/>
  <c r="P1329" i="1" s="1"/>
  <c r="Q1329" i="1" s="1"/>
  <c r="R1329" i="1" s="1"/>
  <c r="N1330" i="1"/>
  <c r="P1330" i="1" s="1"/>
  <c r="N1331" i="1"/>
  <c r="P1331" i="1" s="1"/>
  <c r="N1332" i="1"/>
  <c r="P1332" i="1" s="1"/>
  <c r="N1333" i="1"/>
  <c r="P1333" i="1" s="1"/>
  <c r="N1334" i="1"/>
  <c r="P1334" i="1" s="1"/>
  <c r="N1335" i="1"/>
  <c r="P1335" i="1" s="1"/>
  <c r="N1336" i="1"/>
  <c r="P1336" i="1" s="1"/>
  <c r="N1337" i="1"/>
  <c r="P1337" i="1" s="1"/>
  <c r="Q1337" i="1" s="1"/>
  <c r="R1337" i="1" s="1"/>
  <c r="N1338" i="1"/>
  <c r="P1338" i="1" s="1"/>
  <c r="N1339" i="1"/>
  <c r="P1339" i="1" s="1"/>
  <c r="N1340" i="1"/>
  <c r="P1340" i="1" s="1"/>
  <c r="N1341" i="1"/>
  <c r="P1341" i="1" s="1"/>
  <c r="N1342" i="1"/>
  <c r="P1342" i="1" s="1"/>
  <c r="N1343" i="1"/>
  <c r="P1343" i="1" s="1"/>
  <c r="N1344" i="1"/>
  <c r="P1344" i="1" s="1"/>
  <c r="N1345" i="1"/>
  <c r="P1345" i="1" s="1"/>
  <c r="Q1345" i="1" s="1"/>
  <c r="R1345" i="1" s="1"/>
  <c r="N1346" i="1"/>
  <c r="P1346" i="1" s="1"/>
  <c r="N1347" i="1"/>
  <c r="P1347" i="1" s="1"/>
  <c r="N1348" i="1"/>
  <c r="P1348" i="1" s="1"/>
  <c r="N1349" i="1"/>
  <c r="P1349" i="1" s="1"/>
  <c r="N1350" i="1"/>
  <c r="P1350" i="1" s="1"/>
  <c r="N1351" i="1"/>
  <c r="P1351" i="1" s="1"/>
  <c r="N1352" i="1"/>
  <c r="P1352" i="1" s="1"/>
  <c r="N1353" i="1"/>
  <c r="P1353" i="1" s="1"/>
  <c r="Q1353" i="1" s="1"/>
  <c r="R1353" i="1" s="1"/>
  <c r="N1354" i="1"/>
  <c r="P1354" i="1" s="1"/>
  <c r="N1355" i="1"/>
  <c r="P1355" i="1" s="1"/>
  <c r="N1356" i="1"/>
  <c r="P1356" i="1" s="1"/>
  <c r="N1357" i="1"/>
  <c r="P1357" i="1" s="1"/>
  <c r="N1358" i="1"/>
  <c r="P1358" i="1" s="1"/>
  <c r="N1359" i="1"/>
  <c r="P1359" i="1" s="1"/>
  <c r="N1360" i="1"/>
  <c r="P1360" i="1" s="1"/>
  <c r="N1361" i="1"/>
  <c r="P1361" i="1" s="1"/>
  <c r="Q1361" i="1" s="1"/>
  <c r="R1361" i="1" s="1"/>
  <c r="N1362" i="1"/>
  <c r="P1362" i="1" s="1"/>
  <c r="N1363" i="1"/>
  <c r="P1363" i="1" s="1"/>
  <c r="N1364" i="1"/>
  <c r="P1364" i="1" s="1"/>
  <c r="N1365" i="1"/>
  <c r="P1365" i="1" s="1"/>
  <c r="N1366" i="1"/>
  <c r="P1366" i="1" s="1"/>
  <c r="N1367" i="1"/>
  <c r="P1367" i="1" s="1"/>
  <c r="N1368" i="1"/>
  <c r="P1368" i="1" s="1"/>
  <c r="N1369" i="1"/>
  <c r="P1369" i="1" s="1"/>
  <c r="Q1369" i="1" s="1"/>
  <c r="R1369" i="1" s="1"/>
  <c r="N1370" i="1"/>
  <c r="P1370" i="1" s="1"/>
  <c r="N1371" i="1"/>
  <c r="P1371" i="1" s="1"/>
  <c r="N1372" i="1"/>
  <c r="P1372" i="1" s="1"/>
  <c r="N1373" i="1"/>
  <c r="P1373" i="1" s="1"/>
  <c r="N1374" i="1"/>
  <c r="P1374" i="1" s="1"/>
  <c r="N1375" i="1"/>
  <c r="P1375" i="1" s="1"/>
  <c r="N1376" i="1"/>
  <c r="P1376" i="1" s="1"/>
  <c r="N1377" i="1"/>
  <c r="P1377" i="1" s="1"/>
  <c r="Q1377" i="1" s="1"/>
  <c r="R1377" i="1" s="1"/>
  <c r="N1378" i="1"/>
  <c r="P1378" i="1" s="1"/>
  <c r="N1379" i="1"/>
  <c r="P1379" i="1" s="1"/>
  <c r="N1380" i="1"/>
  <c r="P1380" i="1" s="1"/>
  <c r="N1381" i="1"/>
  <c r="P1381" i="1" s="1"/>
  <c r="N1382" i="1"/>
  <c r="P1382" i="1" s="1"/>
  <c r="N1383" i="1"/>
  <c r="P1383" i="1" s="1"/>
  <c r="N1384" i="1"/>
  <c r="P1384" i="1" s="1"/>
  <c r="N1385" i="1"/>
  <c r="P1385" i="1" s="1"/>
  <c r="Q1385" i="1" s="1"/>
  <c r="R1385" i="1" s="1"/>
  <c r="N1386" i="1"/>
  <c r="P1386" i="1" s="1"/>
  <c r="N1387" i="1"/>
  <c r="P1387" i="1" s="1"/>
  <c r="N1388" i="1"/>
  <c r="P1388" i="1" s="1"/>
  <c r="N1389" i="1"/>
  <c r="P1389" i="1" s="1"/>
  <c r="N1390" i="1"/>
  <c r="P1390" i="1" s="1"/>
  <c r="N1391" i="1"/>
  <c r="P1391" i="1" s="1"/>
  <c r="N1392" i="1"/>
  <c r="P1392" i="1" s="1"/>
  <c r="N1393" i="1"/>
  <c r="P1393" i="1" s="1"/>
  <c r="Q1393" i="1" s="1"/>
  <c r="R1393" i="1" s="1"/>
  <c r="N1394" i="1"/>
  <c r="P1394" i="1" s="1"/>
  <c r="N1395" i="1"/>
  <c r="P1395" i="1" s="1"/>
  <c r="N1396" i="1"/>
  <c r="P1396" i="1" s="1"/>
  <c r="N1397" i="1"/>
  <c r="P1397" i="1" s="1"/>
  <c r="N1398" i="1"/>
  <c r="P1398" i="1" s="1"/>
  <c r="N1399" i="1"/>
  <c r="P1399" i="1" s="1"/>
  <c r="N1400" i="1"/>
  <c r="P1400" i="1" s="1"/>
  <c r="N1401" i="1"/>
  <c r="P1401" i="1" s="1"/>
  <c r="Q1401" i="1" s="1"/>
  <c r="R1401" i="1" s="1"/>
  <c r="N1402" i="1"/>
  <c r="P1402" i="1" s="1"/>
  <c r="N1403" i="1"/>
  <c r="P1403" i="1" s="1"/>
  <c r="N1404" i="1"/>
  <c r="P1404" i="1" s="1"/>
  <c r="N1405" i="1"/>
  <c r="P1405" i="1" s="1"/>
  <c r="N1406" i="1"/>
  <c r="P1406" i="1" s="1"/>
  <c r="N1407" i="1"/>
  <c r="P1407" i="1" s="1"/>
  <c r="N1408" i="1"/>
  <c r="P1408" i="1" s="1"/>
  <c r="N1409" i="1"/>
  <c r="P1409" i="1" s="1"/>
  <c r="Q1409" i="1" s="1"/>
  <c r="R1409" i="1" s="1"/>
  <c r="N1410" i="1"/>
  <c r="P1410" i="1" s="1"/>
  <c r="N1411" i="1"/>
  <c r="P1411" i="1" s="1"/>
  <c r="N1412" i="1"/>
  <c r="P1412" i="1" s="1"/>
  <c r="N1413" i="1"/>
  <c r="P1413" i="1" s="1"/>
  <c r="N1414" i="1"/>
  <c r="P1414" i="1" s="1"/>
  <c r="N1415" i="1"/>
  <c r="P1415" i="1" s="1"/>
  <c r="N1416" i="1"/>
  <c r="P1416" i="1" s="1"/>
  <c r="N1417" i="1"/>
  <c r="P1417" i="1" s="1"/>
  <c r="Q1417" i="1" s="1"/>
  <c r="R1417" i="1" s="1"/>
  <c r="N1418" i="1"/>
  <c r="P1418" i="1" s="1"/>
  <c r="N1419" i="1"/>
  <c r="P1419" i="1" s="1"/>
  <c r="N1420" i="1"/>
  <c r="P1420" i="1" s="1"/>
  <c r="N1421" i="1"/>
  <c r="P1421" i="1" s="1"/>
  <c r="N1422" i="1"/>
  <c r="P1422" i="1" s="1"/>
  <c r="N1423" i="1"/>
  <c r="P1423" i="1" s="1"/>
  <c r="N1424" i="1"/>
  <c r="P1424" i="1" s="1"/>
  <c r="N1425" i="1"/>
  <c r="P1425" i="1" s="1"/>
  <c r="Q1425" i="1" s="1"/>
  <c r="R1425" i="1" s="1"/>
  <c r="N1426" i="1"/>
  <c r="P1426" i="1" s="1"/>
  <c r="N1427" i="1"/>
  <c r="P1427" i="1" s="1"/>
  <c r="N1428" i="1"/>
  <c r="P1428" i="1" s="1"/>
  <c r="N1429" i="1"/>
  <c r="P1429" i="1" s="1"/>
  <c r="N1430" i="1"/>
  <c r="P1430" i="1" s="1"/>
  <c r="N1431" i="1"/>
  <c r="P1431" i="1" s="1"/>
  <c r="N1432" i="1"/>
  <c r="P1432" i="1" s="1"/>
  <c r="N1433" i="1"/>
  <c r="P1433" i="1" s="1"/>
  <c r="Q1433" i="1" s="1"/>
  <c r="R1433" i="1" s="1"/>
  <c r="N1434" i="1"/>
  <c r="P1434" i="1" s="1"/>
  <c r="N1435" i="1"/>
  <c r="P1435" i="1" s="1"/>
  <c r="N1436" i="1"/>
  <c r="P1436" i="1" s="1"/>
  <c r="N1437" i="1"/>
  <c r="P1437" i="1" s="1"/>
  <c r="N1438" i="1"/>
  <c r="P1438" i="1" s="1"/>
  <c r="N1439" i="1"/>
  <c r="P1439" i="1" s="1"/>
  <c r="N1440" i="1"/>
  <c r="P1440" i="1" s="1"/>
  <c r="N1441" i="1"/>
  <c r="P1441" i="1" s="1"/>
  <c r="Q1441" i="1" s="1"/>
  <c r="R1441" i="1" s="1"/>
  <c r="N1442" i="1"/>
  <c r="P1442" i="1" s="1"/>
  <c r="N1443" i="1"/>
  <c r="P1443" i="1" s="1"/>
  <c r="N1444" i="1"/>
  <c r="P1444" i="1" s="1"/>
  <c r="N1445" i="1"/>
  <c r="P1445" i="1" s="1"/>
  <c r="N1446" i="1"/>
  <c r="P1446" i="1" s="1"/>
  <c r="N1447" i="1"/>
  <c r="P1447" i="1" s="1"/>
  <c r="N1448" i="1"/>
  <c r="P1448" i="1" s="1"/>
  <c r="N1449" i="1"/>
  <c r="P1449" i="1" s="1"/>
  <c r="Q1449" i="1" s="1"/>
  <c r="R1449" i="1" s="1"/>
  <c r="N1450" i="1"/>
  <c r="P1450" i="1" s="1"/>
  <c r="N1451" i="1"/>
  <c r="P1451" i="1" s="1"/>
  <c r="N1452" i="1"/>
  <c r="P1452" i="1" s="1"/>
  <c r="N1453" i="1"/>
  <c r="P1453" i="1" s="1"/>
  <c r="N1454" i="1"/>
  <c r="P1454" i="1" s="1"/>
  <c r="N1455" i="1"/>
  <c r="P1455" i="1" s="1"/>
  <c r="N1456" i="1"/>
  <c r="P1456" i="1" s="1"/>
  <c r="N1457" i="1"/>
  <c r="P1457" i="1" s="1"/>
  <c r="Q1457" i="1" s="1"/>
  <c r="R1457" i="1" s="1"/>
  <c r="N1458" i="1"/>
  <c r="P1458" i="1" s="1"/>
  <c r="N1459" i="1"/>
  <c r="P1459" i="1" s="1"/>
  <c r="N1460" i="1"/>
  <c r="P1460" i="1" s="1"/>
  <c r="N1461" i="1"/>
  <c r="P1461" i="1" s="1"/>
  <c r="N1462" i="1"/>
  <c r="P1462" i="1" s="1"/>
  <c r="N1463" i="1"/>
  <c r="P1463" i="1" s="1"/>
  <c r="N1464" i="1"/>
  <c r="P1464" i="1" s="1"/>
  <c r="N1465" i="1"/>
  <c r="P1465" i="1" s="1"/>
  <c r="Q1465" i="1" s="1"/>
  <c r="R1465" i="1" s="1"/>
  <c r="N1466" i="1"/>
  <c r="P1466" i="1" s="1"/>
  <c r="N1467" i="1"/>
  <c r="P1467" i="1" s="1"/>
  <c r="N1468" i="1"/>
  <c r="P1468" i="1" s="1"/>
  <c r="N1469" i="1"/>
  <c r="P1469" i="1" s="1"/>
  <c r="N1470" i="1"/>
  <c r="P1470" i="1" s="1"/>
  <c r="N1471" i="1"/>
  <c r="P1471" i="1" s="1"/>
  <c r="N1472" i="1"/>
  <c r="P1472" i="1" s="1"/>
  <c r="N1473" i="1"/>
  <c r="P1473" i="1" s="1"/>
  <c r="Q1473" i="1" s="1"/>
  <c r="R1473" i="1" s="1"/>
  <c r="N1474" i="1"/>
  <c r="P1474" i="1" s="1"/>
  <c r="N1475" i="1"/>
  <c r="P1475" i="1" s="1"/>
  <c r="N1476" i="1"/>
  <c r="P1476" i="1" s="1"/>
  <c r="N1477" i="1"/>
  <c r="P1477" i="1" s="1"/>
  <c r="N1478" i="1"/>
  <c r="P1478" i="1" s="1"/>
  <c r="N1479" i="1"/>
  <c r="P1479" i="1" s="1"/>
  <c r="N1480" i="1"/>
  <c r="P1480" i="1" s="1"/>
  <c r="N1481" i="1"/>
  <c r="P1481" i="1" s="1"/>
  <c r="Q1481" i="1" s="1"/>
  <c r="R1481" i="1" s="1"/>
  <c r="N1482" i="1"/>
  <c r="P1482" i="1" s="1"/>
  <c r="N1483" i="1"/>
  <c r="P1483" i="1" s="1"/>
  <c r="N1484" i="1"/>
  <c r="P1484" i="1" s="1"/>
  <c r="N1485" i="1"/>
  <c r="P1485" i="1" s="1"/>
  <c r="N1486" i="1"/>
  <c r="P1486" i="1" s="1"/>
  <c r="N1487" i="1"/>
  <c r="P1487" i="1" s="1"/>
  <c r="N1488" i="1"/>
  <c r="P1488" i="1" s="1"/>
  <c r="N1489" i="1"/>
  <c r="P1489" i="1" s="1"/>
  <c r="Q1489" i="1" s="1"/>
  <c r="R1489" i="1" s="1"/>
  <c r="N1490" i="1"/>
  <c r="P1490" i="1" s="1"/>
  <c r="N1491" i="1"/>
  <c r="P1491" i="1" s="1"/>
  <c r="N1492" i="1"/>
  <c r="P1492" i="1" s="1"/>
  <c r="N1493" i="1"/>
  <c r="P1493" i="1" s="1"/>
  <c r="N1494" i="1"/>
  <c r="P1494" i="1" s="1"/>
  <c r="N1495" i="1"/>
  <c r="P1495" i="1" s="1"/>
  <c r="N1496" i="1"/>
  <c r="P1496" i="1" s="1"/>
  <c r="N1497" i="1"/>
  <c r="P1497" i="1" s="1"/>
  <c r="Q1497" i="1" s="1"/>
  <c r="R1497" i="1" s="1"/>
  <c r="N1498" i="1"/>
  <c r="P1498" i="1" s="1"/>
  <c r="N1499" i="1"/>
  <c r="P1499" i="1" s="1"/>
  <c r="N1500" i="1"/>
  <c r="P1500" i="1" s="1"/>
  <c r="N1501" i="1"/>
  <c r="P1501" i="1" s="1"/>
  <c r="N1502" i="1"/>
  <c r="P1502" i="1" s="1"/>
  <c r="N1503" i="1"/>
  <c r="P1503" i="1" s="1"/>
  <c r="N1504" i="1"/>
  <c r="P1504" i="1" s="1"/>
  <c r="N1505" i="1"/>
  <c r="P1505" i="1" s="1"/>
  <c r="Q1505" i="1" s="1"/>
  <c r="R1505" i="1" s="1"/>
  <c r="N1506" i="1"/>
  <c r="P1506" i="1" s="1"/>
  <c r="N1507" i="1"/>
  <c r="P1507" i="1" s="1"/>
  <c r="N1508" i="1"/>
  <c r="P1508" i="1" s="1"/>
  <c r="N1509" i="1"/>
  <c r="P1509" i="1" s="1"/>
  <c r="N1510" i="1"/>
  <c r="P1510" i="1" s="1"/>
  <c r="N1511" i="1"/>
  <c r="P1511" i="1" s="1"/>
  <c r="N1512" i="1"/>
  <c r="P1512" i="1" s="1"/>
  <c r="N1513" i="1"/>
  <c r="P1513" i="1" s="1"/>
  <c r="Q1513" i="1" s="1"/>
  <c r="R1513" i="1" s="1"/>
  <c r="N1514" i="1"/>
  <c r="P1514" i="1" s="1"/>
  <c r="N1515" i="1"/>
  <c r="P1515" i="1" s="1"/>
  <c r="N1516" i="1"/>
  <c r="P1516" i="1" s="1"/>
  <c r="N1517" i="1"/>
  <c r="P1517" i="1" s="1"/>
  <c r="N1518" i="1"/>
  <c r="P1518" i="1" s="1"/>
  <c r="N1519" i="1"/>
  <c r="P1519" i="1" s="1"/>
  <c r="N1520" i="1"/>
  <c r="P1520" i="1" s="1"/>
  <c r="N1521" i="1"/>
  <c r="P1521" i="1" s="1"/>
  <c r="Q1521" i="1" s="1"/>
  <c r="R1521" i="1" s="1"/>
  <c r="N1522" i="1"/>
  <c r="P1522" i="1" s="1"/>
  <c r="N1523" i="1"/>
  <c r="P1523" i="1" s="1"/>
  <c r="N1524" i="1"/>
  <c r="P1524" i="1" s="1"/>
  <c r="N1525" i="1"/>
  <c r="P1525" i="1" s="1"/>
  <c r="N1526" i="1"/>
  <c r="P1526" i="1" s="1"/>
  <c r="N1527" i="1"/>
  <c r="P1527" i="1" s="1"/>
  <c r="N1528" i="1"/>
  <c r="P1528" i="1" s="1"/>
  <c r="N1529" i="1"/>
  <c r="P1529" i="1" s="1"/>
  <c r="Q1529" i="1" s="1"/>
  <c r="R1529" i="1" s="1"/>
  <c r="N1530" i="1"/>
  <c r="P1530" i="1" s="1"/>
  <c r="N1531" i="1"/>
  <c r="P1531" i="1" s="1"/>
  <c r="N1532" i="1"/>
  <c r="P1532" i="1" s="1"/>
  <c r="N1533" i="1"/>
  <c r="P1533" i="1" s="1"/>
  <c r="N1534" i="1"/>
  <c r="P1534" i="1" s="1"/>
  <c r="N1535" i="1"/>
  <c r="P1535" i="1" s="1"/>
  <c r="N1536" i="1"/>
  <c r="P1536" i="1" s="1"/>
  <c r="N1537" i="1"/>
  <c r="P1537" i="1" s="1"/>
  <c r="Q1537" i="1" s="1"/>
  <c r="R1537" i="1" s="1"/>
  <c r="N1538" i="1"/>
  <c r="P1538" i="1" s="1"/>
  <c r="N1539" i="1"/>
  <c r="P1539" i="1" s="1"/>
  <c r="N1540" i="1"/>
  <c r="P1540" i="1" s="1"/>
  <c r="N1541" i="1"/>
  <c r="P1541" i="1" s="1"/>
  <c r="N1542" i="1"/>
  <c r="P1542" i="1" s="1"/>
  <c r="N1543" i="1"/>
  <c r="P1543" i="1" s="1"/>
  <c r="N1544" i="1"/>
  <c r="P1544" i="1" s="1"/>
  <c r="N1545" i="1"/>
  <c r="P1545" i="1" s="1"/>
  <c r="Q1545" i="1" s="1"/>
  <c r="R1545" i="1" s="1"/>
  <c r="N1546" i="1"/>
  <c r="P1546" i="1" s="1"/>
  <c r="N1547" i="1"/>
  <c r="P1547" i="1" s="1"/>
  <c r="N1548" i="1"/>
  <c r="P1548" i="1" s="1"/>
  <c r="N1549" i="1"/>
  <c r="P1549" i="1" s="1"/>
  <c r="N1550" i="1"/>
  <c r="P1550" i="1" s="1"/>
  <c r="N1551" i="1"/>
  <c r="P1551" i="1" s="1"/>
  <c r="N1552" i="1"/>
  <c r="P1552" i="1" s="1"/>
  <c r="N1553" i="1"/>
  <c r="P1553" i="1" s="1"/>
  <c r="Q1553" i="1" s="1"/>
  <c r="R1553" i="1" s="1"/>
  <c r="N1554" i="1"/>
  <c r="P1554" i="1" s="1"/>
  <c r="N1555" i="1"/>
  <c r="P1555" i="1" s="1"/>
  <c r="N1556" i="1"/>
  <c r="P1556" i="1" s="1"/>
  <c r="N1557" i="1"/>
  <c r="P1557" i="1" s="1"/>
  <c r="N1558" i="1"/>
  <c r="P1558" i="1" s="1"/>
  <c r="N1559" i="1"/>
  <c r="P1559" i="1" s="1"/>
  <c r="N1560" i="1"/>
  <c r="P1560" i="1" s="1"/>
  <c r="N1561" i="1"/>
  <c r="P1561" i="1" s="1"/>
  <c r="Q1561" i="1" s="1"/>
  <c r="R1561" i="1" s="1"/>
  <c r="N1562" i="1"/>
  <c r="P1562" i="1" s="1"/>
  <c r="N1563" i="1"/>
  <c r="P1563" i="1" s="1"/>
  <c r="N1564" i="1"/>
  <c r="P1564" i="1" s="1"/>
  <c r="N1565" i="1"/>
  <c r="P1565" i="1" s="1"/>
  <c r="N1566" i="1"/>
  <c r="P1566" i="1" s="1"/>
  <c r="N1567" i="1"/>
  <c r="P1567" i="1" s="1"/>
  <c r="N1568" i="1"/>
  <c r="P1568" i="1" s="1"/>
  <c r="N1569" i="1"/>
  <c r="P1569" i="1" s="1"/>
  <c r="Q1569" i="1" s="1"/>
  <c r="R1569" i="1" s="1"/>
  <c r="N1570" i="1"/>
  <c r="P1570" i="1" s="1"/>
  <c r="N1571" i="1"/>
  <c r="P1571" i="1" s="1"/>
  <c r="N1572" i="1"/>
  <c r="P1572" i="1" s="1"/>
  <c r="N1573" i="1"/>
  <c r="P1573" i="1" s="1"/>
  <c r="N1574" i="1"/>
  <c r="P1574" i="1" s="1"/>
  <c r="N1575" i="1"/>
  <c r="P1575" i="1" s="1"/>
  <c r="N1576" i="1"/>
  <c r="P1576" i="1" s="1"/>
  <c r="N1577" i="1"/>
  <c r="P1577" i="1" s="1"/>
  <c r="Q1577" i="1" s="1"/>
  <c r="R1577" i="1" s="1"/>
  <c r="N1578" i="1"/>
  <c r="P1578" i="1" s="1"/>
  <c r="N1579" i="1"/>
  <c r="P1579" i="1" s="1"/>
  <c r="N1580" i="1"/>
  <c r="P1580" i="1" s="1"/>
  <c r="N1581" i="1"/>
  <c r="P1581" i="1" s="1"/>
  <c r="N1582" i="1"/>
  <c r="P1582" i="1" s="1"/>
  <c r="N1583" i="1"/>
  <c r="P1583" i="1" s="1"/>
  <c r="N1584" i="1"/>
  <c r="P1584" i="1" s="1"/>
  <c r="N1585" i="1"/>
  <c r="P1585" i="1" s="1"/>
  <c r="Q1585" i="1" s="1"/>
  <c r="R1585" i="1" s="1"/>
  <c r="N1586" i="1"/>
  <c r="P1586" i="1" s="1"/>
  <c r="N1587" i="1"/>
  <c r="P1587" i="1" s="1"/>
  <c r="N1588" i="1"/>
  <c r="P1588" i="1" s="1"/>
  <c r="N1589" i="1"/>
  <c r="P1589" i="1" s="1"/>
  <c r="N1590" i="1"/>
  <c r="P1590" i="1" s="1"/>
  <c r="N1591" i="1"/>
  <c r="P1591" i="1" s="1"/>
  <c r="N1592" i="1"/>
  <c r="P1592" i="1" s="1"/>
  <c r="N1593" i="1"/>
  <c r="P1593" i="1" s="1"/>
  <c r="Q1593" i="1" s="1"/>
  <c r="R1593" i="1" s="1"/>
  <c r="N1594" i="1"/>
  <c r="P1594" i="1" s="1"/>
  <c r="N1595" i="1"/>
  <c r="P1595" i="1" s="1"/>
  <c r="N1596" i="1"/>
  <c r="P1596" i="1" s="1"/>
  <c r="N1597" i="1"/>
  <c r="P1597" i="1" s="1"/>
  <c r="N1598" i="1"/>
  <c r="P1598" i="1" s="1"/>
  <c r="N1599" i="1"/>
  <c r="P1599" i="1" s="1"/>
  <c r="N1600" i="1"/>
  <c r="P1600" i="1" s="1"/>
  <c r="N1601" i="1"/>
  <c r="P1601" i="1" s="1"/>
  <c r="Q1601" i="1" s="1"/>
  <c r="R1601" i="1" s="1"/>
  <c r="N1602" i="1"/>
  <c r="P1602" i="1" s="1"/>
  <c r="N1603" i="1"/>
  <c r="P1603" i="1" s="1"/>
  <c r="N1604" i="1"/>
  <c r="P1604" i="1" s="1"/>
  <c r="N1605" i="1"/>
  <c r="P1605" i="1" s="1"/>
  <c r="N1606" i="1"/>
  <c r="P1606" i="1" s="1"/>
  <c r="N1607" i="1"/>
  <c r="P1607" i="1" s="1"/>
  <c r="N1608" i="1"/>
  <c r="P1608" i="1" s="1"/>
  <c r="N1609" i="1"/>
  <c r="P1609" i="1" s="1"/>
  <c r="Q1609" i="1" s="1"/>
  <c r="R1609" i="1" s="1"/>
  <c r="N1610" i="1"/>
  <c r="P1610" i="1" s="1"/>
  <c r="N1611" i="1"/>
  <c r="P1611" i="1" s="1"/>
  <c r="N1612" i="1"/>
  <c r="P1612" i="1" s="1"/>
  <c r="N1613" i="1"/>
  <c r="P1613" i="1" s="1"/>
  <c r="N1614" i="1"/>
  <c r="P1614" i="1" s="1"/>
  <c r="N1615" i="1"/>
  <c r="P1615" i="1" s="1"/>
  <c r="N1616" i="1"/>
  <c r="P1616" i="1" s="1"/>
  <c r="N1617" i="1"/>
  <c r="P1617" i="1" s="1"/>
  <c r="Q1617" i="1" s="1"/>
  <c r="R1617" i="1" s="1"/>
  <c r="N1618" i="1"/>
  <c r="P1618" i="1" s="1"/>
  <c r="N1619" i="1"/>
  <c r="P1619" i="1" s="1"/>
  <c r="N1620" i="1"/>
  <c r="P1620" i="1" s="1"/>
  <c r="N1621" i="1"/>
  <c r="P1621" i="1" s="1"/>
  <c r="N1622" i="1"/>
  <c r="P1622" i="1" s="1"/>
  <c r="N1623" i="1"/>
  <c r="P1623" i="1" s="1"/>
  <c r="N1624" i="1"/>
  <c r="P1624" i="1" s="1"/>
  <c r="N1625" i="1"/>
  <c r="P1625" i="1" s="1"/>
  <c r="Q1625" i="1" s="1"/>
  <c r="R1625" i="1" s="1"/>
  <c r="N1626" i="1"/>
  <c r="P1626" i="1" s="1"/>
  <c r="N1627" i="1"/>
  <c r="P1627" i="1" s="1"/>
  <c r="N1628" i="1"/>
  <c r="P1628" i="1" s="1"/>
  <c r="N1629" i="1"/>
  <c r="P1629" i="1" s="1"/>
  <c r="N1630" i="1"/>
  <c r="P1630" i="1" s="1"/>
  <c r="N1631" i="1"/>
  <c r="P1631" i="1" s="1"/>
  <c r="N1632" i="1"/>
  <c r="P1632" i="1" s="1"/>
  <c r="N1633" i="1"/>
  <c r="P1633" i="1" s="1"/>
  <c r="Q1633" i="1" s="1"/>
  <c r="R1633" i="1" s="1"/>
  <c r="N1634" i="1"/>
  <c r="P1634" i="1" s="1"/>
  <c r="N1635" i="1"/>
  <c r="P1635" i="1" s="1"/>
  <c r="N1636" i="1"/>
  <c r="P1636" i="1" s="1"/>
  <c r="N1637" i="1"/>
  <c r="P1637" i="1" s="1"/>
  <c r="N1638" i="1"/>
  <c r="P1638" i="1" s="1"/>
  <c r="N1639" i="1"/>
  <c r="P1639" i="1" s="1"/>
  <c r="N1640" i="1"/>
  <c r="P1640" i="1" s="1"/>
  <c r="N1641" i="1"/>
  <c r="P1641" i="1" s="1"/>
  <c r="Q1641" i="1" s="1"/>
  <c r="R1641" i="1" s="1"/>
  <c r="N1642" i="1"/>
  <c r="P1642" i="1" s="1"/>
  <c r="N1643" i="1"/>
  <c r="P1643" i="1" s="1"/>
  <c r="N1644" i="1"/>
  <c r="P1644" i="1" s="1"/>
  <c r="N1645" i="1"/>
  <c r="P1645" i="1" s="1"/>
  <c r="N1646" i="1"/>
  <c r="P1646" i="1" s="1"/>
  <c r="N1647" i="1"/>
  <c r="P1647" i="1" s="1"/>
  <c r="N1648" i="1"/>
  <c r="P1648" i="1" s="1"/>
  <c r="N1649" i="1"/>
  <c r="P1649" i="1" s="1"/>
  <c r="Q1649" i="1" s="1"/>
  <c r="R1649" i="1" s="1"/>
  <c r="N1650" i="1"/>
  <c r="P1650" i="1" s="1"/>
  <c r="N1651" i="1"/>
  <c r="P1651" i="1" s="1"/>
  <c r="N1652" i="1"/>
  <c r="P1652" i="1" s="1"/>
  <c r="N1653" i="1"/>
  <c r="P1653" i="1" s="1"/>
  <c r="N1654" i="1"/>
  <c r="P1654" i="1" s="1"/>
  <c r="N1655" i="1"/>
  <c r="P1655" i="1" s="1"/>
  <c r="N1656" i="1"/>
  <c r="P1656" i="1" s="1"/>
  <c r="N1657" i="1"/>
  <c r="P1657" i="1" s="1"/>
  <c r="Q1657" i="1" s="1"/>
  <c r="R1657" i="1" s="1"/>
  <c r="N1658" i="1"/>
  <c r="P1658" i="1" s="1"/>
  <c r="N1659" i="1"/>
  <c r="P1659" i="1" s="1"/>
  <c r="N1660" i="1"/>
  <c r="P1660" i="1" s="1"/>
  <c r="N1661" i="1"/>
  <c r="P1661" i="1" s="1"/>
  <c r="N1662" i="1"/>
  <c r="P1662" i="1" s="1"/>
  <c r="N1663" i="1"/>
  <c r="P1663" i="1" s="1"/>
  <c r="N1664" i="1"/>
  <c r="P1664" i="1" s="1"/>
  <c r="N1665" i="1"/>
  <c r="P1665" i="1" s="1"/>
  <c r="Q1665" i="1" s="1"/>
  <c r="R1665" i="1" s="1"/>
  <c r="N1666" i="1"/>
  <c r="P1666" i="1" s="1"/>
  <c r="N1667" i="1"/>
  <c r="P1667" i="1" s="1"/>
  <c r="N1668" i="1"/>
  <c r="P1668" i="1" s="1"/>
  <c r="N1669" i="1"/>
  <c r="P1669" i="1" s="1"/>
  <c r="N1670" i="1"/>
  <c r="P1670" i="1" s="1"/>
  <c r="N1671" i="1"/>
  <c r="P1671" i="1" s="1"/>
  <c r="N1672" i="1"/>
  <c r="P1672" i="1" s="1"/>
  <c r="N1673" i="1"/>
  <c r="P1673" i="1" s="1"/>
  <c r="Q1673" i="1" s="1"/>
  <c r="R1673" i="1" s="1"/>
  <c r="N1674" i="1"/>
  <c r="P1674" i="1" s="1"/>
  <c r="N1675" i="1"/>
  <c r="P1675" i="1" s="1"/>
  <c r="N1676" i="1"/>
  <c r="P1676" i="1" s="1"/>
  <c r="N1677" i="1"/>
  <c r="P1677" i="1" s="1"/>
  <c r="N1678" i="1"/>
  <c r="P1678" i="1" s="1"/>
  <c r="N1679" i="1"/>
  <c r="P1679" i="1" s="1"/>
  <c r="N1680" i="1"/>
  <c r="P1680" i="1" s="1"/>
  <c r="N1681" i="1"/>
  <c r="P1681" i="1" s="1"/>
  <c r="Q1681" i="1" s="1"/>
  <c r="R1681" i="1" s="1"/>
  <c r="N1682" i="1"/>
  <c r="P1682" i="1" s="1"/>
  <c r="N1683" i="1"/>
  <c r="P1683" i="1" s="1"/>
  <c r="N1684" i="1"/>
  <c r="P1684" i="1" s="1"/>
  <c r="N1685" i="1"/>
  <c r="P1685" i="1" s="1"/>
  <c r="N1686" i="1"/>
  <c r="P1686" i="1" s="1"/>
  <c r="N1687" i="1"/>
  <c r="P1687" i="1" s="1"/>
  <c r="N1688" i="1"/>
  <c r="P1688" i="1" s="1"/>
  <c r="N1689" i="1"/>
  <c r="P1689" i="1" s="1"/>
  <c r="Q1689" i="1" s="1"/>
  <c r="R1689" i="1" s="1"/>
  <c r="N1690" i="1"/>
  <c r="P1690" i="1" s="1"/>
  <c r="N1691" i="1"/>
  <c r="P1691" i="1" s="1"/>
  <c r="N1692" i="1"/>
  <c r="P1692" i="1" s="1"/>
  <c r="N1693" i="1"/>
  <c r="P1693" i="1" s="1"/>
  <c r="N1694" i="1"/>
  <c r="P1694" i="1" s="1"/>
  <c r="N1695" i="1"/>
  <c r="P1695" i="1" s="1"/>
  <c r="N1696" i="1"/>
  <c r="P1696" i="1" s="1"/>
  <c r="N1697" i="1"/>
  <c r="P1697" i="1" s="1"/>
  <c r="Q1697" i="1" s="1"/>
  <c r="R1697" i="1" s="1"/>
  <c r="N1698" i="1"/>
  <c r="P1698" i="1" s="1"/>
  <c r="N1699" i="1"/>
  <c r="P1699" i="1" s="1"/>
  <c r="N1700" i="1"/>
  <c r="P1700" i="1" s="1"/>
  <c r="N1701" i="1"/>
  <c r="P1701" i="1" s="1"/>
  <c r="N1702" i="1"/>
  <c r="P1702" i="1" s="1"/>
  <c r="N1703" i="1"/>
  <c r="P1703" i="1" s="1"/>
  <c r="N1704" i="1"/>
  <c r="P1704" i="1" s="1"/>
  <c r="N1705" i="1"/>
  <c r="P1705" i="1" s="1"/>
  <c r="Q1705" i="1" s="1"/>
  <c r="R1705" i="1" s="1"/>
  <c r="N1706" i="1"/>
  <c r="P1706" i="1" s="1"/>
  <c r="N1707" i="1"/>
  <c r="P1707" i="1" s="1"/>
  <c r="N1708" i="1"/>
  <c r="P1708" i="1" s="1"/>
  <c r="N1709" i="1"/>
  <c r="P1709" i="1" s="1"/>
  <c r="N1710" i="1"/>
  <c r="P1710" i="1" s="1"/>
  <c r="N1711" i="1"/>
  <c r="P1711" i="1" s="1"/>
  <c r="N1712" i="1"/>
  <c r="P1712" i="1" s="1"/>
  <c r="N1713" i="1"/>
  <c r="P1713" i="1" s="1"/>
  <c r="Q1713" i="1" s="1"/>
  <c r="R1713" i="1" s="1"/>
  <c r="N1714" i="1"/>
  <c r="P1714" i="1" s="1"/>
  <c r="N1715" i="1"/>
  <c r="P1715" i="1" s="1"/>
  <c r="N1716" i="1"/>
  <c r="P1716" i="1" s="1"/>
  <c r="N1717" i="1"/>
  <c r="P1717" i="1" s="1"/>
  <c r="N1718" i="1"/>
  <c r="P1718" i="1" s="1"/>
  <c r="N1719" i="1"/>
  <c r="P1719" i="1" s="1"/>
  <c r="N1720" i="1"/>
  <c r="P1720" i="1" s="1"/>
  <c r="N1721" i="1"/>
  <c r="P1721" i="1" s="1"/>
  <c r="Q1721" i="1" s="1"/>
  <c r="R1721" i="1" s="1"/>
  <c r="N1722" i="1"/>
  <c r="P1722" i="1" s="1"/>
  <c r="N1723" i="1"/>
  <c r="P1723" i="1" s="1"/>
  <c r="N1724" i="1"/>
  <c r="P1724" i="1" s="1"/>
  <c r="N1725" i="1"/>
  <c r="P1725" i="1" s="1"/>
  <c r="N1726" i="1"/>
  <c r="P1726" i="1" s="1"/>
  <c r="N1727" i="1"/>
  <c r="P1727" i="1" s="1"/>
  <c r="N1728" i="1"/>
  <c r="P1728" i="1" s="1"/>
  <c r="N1729" i="1"/>
  <c r="P1729" i="1" s="1"/>
  <c r="Q1729" i="1" s="1"/>
  <c r="R1729" i="1" s="1"/>
  <c r="N1730" i="1"/>
  <c r="P1730" i="1" s="1"/>
  <c r="N1731" i="1"/>
  <c r="P1731" i="1" s="1"/>
  <c r="N1732" i="1"/>
  <c r="P1732" i="1" s="1"/>
  <c r="N1733" i="1"/>
  <c r="P1733" i="1" s="1"/>
  <c r="N1734" i="1"/>
  <c r="P1734" i="1" s="1"/>
  <c r="N1735" i="1"/>
  <c r="P1735" i="1" s="1"/>
  <c r="N1736" i="1"/>
  <c r="P1736" i="1" s="1"/>
  <c r="N1737" i="1"/>
  <c r="P1737" i="1" s="1"/>
  <c r="Q1737" i="1" s="1"/>
  <c r="R1737" i="1" s="1"/>
  <c r="N1738" i="1"/>
  <c r="P1738" i="1" s="1"/>
  <c r="N1739" i="1"/>
  <c r="P1739" i="1" s="1"/>
  <c r="N1740" i="1"/>
  <c r="P1740" i="1" s="1"/>
  <c r="N1741" i="1"/>
  <c r="P1741" i="1" s="1"/>
  <c r="N1742" i="1"/>
  <c r="P1742" i="1" s="1"/>
  <c r="N1743" i="1"/>
  <c r="P1743" i="1" s="1"/>
  <c r="N1744" i="1"/>
  <c r="P1744" i="1" s="1"/>
  <c r="N1745" i="1"/>
  <c r="P1745" i="1" s="1"/>
  <c r="Q1745" i="1" s="1"/>
  <c r="R1745" i="1" s="1"/>
  <c r="N1746" i="1"/>
  <c r="P1746" i="1" s="1"/>
  <c r="N1747" i="1"/>
  <c r="P1747" i="1" s="1"/>
  <c r="N1748" i="1"/>
  <c r="P1748" i="1" s="1"/>
  <c r="N1749" i="1"/>
  <c r="P1749" i="1" s="1"/>
  <c r="N1750" i="1"/>
  <c r="P1750" i="1" s="1"/>
  <c r="N1751" i="1"/>
  <c r="P1751" i="1" s="1"/>
  <c r="N1752" i="1"/>
  <c r="P1752" i="1" s="1"/>
  <c r="N1753" i="1"/>
  <c r="P1753" i="1" s="1"/>
  <c r="Q1753" i="1" s="1"/>
  <c r="R1753" i="1" s="1"/>
  <c r="N1754" i="1"/>
  <c r="P1754" i="1" s="1"/>
  <c r="N1755" i="1"/>
  <c r="P1755" i="1" s="1"/>
  <c r="N1756" i="1"/>
  <c r="P1756" i="1" s="1"/>
  <c r="N1757" i="1"/>
  <c r="P1757" i="1" s="1"/>
  <c r="N1758" i="1"/>
  <c r="P1758" i="1" s="1"/>
  <c r="N1759" i="1"/>
  <c r="P1759" i="1" s="1"/>
  <c r="N1760" i="1"/>
  <c r="P1760" i="1" s="1"/>
  <c r="N1761" i="1"/>
  <c r="P1761" i="1" s="1"/>
  <c r="Q1761" i="1" s="1"/>
  <c r="R1761" i="1" s="1"/>
  <c r="N1762" i="1"/>
  <c r="P1762" i="1" s="1"/>
  <c r="N1763" i="1"/>
  <c r="P1763" i="1" s="1"/>
  <c r="N1764" i="1"/>
  <c r="P1764" i="1" s="1"/>
  <c r="N1765" i="1"/>
  <c r="P1765" i="1" s="1"/>
  <c r="N1766" i="1"/>
  <c r="P1766" i="1" s="1"/>
  <c r="N1767" i="1"/>
  <c r="P1767" i="1" s="1"/>
  <c r="N1768" i="1"/>
  <c r="P1768" i="1" s="1"/>
  <c r="N1769" i="1"/>
  <c r="P1769" i="1" s="1"/>
  <c r="Q1769" i="1" s="1"/>
  <c r="R1769" i="1" s="1"/>
  <c r="N1770" i="1"/>
  <c r="P1770" i="1" s="1"/>
  <c r="N1771" i="1"/>
  <c r="P1771" i="1" s="1"/>
  <c r="N1772" i="1"/>
  <c r="P1772" i="1" s="1"/>
  <c r="N1773" i="1"/>
  <c r="P1773" i="1" s="1"/>
  <c r="N1774" i="1"/>
  <c r="P1774" i="1" s="1"/>
  <c r="N1775" i="1"/>
  <c r="P1775" i="1" s="1"/>
  <c r="N1776" i="1"/>
  <c r="P1776" i="1" s="1"/>
  <c r="N1777" i="1"/>
  <c r="P1777" i="1" s="1"/>
  <c r="Q1777" i="1" s="1"/>
  <c r="R1777" i="1" s="1"/>
  <c r="N1778" i="1"/>
  <c r="P1778" i="1" s="1"/>
  <c r="N1779" i="1"/>
  <c r="P1779" i="1" s="1"/>
  <c r="N1780" i="1"/>
  <c r="P1780" i="1" s="1"/>
  <c r="N1781" i="1"/>
  <c r="P1781" i="1" s="1"/>
  <c r="N1782" i="1"/>
  <c r="P1782" i="1" s="1"/>
  <c r="N1783" i="1"/>
  <c r="P1783" i="1" s="1"/>
  <c r="N1784" i="1"/>
  <c r="P1784" i="1" s="1"/>
  <c r="N1785" i="1"/>
  <c r="P1785" i="1" s="1"/>
  <c r="Q1785" i="1" s="1"/>
  <c r="R1785" i="1" s="1"/>
  <c r="N1786" i="1"/>
  <c r="P1786" i="1" s="1"/>
  <c r="N1787" i="1"/>
  <c r="P1787" i="1" s="1"/>
  <c r="N1788" i="1"/>
  <c r="P1788" i="1" s="1"/>
  <c r="N1789" i="1"/>
  <c r="P1789" i="1" s="1"/>
  <c r="N1790" i="1"/>
  <c r="P1790" i="1" s="1"/>
  <c r="N1791" i="1"/>
  <c r="P1791" i="1" s="1"/>
  <c r="N1792" i="1"/>
  <c r="P1792" i="1" s="1"/>
  <c r="N1793" i="1"/>
  <c r="P1793" i="1" s="1"/>
  <c r="Q1793" i="1" s="1"/>
  <c r="R1793" i="1" s="1"/>
  <c r="N1794" i="1"/>
  <c r="P1794" i="1" s="1"/>
  <c r="N1795" i="1"/>
  <c r="P1795" i="1" s="1"/>
  <c r="N1796" i="1"/>
  <c r="P1796" i="1" s="1"/>
  <c r="N1797" i="1"/>
  <c r="P1797" i="1" s="1"/>
  <c r="N1798" i="1"/>
  <c r="P1798" i="1" s="1"/>
  <c r="N1799" i="1"/>
  <c r="P1799" i="1" s="1"/>
  <c r="N1800" i="1"/>
  <c r="P1800" i="1" s="1"/>
  <c r="N1801" i="1"/>
  <c r="P1801" i="1" s="1"/>
  <c r="Q1801" i="1" s="1"/>
  <c r="R1801" i="1" s="1"/>
  <c r="N1802" i="1"/>
  <c r="P1802" i="1" s="1"/>
  <c r="N1803" i="1"/>
  <c r="P1803" i="1" s="1"/>
  <c r="N1804" i="1"/>
  <c r="P1804" i="1" s="1"/>
  <c r="N1805" i="1"/>
  <c r="P1805" i="1" s="1"/>
  <c r="N1806" i="1"/>
  <c r="P1806" i="1" s="1"/>
  <c r="N1807" i="1"/>
  <c r="P1807" i="1" s="1"/>
  <c r="N1808" i="1"/>
  <c r="P1808" i="1" s="1"/>
  <c r="N1809" i="1"/>
  <c r="P1809" i="1" s="1"/>
  <c r="Q1809" i="1" s="1"/>
  <c r="R1809" i="1" s="1"/>
  <c r="N1810" i="1"/>
  <c r="P1810" i="1" s="1"/>
  <c r="N1811" i="1"/>
  <c r="P1811" i="1" s="1"/>
  <c r="N1812" i="1"/>
  <c r="P1812" i="1" s="1"/>
  <c r="N1813" i="1"/>
  <c r="P1813" i="1" s="1"/>
  <c r="N1814" i="1"/>
  <c r="P1814" i="1" s="1"/>
  <c r="N1815" i="1"/>
  <c r="P1815" i="1" s="1"/>
  <c r="N1816" i="1"/>
  <c r="P1816" i="1" s="1"/>
  <c r="N1817" i="1"/>
  <c r="P1817" i="1" s="1"/>
  <c r="Q1817" i="1" s="1"/>
  <c r="R1817" i="1" s="1"/>
  <c r="N1818" i="1"/>
  <c r="P1818" i="1" s="1"/>
  <c r="N1819" i="1"/>
  <c r="P1819" i="1" s="1"/>
  <c r="N1820" i="1"/>
  <c r="P1820" i="1" s="1"/>
  <c r="N1821" i="1"/>
  <c r="P1821" i="1" s="1"/>
  <c r="N1822" i="1"/>
  <c r="P1822" i="1" s="1"/>
  <c r="N1823" i="1"/>
  <c r="P1823" i="1" s="1"/>
  <c r="N1824" i="1"/>
  <c r="P1824" i="1" s="1"/>
  <c r="N1825" i="1"/>
  <c r="P1825" i="1" s="1"/>
  <c r="Q1825" i="1" s="1"/>
  <c r="R1825" i="1" s="1"/>
  <c r="N1826" i="1"/>
  <c r="P1826" i="1" s="1"/>
  <c r="N1827" i="1"/>
  <c r="P1827" i="1" s="1"/>
  <c r="N1828" i="1"/>
  <c r="P1828" i="1" s="1"/>
  <c r="N1829" i="1"/>
  <c r="P1829" i="1" s="1"/>
  <c r="N1830" i="1"/>
  <c r="P1830" i="1" s="1"/>
  <c r="N1831" i="1"/>
  <c r="P1831" i="1" s="1"/>
  <c r="N1832" i="1"/>
  <c r="P1832" i="1" s="1"/>
  <c r="N1833" i="1"/>
  <c r="P1833" i="1" s="1"/>
  <c r="Q1833" i="1" s="1"/>
  <c r="R1833" i="1" s="1"/>
  <c r="N1834" i="1"/>
  <c r="P1834" i="1" s="1"/>
  <c r="N1835" i="1"/>
  <c r="P1835" i="1" s="1"/>
  <c r="N1836" i="1"/>
  <c r="P1836" i="1" s="1"/>
  <c r="N1837" i="1"/>
  <c r="P1837" i="1" s="1"/>
  <c r="N1838" i="1"/>
  <c r="P1838" i="1" s="1"/>
  <c r="N1839" i="1"/>
  <c r="P1839" i="1" s="1"/>
  <c r="N1840" i="1"/>
  <c r="P1840" i="1" s="1"/>
  <c r="N1841" i="1"/>
  <c r="P1841" i="1" s="1"/>
  <c r="Q1841" i="1" s="1"/>
  <c r="R1841" i="1" s="1"/>
  <c r="N1842" i="1"/>
  <c r="P1842" i="1" s="1"/>
  <c r="N1843" i="1"/>
  <c r="P1843" i="1" s="1"/>
  <c r="N1844" i="1"/>
  <c r="P1844" i="1" s="1"/>
  <c r="N1845" i="1"/>
  <c r="P1845" i="1" s="1"/>
  <c r="N1846" i="1"/>
  <c r="P1846" i="1" s="1"/>
  <c r="N1847" i="1"/>
  <c r="P1847" i="1" s="1"/>
  <c r="N1848" i="1"/>
  <c r="P1848" i="1" s="1"/>
  <c r="N1849" i="1"/>
  <c r="P1849" i="1" s="1"/>
  <c r="Q1849" i="1" s="1"/>
  <c r="R1849" i="1" s="1"/>
  <c r="N1850" i="1"/>
  <c r="P1850" i="1" s="1"/>
  <c r="N1851" i="1"/>
  <c r="P1851" i="1" s="1"/>
  <c r="N1852" i="1"/>
  <c r="P1852" i="1" s="1"/>
  <c r="N1853" i="1"/>
  <c r="P1853" i="1" s="1"/>
  <c r="N1854" i="1"/>
  <c r="P1854" i="1" s="1"/>
  <c r="N1855" i="1"/>
  <c r="P1855" i="1" s="1"/>
  <c r="N1856" i="1"/>
  <c r="P1856" i="1" s="1"/>
  <c r="N1857" i="1"/>
  <c r="P1857" i="1" s="1"/>
  <c r="Q1857" i="1" s="1"/>
  <c r="R1857" i="1" s="1"/>
  <c r="N1858" i="1"/>
  <c r="P1858" i="1" s="1"/>
  <c r="N1859" i="1"/>
  <c r="P1859" i="1" s="1"/>
  <c r="N1860" i="1"/>
  <c r="P1860" i="1" s="1"/>
  <c r="N1861" i="1"/>
  <c r="P1861" i="1" s="1"/>
  <c r="N1862" i="1"/>
  <c r="P1862" i="1" s="1"/>
  <c r="N1863" i="1"/>
  <c r="P1863" i="1" s="1"/>
  <c r="N1864" i="1"/>
  <c r="P1864" i="1" s="1"/>
  <c r="N1865" i="1"/>
  <c r="P1865" i="1" s="1"/>
  <c r="Q1865" i="1" s="1"/>
  <c r="R1865" i="1" s="1"/>
  <c r="N1866" i="1"/>
  <c r="P1866" i="1" s="1"/>
  <c r="N1867" i="1"/>
  <c r="P1867" i="1" s="1"/>
  <c r="N1868" i="1"/>
  <c r="P1868" i="1" s="1"/>
  <c r="N1869" i="1"/>
  <c r="P1869" i="1" s="1"/>
  <c r="N1870" i="1"/>
  <c r="P1870" i="1" s="1"/>
  <c r="N1871" i="1"/>
  <c r="P1871" i="1" s="1"/>
  <c r="N1872" i="1"/>
  <c r="P1872" i="1" s="1"/>
  <c r="N1873" i="1"/>
  <c r="P1873" i="1" s="1"/>
  <c r="Q1873" i="1" s="1"/>
  <c r="R1873" i="1" s="1"/>
  <c r="N1874" i="1"/>
  <c r="P1874" i="1" s="1"/>
  <c r="N1875" i="1"/>
  <c r="P1875" i="1" s="1"/>
  <c r="N1876" i="1"/>
  <c r="P1876" i="1" s="1"/>
  <c r="N1877" i="1"/>
  <c r="P1877" i="1" s="1"/>
  <c r="N1878" i="1"/>
  <c r="P1878" i="1" s="1"/>
  <c r="N1879" i="1"/>
  <c r="P1879" i="1" s="1"/>
  <c r="N1880" i="1"/>
  <c r="P1880" i="1" s="1"/>
  <c r="N1881" i="1"/>
  <c r="P1881" i="1" s="1"/>
  <c r="Q1881" i="1" s="1"/>
  <c r="R1881" i="1" s="1"/>
  <c r="N1882" i="1"/>
  <c r="P1882" i="1" s="1"/>
  <c r="N1883" i="1"/>
  <c r="P1883" i="1" s="1"/>
  <c r="N1884" i="1"/>
  <c r="P1884" i="1" s="1"/>
  <c r="N1885" i="1"/>
  <c r="P1885" i="1" s="1"/>
  <c r="N1886" i="1"/>
  <c r="P1886" i="1" s="1"/>
  <c r="N1887" i="1"/>
  <c r="P1887" i="1" s="1"/>
  <c r="N1888" i="1"/>
  <c r="P1888" i="1" s="1"/>
  <c r="N1889" i="1"/>
  <c r="P1889" i="1" s="1"/>
  <c r="Q1889" i="1" s="1"/>
  <c r="R1889" i="1" s="1"/>
  <c r="N1890" i="1"/>
  <c r="P1890" i="1" s="1"/>
  <c r="N1891" i="1"/>
  <c r="P1891" i="1" s="1"/>
  <c r="N1892" i="1"/>
  <c r="P1892" i="1" s="1"/>
  <c r="N1893" i="1"/>
  <c r="P1893" i="1" s="1"/>
  <c r="N1894" i="1"/>
  <c r="P1894" i="1" s="1"/>
  <c r="N1895" i="1"/>
  <c r="P1895" i="1" s="1"/>
  <c r="N1896" i="1"/>
  <c r="P1896" i="1" s="1"/>
  <c r="N1897" i="1"/>
  <c r="P1897" i="1" s="1"/>
  <c r="Q1897" i="1" s="1"/>
  <c r="R1897" i="1" s="1"/>
  <c r="N1898" i="1"/>
  <c r="P1898" i="1" s="1"/>
  <c r="N1899" i="1"/>
  <c r="P1899" i="1" s="1"/>
  <c r="N1900" i="1"/>
  <c r="P1900" i="1" s="1"/>
  <c r="N1901" i="1"/>
  <c r="P1901" i="1" s="1"/>
  <c r="N1902" i="1"/>
  <c r="P1902" i="1" s="1"/>
  <c r="N1903" i="1"/>
  <c r="P1903" i="1" s="1"/>
  <c r="N1904" i="1"/>
  <c r="P1904" i="1" s="1"/>
  <c r="N1905" i="1"/>
  <c r="P1905" i="1" s="1"/>
  <c r="Q1905" i="1" s="1"/>
  <c r="R1905" i="1" s="1"/>
  <c r="N1906" i="1"/>
  <c r="P1906" i="1" s="1"/>
  <c r="N1907" i="1"/>
  <c r="P1907" i="1" s="1"/>
  <c r="N1908" i="1"/>
  <c r="P1908" i="1" s="1"/>
  <c r="N1909" i="1"/>
  <c r="P1909" i="1" s="1"/>
  <c r="N1910" i="1"/>
  <c r="P1910" i="1" s="1"/>
  <c r="N1911" i="1"/>
  <c r="P1911" i="1" s="1"/>
  <c r="N1912" i="1"/>
  <c r="P1912" i="1" s="1"/>
  <c r="N1913" i="1"/>
  <c r="P1913" i="1" s="1"/>
  <c r="Q1913" i="1" s="1"/>
  <c r="R1913" i="1" s="1"/>
  <c r="N1914" i="1"/>
  <c r="P1914" i="1" s="1"/>
  <c r="N1915" i="1"/>
  <c r="P1915" i="1" s="1"/>
  <c r="N1916" i="1"/>
  <c r="P1916" i="1" s="1"/>
  <c r="N1917" i="1"/>
  <c r="P1917" i="1" s="1"/>
  <c r="N1918" i="1"/>
  <c r="P1918" i="1" s="1"/>
  <c r="N1919" i="1"/>
  <c r="P1919" i="1" s="1"/>
  <c r="N1920" i="1"/>
  <c r="P1920" i="1" s="1"/>
  <c r="N1921" i="1"/>
  <c r="P1921" i="1" s="1"/>
  <c r="Q1921" i="1" s="1"/>
  <c r="R1921" i="1" s="1"/>
  <c r="N1922" i="1"/>
  <c r="P1922" i="1" s="1"/>
  <c r="N1923" i="1"/>
  <c r="P1923" i="1" s="1"/>
  <c r="N1924" i="1"/>
  <c r="P1924" i="1" s="1"/>
  <c r="N1925" i="1"/>
  <c r="P1925" i="1" s="1"/>
  <c r="N1926" i="1"/>
  <c r="P1926" i="1" s="1"/>
  <c r="N1927" i="1"/>
  <c r="P1927" i="1" s="1"/>
  <c r="N1928" i="1"/>
  <c r="P1928" i="1" s="1"/>
  <c r="N1929" i="1"/>
  <c r="P1929" i="1" s="1"/>
  <c r="Q1929" i="1" s="1"/>
  <c r="R1929" i="1" s="1"/>
  <c r="N1930" i="1"/>
  <c r="P1930" i="1" s="1"/>
  <c r="N1931" i="1"/>
  <c r="P1931" i="1" s="1"/>
  <c r="N1932" i="1"/>
  <c r="P1932" i="1" s="1"/>
  <c r="N1933" i="1"/>
  <c r="P1933" i="1" s="1"/>
  <c r="N1934" i="1"/>
  <c r="P1934" i="1" s="1"/>
  <c r="N1935" i="1"/>
  <c r="P1935" i="1" s="1"/>
  <c r="N1936" i="1"/>
  <c r="P1936" i="1" s="1"/>
  <c r="N1937" i="1"/>
  <c r="P1937" i="1" s="1"/>
  <c r="Q1937" i="1" s="1"/>
  <c r="R1937" i="1" s="1"/>
  <c r="N1938" i="1"/>
  <c r="P1938" i="1" s="1"/>
  <c r="N1939" i="1"/>
  <c r="P1939" i="1" s="1"/>
  <c r="N1940" i="1"/>
  <c r="P1940" i="1" s="1"/>
  <c r="N1941" i="1"/>
  <c r="P1941" i="1" s="1"/>
  <c r="N1942" i="1"/>
  <c r="P1942" i="1" s="1"/>
  <c r="N1943" i="1"/>
  <c r="P1943" i="1" s="1"/>
  <c r="N1944" i="1"/>
  <c r="P1944" i="1" s="1"/>
  <c r="N1945" i="1"/>
  <c r="P1945" i="1" s="1"/>
  <c r="Q1945" i="1" s="1"/>
  <c r="R1945" i="1" s="1"/>
  <c r="N1946" i="1"/>
  <c r="P1946" i="1" s="1"/>
  <c r="N1947" i="1"/>
  <c r="P1947" i="1" s="1"/>
  <c r="N1948" i="1"/>
  <c r="P1948" i="1" s="1"/>
  <c r="N1949" i="1"/>
  <c r="P1949" i="1" s="1"/>
  <c r="N1950" i="1"/>
  <c r="P1950" i="1" s="1"/>
  <c r="N1951" i="1"/>
  <c r="P1951" i="1" s="1"/>
  <c r="N1952" i="1"/>
  <c r="P1952" i="1" s="1"/>
  <c r="N1953" i="1"/>
  <c r="P1953" i="1" s="1"/>
  <c r="Q1953" i="1" s="1"/>
  <c r="R1953" i="1" s="1"/>
  <c r="N1954" i="1"/>
  <c r="P1954" i="1" s="1"/>
  <c r="N1955" i="1"/>
  <c r="P1955" i="1" s="1"/>
  <c r="N1956" i="1"/>
  <c r="P1956" i="1" s="1"/>
  <c r="N1957" i="1"/>
  <c r="P1957" i="1" s="1"/>
  <c r="N1958" i="1"/>
  <c r="P1958" i="1" s="1"/>
  <c r="N1959" i="1"/>
  <c r="P1959" i="1" s="1"/>
  <c r="N1960" i="1"/>
  <c r="P1960" i="1" s="1"/>
  <c r="N1961" i="1"/>
  <c r="P1961" i="1" s="1"/>
  <c r="Q1961" i="1" s="1"/>
  <c r="R1961" i="1" s="1"/>
  <c r="N1962" i="1"/>
  <c r="P1962" i="1" s="1"/>
  <c r="N1963" i="1"/>
  <c r="P1963" i="1" s="1"/>
  <c r="N1964" i="1"/>
  <c r="P1964" i="1" s="1"/>
  <c r="N1965" i="1"/>
  <c r="P1965" i="1" s="1"/>
  <c r="N1966" i="1"/>
  <c r="P1966" i="1" s="1"/>
  <c r="N1967" i="1"/>
  <c r="P1967" i="1" s="1"/>
  <c r="N1968" i="1"/>
  <c r="P1968" i="1" s="1"/>
  <c r="N1969" i="1"/>
  <c r="P1969" i="1" s="1"/>
  <c r="Q1969" i="1" s="1"/>
  <c r="R1969" i="1" s="1"/>
  <c r="N1970" i="1"/>
  <c r="P1970" i="1" s="1"/>
  <c r="N1971" i="1"/>
  <c r="P1971" i="1" s="1"/>
  <c r="N1972" i="1"/>
  <c r="P1972" i="1" s="1"/>
  <c r="N1973" i="1"/>
  <c r="P1973" i="1" s="1"/>
  <c r="N1974" i="1"/>
  <c r="P1974" i="1" s="1"/>
  <c r="N1975" i="1"/>
  <c r="P1975" i="1" s="1"/>
  <c r="N1976" i="1"/>
  <c r="P1976" i="1" s="1"/>
  <c r="N1977" i="1"/>
  <c r="P1977" i="1" s="1"/>
  <c r="Q1977" i="1" s="1"/>
  <c r="R1977" i="1" s="1"/>
  <c r="N1978" i="1"/>
  <c r="P1978" i="1" s="1"/>
  <c r="N1979" i="1"/>
  <c r="P1979" i="1" s="1"/>
  <c r="N1980" i="1"/>
  <c r="P1980" i="1" s="1"/>
  <c r="N1981" i="1"/>
  <c r="P1981" i="1" s="1"/>
  <c r="N1982" i="1"/>
  <c r="P1982" i="1" s="1"/>
  <c r="N1983" i="1"/>
  <c r="P1983" i="1" s="1"/>
  <c r="N1984" i="1"/>
  <c r="P1984" i="1" s="1"/>
  <c r="N1985" i="1"/>
  <c r="P1985" i="1" s="1"/>
  <c r="Q1985" i="1" s="1"/>
  <c r="R1985" i="1" s="1"/>
  <c r="N1986" i="1"/>
  <c r="P1986" i="1" s="1"/>
  <c r="N1987" i="1"/>
  <c r="P1987" i="1" s="1"/>
  <c r="N1988" i="1"/>
  <c r="P1988" i="1" s="1"/>
  <c r="N1989" i="1"/>
  <c r="P1989" i="1" s="1"/>
  <c r="N1990" i="1"/>
  <c r="P1990" i="1" s="1"/>
  <c r="N1991" i="1"/>
  <c r="P1991" i="1" s="1"/>
  <c r="N1992" i="1"/>
  <c r="P1992" i="1" s="1"/>
  <c r="N1993" i="1"/>
  <c r="P1993" i="1" s="1"/>
  <c r="Q1993" i="1" s="1"/>
  <c r="R1993" i="1" s="1"/>
  <c r="N1994" i="1"/>
  <c r="P1994" i="1" s="1"/>
  <c r="N1995" i="1"/>
  <c r="P1995" i="1" s="1"/>
  <c r="N1996" i="1"/>
  <c r="P1996" i="1" s="1"/>
  <c r="N1997" i="1"/>
  <c r="P1997" i="1" s="1"/>
  <c r="N1998" i="1"/>
  <c r="P1998" i="1" s="1"/>
  <c r="N1999" i="1"/>
  <c r="P1999" i="1" s="1"/>
  <c r="N2000" i="1"/>
  <c r="P2000" i="1" s="1"/>
  <c r="N2001" i="1"/>
  <c r="P2001" i="1" s="1"/>
  <c r="Q2001" i="1" s="1"/>
  <c r="R2001" i="1" s="1"/>
  <c r="N2002" i="1"/>
  <c r="P2002" i="1" s="1"/>
  <c r="N2003" i="1"/>
  <c r="P2003" i="1" s="1"/>
  <c r="N2004" i="1"/>
  <c r="P2004" i="1" s="1"/>
  <c r="N2005" i="1"/>
  <c r="P2005" i="1" s="1"/>
  <c r="N2006" i="1"/>
  <c r="P2006" i="1" s="1"/>
  <c r="N2007" i="1"/>
  <c r="P2007" i="1" s="1"/>
  <c r="N2008" i="1"/>
  <c r="P2008" i="1" s="1"/>
  <c r="N2009" i="1"/>
  <c r="P2009" i="1" s="1"/>
  <c r="Q2009" i="1" s="1"/>
  <c r="R2009" i="1" s="1"/>
  <c r="N2010" i="1"/>
  <c r="P2010" i="1" s="1"/>
  <c r="N2011" i="1"/>
  <c r="P2011" i="1" s="1"/>
  <c r="N2012" i="1"/>
  <c r="P2012" i="1" s="1"/>
  <c r="N2013" i="1"/>
  <c r="P2013" i="1" s="1"/>
  <c r="N2014" i="1"/>
  <c r="P2014" i="1" s="1"/>
  <c r="N2015" i="1"/>
  <c r="P2015" i="1" s="1"/>
  <c r="N2016" i="1"/>
  <c r="P2016" i="1" s="1"/>
  <c r="N2017" i="1"/>
  <c r="P2017" i="1" s="1"/>
  <c r="Q2017" i="1" s="1"/>
  <c r="R2017" i="1" s="1"/>
  <c r="N2018" i="1"/>
  <c r="P2018" i="1" s="1"/>
  <c r="N2019" i="1"/>
  <c r="P2019" i="1" s="1"/>
  <c r="N2020" i="1"/>
  <c r="P2020" i="1" s="1"/>
  <c r="N2021" i="1"/>
  <c r="P2021" i="1" s="1"/>
  <c r="N2022" i="1"/>
  <c r="P2022" i="1" s="1"/>
  <c r="N2023" i="1"/>
  <c r="P2023" i="1" s="1"/>
  <c r="N2024" i="1"/>
  <c r="P2024" i="1" s="1"/>
  <c r="N2025" i="1"/>
  <c r="P2025" i="1" s="1"/>
  <c r="Q2025" i="1" s="1"/>
  <c r="R2025" i="1" s="1"/>
  <c r="N2026" i="1"/>
  <c r="P2026" i="1" s="1"/>
  <c r="N2027" i="1"/>
  <c r="P2027" i="1" s="1"/>
  <c r="N2028" i="1"/>
  <c r="P2028" i="1" s="1"/>
  <c r="N2029" i="1"/>
  <c r="P2029" i="1" s="1"/>
  <c r="N2030" i="1"/>
  <c r="P2030" i="1" s="1"/>
  <c r="N2031" i="1"/>
  <c r="P2031" i="1" s="1"/>
  <c r="N2032" i="1"/>
  <c r="P2032" i="1" s="1"/>
  <c r="N2033" i="1"/>
  <c r="P2033" i="1" s="1"/>
  <c r="Q2033" i="1" s="1"/>
  <c r="R2033" i="1" s="1"/>
  <c r="N2034" i="1"/>
  <c r="P2034" i="1" s="1"/>
  <c r="N2035" i="1"/>
  <c r="P2035" i="1" s="1"/>
  <c r="N2036" i="1"/>
  <c r="P2036" i="1" s="1"/>
  <c r="N2037" i="1"/>
  <c r="P2037" i="1" s="1"/>
  <c r="N2038" i="1"/>
  <c r="P2038" i="1" s="1"/>
  <c r="N2039" i="1"/>
  <c r="P2039" i="1" s="1"/>
  <c r="N2040" i="1"/>
  <c r="P2040" i="1" s="1"/>
  <c r="N2041" i="1"/>
  <c r="P2041" i="1" s="1"/>
  <c r="Q2041" i="1" s="1"/>
  <c r="R2041" i="1" s="1"/>
  <c r="N2042" i="1"/>
  <c r="P2042" i="1" s="1"/>
  <c r="N2043" i="1"/>
  <c r="P2043" i="1" s="1"/>
  <c r="N2044" i="1"/>
  <c r="P2044" i="1" s="1"/>
  <c r="N2045" i="1"/>
  <c r="P2045" i="1" s="1"/>
  <c r="N2046" i="1"/>
  <c r="P2046" i="1" s="1"/>
  <c r="N2047" i="1"/>
  <c r="P2047" i="1" s="1"/>
  <c r="N2048" i="1"/>
  <c r="P2048" i="1" s="1"/>
  <c r="N2049" i="1"/>
  <c r="P2049" i="1" s="1"/>
  <c r="Q2049" i="1" s="1"/>
  <c r="R2049" i="1" s="1"/>
  <c r="N2050" i="1"/>
  <c r="P2050" i="1" s="1"/>
  <c r="N2051" i="1"/>
  <c r="P2051" i="1" s="1"/>
  <c r="N2052" i="1"/>
  <c r="P2052" i="1" s="1"/>
  <c r="N2053" i="1"/>
  <c r="P2053" i="1" s="1"/>
  <c r="N2054" i="1"/>
  <c r="P2054" i="1" s="1"/>
  <c r="N2055" i="1"/>
  <c r="P2055" i="1" s="1"/>
  <c r="N2056" i="1"/>
  <c r="P2056" i="1" s="1"/>
  <c r="N2057" i="1"/>
  <c r="P2057" i="1" s="1"/>
  <c r="Q2057" i="1" s="1"/>
  <c r="R2057" i="1" s="1"/>
  <c r="N2058" i="1"/>
  <c r="P2058" i="1" s="1"/>
  <c r="N2059" i="1"/>
  <c r="P2059" i="1" s="1"/>
  <c r="N2060" i="1"/>
  <c r="P2060" i="1" s="1"/>
  <c r="N2061" i="1"/>
  <c r="P2061" i="1" s="1"/>
  <c r="N2062" i="1"/>
  <c r="P2062" i="1" s="1"/>
  <c r="N2063" i="1"/>
  <c r="P2063" i="1" s="1"/>
  <c r="N2064" i="1"/>
  <c r="P2064" i="1" s="1"/>
  <c r="N2065" i="1"/>
  <c r="P2065" i="1" s="1"/>
  <c r="Q2065" i="1" s="1"/>
  <c r="R2065" i="1" s="1"/>
  <c r="N2066" i="1"/>
  <c r="P2066" i="1" s="1"/>
  <c r="N2067" i="1"/>
  <c r="P2067" i="1" s="1"/>
  <c r="N2068" i="1"/>
  <c r="P2068" i="1" s="1"/>
  <c r="N2069" i="1"/>
  <c r="P2069" i="1" s="1"/>
  <c r="N2070" i="1"/>
  <c r="P2070" i="1" s="1"/>
  <c r="N2071" i="1"/>
  <c r="P2071" i="1" s="1"/>
  <c r="N2072" i="1"/>
  <c r="P2072" i="1" s="1"/>
  <c r="N2073" i="1"/>
  <c r="P2073" i="1" s="1"/>
  <c r="Q2073" i="1" s="1"/>
  <c r="R2073" i="1" s="1"/>
  <c r="N2074" i="1"/>
  <c r="P2074" i="1" s="1"/>
  <c r="N2075" i="1"/>
  <c r="P2075" i="1" s="1"/>
  <c r="N2076" i="1"/>
  <c r="P2076" i="1" s="1"/>
  <c r="N2077" i="1"/>
  <c r="P2077" i="1" s="1"/>
  <c r="N2078" i="1"/>
  <c r="P2078" i="1" s="1"/>
  <c r="N2079" i="1"/>
  <c r="P2079" i="1" s="1"/>
  <c r="N2080" i="1"/>
  <c r="P2080" i="1" s="1"/>
  <c r="N2081" i="1"/>
  <c r="P2081" i="1" s="1"/>
  <c r="Q2081" i="1" s="1"/>
  <c r="R2081" i="1" s="1"/>
  <c r="N2082" i="1"/>
  <c r="P2082" i="1" s="1"/>
  <c r="N2083" i="1"/>
  <c r="P2083" i="1" s="1"/>
  <c r="N2084" i="1"/>
  <c r="P2084" i="1" s="1"/>
  <c r="N2085" i="1"/>
  <c r="P2085" i="1" s="1"/>
  <c r="N2086" i="1"/>
  <c r="P2086" i="1" s="1"/>
  <c r="N2087" i="1"/>
  <c r="P2087" i="1" s="1"/>
  <c r="N2088" i="1"/>
  <c r="P2088" i="1" s="1"/>
  <c r="N2089" i="1"/>
  <c r="P2089" i="1" s="1"/>
  <c r="Q2089" i="1" s="1"/>
  <c r="R2089" i="1" s="1"/>
  <c r="N2090" i="1"/>
  <c r="P2090" i="1" s="1"/>
  <c r="N2091" i="1"/>
  <c r="P2091" i="1" s="1"/>
  <c r="N2092" i="1"/>
  <c r="P2092" i="1" s="1"/>
  <c r="N2093" i="1"/>
  <c r="P2093" i="1" s="1"/>
  <c r="N2094" i="1"/>
  <c r="P2094" i="1" s="1"/>
  <c r="N2095" i="1"/>
  <c r="P2095" i="1" s="1"/>
  <c r="N2096" i="1"/>
  <c r="P2096" i="1" s="1"/>
  <c r="N2097" i="1"/>
  <c r="P2097" i="1" s="1"/>
  <c r="Q2097" i="1" s="1"/>
  <c r="R2097" i="1" s="1"/>
  <c r="N2098" i="1"/>
  <c r="P2098" i="1" s="1"/>
  <c r="N2099" i="1"/>
  <c r="P2099" i="1" s="1"/>
  <c r="N2100" i="1"/>
  <c r="P2100" i="1" s="1"/>
  <c r="N2101" i="1"/>
  <c r="P2101" i="1" s="1"/>
  <c r="N2102" i="1"/>
  <c r="P2102" i="1" s="1"/>
  <c r="N2103" i="1"/>
  <c r="P2103" i="1" s="1"/>
  <c r="N2104" i="1"/>
  <c r="P2104" i="1" s="1"/>
  <c r="N2105" i="1"/>
  <c r="P2105" i="1" s="1"/>
  <c r="Q2105" i="1" s="1"/>
  <c r="R2105" i="1" s="1"/>
  <c r="N2106" i="1"/>
  <c r="P2106" i="1" s="1"/>
  <c r="N2107" i="1"/>
  <c r="P2107" i="1" s="1"/>
  <c r="N2108" i="1"/>
  <c r="P2108" i="1" s="1"/>
  <c r="N2109" i="1"/>
  <c r="P2109" i="1" s="1"/>
  <c r="N2110" i="1"/>
  <c r="P2110" i="1" s="1"/>
  <c r="N2111" i="1"/>
  <c r="P2111" i="1" s="1"/>
  <c r="N2112" i="1"/>
  <c r="P2112" i="1" s="1"/>
  <c r="N2113" i="1"/>
  <c r="P2113" i="1" s="1"/>
  <c r="Q2113" i="1" s="1"/>
  <c r="R2113" i="1" s="1"/>
  <c r="N2114" i="1"/>
  <c r="P2114" i="1" s="1"/>
  <c r="N2115" i="1"/>
  <c r="P2115" i="1" s="1"/>
  <c r="N2116" i="1"/>
  <c r="P2116" i="1" s="1"/>
  <c r="N2117" i="1"/>
  <c r="P2117" i="1" s="1"/>
  <c r="N2118" i="1"/>
  <c r="P2118" i="1" s="1"/>
  <c r="N2119" i="1"/>
  <c r="P2119" i="1" s="1"/>
  <c r="N2120" i="1"/>
  <c r="P2120" i="1" s="1"/>
  <c r="N2121" i="1"/>
  <c r="P2121" i="1" s="1"/>
  <c r="Q2121" i="1" s="1"/>
  <c r="R2121" i="1" s="1"/>
  <c r="N2122" i="1"/>
  <c r="P2122" i="1" s="1"/>
  <c r="N2123" i="1"/>
  <c r="P2123" i="1" s="1"/>
  <c r="N2124" i="1"/>
  <c r="P2124" i="1" s="1"/>
  <c r="N2125" i="1"/>
  <c r="P2125" i="1" s="1"/>
  <c r="N2126" i="1"/>
  <c r="P2126" i="1" s="1"/>
  <c r="N2127" i="1"/>
  <c r="P2127" i="1" s="1"/>
  <c r="N2128" i="1"/>
  <c r="P2128" i="1" s="1"/>
  <c r="N2129" i="1"/>
  <c r="P2129" i="1" s="1"/>
  <c r="Q2129" i="1" s="1"/>
  <c r="R2129" i="1" s="1"/>
  <c r="N2130" i="1"/>
  <c r="P2130" i="1" s="1"/>
  <c r="N2131" i="1"/>
  <c r="P2131" i="1" s="1"/>
  <c r="N2132" i="1"/>
  <c r="P2132" i="1" s="1"/>
  <c r="N2133" i="1"/>
  <c r="P2133" i="1" s="1"/>
  <c r="N2134" i="1"/>
  <c r="P2134" i="1" s="1"/>
  <c r="N2135" i="1"/>
  <c r="P2135" i="1" s="1"/>
  <c r="N2136" i="1"/>
  <c r="P2136" i="1" s="1"/>
  <c r="N2137" i="1"/>
  <c r="P2137" i="1" s="1"/>
  <c r="Q2137" i="1" s="1"/>
  <c r="R2137" i="1" s="1"/>
  <c r="N2138" i="1"/>
  <c r="P2138" i="1" s="1"/>
  <c r="N2139" i="1"/>
  <c r="P2139" i="1" s="1"/>
  <c r="N2140" i="1"/>
  <c r="P2140" i="1" s="1"/>
  <c r="N2141" i="1"/>
  <c r="P2141" i="1" s="1"/>
  <c r="N2142" i="1"/>
  <c r="P2142" i="1" s="1"/>
  <c r="N2143" i="1"/>
  <c r="P2143" i="1" s="1"/>
  <c r="N2144" i="1"/>
  <c r="P2144" i="1" s="1"/>
  <c r="N2145" i="1"/>
  <c r="P2145" i="1" s="1"/>
  <c r="Q2145" i="1" s="1"/>
  <c r="R2145" i="1" s="1"/>
  <c r="N2146" i="1"/>
  <c r="P2146" i="1" s="1"/>
  <c r="N2147" i="1"/>
  <c r="P2147" i="1" s="1"/>
  <c r="N2148" i="1"/>
  <c r="P2148" i="1" s="1"/>
  <c r="N2149" i="1"/>
  <c r="P2149" i="1" s="1"/>
  <c r="N2150" i="1"/>
  <c r="P2150" i="1" s="1"/>
  <c r="N2151" i="1"/>
  <c r="P2151" i="1" s="1"/>
  <c r="N2152" i="1"/>
  <c r="P2152" i="1" s="1"/>
  <c r="N2153" i="1"/>
  <c r="P2153" i="1" s="1"/>
  <c r="Q2153" i="1" s="1"/>
  <c r="R2153" i="1" s="1"/>
  <c r="N2154" i="1"/>
  <c r="P2154" i="1" s="1"/>
  <c r="N2155" i="1"/>
  <c r="P2155" i="1" s="1"/>
  <c r="N2156" i="1"/>
  <c r="P2156" i="1" s="1"/>
  <c r="N2157" i="1"/>
  <c r="P2157" i="1" s="1"/>
  <c r="N2158" i="1"/>
  <c r="P2158" i="1" s="1"/>
  <c r="N2159" i="1"/>
  <c r="P2159" i="1" s="1"/>
  <c r="N2160" i="1"/>
  <c r="P2160" i="1" s="1"/>
  <c r="N2161" i="1"/>
  <c r="P2161" i="1" s="1"/>
  <c r="Q2161" i="1" s="1"/>
  <c r="R2161" i="1" s="1"/>
  <c r="N2162" i="1"/>
  <c r="P2162" i="1" s="1"/>
  <c r="N2163" i="1"/>
  <c r="P2163" i="1" s="1"/>
  <c r="N2164" i="1"/>
  <c r="P2164" i="1" s="1"/>
  <c r="N2165" i="1"/>
  <c r="P2165" i="1" s="1"/>
  <c r="N2166" i="1"/>
  <c r="P2166" i="1" s="1"/>
  <c r="N2167" i="1"/>
  <c r="P2167" i="1" s="1"/>
  <c r="N2168" i="1"/>
  <c r="P2168" i="1" s="1"/>
  <c r="N2169" i="1"/>
  <c r="P2169" i="1" s="1"/>
  <c r="Q2169" i="1" s="1"/>
  <c r="R2169" i="1" s="1"/>
  <c r="N2170" i="1"/>
  <c r="P2170" i="1" s="1"/>
  <c r="N2171" i="1"/>
  <c r="P2171" i="1" s="1"/>
  <c r="N2172" i="1"/>
  <c r="P2172" i="1" s="1"/>
  <c r="N2173" i="1"/>
  <c r="P2173" i="1" s="1"/>
  <c r="N2174" i="1"/>
  <c r="P2174" i="1" s="1"/>
  <c r="N2175" i="1"/>
  <c r="P2175" i="1" s="1"/>
  <c r="N2176" i="1"/>
  <c r="P2176" i="1" s="1"/>
  <c r="N2177" i="1"/>
  <c r="P2177" i="1" s="1"/>
  <c r="Q2177" i="1" s="1"/>
  <c r="R2177" i="1" s="1"/>
  <c r="N2178" i="1"/>
  <c r="P2178" i="1" s="1"/>
  <c r="N2179" i="1"/>
  <c r="P2179" i="1" s="1"/>
  <c r="N2180" i="1"/>
  <c r="P2180" i="1" s="1"/>
  <c r="N2181" i="1"/>
  <c r="P2181" i="1" s="1"/>
  <c r="N2182" i="1"/>
  <c r="P2182" i="1" s="1"/>
  <c r="N2183" i="1"/>
  <c r="P2183" i="1" s="1"/>
  <c r="N2184" i="1"/>
  <c r="P2184" i="1" s="1"/>
  <c r="N2185" i="1"/>
  <c r="P2185" i="1" s="1"/>
  <c r="Q2185" i="1" s="1"/>
  <c r="R2185" i="1" s="1"/>
  <c r="N2186" i="1"/>
  <c r="P2186" i="1" s="1"/>
  <c r="N2187" i="1"/>
  <c r="P2187" i="1" s="1"/>
  <c r="N2188" i="1"/>
  <c r="P2188" i="1" s="1"/>
  <c r="N2189" i="1"/>
  <c r="P2189" i="1" s="1"/>
  <c r="N2190" i="1"/>
  <c r="P2190" i="1" s="1"/>
  <c r="N2191" i="1"/>
  <c r="P2191" i="1" s="1"/>
  <c r="N2192" i="1"/>
  <c r="P2192" i="1" s="1"/>
  <c r="N2193" i="1"/>
  <c r="P2193" i="1" s="1"/>
  <c r="Q2193" i="1" s="1"/>
  <c r="R2193" i="1" s="1"/>
  <c r="N2194" i="1"/>
  <c r="P2194" i="1" s="1"/>
  <c r="N2195" i="1"/>
  <c r="P2195" i="1" s="1"/>
  <c r="N2196" i="1"/>
  <c r="P2196" i="1" s="1"/>
  <c r="N2197" i="1"/>
  <c r="P2197" i="1" s="1"/>
  <c r="N2198" i="1"/>
  <c r="P2198" i="1" s="1"/>
  <c r="N2199" i="1"/>
  <c r="P2199" i="1" s="1"/>
  <c r="N2200" i="1"/>
  <c r="P2200" i="1" s="1"/>
  <c r="N2201" i="1"/>
  <c r="P2201" i="1" s="1"/>
  <c r="Q2201" i="1" s="1"/>
  <c r="R2201" i="1" s="1"/>
  <c r="N2202" i="1"/>
  <c r="P2202" i="1" s="1"/>
  <c r="N2203" i="1"/>
  <c r="P2203" i="1" s="1"/>
  <c r="N2204" i="1"/>
  <c r="P2204" i="1" s="1"/>
  <c r="N2205" i="1"/>
  <c r="P2205" i="1" s="1"/>
  <c r="N2206" i="1"/>
  <c r="P2206" i="1" s="1"/>
  <c r="N2207" i="1"/>
  <c r="P2207" i="1" s="1"/>
  <c r="N2208" i="1"/>
  <c r="P2208" i="1" s="1"/>
  <c r="N2209" i="1"/>
  <c r="P2209" i="1" s="1"/>
  <c r="Q2209" i="1" s="1"/>
  <c r="R2209" i="1" s="1"/>
  <c r="N2210" i="1"/>
  <c r="P2210" i="1" s="1"/>
  <c r="N2211" i="1"/>
  <c r="P2211" i="1" s="1"/>
  <c r="N2212" i="1"/>
  <c r="P2212" i="1" s="1"/>
  <c r="N2213" i="1"/>
  <c r="P2213" i="1" s="1"/>
  <c r="N2214" i="1"/>
  <c r="P2214" i="1" s="1"/>
  <c r="N2215" i="1"/>
  <c r="P2215" i="1" s="1"/>
  <c r="N2216" i="1"/>
  <c r="P2216" i="1" s="1"/>
  <c r="N2217" i="1"/>
  <c r="P2217" i="1" s="1"/>
  <c r="Q2217" i="1" s="1"/>
  <c r="R2217" i="1" s="1"/>
  <c r="N2218" i="1"/>
  <c r="P2218" i="1" s="1"/>
  <c r="N2219" i="1"/>
  <c r="P2219" i="1" s="1"/>
  <c r="N2220" i="1"/>
  <c r="P2220" i="1" s="1"/>
  <c r="N2221" i="1"/>
  <c r="P2221" i="1" s="1"/>
  <c r="N2222" i="1"/>
  <c r="P2222" i="1" s="1"/>
  <c r="N2223" i="1"/>
  <c r="P2223" i="1" s="1"/>
  <c r="N2224" i="1"/>
  <c r="P2224" i="1" s="1"/>
  <c r="N2225" i="1"/>
  <c r="P2225" i="1" s="1"/>
  <c r="Q2225" i="1" s="1"/>
  <c r="R2225" i="1" s="1"/>
  <c r="N2226" i="1"/>
  <c r="P2226" i="1" s="1"/>
  <c r="N2227" i="1"/>
  <c r="P2227" i="1" s="1"/>
  <c r="N2228" i="1"/>
  <c r="P2228" i="1" s="1"/>
  <c r="N2229" i="1"/>
  <c r="P2229" i="1" s="1"/>
  <c r="N2230" i="1"/>
  <c r="P2230" i="1" s="1"/>
  <c r="N2231" i="1"/>
  <c r="P2231" i="1" s="1"/>
  <c r="N2232" i="1"/>
  <c r="P2232" i="1" s="1"/>
  <c r="N2233" i="1"/>
  <c r="P2233" i="1" s="1"/>
  <c r="Q2233" i="1" s="1"/>
  <c r="R2233" i="1" s="1"/>
  <c r="N2234" i="1"/>
  <c r="P2234" i="1" s="1"/>
  <c r="N2235" i="1"/>
  <c r="P2235" i="1" s="1"/>
  <c r="N2236" i="1"/>
  <c r="P2236" i="1" s="1"/>
  <c r="N2237" i="1"/>
  <c r="P2237" i="1" s="1"/>
  <c r="N2238" i="1"/>
  <c r="P2238" i="1" s="1"/>
  <c r="N2239" i="1"/>
  <c r="P2239" i="1" s="1"/>
  <c r="N2240" i="1"/>
  <c r="P2240" i="1" s="1"/>
  <c r="N2241" i="1"/>
  <c r="P2241" i="1" s="1"/>
  <c r="Q2241" i="1" s="1"/>
  <c r="R2241" i="1" s="1"/>
  <c r="N2242" i="1"/>
  <c r="P2242" i="1" s="1"/>
  <c r="N2243" i="1"/>
  <c r="P2243" i="1" s="1"/>
  <c r="N2244" i="1"/>
  <c r="P2244" i="1" s="1"/>
  <c r="N2245" i="1"/>
  <c r="P2245" i="1" s="1"/>
  <c r="N2246" i="1"/>
  <c r="P2246" i="1" s="1"/>
  <c r="N2247" i="1"/>
  <c r="P2247" i="1" s="1"/>
  <c r="N2248" i="1"/>
  <c r="P2248" i="1" s="1"/>
  <c r="N2249" i="1"/>
  <c r="P2249" i="1" s="1"/>
  <c r="Q2249" i="1" s="1"/>
  <c r="R2249" i="1" s="1"/>
  <c r="N2250" i="1"/>
  <c r="P2250" i="1" s="1"/>
  <c r="N2251" i="1"/>
  <c r="P2251" i="1" s="1"/>
  <c r="N2252" i="1"/>
  <c r="P2252" i="1" s="1"/>
  <c r="N2253" i="1"/>
  <c r="P2253" i="1" s="1"/>
  <c r="N2254" i="1"/>
  <c r="P2254" i="1" s="1"/>
  <c r="N2255" i="1"/>
  <c r="P2255" i="1" s="1"/>
  <c r="N2256" i="1"/>
  <c r="P2256" i="1" s="1"/>
  <c r="N2257" i="1"/>
  <c r="P2257" i="1" s="1"/>
  <c r="Q2257" i="1" s="1"/>
  <c r="R2257" i="1" s="1"/>
  <c r="N2258" i="1"/>
  <c r="P2258" i="1" s="1"/>
  <c r="N2259" i="1"/>
  <c r="P2259" i="1" s="1"/>
  <c r="N2260" i="1"/>
  <c r="P2260" i="1" s="1"/>
  <c r="N2261" i="1"/>
  <c r="P2261" i="1" s="1"/>
  <c r="N2262" i="1"/>
  <c r="P2262" i="1" s="1"/>
  <c r="N2263" i="1"/>
  <c r="P2263" i="1" s="1"/>
  <c r="N2264" i="1"/>
  <c r="P2264" i="1" s="1"/>
  <c r="N2265" i="1"/>
  <c r="P2265" i="1" s="1"/>
  <c r="Q2265" i="1" s="1"/>
  <c r="R2265" i="1" s="1"/>
  <c r="N2266" i="1"/>
  <c r="P2266" i="1" s="1"/>
  <c r="N2267" i="1"/>
  <c r="P2267" i="1" s="1"/>
  <c r="N2268" i="1"/>
  <c r="P2268" i="1" s="1"/>
  <c r="N2269" i="1"/>
  <c r="P2269" i="1" s="1"/>
  <c r="N2270" i="1"/>
  <c r="P2270" i="1" s="1"/>
  <c r="N2271" i="1"/>
  <c r="P2271" i="1" s="1"/>
  <c r="N2272" i="1"/>
  <c r="P2272" i="1" s="1"/>
  <c r="N2273" i="1"/>
  <c r="P2273" i="1" s="1"/>
  <c r="Q2273" i="1" s="1"/>
  <c r="R2273" i="1" s="1"/>
  <c r="N2274" i="1"/>
  <c r="P2274" i="1" s="1"/>
  <c r="N2275" i="1"/>
  <c r="P2275" i="1" s="1"/>
  <c r="N2276" i="1"/>
  <c r="P2276" i="1" s="1"/>
  <c r="N2277" i="1"/>
  <c r="P2277" i="1" s="1"/>
  <c r="N2278" i="1"/>
  <c r="P2278" i="1" s="1"/>
  <c r="N2279" i="1"/>
  <c r="P2279" i="1" s="1"/>
  <c r="N2280" i="1"/>
  <c r="P2280" i="1" s="1"/>
  <c r="N2281" i="1"/>
  <c r="P2281" i="1" s="1"/>
  <c r="Q2281" i="1" s="1"/>
  <c r="R2281" i="1" s="1"/>
  <c r="N2282" i="1"/>
  <c r="P2282" i="1" s="1"/>
  <c r="N2283" i="1"/>
  <c r="P2283" i="1" s="1"/>
  <c r="N2284" i="1"/>
  <c r="P2284" i="1" s="1"/>
  <c r="N2285" i="1"/>
  <c r="P2285" i="1" s="1"/>
  <c r="N2286" i="1"/>
  <c r="P2286" i="1" s="1"/>
  <c r="N2287" i="1"/>
  <c r="P2287" i="1" s="1"/>
  <c r="N2288" i="1"/>
  <c r="P2288" i="1" s="1"/>
  <c r="N2289" i="1"/>
  <c r="P2289" i="1" s="1"/>
  <c r="Q2289" i="1" s="1"/>
  <c r="R2289" i="1" s="1"/>
  <c r="N2290" i="1"/>
  <c r="P2290" i="1" s="1"/>
  <c r="N2291" i="1"/>
  <c r="P2291" i="1" s="1"/>
  <c r="N2292" i="1"/>
  <c r="P2292" i="1" s="1"/>
  <c r="N2293" i="1"/>
  <c r="P2293" i="1" s="1"/>
  <c r="N2294" i="1"/>
  <c r="P2294" i="1" s="1"/>
  <c r="N2295" i="1"/>
  <c r="P2295" i="1" s="1"/>
  <c r="N2296" i="1"/>
  <c r="P2296" i="1" s="1"/>
  <c r="N2297" i="1"/>
  <c r="P2297" i="1" s="1"/>
  <c r="Q2297" i="1" s="1"/>
  <c r="R2297" i="1" s="1"/>
  <c r="N2298" i="1"/>
  <c r="P2298" i="1" s="1"/>
  <c r="N2299" i="1"/>
  <c r="P2299" i="1" s="1"/>
  <c r="N2300" i="1"/>
  <c r="P2300" i="1" s="1"/>
  <c r="N2301" i="1"/>
  <c r="P2301" i="1" s="1"/>
  <c r="N2302" i="1"/>
  <c r="P2302" i="1" s="1"/>
  <c r="N2303" i="1"/>
  <c r="P2303" i="1" s="1"/>
  <c r="N2304" i="1"/>
  <c r="P2304" i="1" s="1"/>
  <c r="N2305" i="1"/>
  <c r="P2305" i="1" s="1"/>
  <c r="Q2305" i="1" s="1"/>
  <c r="R2305" i="1" s="1"/>
  <c r="N2306" i="1"/>
  <c r="P2306" i="1" s="1"/>
  <c r="N2307" i="1"/>
  <c r="P2307" i="1" s="1"/>
  <c r="N2308" i="1"/>
  <c r="P2308" i="1" s="1"/>
  <c r="N2309" i="1"/>
  <c r="P2309" i="1" s="1"/>
  <c r="N2310" i="1"/>
  <c r="P2310" i="1" s="1"/>
  <c r="N2311" i="1"/>
  <c r="P2311" i="1" s="1"/>
  <c r="N2312" i="1"/>
  <c r="P2312" i="1" s="1"/>
  <c r="N2313" i="1"/>
  <c r="P2313" i="1" s="1"/>
  <c r="Q2313" i="1" s="1"/>
  <c r="R2313" i="1" s="1"/>
  <c r="N2314" i="1"/>
  <c r="P2314" i="1" s="1"/>
  <c r="N2315" i="1"/>
  <c r="P2315" i="1" s="1"/>
  <c r="N2316" i="1"/>
  <c r="P2316" i="1" s="1"/>
  <c r="N2317" i="1"/>
  <c r="P2317" i="1" s="1"/>
  <c r="N2318" i="1"/>
  <c r="P2318" i="1" s="1"/>
  <c r="N2319" i="1"/>
  <c r="P2319" i="1" s="1"/>
  <c r="N2320" i="1"/>
  <c r="P2320" i="1" s="1"/>
  <c r="N2321" i="1"/>
  <c r="P2321" i="1" s="1"/>
  <c r="Q2321" i="1" s="1"/>
  <c r="R2321" i="1" s="1"/>
  <c r="N2322" i="1"/>
  <c r="P2322" i="1" s="1"/>
  <c r="N2323" i="1"/>
  <c r="P2323" i="1" s="1"/>
  <c r="N2324" i="1"/>
  <c r="P2324" i="1" s="1"/>
  <c r="N2325" i="1"/>
  <c r="P2325" i="1" s="1"/>
  <c r="N2326" i="1"/>
  <c r="P2326" i="1" s="1"/>
  <c r="N2327" i="1"/>
  <c r="P2327" i="1" s="1"/>
  <c r="N2328" i="1"/>
  <c r="P2328" i="1" s="1"/>
  <c r="N2329" i="1"/>
  <c r="P2329" i="1" s="1"/>
  <c r="Q2329" i="1" s="1"/>
  <c r="R2329" i="1" s="1"/>
  <c r="N2330" i="1"/>
  <c r="P2330" i="1" s="1"/>
  <c r="N2331" i="1"/>
  <c r="P2331" i="1" s="1"/>
  <c r="N2332" i="1"/>
  <c r="P2332" i="1" s="1"/>
  <c r="N2333" i="1"/>
  <c r="P2333" i="1" s="1"/>
  <c r="N2334" i="1"/>
  <c r="P2334" i="1" s="1"/>
  <c r="N2335" i="1"/>
  <c r="P2335" i="1" s="1"/>
  <c r="N2336" i="1"/>
  <c r="P2336" i="1" s="1"/>
  <c r="N2337" i="1"/>
  <c r="P2337" i="1" s="1"/>
  <c r="Q2337" i="1" s="1"/>
  <c r="R2337" i="1" s="1"/>
  <c r="N2338" i="1"/>
  <c r="P2338" i="1" s="1"/>
  <c r="N2339" i="1"/>
  <c r="P2339" i="1" s="1"/>
  <c r="N2340" i="1"/>
  <c r="P2340" i="1" s="1"/>
  <c r="N2341" i="1"/>
  <c r="P2341" i="1" s="1"/>
  <c r="N2342" i="1"/>
  <c r="P2342" i="1" s="1"/>
  <c r="N2343" i="1"/>
  <c r="P2343" i="1" s="1"/>
  <c r="N2344" i="1"/>
  <c r="P2344" i="1" s="1"/>
  <c r="N2345" i="1"/>
  <c r="P2345" i="1" s="1"/>
  <c r="Q2345" i="1" s="1"/>
  <c r="R2345" i="1" s="1"/>
  <c r="N2346" i="1"/>
  <c r="P2346" i="1" s="1"/>
  <c r="N2347" i="1"/>
  <c r="P2347" i="1" s="1"/>
  <c r="N2348" i="1"/>
  <c r="P2348" i="1" s="1"/>
  <c r="N2349" i="1"/>
  <c r="P2349" i="1" s="1"/>
  <c r="N2350" i="1"/>
  <c r="P2350" i="1" s="1"/>
  <c r="N2351" i="1"/>
  <c r="P2351" i="1" s="1"/>
  <c r="N2352" i="1"/>
  <c r="P2352" i="1" s="1"/>
  <c r="N2353" i="1"/>
  <c r="P2353" i="1" s="1"/>
  <c r="Q2353" i="1" s="1"/>
  <c r="R2353" i="1" s="1"/>
  <c r="N2354" i="1"/>
  <c r="P2354" i="1" s="1"/>
  <c r="N2355" i="1"/>
  <c r="P2355" i="1" s="1"/>
  <c r="N2356" i="1"/>
  <c r="P2356" i="1" s="1"/>
  <c r="N2357" i="1"/>
  <c r="P2357" i="1" s="1"/>
  <c r="N2358" i="1"/>
  <c r="P2358" i="1" s="1"/>
  <c r="N2359" i="1"/>
  <c r="P2359" i="1" s="1"/>
  <c r="N2360" i="1"/>
  <c r="P2360" i="1" s="1"/>
  <c r="N2361" i="1"/>
  <c r="P2361" i="1" s="1"/>
  <c r="Q2361" i="1" s="1"/>
  <c r="R2361" i="1" s="1"/>
  <c r="N2362" i="1"/>
  <c r="P2362" i="1" s="1"/>
  <c r="N2363" i="1"/>
  <c r="P2363" i="1" s="1"/>
  <c r="N2364" i="1"/>
  <c r="P2364" i="1" s="1"/>
  <c r="N2365" i="1"/>
  <c r="P2365" i="1" s="1"/>
  <c r="N2366" i="1"/>
  <c r="P2366" i="1" s="1"/>
  <c r="N2367" i="1"/>
  <c r="P2367" i="1" s="1"/>
  <c r="N2368" i="1"/>
  <c r="P2368" i="1" s="1"/>
  <c r="N2369" i="1"/>
  <c r="P2369" i="1" s="1"/>
  <c r="Q2369" i="1" s="1"/>
  <c r="R2369" i="1" s="1"/>
  <c r="N2370" i="1"/>
  <c r="P2370" i="1" s="1"/>
  <c r="N2371" i="1"/>
  <c r="P2371" i="1" s="1"/>
  <c r="N2372" i="1"/>
  <c r="P2372" i="1" s="1"/>
  <c r="N2373" i="1"/>
  <c r="P2373" i="1" s="1"/>
  <c r="N2374" i="1"/>
  <c r="P2374" i="1" s="1"/>
  <c r="N2375" i="1"/>
  <c r="P2375" i="1" s="1"/>
  <c r="N2376" i="1"/>
  <c r="P2376" i="1" s="1"/>
  <c r="N2377" i="1"/>
  <c r="P2377" i="1" s="1"/>
  <c r="Q2377" i="1" s="1"/>
  <c r="R2377" i="1" s="1"/>
  <c r="N2378" i="1"/>
  <c r="P2378" i="1" s="1"/>
  <c r="N2379" i="1"/>
  <c r="P2379" i="1" s="1"/>
  <c r="N2380" i="1"/>
  <c r="P2380" i="1" s="1"/>
  <c r="N2381" i="1"/>
  <c r="P2381" i="1" s="1"/>
  <c r="N2382" i="1"/>
  <c r="P2382" i="1" s="1"/>
  <c r="N2383" i="1"/>
  <c r="P2383" i="1" s="1"/>
  <c r="N2384" i="1"/>
  <c r="P2384" i="1" s="1"/>
  <c r="N2385" i="1"/>
  <c r="P2385" i="1" s="1"/>
  <c r="Q2385" i="1" s="1"/>
  <c r="R2385" i="1" s="1"/>
  <c r="N2386" i="1"/>
  <c r="P2386" i="1" s="1"/>
  <c r="N2387" i="1"/>
  <c r="P2387" i="1" s="1"/>
  <c r="N2388" i="1"/>
  <c r="P2388" i="1" s="1"/>
  <c r="N2389" i="1"/>
  <c r="P2389" i="1" s="1"/>
  <c r="N2390" i="1"/>
  <c r="P2390" i="1" s="1"/>
  <c r="N2391" i="1"/>
  <c r="P2391" i="1" s="1"/>
  <c r="N2392" i="1"/>
  <c r="P2392" i="1" s="1"/>
  <c r="N2393" i="1"/>
  <c r="P2393" i="1" s="1"/>
  <c r="Q2393" i="1" s="1"/>
  <c r="R2393" i="1" s="1"/>
  <c r="N2394" i="1"/>
  <c r="P2394" i="1" s="1"/>
  <c r="N2395" i="1"/>
  <c r="P2395" i="1" s="1"/>
  <c r="N2396" i="1"/>
  <c r="P2396" i="1" s="1"/>
  <c r="N2397" i="1"/>
  <c r="P2397" i="1" s="1"/>
  <c r="N2398" i="1"/>
  <c r="P2398" i="1" s="1"/>
  <c r="N2399" i="1"/>
  <c r="P2399" i="1" s="1"/>
  <c r="N2400" i="1"/>
  <c r="P2400" i="1" s="1"/>
  <c r="N2401" i="1"/>
  <c r="P2401" i="1" s="1"/>
  <c r="Q2401" i="1" s="1"/>
  <c r="R2401" i="1" s="1"/>
  <c r="N2402" i="1"/>
  <c r="P2402" i="1" s="1"/>
  <c r="N2403" i="1"/>
  <c r="P2403" i="1" s="1"/>
  <c r="N2404" i="1"/>
  <c r="P2404" i="1" s="1"/>
  <c r="N2405" i="1"/>
  <c r="P2405" i="1" s="1"/>
  <c r="N2406" i="1"/>
  <c r="P2406" i="1" s="1"/>
  <c r="N2407" i="1"/>
  <c r="P2407" i="1" s="1"/>
  <c r="N2408" i="1"/>
  <c r="P2408" i="1" s="1"/>
  <c r="N2409" i="1"/>
  <c r="P2409" i="1" s="1"/>
  <c r="Q2409" i="1" s="1"/>
  <c r="R2409" i="1" s="1"/>
  <c r="N2410" i="1"/>
  <c r="P2410" i="1" s="1"/>
  <c r="N2411" i="1"/>
  <c r="P2411" i="1" s="1"/>
  <c r="N2412" i="1"/>
  <c r="P2412" i="1" s="1"/>
  <c r="N2413" i="1"/>
  <c r="P2413" i="1" s="1"/>
  <c r="N2414" i="1"/>
  <c r="P2414" i="1" s="1"/>
  <c r="N2415" i="1"/>
  <c r="P2415" i="1" s="1"/>
  <c r="N2416" i="1"/>
  <c r="P2416" i="1" s="1"/>
  <c r="N2417" i="1"/>
  <c r="P2417" i="1" s="1"/>
  <c r="Q2417" i="1" s="1"/>
  <c r="R2417" i="1" s="1"/>
  <c r="N2418" i="1"/>
  <c r="P2418" i="1" s="1"/>
  <c r="N2419" i="1"/>
  <c r="P2419" i="1" s="1"/>
  <c r="N2420" i="1"/>
  <c r="P2420" i="1" s="1"/>
  <c r="N2421" i="1"/>
  <c r="P2421" i="1" s="1"/>
  <c r="N2422" i="1"/>
  <c r="P2422" i="1" s="1"/>
  <c r="N2423" i="1"/>
  <c r="P2423" i="1" s="1"/>
  <c r="N2424" i="1"/>
  <c r="P2424" i="1" s="1"/>
  <c r="N2425" i="1"/>
  <c r="P2425" i="1" s="1"/>
  <c r="Q2425" i="1" s="1"/>
  <c r="R2425" i="1" s="1"/>
  <c r="N2426" i="1"/>
  <c r="P2426" i="1" s="1"/>
  <c r="N2427" i="1"/>
  <c r="P2427" i="1" s="1"/>
  <c r="N2428" i="1"/>
  <c r="P2428" i="1" s="1"/>
  <c r="N2429" i="1"/>
  <c r="P2429" i="1" s="1"/>
  <c r="N2430" i="1"/>
  <c r="P2430" i="1" s="1"/>
  <c r="N2431" i="1"/>
  <c r="P2431" i="1" s="1"/>
  <c r="N2432" i="1"/>
  <c r="P2432" i="1" s="1"/>
  <c r="N2433" i="1"/>
  <c r="P2433" i="1" s="1"/>
  <c r="Q2433" i="1" s="1"/>
  <c r="R2433" i="1" s="1"/>
  <c r="N2434" i="1"/>
  <c r="P2434" i="1" s="1"/>
  <c r="N2435" i="1"/>
  <c r="P2435" i="1" s="1"/>
  <c r="N2436" i="1"/>
  <c r="P2436" i="1" s="1"/>
  <c r="N2437" i="1"/>
  <c r="P2437" i="1" s="1"/>
  <c r="N2438" i="1"/>
  <c r="P2438" i="1" s="1"/>
  <c r="N2439" i="1"/>
  <c r="P2439" i="1" s="1"/>
  <c r="N2440" i="1"/>
  <c r="P2440" i="1" s="1"/>
  <c r="N2441" i="1"/>
  <c r="P2441" i="1" s="1"/>
  <c r="Q2441" i="1" s="1"/>
  <c r="R2441" i="1" s="1"/>
  <c r="N2442" i="1"/>
  <c r="P2442" i="1" s="1"/>
  <c r="N2443" i="1"/>
  <c r="P2443" i="1" s="1"/>
  <c r="N2444" i="1"/>
  <c r="P2444" i="1" s="1"/>
  <c r="N2445" i="1"/>
  <c r="P2445" i="1" s="1"/>
  <c r="N2446" i="1"/>
  <c r="P2446" i="1" s="1"/>
  <c r="N2447" i="1"/>
  <c r="P2447" i="1" s="1"/>
  <c r="N2448" i="1"/>
  <c r="P2448" i="1" s="1"/>
  <c r="N2449" i="1"/>
  <c r="P2449" i="1" s="1"/>
  <c r="Q2449" i="1" s="1"/>
  <c r="R2449" i="1" s="1"/>
  <c r="N2450" i="1"/>
  <c r="P2450" i="1" s="1"/>
  <c r="N2451" i="1"/>
  <c r="P2451" i="1" s="1"/>
  <c r="N2452" i="1"/>
  <c r="P2452" i="1" s="1"/>
  <c r="N2453" i="1"/>
  <c r="P2453" i="1" s="1"/>
  <c r="N2454" i="1"/>
  <c r="P2454" i="1" s="1"/>
  <c r="N2455" i="1"/>
  <c r="P2455" i="1" s="1"/>
  <c r="N2456" i="1"/>
  <c r="P2456" i="1" s="1"/>
  <c r="N2457" i="1"/>
  <c r="P2457" i="1" s="1"/>
  <c r="Q2457" i="1" s="1"/>
  <c r="R2457" i="1" s="1"/>
  <c r="N2458" i="1"/>
  <c r="P2458" i="1" s="1"/>
  <c r="N2459" i="1"/>
  <c r="P2459" i="1" s="1"/>
  <c r="N2460" i="1"/>
  <c r="P2460" i="1" s="1"/>
  <c r="N2461" i="1"/>
  <c r="P2461" i="1" s="1"/>
  <c r="N2462" i="1"/>
  <c r="P2462" i="1" s="1"/>
  <c r="N2463" i="1"/>
  <c r="P2463" i="1" s="1"/>
  <c r="N2464" i="1"/>
  <c r="P2464" i="1" s="1"/>
  <c r="N2465" i="1"/>
  <c r="P2465" i="1" s="1"/>
  <c r="Q2465" i="1" s="1"/>
  <c r="R2465" i="1" s="1"/>
  <c r="N2466" i="1"/>
  <c r="P2466" i="1" s="1"/>
  <c r="N2467" i="1"/>
  <c r="P2467" i="1" s="1"/>
  <c r="N2468" i="1"/>
  <c r="P2468" i="1" s="1"/>
  <c r="N2469" i="1"/>
  <c r="P2469" i="1" s="1"/>
  <c r="N2470" i="1"/>
  <c r="P2470" i="1" s="1"/>
  <c r="N2471" i="1"/>
  <c r="P2471" i="1" s="1"/>
  <c r="N2472" i="1"/>
  <c r="P2472" i="1" s="1"/>
  <c r="N2473" i="1"/>
  <c r="P2473" i="1" s="1"/>
  <c r="Q2473" i="1" s="1"/>
  <c r="R2473" i="1" s="1"/>
  <c r="N2474" i="1"/>
  <c r="P2474" i="1" s="1"/>
  <c r="N2475" i="1"/>
  <c r="P2475" i="1" s="1"/>
  <c r="N2476" i="1"/>
  <c r="P2476" i="1" s="1"/>
  <c r="N2477" i="1"/>
  <c r="P2477" i="1" s="1"/>
  <c r="N2478" i="1"/>
  <c r="P2478" i="1" s="1"/>
  <c r="N2479" i="1"/>
  <c r="P2479" i="1" s="1"/>
  <c r="N2480" i="1"/>
  <c r="P2480" i="1" s="1"/>
  <c r="N2481" i="1"/>
  <c r="P2481" i="1" s="1"/>
  <c r="Q2481" i="1" s="1"/>
  <c r="R2481" i="1" s="1"/>
  <c r="N2482" i="1"/>
  <c r="P2482" i="1" s="1"/>
  <c r="N2483" i="1"/>
  <c r="P2483" i="1" s="1"/>
  <c r="N2484" i="1"/>
  <c r="P2484" i="1" s="1"/>
  <c r="N2485" i="1"/>
  <c r="P2485" i="1" s="1"/>
  <c r="N2486" i="1"/>
  <c r="P2486" i="1" s="1"/>
  <c r="N2487" i="1"/>
  <c r="P2487" i="1" s="1"/>
  <c r="N2488" i="1"/>
  <c r="P2488" i="1" s="1"/>
  <c r="N2489" i="1"/>
  <c r="P2489" i="1" s="1"/>
  <c r="Q2489" i="1" s="1"/>
  <c r="R2489" i="1" s="1"/>
  <c r="N2490" i="1"/>
  <c r="P2490" i="1" s="1"/>
  <c r="N2491" i="1"/>
  <c r="P2491" i="1" s="1"/>
  <c r="N2492" i="1"/>
  <c r="P2492" i="1" s="1"/>
  <c r="N2493" i="1"/>
  <c r="P2493" i="1" s="1"/>
  <c r="N2494" i="1"/>
  <c r="P2494" i="1" s="1"/>
  <c r="N2495" i="1"/>
  <c r="P2495" i="1" s="1"/>
  <c r="N2496" i="1"/>
  <c r="P2496" i="1" s="1"/>
  <c r="N2497" i="1"/>
  <c r="P2497" i="1" s="1"/>
  <c r="Q2497" i="1" s="1"/>
  <c r="R2497" i="1" s="1"/>
  <c r="N2498" i="1"/>
  <c r="P2498" i="1" s="1"/>
  <c r="N2499" i="1"/>
  <c r="P2499" i="1" s="1"/>
  <c r="N2500" i="1"/>
  <c r="P2500" i="1" s="1"/>
  <c r="N2501" i="1"/>
  <c r="P2501" i="1" s="1"/>
  <c r="N2502" i="1"/>
  <c r="P2502" i="1" s="1"/>
  <c r="N2503" i="1"/>
  <c r="P2503" i="1" s="1"/>
  <c r="N2504" i="1"/>
  <c r="P2504" i="1" s="1"/>
  <c r="N2505" i="1"/>
  <c r="P2505" i="1" s="1"/>
  <c r="Q2505" i="1" s="1"/>
  <c r="R2505" i="1" s="1"/>
  <c r="N2506" i="1"/>
  <c r="P2506" i="1" s="1"/>
  <c r="N2507" i="1"/>
  <c r="P2507" i="1" s="1"/>
  <c r="N2508" i="1"/>
  <c r="P2508" i="1" s="1"/>
  <c r="N2509" i="1"/>
  <c r="P2509" i="1" s="1"/>
  <c r="N2510" i="1"/>
  <c r="P2510" i="1" s="1"/>
  <c r="N2511" i="1"/>
  <c r="P2511" i="1" s="1"/>
  <c r="N2512" i="1"/>
  <c r="P2512" i="1" s="1"/>
  <c r="N2513" i="1"/>
  <c r="P2513" i="1" s="1"/>
  <c r="Q2513" i="1" s="1"/>
  <c r="R2513" i="1" s="1"/>
  <c r="N2514" i="1"/>
  <c r="P2514" i="1" s="1"/>
  <c r="N2515" i="1"/>
  <c r="P2515" i="1" s="1"/>
  <c r="N2516" i="1"/>
  <c r="P2516" i="1" s="1"/>
  <c r="N2517" i="1"/>
  <c r="P2517" i="1" s="1"/>
  <c r="N2518" i="1"/>
  <c r="P2518" i="1" s="1"/>
  <c r="N2519" i="1"/>
  <c r="P2519" i="1" s="1"/>
  <c r="N2520" i="1"/>
  <c r="P2520" i="1" s="1"/>
  <c r="N2521" i="1"/>
  <c r="P2521" i="1" s="1"/>
  <c r="Q2521" i="1" s="1"/>
  <c r="R2521" i="1" s="1"/>
  <c r="N2522" i="1"/>
  <c r="P2522" i="1" s="1"/>
  <c r="N2523" i="1"/>
  <c r="P2523" i="1" s="1"/>
  <c r="N2524" i="1"/>
  <c r="P2524" i="1" s="1"/>
  <c r="N2525" i="1"/>
  <c r="P2525" i="1" s="1"/>
  <c r="N2526" i="1"/>
  <c r="P2526" i="1" s="1"/>
  <c r="N2527" i="1"/>
  <c r="P2527" i="1" s="1"/>
  <c r="N2528" i="1"/>
  <c r="P2528" i="1" s="1"/>
  <c r="N2529" i="1"/>
  <c r="P2529" i="1" s="1"/>
  <c r="Q2529" i="1" s="1"/>
  <c r="R2529" i="1" s="1"/>
  <c r="N2530" i="1"/>
  <c r="P2530" i="1" s="1"/>
  <c r="N2531" i="1"/>
  <c r="P2531" i="1" s="1"/>
  <c r="N2532" i="1"/>
  <c r="P2532" i="1" s="1"/>
  <c r="N2533" i="1"/>
  <c r="P2533" i="1" s="1"/>
  <c r="N2534" i="1"/>
  <c r="P2534" i="1" s="1"/>
  <c r="N2535" i="1"/>
  <c r="P2535" i="1" s="1"/>
  <c r="N2536" i="1"/>
  <c r="P2536" i="1" s="1"/>
  <c r="N2537" i="1"/>
  <c r="P2537" i="1" s="1"/>
  <c r="Q2537" i="1" s="1"/>
  <c r="R2537" i="1" s="1"/>
  <c r="N2538" i="1"/>
  <c r="P2538" i="1" s="1"/>
  <c r="N2539" i="1"/>
  <c r="P2539" i="1" s="1"/>
  <c r="N2540" i="1"/>
  <c r="P2540" i="1" s="1"/>
  <c r="N2541" i="1"/>
  <c r="P2541" i="1" s="1"/>
  <c r="N2542" i="1"/>
  <c r="P2542" i="1" s="1"/>
  <c r="N2543" i="1"/>
  <c r="P2543" i="1" s="1"/>
  <c r="N2544" i="1"/>
  <c r="P2544" i="1" s="1"/>
  <c r="N2545" i="1"/>
  <c r="P2545" i="1" s="1"/>
  <c r="Q2545" i="1" s="1"/>
  <c r="R2545" i="1" s="1"/>
  <c r="N2546" i="1"/>
  <c r="P2546" i="1" s="1"/>
  <c r="N2547" i="1"/>
  <c r="P2547" i="1" s="1"/>
  <c r="N2548" i="1"/>
  <c r="P2548" i="1" s="1"/>
  <c r="N2549" i="1"/>
  <c r="P2549" i="1" s="1"/>
  <c r="N2550" i="1"/>
  <c r="P2550" i="1" s="1"/>
  <c r="N2551" i="1"/>
  <c r="P2551" i="1" s="1"/>
  <c r="N2552" i="1"/>
  <c r="P2552" i="1" s="1"/>
  <c r="N2553" i="1"/>
  <c r="P2553" i="1" s="1"/>
  <c r="Q2553" i="1" s="1"/>
  <c r="R2553" i="1" s="1"/>
  <c r="N2554" i="1"/>
  <c r="P2554" i="1" s="1"/>
  <c r="N2555" i="1"/>
  <c r="P2555" i="1" s="1"/>
  <c r="N2556" i="1"/>
  <c r="P2556" i="1" s="1"/>
  <c r="N2557" i="1"/>
  <c r="P2557" i="1" s="1"/>
  <c r="N2558" i="1"/>
  <c r="P2558" i="1" s="1"/>
  <c r="N2559" i="1"/>
  <c r="P2559" i="1" s="1"/>
  <c r="N2560" i="1"/>
  <c r="P2560" i="1" s="1"/>
  <c r="N2561" i="1"/>
  <c r="P2561" i="1" s="1"/>
  <c r="Q2561" i="1" s="1"/>
  <c r="R2561" i="1" s="1"/>
  <c r="N2562" i="1"/>
  <c r="P2562" i="1" s="1"/>
  <c r="N2563" i="1"/>
  <c r="P2563" i="1" s="1"/>
  <c r="N2564" i="1"/>
  <c r="P2564" i="1" s="1"/>
  <c r="N2565" i="1"/>
  <c r="P2565" i="1" s="1"/>
  <c r="N2566" i="1"/>
  <c r="P2566" i="1" s="1"/>
  <c r="N2567" i="1"/>
  <c r="P2567" i="1" s="1"/>
  <c r="N2568" i="1"/>
  <c r="P2568" i="1" s="1"/>
  <c r="N2569" i="1"/>
  <c r="P2569" i="1" s="1"/>
  <c r="Q2569" i="1" s="1"/>
  <c r="R2569" i="1" s="1"/>
  <c r="N2570" i="1"/>
  <c r="P2570" i="1" s="1"/>
  <c r="N2571" i="1"/>
  <c r="P2571" i="1" s="1"/>
  <c r="N2572" i="1"/>
  <c r="P2572" i="1" s="1"/>
  <c r="N2573" i="1"/>
  <c r="P2573" i="1" s="1"/>
  <c r="N2574" i="1"/>
  <c r="P2574" i="1" s="1"/>
  <c r="N2575" i="1"/>
  <c r="P2575" i="1" s="1"/>
  <c r="N2576" i="1"/>
  <c r="P2576" i="1" s="1"/>
  <c r="N2577" i="1"/>
  <c r="P2577" i="1" s="1"/>
  <c r="Q2577" i="1" s="1"/>
  <c r="R2577" i="1" s="1"/>
  <c r="N2578" i="1"/>
  <c r="P2578" i="1" s="1"/>
  <c r="N2579" i="1"/>
  <c r="P2579" i="1" s="1"/>
  <c r="N2580" i="1"/>
  <c r="P2580" i="1" s="1"/>
  <c r="N2581" i="1"/>
  <c r="P2581" i="1" s="1"/>
  <c r="N2582" i="1"/>
  <c r="P2582" i="1" s="1"/>
  <c r="N2583" i="1"/>
  <c r="P2583" i="1" s="1"/>
  <c r="N2584" i="1"/>
  <c r="P2584" i="1" s="1"/>
  <c r="N2585" i="1"/>
  <c r="P2585" i="1" s="1"/>
  <c r="Q2585" i="1" s="1"/>
  <c r="R2585" i="1" s="1"/>
  <c r="N2586" i="1"/>
  <c r="P2586" i="1" s="1"/>
  <c r="N2587" i="1"/>
  <c r="P2587" i="1" s="1"/>
  <c r="N2588" i="1"/>
  <c r="P2588" i="1" s="1"/>
  <c r="N2589" i="1"/>
  <c r="P2589" i="1" s="1"/>
  <c r="N2590" i="1"/>
  <c r="P2590" i="1" s="1"/>
  <c r="N2591" i="1"/>
  <c r="P2591" i="1" s="1"/>
  <c r="N2592" i="1"/>
  <c r="P2592" i="1" s="1"/>
  <c r="N2593" i="1"/>
  <c r="P2593" i="1" s="1"/>
  <c r="Q2593" i="1" s="1"/>
  <c r="R2593" i="1" s="1"/>
  <c r="N2594" i="1"/>
  <c r="P2594" i="1" s="1"/>
  <c r="N2595" i="1"/>
  <c r="P2595" i="1" s="1"/>
  <c r="N2596" i="1"/>
  <c r="P2596" i="1" s="1"/>
  <c r="N2597" i="1"/>
  <c r="P2597" i="1" s="1"/>
  <c r="N2598" i="1"/>
  <c r="P2598" i="1" s="1"/>
  <c r="N2599" i="1"/>
  <c r="P2599" i="1" s="1"/>
  <c r="N2600" i="1"/>
  <c r="P2600" i="1" s="1"/>
  <c r="N2601" i="1"/>
  <c r="P2601" i="1" s="1"/>
  <c r="Q2601" i="1" s="1"/>
  <c r="R2601" i="1" s="1"/>
  <c r="N2602" i="1"/>
  <c r="P2602" i="1" s="1"/>
  <c r="N2603" i="1"/>
  <c r="P2603" i="1" s="1"/>
  <c r="N2604" i="1"/>
  <c r="P2604" i="1" s="1"/>
  <c r="N2605" i="1"/>
  <c r="P2605" i="1" s="1"/>
  <c r="N2606" i="1"/>
  <c r="P2606" i="1" s="1"/>
  <c r="N2607" i="1"/>
  <c r="P2607" i="1" s="1"/>
  <c r="N2608" i="1"/>
  <c r="P2608" i="1" s="1"/>
  <c r="N2609" i="1"/>
  <c r="P2609" i="1" s="1"/>
  <c r="Q2609" i="1" s="1"/>
  <c r="R2609" i="1" s="1"/>
  <c r="N2610" i="1"/>
  <c r="P2610" i="1" s="1"/>
  <c r="N2611" i="1"/>
  <c r="P2611" i="1" s="1"/>
  <c r="N2612" i="1"/>
  <c r="P2612" i="1" s="1"/>
  <c r="N2613" i="1"/>
  <c r="P2613" i="1" s="1"/>
  <c r="N2614" i="1"/>
  <c r="P2614" i="1" s="1"/>
  <c r="N2615" i="1"/>
  <c r="P2615" i="1" s="1"/>
  <c r="N2616" i="1"/>
  <c r="P2616" i="1" s="1"/>
  <c r="N2617" i="1"/>
  <c r="P2617" i="1" s="1"/>
  <c r="Q2617" i="1" s="1"/>
  <c r="R2617" i="1" s="1"/>
  <c r="N2618" i="1"/>
  <c r="P2618" i="1" s="1"/>
  <c r="N2619" i="1"/>
  <c r="P2619" i="1" s="1"/>
  <c r="N2620" i="1"/>
  <c r="P2620" i="1" s="1"/>
  <c r="N2621" i="1"/>
  <c r="P2621" i="1" s="1"/>
  <c r="N2622" i="1"/>
  <c r="P2622" i="1" s="1"/>
  <c r="N2623" i="1"/>
  <c r="P2623" i="1" s="1"/>
  <c r="N2624" i="1"/>
  <c r="P2624" i="1" s="1"/>
  <c r="N2625" i="1"/>
  <c r="P2625" i="1" s="1"/>
  <c r="Q2625" i="1" s="1"/>
  <c r="R2625" i="1" s="1"/>
  <c r="N2626" i="1"/>
  <c r="P2626" i="1" s="1"/>
  <c r="N2627" i="1"/>
  <c r="P2627" i="1" s="1"/>
  <c r="N2628" i="1"/>
  <c r="P2628" i="1" s="1"/>
  <c r="N2629" i="1"/>
  <c r="P2629" i="1" s="1"/>
  <c r="N2630" i="1"/>
  <c r="P2630" i="1" s="1"/>
  <c r="N2631" i="1"/>
  <c r="P2631" i="1" s="1"/>
  <c r="N2632" i="1"/>
  <c r="P2632" i="1" s="1"/>
  <c r="N2633" i="1"/>
  <c r="P2633" i="1" s="1"/>
  <c r="Q2633" i="1" s="1"/>
  <c r="R2633" i="1" s="1"/>
  <c r="N2634" i="1"/>
  <c r="P2634" i="1" s="1"/>
  <c r="N2635" i="1"/>
  <c r="P2635" i="1" s="1"/>
  <c r="N2636" i="1"/>
  <c r="P2636" i="1" s="1"/>
  <c r="N2637" i="1"/>
  <c r="P2637" i="1" s="1"/>
  <c r="N2638" i="1"/>
  <c r="P2638" i="1" s="1"/>
  <c r="N2639" i="1"/>
  <c r="P2639" i="1" s="1"/>
  <c r="N2640" i="1"/>
  <c r="P2640" i="1" s="1"/>
  <c r="N2641" i="1"/>
  <c r="P2641" i="1" s="1"/>
  <c r="Q2641" i="1" s="1"/>
  <c r="R2641" i="1" s="1"/>
  <c r="N2642" i="1"/>
  <c r="P2642" i="1" s="1"/>
  <c r="N2643" i="1"/>
  <c r="P2643" i="1" s="1"/>
  <c r="N2644" i="1"/>
  <c r="P2644" i="1" s="1"/>
  <c r="N2645" i="1"/>
  <c r="P2645" i="1" s="1"/>
  <c r="N2646" i="1"/>
  <c r="P2646" i="1" s="1"/>
  <c r="N2647" i="1"/>
  <c r="P2647" i="1" s="1"/>
  <c r="N2648" i="1"/>
  <c r="P2648" i="1" s="1"/>
  <c r="N2649" i="1"/>
  <c r="P2649" i="1" s="1"/>
  <c r="Q2649" i="1" s="1"/>
  <c r="R2649" i="1" s="1"/>
  <c r="N2650" i="1"/>
  <c r="P2650" i="1" s="1"/>
  <c r="N2651" i="1"/>
  <c r="P2651" i="1" s="1"/>
  <c r="N2652" i="1"/>
  <c r="P2652" i="1" s="1"/>
  <c r="N2653" i="1"/>
  <c r="P2653" i="1" s="1"/>
  <c r="N2654" i="1"/>
  <c r="P2654" i="1" s="1"/>
  <c r="N2655" i="1"/>
  <c r="P2655" i="1" s="1"/>
  <c r="N2656" i="1"/>
  <c r="P2656" i="1" s="1"/>
  <c r="N2657" i="1"/>
  <c r="P2657" i="1" s="1"/>
  <c r="Q2657" i="1" s="1"/>
  <c r="R2657" i="1" s="1"/>
  <c r="N2658" i="1"/>
  <c r="P2658" i="1" s="1"/>
  <c r="N2659" i="1"/>
  <c r="P2659" i="1" s="1"/>
  <c r="N2660" i="1"/>
  <c r="P2660" i="1" s="1"/>
  <c r="N2661" i="1"/>
  <c r="P2661" i="1" s="1"/>
  <c r="N2662" i="1"/>
  <c r="P2662" i="1" s="1"/>
  <c r="N2663" i="1"/>
  <c r="P2663" i="1" s="1"/>
  <c r="N2664" i="1"/>
  <c r="P2664" i="1" s="1"/>
  <c r="N2665" i="1"/>
  <c r="P2665" i="1" s="1"/>
  <c r="Q2665" i="1" s="1"/>
  <c r="R2665" i="1" s="1"/>
  <c r="N2666" i="1"/>
  <c r="P2666" i="1" s="1"/>
  <c r="N2667" i="1"/>
  <c r="P2667" i="1" s="1"/>
  <c r="N2668" i="1"/>
  <c r="P2668" i="1" s="1"/>
  <c r="N2669" i="1"/>
  <c r="P2669" i="1" s="1"/>
  <c r="N2670" i="1"/>
  <c r="P2670" i="1" s="1"/>
  <c r="N2671" i="1"/>
  <c r="P2671" i="1" s="1"/>
  <c r="N2672" i="1"/>
  <c r="P2672" i="1" s="1"/>
  <c r="N2673" i="1"/>
  <c r="P2673" i="1" s="1"/>
  <c r="Q2673" i="1" s="1"/>
  <c r="R2673" i="1" s="1"/>
  <c r="N2674" i="1"/>
  <c r="P2674" i="1" s="1"/>
  <c r="N2675" i="1"/>
  <c r="P2675" i="1" s="1"/>
  <c r="N2676" i="1"/>
  <c r="P2676" i="1" s="1"/>
  <c r="N2677" i="1"/>
  <c r="P2677" i="1" s="1"/>
  <c r="N2678" i="1"/>
  <c r="P2678" i="1" s="1"/>
  <c r="N2679" i="1"/>
  <c r="P2679" i="1" s="1"/>
  <c r="N2680" i="1"/>
  <c r="P2680" i="1" s="1"/>
  <c r="N2681" i="1"/>
  <c r="P2681" i="1" s="1"/>
  <c r="Q2681" i="1" s="1"/>
  <c r="R2681" i="1" s="1"/>
  <c r="N2682" i="1"/>
  <c r="P2682" i="1" s="1"/>
  <c r="N2683" i="1"/>
  <c r="P2683" i="1" s="1"/>
  <c r="N2684" i="1"/>
  <c r="P2684" i="1" s="1"/>
  <c r="N2685" i="1"/>
  <c r="P2685" i="1" s="1"/>
  <c r="N2686" i="1"/>
  <c r="P2686" i="1" s="1"/>
  <c r="N2687" i="1"/>
  <c r="P2687" i="1" s="1"/>
  <c r="N2688" i="1"/>
  <c r="P2688" i="1" s="1"/>
  <c r="N2689" i="1"/>
  <c r="P2689" i="1" s="1"/>
  <c r="Q2689" i="1" s="1"/>
  <c r="R2689" i="1" s="1"/>
  <c r="N2690" i="1"/>
  <c r="P2690" i="1" s="1"/>
  <c r="N2691" i="1"/>
  <c r="P2691" i="1" s="1"/>
  <c r="N2692" i="1"/>
  <c r="P2692" i="1" s="1"/>
  <c r="N2693" i="1"/>
  <c r="P2693" i="1" s="1"/>
  <c r="N2694" i="1"/>
  <c r="P2694" i="1" s="1"/>
  <c r="N2695" i="1"/>
  <c r="P2695" i="1" s="1"/>
  <c r="N2696" i="1"/>
  <c r="P2696" i="1" s="1"/>
  <c r="N2697" i="1"/>
  <c r="P2697" i="1" s="1"/>
  <c r="Q2697" i="1" s="1"/>
  <c r="R2697" i="1" s="1"/>
  <c r="N2698" i="1"/>
  <c r="P2698" i="1" s="1"/>
  <c r="N2699" i="1"/>
  <c r="P2699" i="1" s="1"/>
  <c r="N2700" i="1"/>
  <c r="P2700" i="1" s="1"/>
  <c r="N2701" i="1"/>
  <c r="P2701" i="1" s="1"/>
  <c r="N2702" i="1"/>
  <c r="P2702" i="1" s="1"/>
  <c r="N2703" i="1"/>
  <c r="P2703" i="1" s="1"/>
  <c r="N2704" i="1"/>
  <c r="P2704" i="1" s="1"/>
  <c r="N2705" i="1"/>
  <c r="P2705" i="1" s="1"/>
  <c r="Q2705" i="1" s="1"/>
  <c r="R2705" i="1" s="1"/>
  <c r="N2706" i="1"/>
  <c r="P2706" i="1" s="1"/>
  <c r="N2707" i="1"/>
  <c r="P2707" i="1" s="1"/>
  <c r="N2708" i="1"/>
  <c r="P2708" i="1" s="1"/>
  <c r="N2709" i="1"/>
  <c r="P2709" i="1" s="1"/>
  <c r="N2710" i="1"/>
  <c r="P2710" i="1" s="1"/>
  <c r="N2711" i="1"/>
  <c r="P2711" i="1" s="1"/>
  <c r="N2712" i="1"/>
  <c r="P2712" i="1" s="1"/>
  <c r="N2713" i="1"/>
  <c r="P2713" i="1" s="1"/>
  <c r="Q2713" i="1" s="1"/>
  <c r="R2713" i="1" s="1"/>
  <c r="N2714" i="1"/>
  <c r="P2714" i="1" s="1"/>
  <c r="N2715" i="1"/>
  <c r="P2715" i="1" s="1"/>
  <c r="N2716" i="1"/>
  <c r="P2716" i="1" s="1"/>
  <c r="N2717" i="1"/>
  <c r="P2717" i="1" s="1"/>
  <c r="N2718" i="1"/>
  <c r="P2718" i="1" s="1"/>
  <c r="N2719" i="1"/>
  <c r="P2719" i="1" s="1"/>
  <c r="N2720" i="1"/>
  <c r="P2720" i="1" s="1"/>
  <c r="N2721" i="1"/>
  <c r="P2721" i="1" s="1"/>
  <c r="Q2721" i="1" s="1"/>
  <c r="R2721" i="1" s="1"/>
  <c r="N2722" i="1"/>
  <c r="P2722" i="1" s="1"/>
  <c r="N2723" i="1"/>
  <c r="P2723" i="1" s="1"/>
  <c r="N2724" i="1"/>
  <c r="P2724" i="1" s="1"/>
  <c r="N2725" i="1"/>
  <c r="P2725" i="1" s="1"/>
  <c r="N2726" i="1"/>
  <c r="P2726" i="1" s="1"/>
  <c r="N2727" i="1"/>
  <c r="P2727" i="1" s="1"/>
  <c r="N2728" i="1"/>
  <c r="P2728" i="1" s="1"/>
  <c r="N2729" i="1"/>
  <c r="P2729" i="1" s="1"/>
  <c r="Q2729" i="1" s="1"/>
  <c r="R2729" i="1" s="1"/>
  <c r="N2730" i="1"/>
  <c r="P2730" i="1" s="1"/>
  <c r="N2731" i="1"/>
  <c r="P2731" i="1" s="1"/>
  <c r="N2732" i="1"/>
  <c r="P2732" i="1" s="1"/>
  <c r="N2733" i="1"/>
  <c r="P2733" i="1" s="1"/>
  <c r="N2734" i="1"/>
  <c r="P2734" i="1" s="1"/>
  <c r="N2735" i="1"/>
  <c r="P2735" i="1" s="1"/>
  <c r="N2736" i="1"/>
  <c r="P2736" i="1" s="1"/>
  <c r="N2737" i="1"/>
  <c r="P2737" i="1" s="1"/>
  <c r="Q2737" i="1" s="1"/>
  <c r="R2737" i="1" s="1"/>
  <c r="N2738" i="1"/>
  <c r="P2738" i="1" s="1"/>
  <c r="N2739" i="1"/>
  <c r="P2739" i="1" s="1"/>
  <c r="N2740" i="1"/>
  <c r="P2740" i="1" s="1"/>
  <c r="N2741" i="1"/>
  <c r="P2741" i="1" s="1"/>
  <c r="N2742" i="1"/>
  <c r="P2742" i="1" s="1"/>
  <c r="N2743" i="1"/>
  <c r="P2743" i="1" s="1"/>
  <c r="N2744" i="1"/>
  <c r="P2744" i="1" s="1"/>
  <c r="N2745" i="1"/>
  <c r="P2745" i="1" s="1"/>
  <c r="Q2745" i="1" s="1"/>
  <c r="R2745" i="1" s="1"/>
  <c r="N2746" i="1"/>
  <c r="P2746" i="1" s="1"/>
  <c r="N2747" i="1"/>
  <c r="P2747" i="1" s="1"/>
  <c r="N2748" i="1"/>
  <c r="P2748" i="1" s="1"/>
  <c r="N2749" i="1"/>
  <c r="P2749" i="1" s="1"/>
  <c r="N2750" i="1"/>
  <c r="P2750" i="1" s="1"/>
  <c r="N2751" i="1"/>
  <c r="P2751" i="1" s="1"/>
  <c r="N2752" i="1"/>
  <c r="P2752" i="1" s="1"/>
  <c r="N2753" i="1"/>
  <c r="P2753" i="1" s="1"/>
  <c r="Q2753" i="1" s="1"/>
  <c r="R2753" i="1" s="1"/>
  <c r="N2754" i="1"/>
  <c r="P2754" i="1" s="1"/>
  <c r="N2755" i="1"/>
  <c r="P2755" i="1" s="1"/>
  <c r="N2756" i="1"/>
  <c r="P2756" i="1" s="1"/>
  <c r="N2757" i="1"/>
  <c r="P2757" i="1" s="1"/>
  <c r="N2758" i="1"/>
  <c r="P2758" i="1" s="1"/>
  <c r="N2759" i="1"/>
  <c r="P2759" i="1" s="1"/>
  <c r="N2760" i="1"/>
  <c r="P2760" i="1" s="1"/>
  <c r="N2761" i="1"/>
  <c r="P2761" i="1" s="1"/>
  <c r="Q2761" i="1" s="1"/>
  <c r="R2761" i="1" s="1"/>
  <c r="N2762" i="1"/>
  <c r="P2762" i="1" s="1"/>
  <c r="N2763" i="1"/>
  <c r="P2763" i="1" s="1"/>
  <c r="N2764" i="1"/>
  <c r="P2764" i="1" s="1"/>
  <c r="N2765" i="1"/>
  <c r="P2765" i="1" s="1"/>
  <c r="N2766" i="1"/>
  <c r="P2766" i="1" s="1"/>
  <c r="N2767" i="1"/>
  <c r="P2767" i="1" s="1"/>
  <c r="N2768" i="1"/>
  <c r="P2768" i="1" s="1"/>
  <c r="N2769" i="1"/>
  <c r="P2769" i="1" s="1"/>
  <c r="Q2769" i="1" s="1"/>
  <c r="R2769" i="1" s="1"/>
  <c r="N2770" i="1"/>
  <c r="P2770" i="1" s="1"/>
  <c r="N2771" i="1"/>
  <c r="P2771" i="1" s="1"/>
  <c r="N2772" i="1"/>
  <c r="P2772" i="1" s="1"/>
  <c r="N2773" i="1"/>
  <c r="P2773" i="1" s="1"/>
  <c r="N2774" i="1"/>
  <c r="P2774" i="1" s="1"/>
  <c r="N2775" i="1"/>
  <c r="P2775" i="1" s="1"/>
  <c r="N2776" i="1"/>
  <c r="P2776" i="1" s="1"/>
  <c r="N2777" i="1"/>
  <c r="P2777" i="1" s="1"/>
  <c r="Q2777" i="1" s="1"/>
  <c r="R2777" i="1" s="1"/>
  <c r="N2778" i="1"/>
  <c r="P2778" i="1" s="1"/>
  <c r="N2779" i="1"/>
  <c r="P2779" i="1" s="1"/>
  <c r="N2780" i="1"/>
  <c r="P2780" i="1" s="1"/>
  <c r="N2781" i="1"/>
  <c r="P2781" i="1" s="1"/>
  <c r="N2782" i="1"/>
  <c r="P2782" i="1" s="1"/>
  <c r="N2783" i="1"/>
  <c r="P2783" i="1" s="1"/>
  <c r="N2784" i="1"/>
  <c r="P2784" i="1" s="1"/>
  <c r="N2785" i="1"/>
  <c r="P2785" i="1" s="1"/>
  <c r="Q2785" i="1" s="1"/>
  <c r="R2785" i="1" s="1"/>
  <c r="N2786" i="1"/>
  <c r="P2786" i="1" s="1"/>
  <c r="N2787" i="1"/>
  <c r="P2787" i="1" s="1"/>
  <c r="N2788" i="1"/>
  <c r="P2788" i="1" s="1"/>
  <c r="N2789" i="1"/>
  <c r="P2789" i="1" s="1"/>
  <c r="N2790" i="1"/>
  <c r="P2790" i="1" s="1"/>
  <c r="N2791" i="1"/>
  <c r="P2791" i="1" s="1"/>
  <c r="N2792" i="1"/>
  <c r="P2792" i="1" s="1"/>
  <c r="N2793" i="1"/>
  <c r="P2793" i="1" s="1"/>
  <c r="Q2793" i="1" s="1"/>
  <c r="R2793" i="1" s="1"/>
  <c r="N2794" i="1"/>
  <c r="P2794" i="1" s="1"/>
  <c r="N2795" i="1"/>
  <c r="P2795" i="1" s="1"/>
  <c r="N2796" i="1"/>
  <c r="P2796" i="1" s="1"/>
  <c r="N2797" i="1"/>
  <c r="P2797" i="1" s="1"/>
  <c r="N2798" i="1"/>
  <c r="P2798" i="1" s="1"/>
  <c r="N2799" i="1"/>
  <c r="P2799" i="1" s="1"/>
  <c r="N2800" i="1"/>
  <c r="P2800" i="1" s="1"/>
  <c r="N2801" i="1"/>
  <c r="P2801" i="1" s="1"/>
  <c r="Q2801" i="1" s="1"/>
  <c r="R2801" i="1" s="1"/>
  <c r="N2802" i="1"/>
  <c r="P2802" i="1" s="1"/>
  <c r="N2803" i="1"/>
  <c r="P2803" i="1" s="1"/>
  <c r="N2804" i="1"/>
  <c r="P2804" i="1" s="1"/>
  <c r="N2805" i="1"/>
  <c r="P2805" i="1" s="1"/>
  <c r="N2806" i="1"/>
  <c r="P2806" i="1" s="1"/>
  <c r="N2807" i="1"/>
  <c r="P2807" i="1" s="1"/>
  <c r="N2808" i="1"/>
  <c r="P2808" i="1" s="1"/>
  <c r="N2809" i="1"/>
  <c r="P2809" i="1" s="1"/>
  <c r="Q2809" i="1" s="1"/>
  <c r="R2809" i="1" s="1"/>
  <c r="N2810" i="1"/>
  <c r="P2810" i="1" s="1"/>
  <c r="N2811" i="1"/>
  <c r="P2811" i="1" s="1"/>
  <c r="N2812" i="1"/>
  <c r="P2812" i="1" s="1"/>
  <c r="N2813" i="1"/>
  <c r="P2813" i="1" s="1"/>
  <c r="N2814" i="1"/>
  <c r="P2814" i="1" s="1"/>
  <c r="N2815" i="1"/>
  <c r="P2815" i="1" s="1"/>
  <c r="N2816" i="1"/>
  <c r="P2816" i="1" s="1"/>
  <c r="N2817" i="1"/>
  <c r="P2817" i="1" s="1"/>
  <c r="Q2817" i="1" s="1"/>
  <c r="R2817" i="1" s="1"/>
  <c r="N2818" i="1"/>
  <c r="P2818" i="1" s="1"/>
  <c r="N2819" i="1"/>
  <c r="P2819" i="1" s="1"/>
  <c r="N2820" i="1"/>
  <c r="P2820" i="1" s="1"/>
  <c r="N2821" i="1"/>
  <c r="P2821" i="1" s="1"/>
  <c r="N2822" i="1"/>
  <c r="P2822" i="1" s="1"/>
  <c r="N2823" i="1"/>
  <c r="P2823" i="1" s="1"/>
  <c r="N2824" i="1"/>
  <c r="P2824" i="1" s="1"/>
  <c r="N2825" i="1"/>
  <c r="P2825" i="1" s="1"/>
  <c r="Q2825" i="1" s="1"/>
  <c r="R2825" i="1" s="1"/>
  <c r="N2826" i="1"/>
  <c r="P2826" i="1" s="1"/>
  <c r="N2827" i="1"/>
  <c r="P2827" i="1" s="1"/>
  <c r="N2828" i="1"/>
  <c r="P2828" i="1" s="1"/>
  <c r="N2829" i="1"/>
  <c r="P2829" i="1" s="1"/>
  <c r="N2830" i="1"/>
  <c r="P2830" i="1" s="1"/>
  <c r="N2831" i="1"/>
  <c r="P2831" i="1" s="1"/>
  <c r="N2832" i="1"/>
  <c r="P2832" i="1" s="1"/>
  <c r="N2833" i="1"/>
  <c r="P2833" i="1" s="1"/>
  <c r="Q2833" i="1" s="1"/>
  <c r="R2833" i="1" s="1"/>
  <c r="N2834" i="1"/>
  <c r="P2834" i="1" s="1"/>
  <c r="N2835" i="1"/>
  <c r="P2835" i="1" s="1"/>
  <c r="N2836" i="1"/>
  <c r="P2836" i="1" s="1"/>
  <c r="N2837" i="1"/>
  <c r="P2837" i="1" s="1"/>
  <c r="Q2837" i="1" l="1"/>
  <c r="R2837" i="1" s="1"/>
  <c r="Q2836" i="1"/>
  <c r="R2836" i="1" s="1"/>
  <c r="Q2835" i="1"/>
  <c r="R2835" i="1" s="1"/>
  <c r="Q2834" i="1"/>
  <c r="R2834" i="1" s="1"/>
  <c r="Q2832" i="1"/>
  <c r="R2832" i="1" s="1"/>
  <c r="Q2831" i="1"/>
  <c r="R2831" i="1" s="1"/>
  <c r="Q2830" i="1"/>
  <c r="R2830" i="1" s="1"/>
  <c r="Q2829" i="1"/>
  <c r="R2829" i="1" s="1"/>
  <c r="Q2828" i="1"/>
  <c r="R2828" i="1" s="1"/>
  <c r="Q2827" i="1"/>
  <c r="R2827" i="1" s="1"/>
  <c r="Q2826" i="1"/>
  <c r="R2826" i="1" s="1"/>
  <c r="Q2824" i="1"/>
  <c r="R2824" i="1" s="1"/>
  <c r="Q2823" i="1"/>
  <c r="R2823" i="1" s="1"/>
  <c r="Q2822" i="1"/>
  <c r="R2822" i="1" s="1"/>
  <c r="Q2821" i="1"/>
  <c r="R2821" i="1" s="1"/>
  <c r="Q2820" i="1"/>
  <c r="R2820" i="1" s="1"/>
  <c r="Q2819" i="1"/>
  <c r="R2819" i="1" s="1"/>
  <c r="Q2818" i="1"/>
  <c r="R2818" i="1" s="1"/>
  <c r="Q2816" i="1"/>
  <c r="R2816" i="1" s="1"/>
  <c r="Q2815" i="1"/>
  <c r="R2815" i="1" s="1"/>
  <c r="Q2814" i="1"/>
  <c r="R2814" i="1" s="1"/>
  <c r="Q2813" i="1"/>
  <c r="R2813" i="1" s="1"/>
  <c r="Q2812" i="1"/>
  <c r="R2812" i="1" s="1"/>
  <c r="Q2811" i="1"/>
  <c r="R2811" i="1" s="1"/>
  <c r="Q2810" i="1"/>
  <c r="R2810" i="1" s="1"/>
  <c r="Q2808" i="1"/>
  <c r="R2808" i="1" s="1"/>
  <c r="Q2807" i="1"/>
  <c r="R2807" i="1" s="1"/>
  <c r="Q2806" i="1"/>
  <c r="R2806" i="1" s="1"/>
  <c r="Q2805" i="1"/>
  <c r="R2805" i="1" s="1"/>
  <c r="Q2804" i="1"/>
  <c r="R2804" i="1" s="1"/>
  <c r="Q2803" i="1"/>
  <c r="R2803" i="1" s="1"/>
  <c r="Q2802" i="1"/>
  <c r="R2802" i="1" s="1"/>
  <c r="Q2800" i="1"/>
  <c r="R2800" i="1" s="1"/>
  <c r="Q2799" i="1"/>
  <c r="R2799" i="1" s="1"/>
  <c r="Q2798" i="1"/>
  <c r="R2798" i="1" s="1"/>
  <c r="Q2797" i="1"/>
  <c r="R2797" i="1" s="1"/>
  <c r="Q2796" i="1"/>
  <c r="R2796" i="1" s="1"/>
  <c r="Q2795" i="1"/>
  <c r="R2795" i="1" s="1"/>
  <c r="Q2794" i="1"/>
  <c r="R2794" i="1" s="1"/>
  <c r="Q2792" i="1"/>
  <c r="R2792" i="1" s="1"/>
  <c r="Q2791" i="1"/>
  <c r="R2791" i="1" s="1"/>
  <c r="Q2790" i="1"/>
  <c r="R2790" i="1" s="1"/>
  <c r="Q2789" i="1"/>
  <c r="R2789" i="1" s="1"/>
  <c r="Q2788" i="1"/>
  <c r="R2788" i="1" s="1"/>
  <c r="Q2787" i="1"/>
  <c r="R2787" i="1" s="1"/>
  <c r="Q2786" i="1"/>
  <c r="R2786" i="1" s="1"/>
  <c r="Q2784" i="1"/>
  <c r="R2784" i="1" s="1"/>
  <c r="Q2783" i="1"/>
  <c r="R2783" i="1" s="1"/>
  <c r="Q2782" i="1"/>
  <c r="R2782" i="1" s="1"/>
  <c r="Q2781" i="1"/>
  <c r="R2781" i="1" s="1"/>
  <c r="Q2780" i="1"/>
  <c r="R2780" i="1" s="1"/>
  <c r="Q2779" i="1"/>
  <c r="R2779" i="1" s="1"/>
  <c r="Q2778" i="1"/>
  <c r="R2778" i="1" s="1"/>
  <c r="Q2776" i="1"/>
  <c r="R2776" i="1" s="1"/>
  <c r="Q2775" i="1"/>
  <c r="R2775" i="1" s="1"/>
  <c r="Q2774" i="1"/>
  <c r="R2774" i="1" s="1"/>
  <c r="Q2773" i="1"/>
  <c r="R2773" i="1" s="1"/>
  <c r="Q2772" i="1"/>
  <c r="R2772" i="1" s="1"/>
  <c r="Q2771" i="1"/>
  <c r="R2771" i="1" s="1"/>
  <c r="Q2770" i="1"/>
  <c r="R2770" i="1" s="1"/>
  <c r="Q2768" i="1"/>
  <c r="R2768" i="1" s="1"/>
  <c r="Q2767" i="1"/>
  <c r="R2767" i="1" s="1"/>
  <c r="Q2766" i="1"/>
  <c r="R2766" i="1" s="1"/>
  <c r="Q2765" i="1"/>
  <c r="R2765" i="1" s="1"/>
  <c r="Q2764" i="1"/>
  <c r="R2764" i="1" s="1"/>
  <c r="Q2763" i="1"/>
  <c r="R2763" i="1" s="1"/>
  <c r="Q2762" i="1"/>
  <c r="R2762" i="1" s="1"/>
  <c r="Q2760" i="1"/>
  <c r="R2760" i="1" s="1"/>
  <c r="Q2759" i="1"/>
  <c r="R2759" i="1" s="1"/>
  <c r="Q2758" i="1"/>
  <c r="R2758" i="1" s="1"/>
  <c r="Q2757" i="1"/>
  <c r="R2757" i="1" s="1"/>
  <c r="Q2756" i="1"/>
  <c r="R2756" i="1" s="1"/>
  <c r="Q2755" i="1"/>
  <c r="R2755" i="1" s="1"/>
  <c r="Q2754" i="1"/>
  <c r="R2754" i="1" s="1"/>
  <c r="Q2752" i="1"/>
  <c r="R2752" i="1" s="1"/>
  <c r="Q2751" i="1"/>
  <c r="R2751" i="1" s="1"/>
  <c r="Q2750" i="1"/>
  <c r="R2750" i="1" s="1"/>
  <c r="Q2749" i="1"/>
  <c r="R2749" i="1" s="1"/>
  <c r="Q2748" i="1"/>
  <c r="R2748" i="1" s="1"/>
  <c r="Q2747" i="1"/>
  <c r="R2747" i="1" s="1"/>
  <c r="Q2746" i="1"/>
  <c r="R2746" i="1" s="1"/>
  <c r="Q2744" i="1"/>
  <c r="R2744" i="1" s="1"/>
  <c r="Q2743" i="1"/>
  <c r="R2743" i="1" s="1"/>
  <c r="Q2742" i="1"/>
  <c r="R2742" i="1" s="1"/>
  <c r="Q2741" i="1"/>
  <c r="R2741" i="1" s="1"/>
  <c r="Q2740" i="1"/>
  <c r="R2740" i="1" s="1"/>
  <c r="Q2739" i="1"/>
  <c r="R2739" i="1" s="1"/>
  <c r="Q2738" i="1"/>
  <c r="R2738" i="1" s="1"/>
  <c r="Q2736" i="1"/>
  <c r="R2736" i="1" s="1"/>
  <c r="Q2735" i="1"/>
  <c r="R2735" i="1" s="1"/>
  <c r="Q2734" i="1"/>
  <c r="R2734" i="1" s="1"/>
  <c r="Q2733" i="1"/>
  <c r="R2733" i="1" s="1"/>
  <c r="Q2732" i="1"/>
  <c r="R2732" i="1" s="1"/>
  <c r="Q2731" i="1"/>
  <c r="R2731" i="1" s="1"/>
  <c r="Q2730" i="1"/>
  <c r="R2730" i="1" s="1"/>
  <c r="Q2728" i="1"/>
  <c r="R2728" i="1" s="1"/>
  <c r="Q2727" i="1"/>
  <c r="R2727" i="1" s="1"/>
  <c r="Q2726" i="1"/>
  <c r="R2726" i="1" s="1"/>
  <c r="Q2725" i="1"/>
  <c r="R2725" i="1" s="1"/>
  <c r="Q2724" i="1"/>
  <c r="R2724" i="1" s="1"/>
  <c r="Q2723" i="1"/>
  <c r="R2723" i="1" s="1"/>
  <c r="Q2722" i="1"/>
  <c r="R2722" i="1" s="1"/>
  <c r="Q2720" i="1"/>
  <c r="R2720" i="1" s="1"/>
  <c r="Q2719" i="1"/>
  <c r="R2719" i="1" s="1"/>
  <c r="Q2718" i="1"/>
  <c r="R2718" i="1" s="1"/>
  <c r="Q2717" i="1"/>
  <c r="R2717" i="1" s="1"/>
  <c r="Q2716" i="1"/>
  <c r="R2716" i="1" s="1"/>
  <c r="Q2715" i="1"/>
  <c r="R2715" i="1" s="1"/>
  <c r="Q2714" i="1"/>
  <c r="R2714" i="1" s="1"/>
  <c r="Q2712" i="1"/>
  <c r="R2712" i="1" s="1"/>
  <c r="Q2711" i="1"/>
  <c r="R2711" i="1" s="1"/>
  <c r="Q2710" i="1"/>
  <c r="R2710" i="1" s="1"/>
  <c r="Q2709" i="1"/>
  <c r="R2709" i="1" s="1"/>
  <c r="Q2708" i="1"/>
  <c r="R2708" i="1" s="1"/>
  <c r="Q2707" i="1"/>
  <c r="R2707" i="1" s="1"/>
  <c r="Q2706" i="1"/>
  <c r="R2706" i="1" s="1"/>
  <c r="Q2704" i="1"/>
  <c r="R2704" i="1" s="1"/>
  <c r="Q2703" i="1"/>
  <c r="R2703" i="1" s="1"/>
  <c r="Q2702" i="1"/>
  <c r="R2702" i="1" s="1"/>
  <c r="Q2701" i="1"/>
  <c r="R2701" i="1" s="1"/>
  <c r="Q2700" i="1"/>
  <c r="R2700" i="1" s="1"/>
  <c r="Q2699" i="1"/>
  <c r="R2699" i="1" s="1"/>
  <c r="Q2698" i="1"/>
  <c r="R2698" i="1" s="1"/>
  <c r="Q2696" i="1"/>
  <c r="R2696" i="1" s="1"/>
  <c r="Q2695" i="1"/>
  <c r="R2695" i="1" s="1"/>
  <c r="Q2694" i="1"/>
  <c r="R2694" i="1" s="1"/>
  <c r="Q2693" i="1"/>
  <c r="R2693" i="1" s="1"/>
  <c r="Q2692" i="1"/>
  <c r="R2692" i="1" s="1"/>
  <c r="Q2691" i="1"/>
  <c r="R2691" i="1" s="1"/>
  <c r="Q2690" i="1"/>
  <c r="R2690" i="1" s="1"/>
  <c r="Q2688" i="1"/>
  <c r="R2688" i="1" s="1"/>
  <c r="Q2687" i="1"/>
  <c r="R2687" i="1" s="1"/>
  <c r="Q2686" i="1"/>
  <c r="R2686" i="1" s="1"/>
  <c r="Q2685" i="1"/>
  <c r="R2685" i="1" s="1"/>
  <c r="Q2684" i="1"/>
  <c r="R2684" i="1" s="1"/>
  <c r="Q2683" i="1"/>
  <c r="R2683" i="1" s="1"/>
  <c r="Q2682" i="1"/>
  <c r="R2682" i="1" s="1"/>
  <c r="Q2680" i="1"/>
  <c r="R2680" i="1" s="1"/>
  <c r="Q2679" i="1"/>
  <c r="R2679" i="1" s="1"/>
  <c r="Q2678" i="1"/>
  <c r="R2678" i="1" s="1"/>
  <c r="Q2677" i="1"/>
  <c r="R2677" i="1" s="1"/>
  <c r="Q2676" i="1"/>
  <c r="R2676" i="1" s="1"/>
  <c r="Q2675" i="1"/>
  <c r="R2675" i="1" s="1"/>
  <c r="Q2674" i="1"/>
  <c r="R2674" i="1" s="1"/>
  <c r="Q2672" i="1"/>
  <c r="R2672" i="1" s="1"/>
  <c r="Q2671" i="1"/>
  <c r="R2671" i="1" s="1"/>
  <c r="Q2670" i="1"/>
  <c r="R2670" i="1" s="1"/>
  <c r="Q2669" i="1"/>
  <c r="R2669" i="1" s="1"/>
  <c r="Q2668" i="1"/>
  <c r="R2668" i="1" s="1"/>
  <c r="Q2667" i="1"/>
  <c r="R2667" i="1" s="1"/>
  <c r="Q2666" i="1"/>
  <c r="R2666" i="1" s="1"/>
  <c r="Q2664" i="1"/>
  <c r="R2664" i="1" s="1"/>
  <c r="Q2663" i="1"/>
  <c r="R2663" i="1" s="1"/>
  <c r="Q2662" i="1"/>
  <c r="R2662" i="1" s="1"/>
  <c r="Q2661" i="1"/>
  <c r="R2661" i="1" s="1"/>
  <c r="Q2660" i="1"/>
  <c r="R2660" i="1" s="1"/>
  <c r="Q2659" i="1"/>
  <c r="R2659" i="1" s="1"/>
  <c r="Q2658" i="1"/>
  <c r="R2658" i="1" s="1"/>
  <c r="Q2656" i="1"/>
  <c r="R2656" i="1" s="1"/>
  <c r="Q2655" i="1"/>
  <c r="R2655" i="1" s="1"/>
  <c r="Q2654" i="1"/>
  <c r="R2654" i="1" s="1"/>
  <c r="Q2653" i="1"/>
  <c r="R2653" i="1" s="1"/>
  <c r="Q2652" i="1"/>
  <c r="R2652" i="1" s="1"/>
  <c r="Q2651" i="1"/>
  <c r="R2651" i="1" s="1"/>
  <c r="Q2650" i="1"/>
  <c r="R2650" i="1" s="1"/>
  <c r="Q2648" i="1"/>
  <c r="R2648" i="1" s="1"/>
  <c r="Q2647" i="1"/>
  <c r="R2647" i="1" s="1"/>
  <c r="Q2646" i="1"/>
  <c r="R2646" i="1" s="1"/>
  <c r="Q2645" i="1"/>
  <c r="R2645" i="1" s="1"/>
  <c r="Q2644" i="1"/>
  <c r="R2644" i="1" s="1"/>
  <c r="Q2643" i="1"/>
  <c r="R2643" i="1" s="1"/>
  <c r="Q2642" i="1"/>
  <c r="R2642" i="1" s="1"/>
  <c r="Q2640" i="1"/>
  <c r="R2640" i="1" s="1"/>
  <c r="Q2639" i="1"/>
  <c r="R2639" i="1" s="1"/>
  <c r="Q2638" i="1"/>
  <c r="R2638" i="1" s="1"/>
  <c r="Q2637" i="1"/>
  <c r="R2637" i="1" s="1"/>
  <c r="Q2636" i="1"/>
  <c r="R2636" i="1" s="1"/>
  <c r="Q2635" i="1"/>
  <c r="R2635" i="1" s="1"/>
  <c r="Q2634" i="1"/>
  <c r="R2634" i="1" s="1"/>
  <c r="Q2632" i="1"/>
  <c r="R2632" i="1" s="1"/>
  <c r="Q2631" i="1"/>
  <c r="R2631" i="1" s="1"/>
  <c r="Q2630" i="1"/>
  <c r="R2630" i="1" s="1"/>
  <c r="Q2629" i="1"/>
  <c r="R2629" i="1" s="1"/>
  <c r="Q2628" i="1"/>
  <c r="R2628" i="1" s="1"/>
  <c r="Q2627" i="1"/>
  <c r="R2627" i="1" s="1"/>
  <c r="Q2626" i="1"/>
  <c r="R2626" i="1" s="1"/>
  <c r="Q2624" i="1"/>
  <c r="R2624" i="1" s="1"/>
  <c r="Q2623" i="1"/>
  <c r="R2623" i="1" s="1"/>
  <c r="Q2622" i="1"/>
  <c r="R2622" i="1" s="1"/>
  <c r="Q2621" i="1"/>
  <c r="R2621" i="1" s="1"/>
  <c r="Q2620" i="1"/>
  <c r="R2620" i="1" s="1"/>
  <c r="Q2619" i="1"/>
  <c r="R2619" i="1" s="1"/>
  <c r="Q2618" i="1"/>
  <c r="R2618" i="1" s="1"/>
  <c r="Q2616" i="1"/>
  <c r="R2616" i="1" s="1"/>
  <c r="Q2615" i="1"/>
  <c r="R2615" i="1" s="1"/>
  <c r="Q2614" i="1"/>
  <c r="R2614" i="1" s="1"/>
  <c r="Q2613" i="1"/>
  <c r="R2613" i="1" s="1"/>
  <c r="Q2612" i="1"/>
  <c r="R2612" i="1" s="1"/>
  <c r="Q2611" i="1"/>
  <c r="R2611" i="1" s="1"/>
  <c r="Q2610" i="1"/>
  <c r="R2610" i="1" s="1"/>
  <c r="Q2608" i="1"/>
  <c r="R2608" i="1" s="1"/>
  <c r="Q2607" i="1"/>
  <c r="R2607" i="1" s="1"/>
  <c r="Q2606" i="1"/>
  <c r="R2606" i="1" s="1"/>
  <c r="Q2605" i="1"/>
  <c r="R2605" i="1" s="1"/>
  <c r="Q2604" i="1"/>
  <c r="R2604" i="1" s="1"/>
  <c r="Q2603" i="1"/>
  <c r="R2603" i="1" s="1"/>
  <c r="Q2602" i="1"/>
  <c r="R2602" i="1" s="1"/>
  <c r="Q2600" i="1"/>
  <c r="R2600" i="1" s="1"/>
  <c r="Q2599" i="1"/>
  <c r="R2599" i="1" s="1"/>
  <c r="Q2598" i="1"/>
  <c r="R2598" i="1" s="1"/>
  <c r="Q2597" i="1"/>
  <c r="R2597" i="1" s="1"/>
  <c r="Q2596" i="1"/>
  <c r="R2596" i="1" s="1"/>
  <c r="Q2595" i="1"/>
  <c r="R2595" i="1" s="1"/>
  <c r="Q2594" i="1"/>
  <c r="R2594" i="1" s="1"/>
  <c r="Q2592" i="1"/>
  <c r="R2592" i="1" s="1"/>
  <c r="Q2591" i="1"/>
  <c r="R2591" i="1" s="1"/>
  <c r="Q2590" i="1"/>
  <c r="R2590" i="1" s="1"/>
  <c r="Q2589" i="1"/>
  <c r="R2589" i="1" s="1"/>
  <c r="Q2588" i="1"/>
  <c r="R2588" i="1" s="1"/>
  <c r="Q2587" i="1"/>
  <c r="R2587" i="1" s="1"/>
  <c r="Q2586" i="1"/>
  <c r="R2586" i="1" s="1"/>
  <c r="Q2584" i="1"/>
  <c r="R2584" i="1" s="1"/>
  <c r="Q2583" i="1"/>
  <c r="R2583" i="1" s="1"/>
  <c r="Q2582" i="1"/>
  <c r="R2582" i="1" s="1"/>
  <c r="Q2581" i="1"/>
  <c r="R2581" i="1" s="1"/>
  <c r="Q2580" i="1"/>
  <c r="R2580" i="1" s="1"/>
  <c r="Q2579" i="1"/>
  <c r="R2579" i="1" s="1"/>
  <c r="Q2578" i="1"/>
  <c r="R2578" i="1" s="1"/>
  <c r="Q2576" i="1"/>
  <c r="R2576" i="1" s="1"/>
  <c r="Q2575" i="1"/>
  <c r="R2575" i="1" s="1"/>
  <c r="Q2574" i="1"/>
  <c r="R2574" i="1" s="1"/>
  <c r="Q2573" i="1"/>
  <c r="R2573" i="1" s="1"/>
  <c r="Q2572" i="1"/>
  <c r="R2572" i="1" s="1"/>
  <c r="Q2571" i="1"/>
  <c r="R2571" i="1" s="1"/>
  <c r="Q2570" i="1"/>
  <c r="R2570" i="1" s="1"/>
  <c r="Q2568" i="1"/>
  <c r="R2568" i="1" s="1"/>
  <c r="Q2567" i="1"/>
  <c r="R2567" i="1" s="1"/>
  <c r="Q2566" i="1"/>
  <c r="R2566" i="1" s="1"/>
  <c r="Q2565" i="1"/>
  <c r="R2565" i="1" s="1"/>
  <c r="Q2564" i="1"/>
  <c r="R2564" i="1" s="1"/>
  <c r="Q2563" i="1"/>
  <c r="R2563" i="1" s="1"/>
  <c r="Q2562" i="1"/>
  <c r="R2562" i="1" s="1"/>
  <c r="Q2560" i="1"/>
  <c r="R2560" i="1" s="1"/>
  <c r="Q2559" i="1"/>
  <c r="R2559" i="1" s="1"/>
  <c r="Q2558" i="1"/>
  <c r="R2558" i="1" s="1"/>
  <c r="Q2557" i="1"/>
  <c r="R2557" i="1" s="1"/>
  <c r="Q2556" i="1"/>
  <c r="R2556" i="1" s="1"/>
  <c r="Q2555" i="1"/>
  <c r="R2555" i="1" s="1"/>
  <c r="Q2554" i="1"/>
  <c r="R2554" i="1" s="1"/>
  <c r="Q2552" i="1"/>
  <c r="R2552" i="1" s="1"/>
  <c r="Q2551" i="1"/>
  <c r="R2551" i="1" s="1"/>
  <c r="Q2550" i="1"/>
  <c r="R2550" i="1" s="1"/>
  <c r="Q2549" i="1"/>
  <c r="R2549" i="1" s="1"/>
  <c r="Q2548" i="1"/>
  <c r="R2548" i="1" s="1"/>
  <c r="Q2547" i="1"/>
  <c r="R2547" i="1" s="1"/>
  <c r="Q2546" i="1"/>
  <c r="R2546" i="1" s="1"/>
  <c r="Q2544" i="1"/>
  <c r="R2544" i="1" s="1"/>
  <c r="Q2543" i="1"/>
  <c r="R2543" i="1" s="1"/>
  <c r="Q2542" i="1"/>
  <c r="R2542" i="1" s="1"/>
  <c r="Q2541" i="1"/>
  <c r="R2541" i="1" s="1"/>
  <c r="Q2540" i="1"/>
  <c r="R2540" i="1" s="1"/>
  <c r="Q2539" i="1"/>
  <c r="R2539" i="1" s="1"/>
  <c r="Q2538" i="1"/>
  <c r="R2538" i="1" s="1"/>
  <c r="Q2536" i="1"/>
  <c r="R2536" i="1" s="1"/>
  <c r="Q2535" i="1"/>
  <c r="R2535" i="1" s="1"/>
  <c r="Q2534" i="1"/>
  <c r="R2534" i="1" s="1"/>
  <c r="Q2533" i="1"/>
  <c r="R2533" i="1" s="1"/>
  <c r="Q2532" i="1"/>
  <c r="R2532" i="1" s="1"/>
  <c r="Q2531" i="1"/>
  <c r="R2531" i="1" s="1"/>
  <c r="Q2530" i="1"/>
  <c r="R2530" i="1" s="1"/>
  <c r="Q2528" i="1"/>
  <c r="R2528" i="1" s="1"/>
  <c r="Q2527" i="1"/>
  <c r="R2527" i="1" s="1"/>
  <c r="Q2526" i="1"/>
  <c r="R2526" i="1" s="1"/>
  <c r="Q2525" i="1"/>
  <c r="R2525" i="1" s="1"/>
  <c r="Q2524" i="1"/>
  <c r="R2524" i="1" s="1"/>
  <c r="Q2523" i="1"/>
  <c r="R2523" i="1" s="1"/>
  <c r="Q2522" i="1"/>
  <c r="R2522" i="1" s="1"/>
  <c r="Q2520" i="1"/>
  <c r="R2520" i="1" s="1"/>
  <c r="Q2519" i="1"/>
  <c r="R2519" i="1" s="1"/>
  <c r="Q2518" i="1"/>
  <c r="R2518" i="1" s="1"/>
  <c r="Q2517" i="1"/>
  <c r="R2517" i="1" s="1"/>
  <c r="Q2516" i="1"/>
  <c r="R2516" i="1" s="1"/>
  <c r="Q2515" i="1"/>
  <c r="R2515" i="1" s="1"/>
  <c r="Q2514" i="1"/>
  <c r="R2514" i="1" s="1"/>
  <c r="Q2512" i="1"/>
  <c r="R2512" i="1" s="1"/>
  <c r="Q2511" i="1"/>
  <c r="R2511" i="1" s="1"/>
  <c r="Q2510" i="1"/>
  <c r="R2510" i="1" s="1"/>
  <c r="Q2509" i="1"/>
  <c r="R2509" i="1" s="1"/>
  <c r="Q2508" i="1"/>
  <c r="R2508" i="1" s="1"/>
  <c r="Q2507" i="1"/>
  <c r="R2507" i="1" s="1"/>
  <c r="Q2506" i="1"/>
  <c r="R2506" i="1" s="1"/>
  <c r="Q2504" i="1"/>
  <c r="R2504" i="1" s="1"/>
  <c r="Q2503" i="1"/>
  <c r="R2503" i="1" s="1"/>
  <c r="Q2502" i="1"/>
  <c r="R2502" i="1" s="1"/>
  <c r="Q2501" i="1"/>
  <c r="R2501" i="1" s="1"/>
  <c r="Q2500" i="1"/>
  <c r="R2500" i="1" s="1"/>
  <c r="Q2499" i="1"/>
  <c r="R2499" i="1" s="1"/>
  <c r="Q2498" i="1"/>
  <c r="R2498" i="1" s="1"/>
  <c r="Q2496" i="1"/>
  <c r="R2496" i="1" s="1"/>
  <c r="Q2495" i="1"/>
  <c r="R2495" i="1" s="1"/>
  <c r="Q2494" i="1"/>
  <c r="R2494" i="1" s="1"/>
  <c r="Q2493" i="1"/>
  <c r="R2493" i="1" s="1"/>
  <c r="Q2492" i="1"/>
  <c r="R2492" i="1" s="1"/>
  <c r="Q2491" i="1"/>
  <c r="R2491" i="1" s="1"/>
  <c r="Q2490" i="1"/>
  <c r="R2490" i="1" s="1"/>
  <c r="Q2488" i="1"/>
  <c r="R2488" i="1" s="1"/>
  <c r="Q2487" i="1"/>
  <c r="R2487" i="1" s="1"/>
  <c r="Q2486" i="1"/>
  <c r="R2486" i="1" s="1"/>
  <c r="Q2485" i="1"/>
  <c r="R2485" i="1" s="1"/>
  <c r="Q2484" i="1"/>
  <c r="R2484" i="1" s="1"/>
  <c r="Q2483" i="1"/>
  <c r="R2483" i="1" s="1"/>
  <c r="Q2482" i="1"/>
  <c r="R2482" i="1" s="1"/>
  <c r="Q2480" i="1"/>
  <c r="R2480" i="1" s="1"/>
  <c r="Q2479" i="1"/>
  <c r="R2479" i="1" s="1"/>
  <c r="Q2478" i="1"/>
  <c r="R2478" i="1" s="1"/>
  <c r="Q2477" i="1"/>
  <c r="R2477" i="1" s="1"/>
  <c r="Q2476" i="1"/>
  <c r="R2476" i="1" s="1"/>
  <c r="Q2475" i="1"/>
  <c r="R2475" i="1" s="1"/>
  <c r="Q2474" i="1"/>
  <c r="R2474" i="1" s="1"/>
  <c r="Q2472" i="1"/>
  <c r="R2472" i="1" s="1"/>
  <c r="Q2471" i="1"/>
  <c r="R2471" i="1" s="1"/>
  <c r="Q2470" i="1"/>
  <c r="R2470" i="1" s="1"/>
  <c r="Q2469" i="1"/>
  <c r="R2469" i="1" s="1"/>
  <c r="Q2468" i="1"/>
  <c r="R2468" i="1" s="1"/>
  <c r="Q2467" i="1"/>
  <c r="R2467" i="1" s="1"/>
  <c r="Q2466" i="1"/>
  <c r="R2466" i="1" s="1"/>
  <c r="Q2464" i="1"/>
  <c r="R2464" i="1" s="1"/>
  <c r="Q2463" i="1"/>
  <c r="R2463" i="1" s="1"/>
  <c r="Q2462" i="1"/>
  <c r="R2462" i="1" s="1"/>
  <c r="Q2461" i="1"/>
  <c r="R2461" i="1" s="1"/>
  <c r="Q2460" i="1"/>
  <c r="R2460" i="1" s="1"/>
  <c r="Q2459" i="1"/>
  <c r="R2459" i="1" s="1"/>
  <c r="Q2458" i="1"/>
  <c r="R2458" i="1" s="1"/>
  <c r="Q2456" i="1"/>
  <c r="R2456" i="1" s="1"/>
  <c r="Q2455" i="1"/>
  <c r="R2455" i="1" s="1"/>
  <c r="Q2454" i="1"/>
  <c r="R2454" i="1" s="1"/>
  <c r="Q2453" i="1"/>
  <c r="R2453" i="1" s="1"/>
  <c r="Q2452" i="1"/>
  <c r="R2452" i="1" s="1"/>
  <c r="Q2451" i="1"/>
  <c r="R2451" i="1" s="1"/>
  <c r="Q2450" i="1"/>
  <c r="R2450" i="1" s="1"/>
  <c r="Q2448" i="1"/>
  <c r="R2448" i="1" s="1"/>
  <c r="Q2447" i="1"/>
  <c r="R2447" i="1" s="1"/>
  <c r="Q2446" i="1"/>
  <c r="R2446" i="1" s="1"/>
  <c r="Q2445" i="1"/>
  <c r="R2445" i="1" s="1"/>
  <c r="Q2444" i="1"/>
  <c r="R2444" i="1" s="1"/>
  <c r="Q2443" i="1"/>
  <c r="R2443" i="1" s="1"/>
  <c r="Q2442" i="1"/>
  <c r="R2442" i="1" s="1"/>
  <c r="Q2440" i="1"/>
  <c r="R2440" i="1" s="1"/>
  <c r="Q2439" i="1"/>
  <c r="R2439" i="1" s="1"/>
  <c r="Q2438" i="1"/>
  <c r="R2438" i="1" s="1"/>
  <c r="Q2437" i="1"/>
  <c r="R2437" i="1" s="1"/>
  <c r="Q2436" i="1"/>
  <c r="R2436" i="1" s="1"/>
  <c r="Q2435" i="1"/>
  <c r="R2435" i="1" s="1"/>
  <c r="Q2434" i="1"/>
  <c r="R2434" i="1" s="1"/>
  <c r="Q2432" i="1"/>
  <c r="R2432" i="1" s="1"/>
  <c r="Q2431" i="1"/>
  <c r="R2431" i="1" s="1"/>
  <c r="Q2430" i="1"/>
  <c r="R2430" i="1" s="1"/>
  <c r="Q2429" i="1"/>
  <c r="R2429" i="1" s="1"/>
  <c r="Q2428" i="1"/>
  <c r="R2428" i="1" s="1"/>
  <c r="Q2427" i="1"/>
  <c r="R2427" i="1" s="1"/>
  <c r="Q2426" i="1"/>
  <c r="R2426" i="1" s="1"/>
  <c r="Q2424" i="1"/>
  <c r="R2424" i="1" s="1"/>
  <c r="Q2423" i="1"/>
  <c r="R2423" i="1" s="1"/>
  <c r="Q2422" i="1"/>
  <c r="R2422" i="1" s="1"/>
  <c r="Q2421" i="1"/>
  <c r="R2421" i="1" s="1"/>
  <c r="Q2420" i="1"/>
  <c r="R2420" i="1" s="1"/>
  <c r="Q2419" i="1"/>
  <c r="R2419" i="1" s="1"/>
  <c r="Q2418" i="1"/>
  <c r="R2418" i="1" s="1"/>
  <c r="Q2416" i="1"/>
  <c r="R2416" i="1" s="1"/>
  <c r="Q2415" i="1"/>
  <c r="R2415" i="1" s="1"/>
  <c r="Q2414" i="1"/>
  <c r="R2414" i="1" s="1"/>
  <c r="Q2413" i="1"/>
  <c r="R2413" i="1" s="1"/>
  <c r="Q2412" i="1"/>
  <c r="R2412" i="1" s="1"/>
  <c r="Q2411" i="1"/>
  <c r="R2411" i="1" s="1"/>
  <c r="Q2410" i="1"/>
  <c r="R2410" i="1" s="1"/>
  <c r="Q2408" i="1"/>
  <c r="R2408" i="1" s="1"/>
  <c r="Q2407" i="1"/>
  <c r="R2407" i="1" s="1"/>
  <c r="Q2406" i="1"/>
  <c r="R2406" i="1" s="1"/>
  <c r="Q2405" i="1"/>
  <c r="R2405" i="1" s="1"/>
  <c r="Q2404" i="1"/>
  <c r="R2404" i="1" s="1"/>
  <c r="Q2403" i="1"/>
  <c r="R2403" i="1" s="1"/>
  <c r="Q2402" i="1"/>
  <c r="R2402" i="1" s="1"/>
  <c r="Q2400" i="1"/>
  <c r="R2400" i="1" s="1"/>
  <c r="Q2399" i="1"/>
  <c r="R2399" i="1" s="1"/>
  <c r="Q2398" i="1"/>
  <c r="R2398" i="1" s="1"/>
  <c r="Q2397" i="1"/>
  <c r="R2397" i="1" s="1"/>
  <c r="Q2396" i="1"/>
  <c r="R2396" i="1" s="1"/>
  <c r="Q2395" i="1"/>
  <c r="R2395" i="1" s="1"/>
  <c r="Q2394" i="1"/>
  <c r="R2394" i="1" s="1"/>
  <c r="Q2392" i="1"/>
  <c r="R2392" i="1" s="1"/>
  <c r="Q2391" i="1"/>
  <c r="R2391" i="1" s="1"/>
  <c r="Q2390" i="1"/>
  <c r="R2390" i="1" s="1"/>
  <c r="Q2389" i="1"/>
  <c r="R2389" i="1" s="1"/>
  <c r="Q2388" i="1"/>
  <c r="R2388" i="1" s="1"/>
  <c r="Q2387" i="1"/>
  <c r="R2387" i="1" s="1"/>
  <c r="Q2386" i="1"/>
  <c r="R2386" i="1" s="1"/>
  <c r="Q2384" i="1"/>
  <c r="R2384" i="1" s="1"/>
  <c r="Q2383" i="1"/>
  <c r="R2383" i="1" s="1"/>
  <c r="Q2382" i="1"/>
  <c r="R2382" i="1" s="1"/>
  <c r="Q2381" i="1"/>
  <c r="R2381" i="1" s="1"/>
  <c r="Q2380" i="1"/>
  <c r="R2380" i="1" s="1"/>
  <c r="Q2379" i="1"/>
  <c r="R2379" i="1" s="1"/>
  <c r="Q2378" i="1"/>
  <c r="R2378" i="1" s="1"/>
  <c r="Q2376" i="1"/>
  <c r="R2376" i="1" s="1"/>
  <c r="Q2375" i="1"/>
  <c r="R2375" i="1" s="1"/>
  <c r="Q2374" i="1"/>
  <c r="R2374" i="1" s="1"/>
  <c r="Q2373" i="1"/>
  <c r="R2373" i="1" s="1"/>
  <c r="Q2372" i="1"/>
  <c r="R2372" i="1" s="1"/>
  <c r="Q2371" i="1"/>
  <c r="R2371" i="1" s="1"/>
  <c r="Q2370" i="1"/>
  <c r="R2370" i="1" s="1"/>
  <c r="Q2368" i="1"/>
  <c r="R2368" i="1" s="1"/>
  <c r="Q2367" i="1"/>
  <c r="R2367" i="1" s="1"/>
  <c r="Q2366" i="1"/>
  <c r="R2366" i="1" s="1"/>
  <c r="Q2365" i="1"/>
  <c r="R2365" i="1" s="1"/>
  <c r="Q2364" i="1"/>
  <c r="R2364" i="1" s="1"/>
  <c r="Q2363" i="1"/>
  <c r="R2363" i="1" s="1"/>
  <c r="Q2362" i="1"/>
  <c r="R2362" i="1" s="1"/>
  <c r="Q2360" i="1"/>
  <c r="R2360" i="1" s="1"/>
  <c r="Q2359" i="1"/>
  <c r="R2359" i="1" s="1"/>
  <c r="Q2358" i="1"/>
  <c r="R2358" i="1" s="1"/>
  <c r="Q2357" i="1"/>
  <c r="R2357" i="1" s="1"/>
  <c r="Q2356" i="1"/>
  <c r="R2356" i="1" s="1"/>
  <c r="Q2355" i="1"/>
  <c r="R2355" i="1" s="1"/>
  <c r="Q2354" i="1"/>
  <c r="R2354" i="1" s="1"/>
  <c r="Q2352" i="1"/>
  <c r="R2352" i="1" s="1"/>
  <c r="Q2351" i="1"/>
  <c r="R2351" i="1" s="1"/>
  <c r="Q2350" i="1"/>
  <c r="R2350" i="1" s="1"/>
  <c r="Q2349" i="1"/>
  <c r="R2349" i="1" s="1"/>
  <c r="Q2348" i="1"/>
  <c r="R2348" i="1" s="1"/>
  <c r="Q2347" i="1"/>
  <c r="R2347" i="1" s="1"/>
  <c r="Q2346" i="1"/>
  <c r="R2346" i="1" s="1"/>
  <c r="Q2344" i="1"/>
  <c r="R2344" i="1" s="1"/>
  <c r="Q2343" i="1"/>
  <c r="R2343" i="1" s="1"/>
  <c r="Q2342" i="1"/>
  <c r="R2342" i="1" s="1"/>
  <c r="Q2341" i="1"/>
  <c r="R2341" i="1" s="1"/>
  <c r="Q2340" i="1"/>
  <c r="R2340" i="1" s="1"/>
  <c r="Q2339" i="1"/>
  <c r="R2339" i="1" s="1"/>
  <c r="Q2338" i="1"/>
  <c r="R2338" i="1" s="1"/>
  <c r="Q2336" i="1"/>
  <c r="R2336" i="1" s="1"/>
  <c r="Q2335" i="1"/>
  <c r="R2335" i="1" s="1"/>
  <c r="Q2334" i="1"/>
  <c r="R2334" i="1" s="1"/>
  <c r="Q2333" i="1"/>
  <c r="R2333" i="1" s="1"/>
  <c r="Q2332" i="1"/>
  <c r="R2332" i="1" s="1"/>
  <c r="Q2331" i="1"/>
  <c r="R2331" i="1" s="1"/>
  <c r="Q2330" i="1"/>
  <c r="R2330" i="1" s="1"/>
  <c r="Q2328" i="1"/>
  <c r="R2328" i="1" s="1"/>
  <c r="Q2327" i="1"/>
  <c r="R2327" i="1" s="1"/>
  <c r="Q2326" i="1"/>
  <c r="R2326" i="1" s="1"/>
  <c r="Q2325" i="1"/>
  <c r="R2325" i="1" s="1"/>
  <c r="Q2324" i="1"/>
  <c r="R2324" i="1" s="1"/>
  <c r="Q2323" i="1"/>
  <c r="R2323" i="1" s="1"/>
  <c r="Q2322" i="1"/>
  <c r="R2322" i="1" s="1"/>
  <c r="Q2320" i="1"/>
  <c r="R2320" i="1" s="1"/>
  <c r="Q2319" i="1"/>
  <c r="R2319" i="1" s="1"/>
  <c r="Q2318" i="1"/>
  <c r="R2318" i="1" s="1"/>
  <c r="Q2317" i="1"/>
  <c r="R2317" i="1" s="1"/>
  <c r="Q2316" i="1"/>
  <c r="R2316" i="1" s="1"/>
  <c r="Q2315" i="1"/>
  <c r="R2315" i="1" s="1"/>
  <c r="Q2314" i="1"/>
  <c r="R2314" i="1" s="1"/>
  <c r="Q2312" i="1"/>
  <c r="R2312" i="1" s="1"/>
  <c r="Q2311" i="1"/>
  <c r="R2311" i="1" s="1"/>
  <c r="Q2310" i="1"/>
  <c r="R2310" i="1" s="1"/>
  <c r="Q2309" i="1"/>
  <c r="R2309" i="1" s="1"/>
  <c r="Q2308" i="1"/>
  <c r="R2308" i="1" s="1"/>
  <c r="Q2307" i="1"/>
  <c r="R2307" i="1" s="1"/>
  <c r="Q2306" i="1"/>
  <c r="R2306" i="1" s="1"/>
  <c r="Q2304" i="1"/>
  <c r="R2304" i="1" s="1"/>
  <c r="Q2303" i="1"/>
  <c r="R2303" i="1" s="1"/>
  <c r="Q2302" i="1"/>
  <c r="R2302" i="1" s="1"/>
  <c r="Q2301" i="1"/>
  <c r="R2301" i="1" s="1"/>
  <c r="Q2300" i="1"/>
  <c r="R2300" i="1" s="1"/>
  <c r="Q2299" i="1"/>
  <c r="R2299" i="1" s="1"/>
  <c r="Q2298" i="1"/>
  <c r="R2298" i="1" s="1"/>
  <c r="Q2296" i="1"/>
  <c r="R2296" i="1" s="1"/>
  <c r="Q2295" i="1"/>
  <c r="R2295" i="1" s="1"/>
  <c r="Q2294" i="1"/>
  <c r="R2294" i="1" s="1"/>
  <c r="Q2293" i="1"/>
  <c r="R2293" i="1" s="1"/>
  <c r="Q2292" i="1"/>
  <c r="R2292" i="1" s="1"/>
  <c r="Q2291" i="1"/>
  <c r="R2291" i="1" s="1"/>
  <c r="Q2290" i="1"/>
  <c r="R2290" i="1" s="1"/>
  <c r="Q2288" i="1"/>
  <c r="R2288" i="1" s="1"/>
  <c r="Q2287" i="1"/>
  <c r="R2287" i="1" s="1"/>
  <c r="Q2286" i="1"/>
  <c r="R2286" i="1" s="1"/>
  <c r="Q2285" i="1"/>
  <c r="R2285" i="1" s="1"/>
  <c r="Q2284" i="1"/>
  <c r="R2284" i="1" s="1"/>
  <c r="Q2283" i="1"/>
  <c r="R2283" i="1" s="1"/>
  <c r="Q2282" i="1"/>
  <c r="R2282" i="1" s="1"/>
  <c r="Q2280" i="1"/>
  <c r="R2280" i="1" s="1"/>
  <c r="Q2279" i="1"/>
  <c r="R2279" i="1" s="1"/>
  <c r="Q2278" i="1"/>
  <c r="R2278" i="1" s="1"/>
  <c r="Q2277" i="1"/>
  <c r="R2277" i="1" s="1"/>
  <c r="Q2276" i="1"/>
  <c r="R2276" i="1" s="1"/>
  <c r="Q2275" i="1"/>
  <c r="R2275" i="1" s="1"/>
  <c r="Q2274" i="1"/>
  <c r="R2274" i="1" s="1"/>
  <c r="Q2272" i="1"/>
  <c r="R2272" i="1" s="1"/>
  <c r="Q2271" i="1"/>
  <c r="R2271" i="1" s="1"/>
  <c r="Q2270" i="1"/>
  <c r="R2270" i="1" s="1"/>
  <c r="Q2269" i="1"/>
  <c r="R2269" i="1" s="1"/>
  <c r="Q2268" i="1"/>
  <c r="R2268" i="1" s="1"/>
  <c r="Q2267" i="1"/>
  <c r="R2267" i="1" s="1"/>
  <c r="Q2266" i="1"/>
  <c r="R2266" i="1" s="1"/>
  <c r="Q2264" i="1"/>
  <c r="R2264" i="1" s="1"/>
  <c r="Q2263" i="1"/>
  <c r="R2263" i="1" s="1"/>
  <c r="Q2262" i="1"/>
  <c r="R2262" i="1" s="1"/>
  <c r="Q2261" i="1"/>
  <c r="R2261" i="1" s="1"/>
  <c r="Q2260" i="1"/>
  <c r="R2260" i="1" s="1"/>
  <c r="Q2259" i="1"/>
  <c r="R2259" i="1" s="1"/>
  <c r="Q2258" i="1"/>
  <c r="R2258" i="1" s="1"/>
  <c r="Q2256" i="1"/>
  <c r="R2256" i="1" s="1"/>
  <c r="Q2255" i="1"/>
  <c r="R2255" i="1" s="1"/>
  <c r="Q2254" i="1"/>
  <c r="R2254" i="1" s="1"/>
  <c r="Q2253" i="1"/>
  <c r="R2253" i="1" s="1"/>
  <c r="Q2252" i="1"/>
  <c r="R2252" i="1" s="1"/>
  <c r="Q2251" i="1"/>
  <c r="R2251" i="1" s="1"/>
  <c r="Q2250" i="1"/>
  <c r="R2250" i="1" s="1"/>
  <c r="Q2248" i="1"/>
  <c r="R2248" i="1" s="1"/>
  <c r="Q2247" i="1"/>
  <c r="R2247" i="1" s="1"/>
  <c r="Q2246" i="1"/>
  <c r="R2246" i="1" s="1"/>
  <c r="Q2245" i="1"/>
  <c r="R2245" i="1" s="1"/>
  <c r="Q2244" i="1"/>
  <c r="R2244" i="1" s="1"/>
  <c r="Q2243" i="1"/>
  <c r="R2243" i="1" s="1"/>
  <c r="Q2242" i="1"/>
  <c r="R2242" i="1" s="1"/>
  <c r="Q2240" i="1"/>
  <c r="R2240" i="1" s="1"/>
  <c r="Q2239" i="1"/>
  <c r="R2239" i="1" s="1"/>
  <c r="Q2238" i="1"/>
  <c r="R2238" i="1" s="1"/>
  <c r="Q2237" i="1"/>
  <c r="R2237" i="1" s="1"/>
  <c r="Q2236" i="1"/>
  <c r="R2236" i="1" s="1"/>
  <c r="Q2235" i="1"/>
  <c r="R2235" i="1" s="1"/>
  <c r="Q2234" i="1"/>
  <c r="R2234" i="1" s="1"/>
  <c r="Q2232" i="1"/>
  <c r="R2232" i="1" s="1"/>
  <c r="Q2231" i="1"/>
  <c r="R2231" i="1" s="1"/>
  <c r="Q2230" i="1"/>
  <c r="R2230" i="1" s="1"/>
  <c r="Q2229" i="1"/>
  <c r="R2229" i="1" s="1"/>
  <c r="Q2228" i="1"/>
  <c r="R2228" i="1" s="1"/>
  <c r="Q2227" i="1"/>
  <c r="R2227" i="1" s="1"/>
  <c r="Q2226" i="1"/>
  <c r="R2226" i="1" s="1"/>
  <c r="Q2224" i="1"/>
  <c r="R2224" i="1" s="1"/>
  <c r="Q2223" i="1"/>
  <c r="R2223" i="1" s="1"/>
  <c r="Q2222" i="1"/>
  <c r="R2222" i="1" s="1"/>
  <c r="Q2221" i="1"/>
  <c r="R2221" i="1" s="1"/>
  <c r="Q2220" i="1"/>
  <c r="R2220" i="1" s="1"/>
  <c r="Q2219" i="1"/>
  <c r="R2219" i="1" s="1"/>
  <c r="Q2218" i="1"/>
  <c r="R2218" i="1" s="1"/>
  <c r="Q2216" i="1"/>
  <c r="R2216" i="1" s="1"/>
  <c r="Q2215" i="1"/>
  <c r="R2215" i="1" s="1"/>
  <c r="Q2214" i="1"/>
  <c r="R2214" i="1" s="1"/>
  <c r="Q2213" i="1"/>
  <c r="R2213" i="1" s="1"/>
  <c r="Q2212" i="1"/>
  <c r="R2212" i="1" s="1"/>
  <c r="Q2211" i="1"/>
  <c r="R2211" i="1" s="1"/>
  <c r="Q2210" i="1"/>
  <c r="R2210" i="1" s="1"/>
  <c r="Q2208" i="1"/>
  <c r="R2208" i="1" s="1"/>
  <c r="Q2207" i="1"/>
  <c r="R2207" i="1" s="1"/>
  <c r="Q2206" i="1"/>
  <c r="R2206" i="1" s="1"/>
  <c r="Q2205" i="1"/>
  <c r="R2205" i="1" s="1"/>
  <c r="Q2204" i="1"/>
  <c r="R2204" i="1" s="1"/>
  <c r="Q2203" i="1"/>
  <c r="R2203" i="1" s="1"/>
  <c r="Q2202" i="1"/>
  <c r="R2202" i="1" s="1"/>
  <c r="Q2200" i="1"/>
  <c r="R2200" i="1" s="1"/>
  <c r="Q2199" i="1"/>
  <c r="R2199" i="1" s="1"/>
  <c r="Q2198" i="1"/>
  <c r="R2198" i="1" s="1"/>
  <c r="Q2197" i="1"/>
  <c r="R2197" i="1" s="1"/>
  <c r="Q2196" i="1"/>
  <c r="R2196" i="1" s="1"/>
  <c r="Q2195" i="1"/>
  <c r="R2195" i="1" s="1"/>
  <c r="Q2194" i="1"/>
  <c r="R2194" i="1" s="1"/>
  <c r="Q2192" i="1"/>
  <c r="R2192" i="1" s="1"/>
  <c r="Q2191" i="1"/>
  <c r="R2191" i="1" s="1"/>
  <c r="Q2190" i="1"/>
  <c r="R2190" i="1" s="1"/>
  <c r="Q2189" i="1"/>
  <c r="R2189" i="1" s="1"/>
  <c r="Q2188" i="1"/>
  <c r="R2188" i="1" s="1"/>
  <c r="Q2187" i="1"/>
  <c r="R2187" i="1" s="1"/>
  <c r="Q2186" i="1"/>
  <c r="R2186" i="1" s="1"/>
  <c r="Q2184" i="1"/>
  <c r="R2184" i="1" s="1"/>
  <c r="Q2183" i="1"/>
  <c r="R2183" i="1" s="1"/>
  <c r="Q2182" i="1"/>
  <c r="R2182" i="1" s="1"/>
  <c r="Q2181" i="1"/>
  <c r="R2181" i="1" s="1"/>
  <c r="Q2180" i="1"/>
  <c r="R2180" i="1" s="1"/>
  <c r="Q2179" i="1"/>
  <c r="R2179" i="1" s="1"/>
  <c r="Q2178" i="1"/>
  <c r="R2178" i="1" s="1"/>
  <c r="Q2176" i="1"/>
  <c r="R2176" i="1" s="1"/>
  <c r="Q2175" i="1"/>
  <c r="R2175" i="1" s="1"/>
  <c r="Q2174" i="1"/>
  <c r="R2174" i="1" s="1"/>
  <c r="Q2173" i="1"/>
  <c r="R2173" i="1" s="1"/>
  <c r="Q2172" i="1"/>
  <c r="R2172" i="1" s="1"/>
  <c r="Q2171" i="1"/>
  <c r="R2171" i="1" s="1"/>
  <c r="Q2170" i="1"/>
  <c r="R2170" i="1" s="1"/>
  <c r="Q2168" i="1"/>
  <c r="R2168" i="1" s="1"/>
  <c r="Q2167" i="1"/>
  <c r="R2167" i="1" s="1"/>
  <c r="Q2166" i="1"/>
  <c r="R2166" i="1" s="1"/>
  <c r="Q2165" i="1"/>
  <c r="R2165" i="1" s="1"/>
  <c r="Q2164" i="1"/>
  <c r="R2164" i="1" s="1"/>
  <c r="Q2163" i="1"/>
  <c r="R2163" i="1" s="1"/>
  <c r="Q2162" i="1"/>
  <c r="R2162" i="1" s="1"/>
  <c r="Q2160" i="1"/>
  <c r="R2160" i="1" s="1"/>
  <c r="Q2159" i="1"/>
  <c r="R2159" i="1" s="1"/>
  <c r="Q2158" i="1"/>
  <c r="R2158" i="1" s="1"/>
  <c r="Q2157" i="1"/>
  <c r="R2157" i="1" s="1"/>
  <c r="Q2156" i="1"/>
  <c r="R2156" i="1" s="1"/>
  <c r="Q2155" i="1"/>
  <c r="R2155" i="1" s="1"/>
  <c r="Q2154" i="1"/>
  <c r="R2154" i="1" s="1"/>
  <c r="Q2152" i="1"/>
  <c r="R2152" i="1" s="1"/>
  <c r="Q2151" i="1"/>
  <c r="R2151" i="1" s="1"/>
  <c r="Q2150" i="1"/>
  <c r="R2150" i="1" s="1"/>
  <c r="Q2149" i="1"/>
  <c r="R2149" i="1" s="1"/>
  <c r="Q2148" i="1"/>
  <c r="R2148" i="1" s="1"/>
  <c r="Q2147" i="1"/>
  <c r="R2147" i="1" s="1"/>
  <c r="Q2146" i="1"/>
  <c r="R2146" i="1" s="1"/>
  <c r="Q2144" i="1"/>
  <c r="R2144" i="1" s="1"/>
  <c r="Q2143" i="1"/>
  <c r="R2143" i="1" s="1"/>
  <c r="Q2142" i="1"/>
  <c r="R2142" i="1" s="1"/>
  <c r="Q2141" i="1"/>
  <c r="R2141" i="1" s="1"/>
  <c r="Q2140" i="1"/>
  <c r="R2140" i="1" s="1"/>
  <c r="Q2139" i="1"/>
  <c r="R2139" i="1" s="1"/>
  <c r="Q2138" i="1"/>
  <c r="R2138" i="1" s="1"/>
  <c r="Q2136" i="1"/>
  <c r="R2136" i="1" s="1"/>
  <c r="Q2135" i="1"/>
  <c r="R2135" i="1" s="1"/>
  <c r="Q2134" i="1"/>
  <c r="R2134" i="1" s="1"/>
  <c r="Q2133" i="1"/>
  <c r="R2133" i="1" s="1"/>
  <c r="Q2132" i="1"/>
  <c r="R2132" i="1" s="1"/>
  <c r="Q2131" i="1"/>
  <c r="R2131" i="1" s="1"/>
  <c r="Q2130" i="1"/>
  <c r="R2130" i="1" s="1"/>
  <c r="Q2128" i="1"/>
  <c r="R2128" i="1" s="1"/>
  <c r="Q2127" i="1"/>
  <c r="R2127" i="1" s="1"/>
  <c r="Q2126" i="1"/>
  <c r="R2126" i="1" s="1"/>
  <c r="Q2125" i="1"/>
  <c r="R2125" i="1" s="1"/>
  <c r="Q2124" i="1"/>
  <c r="R2124" i="1" s="1"/>
  <c r="Q2123" i="1"/>
  <c r="R2123" i="1" s="1"/>
  <c r="Q2122" i="1"/>
  <c r="R2122" i="1" s="1"/>
  <c r="Q2120" i="1"/>
  <c r="R2120" i="1" s="1"/>
  <c r="Q2119" i="1"/>
  <c r="R2119" i="1" s="1"/>
  <c r="Q2118" i="1"/>
  <c r="R2118" i="1" s="1"/>
  <c r="Q2117" i="1"/>
  <c r="R2117" i="1" s="1"/>
  <c r="Q2116" i="1"/>
  <c r="R2116" i="1" s="1"/>
  <c r="Q2115" i="1"/>
  <c r="R2115" i="1" s="1"/>
  <c r="Q2114" i="1"/>
  <c r="R2114" i="1" s="1"/>
  <c r="Q2112" i="1"/>
  <c r="R2112" i="1" s="1"/>
  <c r="Q2111" i="1"/>
  <c r="R2111" i="1" s="1"/>
  <c r="Q2110" i="1"/>
  <c r="R2110" i="1" s="1"/>
  <c r="Q2109" i="1"/>
  <c r="R2109" i="1" s="1"/>
  <c r="Q2108" i="1"/>
  <c r="R2108" i="1" s="1"/>
  <c r="Q2107" i="1"/>
  <c r="R2107" i="1" s="1"/>
  <c r="Q2106" i="1"/>
  <c r="R2106" i="1" s="1"/>
  <c r="Q2104" i="1"/>
  <c r="R2104" i="1" s="1"/>
  <c r="Q2103" i="1"/>
  <c r="R2103" i="1" s="1"/>
  <c r="Q2102" i="1"/>
  <c r="R2102" i="1" s="1"/>
  <c r="Q2101" i="1"/>
  <c r="R2101" i="1" s="1"/>
  <c r="Q2100" i="1"/>
  <c r="R2100" i="1" s="1"/>
  <c r="Q2099" i="1"/>
  <c r="R2099" i="1" s="1"/>
  <c r="Q2098" i="1"/>
  <c r="R2098" i="1" s="1"/>
  <c r="Q2096" i="1"/>
  <c r="R2096" i="1" s="1"/>
  <c r="Q2095" i="1"/>
  <c r="R2095" i="1" s="1"/>
  <c r="Q2094" i="1"/>
  <c r="R2094" i="1" s="1"/>
  <c r="Q2093" i="1"/>
  <c r="R2093" i="1" s="1"/>
  <c r="Q2092" i="1"/>
  <c r="R2092" i="1" s="1"/>
  <c r="Q2091" i="1"/>
  <c r="R2091" i="1" s="1"/>
  <c r="Q2090" i="1"/>
  <c r="R2090" i="1" s="1"/>
  <c r="Q2088" i="1"/>
  <c r="R2088" i="1" s="1"/>
  <c r="Q2087" i="1"/>
  <c r="R2087" i="1" s="1"/>
  <c r="Q2086" i="1"/>
  <c r="R2086" i="1" s="1"/>
  <c r="Q2085" i="1"/>
  <c r="R2085" i="1" s="1"/>
  <c r="Q2084" i="1"/>
  <c r="R2084" i="1" s="1"/>
  <c r="Q2083" i="1"/>
  <c r="R2083" i="1" s="1"/>
  <c r="Q2082" i="1"/>
  <c r="R2082" i="1" s="1"/>
  <c r="Q2080" i="1"/>
  <c r="R2080" i="1" s="1"/>
  <c r="Q2079" i="1"/>
  <c r="R2079" i="1" s="1"/>
  <c r="Q2078" i="1"/>
  <c r="R2078" i="1" s="1"/>
  <c r="Q2077" i="1"/>
  <c r="R2077" i="1" s="1"/>
  <c r="Q2076" i="1"/>
  <c r="R2076" i="1" s="1"/>
  <c r="Q2075" i="1"/>
  <c r="R2075" i="1" s="1"/>
  <c r="Q2074" i="1"/>
  <c r="R2074" i="1" s="1"/>
  <c r="Q2072" i="1"/>
  <c r="R2072" i="1" s="1"/>
  <c r="Q2071" i="1"/>
  <c r="R2071" i="1" s="1"/>
  <c r="Q2070" i="1"/>
  <c r="R2070" i="1" s="1"/>
  <c r="Q2069" i="1"/>
  <c r="R2069" i="1" s="1"/>
  <c r="Q2068" i="1"/>
  <c r="R2068" i="1" s="1"/>
  <c r="Q2067" i="1"/>
  <c r="R2067" i="1" s="1"/>
  <c r="Q2066" i="1"/>
  <c r="R2066" i="1" s="1"/>
  <c r="Q2064" i="1"/>
  <c r="R2064" i="1" s="1"/>
  <c r="Q2063" i="1"/>
  <c r="R2063" i="1" s="1"/>
  <c r="Q2062" i="1"/>
  <c r="R2062" i="1" s="1"/>
  <c r="Q2061" i="1"/>
  <c r="R2061" i="1" s="1"/>
  <c r="Q2060" i="1"/>
  <c r="R2060" i="1" s="1"/>
  <c r="Q2059" i="1"/>
  <c r="R2059" i="1" s="1"/>
  <c r="Q2058" i="1"/>
  <c r="R2058" i="1" s="1"/>
  <c r="Q2056" i="1"/>
  <c r="R2056" i="1" s="1"/>
  <c r="Q2055" i="1"/>
  <c r="R2055" i="1" s="1"/>
  <c r="Q2054" i="1"/>
  <c r="R2054" i="1" s="1"/>
  <c r="Q2053" i="1"/>
  <c r="R2053" i="1" s="1"/>
  <c r="Q2052" i="1"/>
  <c r="R2052" i="1" s="1"/>
  <c r="Q2051" i="1"/>
  <c r="R2051" i="1" s="1"/>
  <c r="Q2050" i="1"/>
  <c r="R2050" i="1" s="1"/>
  <c r="Q2048" i="1"/>
  <c r="R2048" i="1" s="1"/>
  <c r="Q2047" i="1"/>
  <c r="R2047" i="1" s="1"/>
  <c r="Q2046" i="1"/>
  <c r="R2046" i="1" s="1"/>
  <c r="Q2045" i="1"/>
  <c r="R2045" i="1" s="1"/>
  <c r="Q2044" i="1"/>
  <c r="R2044" i="1" s="1"/>
  <c r="Q2043" i="1"/>
  <c r="R2043" i="1" s="1"/>
  <c r="Q2042" i="1"/>
  <c r="R2042" i="1" s="1"/>
  <c r="Q2040" i="1"/>
  <c r="R2040" i="1" s="1"/>
  <c r="Q2039" i="1"/>
  <c r="R2039" i="1" s="1"/>
  <c r="Q2038" i="1"/>
  <c r="R2038" i="1" s="1"/>
  <c r="Q2037" i="1"/>
  <c r="R2037" i="1" s="1"/>
  <c r="Q2036" i="1"/>
  <c r="R2036" i="1" s="1"/>
  <c r="Q2035" i="1"/>
  <c r="R2035" i="1" s="1"/>
  <c r="Q2034" i="1"/>
  <c r="R2034" i="1" s="1"/>
  <c r="Q2032" i="1"/>
  <c r="R2032" i="1" s="1"/>
  <c r="Q2031" i="1"/>
  <c r="R2031" i="1" s="1"/>
  <c r="Q2030" i="1"/>
  <c r="R2030" i="1" s="1"/>
  <c r="Q2029" i="1"/>
  <c r="R2029" i="1" s="1"/>
  <c r="Q2028" i="1"/>
  <c r="R2028" i="1" s="1"/>
  <c r="Q2027" i="1"/>
  <c r="R2027" i="1" s="1"/>
  <c r="Q2026" i="1"/>
  <c r="R2026" i="1" s="1"/>
  <c r="Q2024" i="1"/>
  <c r="R2024" i="1" s="1"/>
  <c r="Q2023" i="1"/>
  <c r="R2023" i="1" s="1"/>
  <c r="Q2022" i="1"/>
  <c r="R2022" i="1" s="1"/>
  <c r="Q2021" i="1"/>
  <c r="R2021" i="1" s="1"/>
  <c r="Q2020" i="1"/>
  <c r="R2020" i="1" s="1"/>
  <c r="Q2019" i="1"/>
  <c r="R2019" i="1" s="1"/>
  <c r="Q2018" i="1"/>
  <c r="R2018" i="1" s="1"/>
  <c r="Q2016" i="1"/>
  <c r="R2016" i="1" s="1"/>
  <c r="Q2015" i="1"/>
  <c r="R2015" i="1" s="1"/>
  <c r="Q2014" i="1"/>
  <c r="R2014" i="1" s="1"/>
  <c r="Q2013" i="1"/>
  <c r="R2013" i="1" s="1"/>
  <c r="Q2012" i="1"/>
  <c r="R2012" i="1" s="1"/>
  <c r="Q2011" i="1"/>
  <c r="R2011" i="1" s="1"/>
  <c r="Q2010" i="1"/>
  <c r="R2010" i="1" s="1"/>
  <c r="Q2008" i="1"/>
  <c r="R2008" i="1" s="1"/>
  <c r="Q2007" i="1"/>
  <c r="R2007" i="1" s="1"/>
  <c r="Q2006" i="1"/>
  <c r="R2006" i="1" s="1"/>
  <c r="Q2005" i="1"/>
  <c r="R2005" i="1" s="1"/>
  <c r="Q2004" i="1"/>
  <c r="R2004" i="1" s="1"/>
  <c r="Q2003" i="1"/>
  <c r="R2003" i="1" s="1"/>
  <c r="Q2002" i="1"/>
  <c r="R2002" i="1" s="1"/>
  <c r="Q2000" i="1"/>
  <c r="R2000" i="1" s="1"/>
  <c r="Q1999" i="1"/>
  <c r="R1999" i="1" s="1"/>
  <c r="Q1998" i="1"/>
  <c r="R1998" i="1" s="1"/>
  <c r="Q1997" i="1"/>
  <c r="R1997" i="1" s="1"/>
  <c r="Q1996" i="1"/>
  <c r="R1996" i="1" s="1"/>
  <c r="Q1995" i="1"/>
  <c r="R1995" i="1" s="1"/>
  <c r="Q1994" i="1"/>
  <c r="R1994" i="1" s="1"/>
  <c r="Q1992" i="1"/>
  <c r="R1992" i="1" s="1"/>
  <c r="Q1991" i="1"/>
  <c r="R1991" i="1" s="1"/>
  <c r="Q1990" i="1"/>
  <c r="R1990" i="1" s="1"/>
  <c r="Q1989" i="1"/>
  <c r="R1989" i="1" s="1"/>
  <c r="Q1988" i="1"/>
  <c r="R1988" i="1" s="1"/>
  <c r="Q1987" i="1"/>
  <c r="R1987" i="1" s="1"/>
  <c r="Q1986" i="1"/>
  <c r="R1986" i="1" s="1"/>
  <c r="Q1984" i="1"/>
  <c r="R1984" i="1" s="1"/>
  <c r="Q1983" i="1"/>
  <c r="R1983" i="1" s="1"/>
  <c r="Q1982" i="1"/>
  <c r="R1982" i="1" s="1"/>
  <c r="Q1981" i="1"/>
  <c r="R1981" i="1" s="1"/>
  <c r="Q1980" i="1"/>
  <c r="R1980" i="1" s="1"/>
  <c r="Q1979" i="1"/>
  <c r="R1979" i="1" s="1"/>
  <c r="Q1978" i="1"/>
  <c r="R1978" i="1" s="1"/>
  <c r="Q1976" i="1"/>
  <c r="R1976" i="1" s="1"/>
  <c r="Q1975" i="1"/>
  <c r="R1975" i="1" s="1"/>
  <c r="Q1974" i="1"/>
  <c r="R1974" i="1" s="1"/>
  <c r="Q1973" i="1"/>
  <c r="R1973" i="1" s="1"/>
  <c r="Q1972" i="1"/>
  <c r="R1972" i="1" s="1"/>
  <c r="Q1971" i="1"/>
  <c r="R1971" i="1" s="1"/>
  <c r="Q1970" i="1"/>
  <c r="R1970" i="1" s="1"/>
  <c r="Q1968" i="1"/>
  <c r="R1968" i="1" s="1"/>
  <c r="Q1967" i="1"/>
  <c r="R1967" i="1" s="1"/>
  <c r="Q1966" i="1"/>
  <c r="R1966" i="1" s="1"/>
  <c r="Q1965" i="1"/>
  <c r="R1965" i="1" s="1"/>
  <c r="Q1964" i="1"/>
  <c r="R1964" i="1" s="1"/>
  <c r="Q1963" i="1"/>
  <c r="R1963" i="1" s="1"/>
  <c r="Q1962" i="1"/>
  <c r="R1962" i="1" s="1"/>
  <c r="Q1960" i="1"/>
  <c r="R1960" i="1" s="1"/>
  <c r="Q1959" i="1"/>
  <c r="R1959" i="1" s="1"/>
  <c r="Q1958" i="1"/>
  <c r="R1958" i="1" s="1"/>
  <c r="Q1957" i="1"/>
  <c r="R1957" i="1" s="1"/>
  <c r="Q1956" i="1"/>
  <c r="R1956" i="1" s="1"/>
  <c r="Q1955" i="1"/>
  <c r="R1955" i="1" s="1"/>
  <c r="Q1954" i="1"/>
  <c r="R1954" i="1" s="1"/>
  <c r="Q1952" i="1"/>
  <c r="R1952" i="1" s="1"/>
  <c r="Q1951" i="1"/>
  <c r="R1951" i="1" s="1"/>
  <c r="Q1950" i="1"/>
  <c r="R1950" i="1" s="1"/>
  <c r="Q1949" i="1"/>
  <c r="R1949" i="1" s="1"/>
  <c r="Q1948" i="1"/>
  <c r="R1948" i="1" s="1"/>
  <c r="Q1947" i="1"/>
  <c r="R1947" i="1" s="1"/>
  <c r="Q1946" i="1"/>
  <c r="R1946" i="1" s="1"/>
  <c r="Q1944" i="1"/>
  <c r="R1944" i="1" s="1"/>
  <c r="Q1943" i="1"/>
  <c r="R1943" i="1" s="1"/>
  <c r="Q1942" i="1"/>
  <c r="R1942" i="1" s="1"/>
  <c r="Q1941" i="1"/>
  <c r="R1941" i="1" s="1"/>
  <c r="Q1940" i="1"/>
  <c r="R1940" i="1" s="1"/>
  <c r="Q1939" i="1"/>
  <c r="R1939" i="1" s="1"/>
  <c r="Q1938" i="1"/>
  <c r="R1938" i="1" s="1"/>
  <c r="Q1936" i="1"/>
  <c r="R1936" i="1" s="1"/>
  <c r="Q1935" i="1"/>
  <c r="R1935" i="1" s="1"/>
  <c r="Q1934" i="1"/>
  <c r="R1934" i="1" s="1"/>
  <c r="Q1933" i="1"/>
  <c r="R1933" i="1" s="1"/>
  <c r="Q1932" i="1"/>
  <c r="R1932" i="1" s="1"/>
  <c r="Q1931" i="1"/>
  <c r="R1931" i="1" s="1"/>
  <c r="Q1930" i="1"/>
  <c r="R1930" i="1" s="1"/>
  <c r="Q1928" i="1"/>
  <c r="R1928" i="1" s="1"/>
  <c r="Q1927" i="1"/>
  <c r="R1927" i="1" s="1"/>
  <c r="Q1926" i="1"/>
  <c r="R1926" i="1" s="1"/>
  <c r="Q1925" i="1"/>
  <c r="R1925" i="1" s="1"/>
  <c r="Q1924" i="1"/>
  <c r="R1924" i="1" s="1"/>
  <c r="Q1923" i="1"/>
  <c r="R1923" i="1" s="1"/>
  <c r="Q1922" i="1"/>
  <c r="R1922" i="1" s="1"/>
  <c r="Q1920" i="1"/>
  <c r="R1920" i="1" s="1"/>
  <c r="Q1919" i="1"/>
  <c r="R1919" i="1" s="1"/>
  <c r="Q1918" i="1"/>
  <c r="R1918" i="1" s="1"/>
  <c r="Q1917" i="1"/>
  <c r="R1917" i="1" s="1"/>
  <c r="Q1916" i="1"/>
  <c r="R1916" i="1" s="1"/>
  <c r="Q1915" i="1"/>
  <c r="R1915" i="1" s="1"/>
  <c r="Q1914" i="1"/>
  <c r="R1914" i="1" s="1"/>
  <c r="Q1912" i="1"/>
  <c r="R1912" i="1" s="1"/>
  <c r="Q1911" i="1"/>
  <c r="R1911" i="1" s="1"/>
  <c r="Q1910" i="1"/>
  <c r="R1910" i="1" s="1"/>
  <c r="Q1909" i="1"/>
  <c r="R1909" i="1" s="1"/>
  <c r="Q1908" i="1"/>
  <c r="R1908" i="1" s="1"/>
  <c r="Q1907" i="1"/>
  <c r="R1907" i="1" s="1"/>
  <c r="Q1906" i="1"/>
  <c r="R1906" i="1" s="1"/>
  <c r="Q1904" i="1"/>
  <c r="R1904" i="1" s="1"/>
  <c r="Q1903" i="1"/>
  <c r="R1903" i="1" s="1"/>
  <c r="Q1902" i="1"/>
  <c r="R1902" i="1" s="1"/>
  <c r="Q1901" i="1"/>
  <c r="R1901" i="1" s="1"/>
  <c r="Q1900" i="1"/>
  <c r="R1900" i="1" s="1"/>
  <c r="Q1899" i="1"/>
  <c r="R1899" i="1" s="1"/>
  <c r="Q1898" i="1"/>
  <c r="R1898" i="1" s="1"/>
  <c r="Q1896" i="1"/>
  <c r="R1896" i="1" s="1"/>
  <c r="Q1895" i="1"/>
  <c r="R1895" i="1" s="1"/>
  <c r="Q1894" i="1"/>
  <c r="R1894" i="1" s="1"/>
  <c r="Q1893" i="1"/>
  <c r="R1893" i="1" s="1"/>
  <c r="Q1892" i="1"/>
  <c r="R1892" i="1" s="1"/>
  <c r="Q1891" i="1"/>
  <c r="R1891" i="1" s="1"/>
  <c r="Q1890" i="1"/>
  <c r="R1890" i="1" s="1"/>
  <c r="Q1888" i="1"/>
  <c r="R1888" i="1" s="1"/>
  <c r="Q1887" i="1"/>
  <c r="R1887" i="1" s="1"/>
  <c r="Q1886" i="1"/>
  <c r="R1886" i="1" s="1"/>
  <c r="Q1885" i="1"/>
  <c r="R1885" i="1" s="1"/>
  <c r="Q1884" i="1"/>
  <c r="R1884" i="1" s="1"/>
  <c r="Q1883" i="1"/>
  <c r="R1883" i="1" s="1"/>
  <c r="Q1882" i="1"/>
  <c r="R1882" i="1" s="1"/>
  <c r="Q1880" i="1"/>
  <c r="R1880" i="1" s="1"/>
  <c r="Q1879" i="1"/>
  <c r="R1879" i="1" s="1"/>
  <c r="Q1878" i="1"/>
  <c r="R1878" i="1" s="1"/>
  <c r="Q1877" i="1"/>
  <c r="R1877" i="1" s="1"/>
  <c r="Q1876" i="1"/>
  <c r="R1876" i="1" s="1"/>
  <c r="Q1875" i="1"/>
  <c r="R1875" i="1" s="1"/>
  <c r="Q1874" i="1"/>
  <c r="R1874" i="1" s="1"/>
  <c r="Q1872" i="1"/>
  <c r="R1872" i="1" s="1"/>
  <c r="Q1871" i="1"/>
  <c r="R1871" i="1" s="1"/>
  <c r="Q1870" i="1"/>
  <c r="R1870" i="1" s="1"/>
  <c r="Q1869" i="1"/>
  <c r="R1869" i="1" s="1"/>
  <c r="Q1868" i="1"/>
  <c r="R1868" i="1" s="1"/>
  <c r="Q1867" i="1"/>
  <c r="R1867" i="1" s="1"/>
  <c r="Q1866" i="1"/>
  <c r="R1866" i="1" s="1"/>
  <c r="Q1864" i="1"/>
  <c r="R1864" i="1" s="1"/>
  <c r="Q1863" i="1"/>
  <c r="R1863" i="1" s="1"/>
  <c r="Q1862" i="1"/>
  <c r="R1862" i="1" s="1"/>
  <c r="Q1861" i="1"/>
  <c r="R1861" i="1" s="1"/>
  <c r="Q1860" i="1"/>
  <c r="R1860" i="1" s="1"/>
  <c r="Q1859" i="1"/>
  <c r="R1859" i="1" s="1"/>
  <c r="Q1858" i="1"/>
  <c r="R1858" i="1" s="1"/>
  <c r="Q1856" i="1"/>
  <c r="R1856" i="1" s="1"/>
  <c r="Q1855" i="1"/>
  <c r="R1855" i="1" s="1"/>
  <c r="Q1854" i="1"/>
  <c r="R1854" i="1" s="1"/>
  <c r="Q1853" i="1"/>
  <c r="R1853" i="1" s="1"/>
  <c r="Q1852" i="1"/>
  <c r="R1852" i="1" s="1"/>
  <c r="Q1851" i="1"/>
  <c r="R1851" i="1" s="1"/>
  <c r="Q1850" i="1"/>
  <c r="R1850" i="1" s="1"/>
  <c r="Q1848" i="1"/>
  <c r="R1848" i="1" s="1"/>
  <c r="Q1847" i="1"/>
  <c r="R1847" i="1" s="1"/>
  <c r="Q1846" i="1"/>
  <c r="R1846" i="1" s="1"/>
  <c r="Q1845" i="1"/>
  <c r="R1845" i="1" s="1"/>
  <c r="Q1844" i="1"/>
  <c r="R1844" i="1" s="1"/>
  <c r="Q1843" i="1"/>
  <c r="R1843" i="1" s="1"/>
  <c r="Q1842" i="1"/>
  <c r="R1842" i="1" s="1"/>
  <c r="Q1840" i="1"/>
  <c r="R1840" i="1" s="1"/>
  <c r="Q1839" i="1"/>
  <c r="R1839" i="1" s="1"/>
  <c r="Q1838" i="1"/>
  <c r="R1838" i="1" s="1"/>
  <c r="Q1837" i="1"/>
  <c r="R1837" i="1" s="1"/>
  <c r="Q1836" i="1"/>
  <c r="R1836" i="1" s="1"/>
  <c r="Q1835" i="1"/>
  <c r="R1835" i="1" s="1"/>
  <c r="Q1834" i="1"/>
  <c r="R1834" i="1" s="1"/>
  <c r="Q1832" i="1"/>
  <c r="R1832" i="1" s="1"/>
  <c r="Q1831" i="1"/>
  <c r="R1831" i="1" s="1"/>
  <c r="Q1830" i="1"/>
  <c r="R1830" i="1" s="1"/>
  <c r="Q1829" i="1"/>
  <c r="R1829" i="1" s="1"/>
  <c r="Q1828" i="1"/>
  <c r="R1828" i="1" s="1"/>
  <c r="Q1827" i="1"/>
  <c r="R1827" i="1" s="1"/>
  <c r="Q1826" i="1"/>
  <c r="R1826" i="1" s="1"/>
  <c r="Q1824" i="1"/>
  <c r="R1824" i="1" s="1"/>
  <c r="Q1823" i="1"/>
  <c r="R1823" i="1" s="1"/>
  <c r="Q1822" i="1"/>
  <c r="R1822" i="1" s="1"/>
  <c r="Q1821" i="1"/>
  <c r="R1821" i="1" s="1"/>
  <c r="Q1820" i="1"/>
  <c r="R1820" i="1" s="1"/>
  <c r="Q1819" i="1"/>
  <c r="R1819" i="1" s="1"/>
  <c r="Q1818" i="1"/>
  <c r="R1818" i="1" s="1"/>
  <c r="Q1816" i="1"/>
  <c r="R1816" i="1" s="1"/>
  <c r="Q1815" i="1"/>
  <c r="R1815" i="1" s="1"/>
  <c r="Q1814" i="1"/>
  <c r="R1814" i="1" s="1"/>
  <c r="Q1813" i="1"/>
  <c r="R1813" i="1" s="1"/>
  <c r="Q1812" i="1"/>
  <c r="R1812" i="1" s="1"/>
  <c r="Q1811" i="1"/>
  <c r="R1811" i="1" s="1"/>
  <c r="Q1810" i="1"/>
  <c r="R1810" i="1" s="1"/>
  <c r="Q1808" i="1"/>
  <c r="R1808" i="1" s="1"/>
  <c r="Q1807" i="1"/>
  <c r="R1807" i="1" s="1"/>
  <c r="Q1806" i="1"/>
  <c r="R1806" i="1" s="1"/>
  <c r="Q1805" i="1"/>
  <c r="R1805" i="1" s="1"/>
  <c r="Q1804" i="1"/>
  <c r="R1804" i="1" s="1"/>
  <c r="Q1803" i="1"/>
  <c r="R1803" i="1" s="1"/>
  <c r="Q1802" i="1"/>
  <c r="R1802" i="1" s="1"/>
  <c r="Q1800" i="1"/>
  <c r="R1800" i="1" s="1"/>
  <c r="Q1799" i="1"/>
  <c r="R1799" i="1" s="1"/>
  <c r="Q1798" i="1"/>
  <c r="R1798" i="1" s="1"/>
  <c r="Q1797" i="1"/>
  <c r="R1797" i="1" s="1"/>
  <c r="Q1796" i="1"/>
  <c r="R1796" i="1" s="1"/>
  <c r="Q1795" i="1"/>
  <c r="R1795" i="1" s="1"/>
  <c r="Q1794" i="1"/>
  <c r="R1794" i="1" s="1"/>
  <c r="Q1792" i="1"/>
  <c r="R1792" i="1" s="1"/>
  <c r="Q1791" i="1"/>
  <c r="R1791" i="1" s="1"/>
  <c r="Q1790" i="1"/>
  <c r="R1790" i="1" s="1"/>
  <c r="Q1789" i="1"/>
  <c r="R1789" i="1" s="1"/>
  <c r="Q1788" i="1"/>
  <c r="R1788" i="1" s="1"/>
  <c r="Q1787" i="1"/>
  <c r="R1787" i="1" s="1"/>
  <c r="Q1786" i="1"/>
  <c r="R1786" i="1" s="1"/>
  <c r="Q1784" i="1"/>
  <c r="R1784" i="1" s="1"/>
  <c r="Q1783" i="1"/>
  <c r="R1783" i="1" s="1"/>
  <c r="Q1782" i="1"/>
  <c r="R1782" i="1" s="1"/>
  <c r="Q1781" i="1"/>
  <c r="R1781" i="1" s="1"/>
  <c r="Q1780" i="1"/>
  <c r="R1780" i="1" s="1"/>
  <c r="Q1779" i="1"/>
  <c r="R1779" i="1" s="1"/>
  <c r="Q1778" i="1"/>
  <c r="R1778" i="1" s="1"/>
  <c r="Q1776" i="1"/>
  <c r="R1776" i="1" s="1"/>
  <c r="Q1775" i="1"/>
  <c r="R1775" i="1" s="1"/>
  <c r="Q1774" i="1"/>
  <c r="R1774" i="1" s="1"/>
  <c r="Q1773" i="1"/>
  <c r="R1773" i="1" s="1"/>
  <c r="Q1772" i="1"/>
  <c r="R1772" i="1" s="1"/>
  <c r="Q1771" i="1"/>
  <c r="R1771" i="1" s="1"/>
  <c r="Q1770" i="1"/>
  <c r="R1770" i="1" s="1"/>
  <c r="Q1768" i="1"/>
  <c r="R1768" i="1" s="1"/>
  <c r="Q1767" i="1"/>
  <c r="R1767" i="1" s="1"/>
  <c r="Q1766" i="1"/>
  <c r="R1766" i="1" s="1"/>
  <c r="Q1765" i="1"/>
  <c r="R1765" i="1" s="1"/>
  <c r="Q1764" i="1"/>
  <c r="R1764" i="1" s="1"/>
  <c r="Q1763" i="1"/>
  <c r="R1763" i="1" s="1"/>
  <c r="Q1762" i="1"/>
  <c r="R1762" i="1" s="1"/>
  <c r="Q1760" i="1"/>
  <c r="R1760" i="1" s="1"/>
  <c r="Q1759" i="1"/>
  <c r="R1759" i="1" s="1"/>
  <c r="Q1758" i="1"/>
  <c r="R1758" i="1" s="1"/>
  <c r="Q1757" i="1"/>
  <c r="R1757" i="1" s="1"/>
  <c r="Q1756" i="1"/>
  <c r="R1756" i="1" s="1"/>
  <c r="Q1755" i="1"/>
  <c r="R1755" i="1" s="1"/>
  <c r="Q1754" i="1"/>
  <c r="R1754" i="1" s="1"/>
  <c r="Q1752" i="1"/>
  <c r="R1752" i="1" s="1"/>
  <c r="Q1751" i="1"/>
  <c r="R1751" i="1" s="1"/>
  <c r="Q1750" i="1"/>
  <c r="R1750" i="1" s="1"/>
  <c r="Q1749" i="1"/>
  <c r="R1749" i="1" s="1"/>
  <c r="Q1748" i="1"/>
  <c r="R1748" i="1" s="1"/>
  <c r="Q1747" i="1"/>
  <c r="R1747" i="1" s="1"/>
  <c r="Q1746" i="1"/>
  <c r="R1746" i="1" s="1"/>
  <c r="Q1744" i="1"/>
  <c r="R1744" i="1" s="1"/>
  <c r="Q1743" i="1"/>
  <c r="R1743" i="1" s="1"/>
  <c r="Q1742" i="1"/>
  <c r="R1742" i="1" s="1"/>
  <c r="Q1741" i="1"/>
  <c r="R1741" i="1" s="1"/>
  <c r="Q1740" i="1"/>
  <c r="R1740" i="1" s="1"/>
  <c r="Q1739" i="1"/>
  <c r="R1739" i="1" s="1"/>
  <c r="Q1738" i="1"/>
  <c r="R1738" i="1" s="1"/>
  <c r="Q1736" i="1"/>
  <c r="R1736" i="1" s="1"/>
  <c r="Q1735" i="1"/>
  <c r="R1735" i="1" s="1"/>
  <c r="Q1734" i="1"/>
  <c r="R1734" i="1" s="1"/>
  <c r="Q1733" i="1"/>
  <c r="R1733" i="1" s="1"/>
  <c r="Q1732" i="1"/>
  <c r="R1732" i="1" s="1"/>
  <c r="Q1731" i="1"/>
  <c r="R1731" i="1" s="1"/>
  <c r="Q1730" i="1"/>
  <c r="R1730" i="1" s="1"/>
  <c r="Q1728" i="1"/>
  <c r="R1728" i="1" s="1"/>
  <c r="Q1727" i="1"/>
  <c r="R1727" i="1" s="1"/>
  <c r="Q1726" i="1"/>
  <c r="R1726" i="1" s="1"/>
  <c r="Q1725" i="1"/>
  <c r="R1725" i="1" s="1"/>
  <c r="Q1724" i="1"/>
  <c r="R1724" i="1" s="1"/>
  <c r="Q1723" i="1"/>
  <c r="R1723" i="1" s="1"/>
  <c r="Q1722" i="1"/>
  <c r="R1722" i="1" s="1"/>
  <c r="Q1720" i="1"/>
  <c r="R1720" i="1" s="1"/>
  <c r="Q1719" i="1"/>
  <c r="R1719" i="1" s="1"/>
  <c r="Q1718" i="1"/>
  <c r="R1718" i="1" s="1"/>
  <c r="Q1717" i="1"/>
  <c r="R1717" i="1" s="1"/>
  <c r="Q1716" i="1"/>
  <c r="R1716" i="1" s="1"/>
  <c r="Q1715" i="1"/>
  <c r="R1715" i="1" s="1"/>
  <c r="Q1714" i="1"/>
  <c r="R1714" i="1" s="1"/>
  <c r="Q1712" i="1"/>
  <c r="R1712" i="1" s="1"/>
  <c r="Q1711" i="1"/>
  <c r="R1711" i="1" s="1"/>
  <c r="Q1710" i="1"/>
  <c r="R1710" i="1" s="1"/>
  <c r="Q1709" i="1"/>
  <c r="R1709" i="1" s="1"/>
  <c r="Q1708" i="1"/>
  <c r="R1708" i="1" s="1"/>
  <c r="Q1707" i="1"/>
  <c r="R1707" i="1" s="1"/>
  <c r="Q1706" i="1"/>
  <c r="R1706" i="1" s="1"/>
  <c r="Q1704" i="1"/>
  <c r="R1704" i="1" s="1"/>
  <c r="Q1703" i="1"/>
  <c r="R1703" i="1" s="1"/>
  <c r="Q1702" i="1"/>
  <c r="R1702" i="1" s="1"/>
  <c r="Q1701" i="1"/>
  <c r="R1701" i="1" s="1"/>
  <c r="Q1700" i="1"/>
  <c r="R1700" i="1" s="1"/>
  <c r="Q1699" i="1"/>
  <c r="R1699" i="1" s="1"/>
  <c r="Q1698" i="1"/>
  <c r="R1698" i="1" s="1"/>
  <c r="Q1696" i="1"/>
  <c r="R1696" i="1" s="1"/>
  <c r="Q1695" i="1"/>
  <c r="R1695" i="1" s="1"/>
  <c r="Q1694" i="1"/>
  <c r="R1694" i="1" s="1"/>
  <c r="Q1693" i="1"/>
  <c r="R1693" i="1" s="1"/>
  <c r="Q1692" i="1"/>
  <c r="R1692" i="1" s="1"/>
  <c r="Q1691" i="1"/>
  <c r="R1691" i="1" s="1"/>
  <c r="Q1690" i="1"/>
  <c r="R1690" i="1" s="1"/>
  <c r="Q1688" i="1"/>
  <c r="R1688" i="1" s="1"/>
  <c r="Q1687" i="1"/>
  <c r="R1687" i="1" s="1"/>
  <c r="Q1686" i="1"/>
  <c r="R1686" i="1" s="1"/>
  <c r="Q1685" i="1"/>
  <c r="R1685" i="1" s="1"/>
  <c r="Q1684" i="1"/>
  <c r="R1684" i="1" s="1"/>
  <c r="Q1683" i="1"/>
  <c r="R1683" i="1" s="1"/>
  <c r="Q1682" i="1"/>
  <c r="R1682" i="1" s="1"/>
  <c r="Q1680" i="1"/>
  <c r="R1680" i="1" s="1"/>
  <c r="Q1679" i="1"/>
  <c r="R1679" i="1" s="1"/>
  <c r="Q1678" i="1"/>
  <c r="R1678" i="1" s="1"/>
  <c r="Q1677" i="1"/>
  <c r="R1677" i="1" s="1"/>
  <c r="Q1676" i="1"/>
  <c r="R1676" i="1" s="1"/>
  <c r="Q1675" i="1"/>
  <c r="R1675" i="1" s="1"/>
  <c r="Q1674" i="1"/>
  <c r="R1674" i="1" s="1"/>
  <c r="Q1672" i="1"/>
  <c r="R1672" i="1" s="1"/>
  <c r="Q1671" i="1"/>
  <c r="R1671" i="1" s="1"/>
  <c r="Q1670" i="1"/>
  <c r="R1670" i="1" s="1"/>
  <c r="Q1669" i="1"/>
  <c r="R1669" i="1" s="1"/>
  <c r="Q1668" i="1"/>
  <c r="R1668" i="1" s="1"/>
  <c r="Q1667" i="1"/>
  <c r="R1667" i="1" s="1"/>
  <c r="Q1666" i="1"/>
  <c r="R1666" i="1" s="1"/>
  <c r="Q1664" i="1"/>
  <c r="R1664" i="1" s="1"/>
  <c r="Q1663" i="1"/>
  <c r="R1663" i="1" s="1"/>
  <c r="Q1662" i="1"/>
  <c r="R1662" i="1" s="1"/>
  <c r="Q1661" i="1"/>
  <c r="R1661" i="1" s="1"/>
  <c r="Q1660" i="1"/>
  <c r="R1660" i="1" s="1"/>
  <c r="Q1659" i="1"/>
  <c r="R1659" i="1" s="1"/>
  <c r="Q1658" i="1"/>
  <c r="R1658" i="1" s="1"/>
  <c r="Q1656" i="1"/>
  <c r="R1656" i="1" s="1"/>
  <c r="Q1655" i="1"/>
  <c r="R1655" i="1" s="1"/>
  <c r="Q1654" i="1"/>
  <c r="R1654" i="1" s="1"/>
  <c r="Q1653" i="1"/>
  <c r="R1653" i="1" s="1"/>
  <c r="Q1652" i="1"/>
  <c r="R1652" i="1" s="1"/>
  <c r="Q1651" i="1"/>
  <c r="R1651" i="1" s="1"/>
  <c r="Q1650" i="1"/>
  <c r="R1650" i="1" s="1"/>
  <c r="Q1648" i="1"/>
  <c r="R1648" i="1" s="1"/>
  <c r="Q1647" i="1"/>
  <c r="R1647" i="1" s="1"/>
  <c r="Q1646" i="1"/>
  <c r="R1646" i="1" s="1"/>
  <c r="Q1645" i="1"/>
  <c r="R1645" i="1" s="1"/>
  <c r="Q1644" i="1"/>
  <c r="R1644" i="1" s="1"/>
  <c r="Q1643" i="1"/>
  <c r="R1643" i="1" s="1"/>
  <c r="Q1642" i="1"/>
  <c r="R1642" i="1" s="1"/>
  <c r="Q1640" i="1"/>
  <c r="R1640" i="1" s="1"/>
  <c r="Q1639" i="1"/>
  <c r="R1639" i="1" s="1"/>
  <c r="Q1638" i="1"/>
  <c r="R1638" i="1" s="1"/>
  <c r="Q1637" i="1"/>
  <c r="R1637" i="1" s="1"/>
  <c r="Q1636" i="1"/>
  <c r="R1636" i="1" s="1"/>
  <c r="Q1635" i="1"/>
  <c r="R1635" i="1" s="1"/>
  <c r="Q1634" i="1"/>
  <c r="R1634" i="1" s="1"/>
  <c r="Q1632" i="1"/>
  <c r="R1632" i="1" s="1"/>
  <c r="Q1631" i="1"/>
  <c r="R1631" i="1" s="1"/>
  <c r="Q1630" i="1"/>
  <c r="R1630" i="1" s="1"/>
  <c r="Q1629" i="1"/>
  <c r="R1629" i="1" s="1"/>
  <c r="Q1628" i="1"/>
  <c r="R1628" i="1" s="1"/>
  <c r="Q1627" i="1"/>
  <c r="R1627" i="1" s="1"/>
  <c r="Q1626" i="1"/>
  <c r="R1626" i="1" s="1"/>
  <c r="Q1624" i="1"/>
  <c r="R1624" i="1" s="1"/>
  <c r="Q1623" i="1"/>
  <c r="R1623" i="1" s="1"/>
  <c r="Q1622" i="1"/>
  <c r="R1622" i="1" s="1"/>
  <c r="Q1621" i="1"/>
  <c r="R1621" i="1" s="1"/>
  <c r="Q1620" i="1"/>
  <c r="R1620" i="1" s="1"/>
  <c r="Q1619" i="1"/>
  <c r="R1619" i="1" s="1"/>
  <c r="Q1618" i="1"/>
  <c r="R1618" i="1" s="1"/>
  <c r="Q1616" i="1"/>
  <c r="R1616" i="1" s="1"/>
  <c r="Q1615" i="1"/>
  <c r="R1615" i="1" s="1"/>
  <c r="Q1614" i="1"/>
  <c r="R1614" i="1" s="1"/>
  <c r="Q1613" i="1"/>
  <c r="R1613" i="1" s="1"/>
  <c r="Q1612" i="1"/>
  <c r="R1612" i="1" s="1"/>
  <c r="Q1611" i="1"/>
  <c r="R1611" i="1" s="1"/>
  <c r="Q1610" i="1"/>
  <c r="R1610" i="1" s="1"/>
  <c r="Q1608" i="1"/>
  <c r="R1608" i="1" s="1"/>
  <c r="Q1607" i="1"/>
  <c r="R1607" i="1" s="1"/>
  <c r="Q1606" i="1"/>
  <c r="R1606" i="1" s="1"/>
  <c r="Q1605" i="1"/>
  <c r="R1605" i="1" s="1"/>
  <c r="Q1604" i="1"/>
  <c r="R1604" i="1" s="1"/>
  <c r="Q1603" i="1"/>
  <c r="R1603" i="1" s="1"/>
  <c r="Q1602" i="1"/>
  <c r="R1602" i="1" s="1"/>
  <c r="Q1600" i="1"/>
  <c r="R1600" i="1" s="1"/>
  <c r="Q1599" i="1"/>
  <c r="R1599" i="1" s="1"/>
  <c r="Q1598" i="1"/>
  <c r="R1598" i="1" s="1"/>
  <c r="Q1597" i="1"/>
  <c r="R1597" i="1" s="1"/>
  <c r="Q1596" i="1"/>
  <c r="R1596" i="1" s="1"/>
  <c r="Q1595" i="1"/>
  <c r="R1595" i="1" s="1"/>
  <c r="Q1594" i="1"/>
  <c r="R1594" i="1" s="1"/>
  <c r="Q1592" i="1"/>
  <c r="R1592" i="1" s="1"/>
  <c r="Q1591" i="1"/>
  <c r="R1591" i="1" s="1"/>
  <c r="Q1590" i="1"/>
  <c r="R1590" i="1" s="1"/>
  <c r="Q1589" i="1"/>
  <c r="R1589" i="1" s="1"/>
  <c r="Q1588" i="1"/>
  <c r="R1588" i="1" s="1"/>
  <c r="Q1587" i="1"/>
  <c r="R1587" i="1" s="1"/>
  <c r="Q1586" i="1"/>
  <c r="R1586" i="1" s="1"/>
  <c r="Q1584" i="1"/>
  <c r="R1584" i="1" s="1"/>
  <c r="Q1583" i="1"/>
  <c r="R1583" i="1" s="1"/>
  <c r="Q1582" i="1"/>
  <c r="R1582" i="1" s="1"/>
  <c r="Q1581" i="1"/>
  <c r="R1581" i="1" s="1"/>
  <c r="Q1580" i="1"/>
  <c r="R1580" i="1" s="1"/>
  <c r="Q1579" i="1"/>
  <c r="R1579" i="1" s="1"/>
  <c r="Q1578" i="1"/>
  <c r="R1578" i="1" s="1"/>
  <c r="Q1576" i="1"/>
  <c r="R1576" i="1" s="1"/>
  <c r="Q1575" i="1"/>
  <c r="R1575" i="1" s="1"/>
  <c r="Q1574" i="1"/>
  <c r="R1574" i="1" s="1"/>
  <c r="Q1573" i="1"/>
  <c r="R1573" i="1" s="1"/>
  <c r="Q1572" i="1"/>
  <c r="R1572" i="1" s="1"/>
  <c r="Q1571" i="1"/>
  <c r="R1571" i="1" s="1"/>
  <c r="Q1570" i="1"/>
  <c r="R1570" i="1" s="1"/>
  <c r="Q1568" i="1"/>
  <c r="R1568" i="1" s="1"/>
  <c r="Q1567" i="1"/>
  <c r="R1567" i="1" s="1"/>
  <c r="Q1566" i="1"/>
  <c r="R1566" i="1" s="1"/>
  <c r="Q1565" i="1"/>
  <c r="R1565" i="1" s="1"/>
  <c r="Q1564" i="1"/>
  <c r="R1564" i="1" s="1"/>
  <c r="Q1563" i="1"/>
  <c r="R1563" i="1" s="1"/>
  <c r="Q1562" i="1"/>
  <c r="R1562" i="1" s="1"/>
  <c r="Q1560" i="1"/>
  <c r="R1560" i="1" s="1"/>
  <c r="Q1559" i="1"/>
  <c r="R1559" i="1" s="1"/>
  <c r="Q1558" i="1"/>
  <c r="R1558" i="1" s="1"/>
  <c r="Q1557" i="1"/>
  <c r="R1557" i="1" s="1"/>
  <c r="Q1556" i="1"/>
  <c r="R1556" i="1" s="1"/>
  <c r="Q1555" i="1"/>
  <c r="R1555" i="1" s="1"/>
  <c r="Q1554" i="1"/>
  <c r="R1554" i="1" s="1"/>
  <c r="Q1552" i="1"/>
  <c r="R1552" i="1" s="1"/>
  <c r="Q1551" i="1"/>
  <c r="R1551" i="1" s="1"/>
  <c r="Q1550" i="1"/>
  <c r="R1550" i="1" s="1"/>
  <c r="Q1549" i="1"/>
  <c r="R1549" i="1" s="1"/>
  <c r="Q1548" i="1"/>
  <c r="R1548" i="1" s="1"/>
  <c r="Q1547" i="1"/>
  <c r="R1547" i="1" s="1"/>
  <c r="Q1546" i="1"/>
  <c r="R1546" i="1" s="1"/>
  <c r="Q1544" i="1"/>
  <c r="R1544" i="1" s="1"/>
  <c r="Q1543" i="1"/>
  <c r="R1543" i="1" s="1"/>
  <c r="Q1542" i="1"/>
  <c r="R1542" i="1" s="1"/>
  <c r="Q1541" i="1"/>
  <c r="R1541" i="1" s="1"/>
  <c r="Q1540" i="1"/>
  <c r="R1540" i="1" s="1"/>
  <c r="Q1539" i="1"/>
  <c r="R1539" i="1" s="1"/>
  <c r="Q1538" i="1"/>
  <c r="R1538" i="1" s="1"/>
  <c r="Q1536" i="1"/>
  <c r="R1536" i="1" s="1"/>
  <c r="Q1535" i="1"/>
  <c r="R1535" i="1" s="1"/>
  <c r="Q1534" i="1"/>
  <c r="R1534" i="1" s="1"/>
  <c r="Q1533" i="1"/>
  <c r="R1533" i="1" s="1"/>
  <c r="Q1532" i="1"/>
  <c r="R1532" i="1" s="1"/>
  <c r="Q1531" i="1"/>
  <c r="R1531" i="1" s="1"/>
  <c r="Q1530" i="1"/>
  <c r="R1530" i="1" s="1"/>
  <c r="Q1528" i="1"/>
  <c r="R1528" i="1" s="1"/>
  <c r="Q1527" i="1"/>
  <c r="R1527" i="1" s="1"/>
  <c r="Q1526" i="1"/>
  <c r="R1526" i="1" s="1"/>
  <c r="Q1525" i="1"/>
  <c r="R1525" i="1" s="1"/>
  <c r="Q1524" i="1"/>
  <c r="R1524" i="1" s="1"/>
  <c r="Q1523" i="1"/>
  <c r="R1523" i="1" s="1"/>
  <c r="Q1522" i="1"/>
  <c r="R1522" i="1" s="1"/>
  <c r="Q1520" i="1"/>
  <c r="R1520" i="1" s="1"/>
  <c r="Q1519" i="1"/>
  <c r="R1519" i="1" s="1"/>
  <c r="Q1518" i="1"/>
  <c r="R1518" i="1" s="1"/>
  <c r="Q1517" i="1"/>
  <c r="R1517" i="1" s="1"/>
  <c r="Q1516" i="1"/>
  <c r="R1516" i="1" s="1"/>
  <c r="Q1515" i="1"/>
  <c r="R1515" i="1" s="1"/>
  <c r="Q1514" i="1"/>
  <c r="R1514" i="1" s="1"/>
  <c r="Q1512" i="1"/>
  <c r="R1512" i="1" s="1"/>
  <c r="Q1511" i="1"/>
  <c r="R1511" i="1" s="1"/>
  <c r="Q1510" i="1"/>
  <c r="R1510" i="1" s="1"/>
  <c r="Q1509" i="1"/>
  <c r="R1509" i="1" s="1"/>
  <c r="Q1508" i="1"/>
  <c r="R1508" i="1" s="1"/>
  <c r="Q1507" i="1"/>
  <c r="R1507" i="1" s="1"/>
  <c r="Q1506" i="1"/>
  <c r="R1506" i="1" s="1"/>
  <c r="Q1504" i="1"/>
  <c r="R1504" i="1" s="1"/>
  <c r="Q1503" i="1"/>
  <c r="R1503" i="1" s="1"/>
  <c r="Q1502" i="1"/>
  <c r="R1502" i="1" s="1"/>
  <c r="Q1501" i="1"/>
  <c r="R1501" i="1" s="1"/>
  <c r="Q1500" i="1"/>
  <c r="R1500" i="1" s="1"/>
  <c r="Q1499" i="1"/>
  <c r="R1499" i="1" s="1"/>
  <c r="Q1498" i="1"/>
  <c r="R1498" i="1" s="1"/>
  <c r="Q1496" i="1"/>
  <c r="R1496" i="1" s="1"/>
  <c r="Q1495" i="1"/>
  <c r="R1495" i="1" s="1"/>
  <c r="Q1494" i="1"/>
  <c r="R1494" i="1" s="1"/>
  <c r="Q1493" i="1"/>
  <c r="R1493" i="1" s="1"/>
  <c r="Q1492" i="1"/>
  <c r="R1492" i="1" s="1"/>
  <c r="Q1491" i="1"/>
  <c r="R1491" i="1" s="1"/>
  <c r="Q1490" i="1"/>
  <c r="R1490" i="1" s="1"/>
  <c r="Q1488" i="1"/>
  <c r="R1488" i="1" s="1"/>
  <c r="Q1487" i="1"/>
  <c r="R1487" i="1" s="1"/>
  <c r="Q1486" i="1"/>
  <c r="R1486" i="1" s="1"/>
  <c r="Q1485" i="1"/>
  <c r="R1485" i="1" s="1"/>
  <c r="Q1484" i="1"/>
  <c r="R1484" i="1" s="1"/>
  <c r="Q1483" i="1"/>
  <c r="R1483" i="1" s="1"/>
  <c r="Q1482" i="1"/>
  <c r="R1482" i="1" s="1"/>
  <c r="Q1480" i="1"/>
  <c r="R1480" i="1" s="1"/>
  <c r="Q1479" i="1"/>
  <c r="R1479" i="1" s="1"/>
  <c r="Q1478" i="1"/>
  <c r="R1478" i="1" s="1"/>
  <c r="Q1477" i="1"/>
  <c r="R1477" i="1" s="1"/>
  <c r="Q1476" i="1"/>
  <c r="R1476" i="1" s="1"/>
  <c r="Q1475" i="1"/>
  <c r="R1475" i="1" s="1"/>
  <c r="Q1474" i="1"/>
  <c r="R1474" i="1" s="1"/>
  <c r="Q1472" i="1"/>
  <c r="R1472" i="1" s="1"/>
  <c r="Q1471" i="1"/>
  <c r="R1471" i="1" s="1"/>
  <c r="Q1470" i="1"/>
  <c r="R1470" i="1" s="1"/>
  <c r="Q1469" i="1"/>
  <c r="R1469" i="1" s="1"/>
  <c r="Q1468" i="1"/>
  <c r="R1468" i="1" s="1"/>
  <c r="Q1467" i="1"/>
  <c r="R1467" i="1" s="1"/>
  <c r="Q1466" i="1"/>
  <c r="R1466" i="1" s="1"/>
  <c r="Q1464" i="1"/>
  <c r="R1464" i="1" s="1"/>
  <c r="Q1463" i="1"/>
  <c r="R1463" i="1" s="1"/>
  <c r="Q1462" i="1"/>
  <c r="R1462" i="1" s="1"/>
  <c r="Q1461" i="1"/>
  <c r="R1461" i="1" s="1"/>
  <c r="Q1460" i="1"/>
  <c r="R1460" i="1" s="1"/>
  <c r="Q1459" i="1"/>
  <c r="R1459" i="1" s="1"/>
  <c r="Q1458" i="1"/>
  <c r="R1458" i="1" s="1"/>
  <c r="Q1456" i="1"/>
  <c r="R1456" i="1" s="1"/>
  <c r="Q1455" i="1"/>
  <c r="R1455" i="1" s="1"/>
  <c r="Q1454" i="1"/>
  <c r="R1454" i="1" s="1"/>
  <c r="Q1453" i="1"/>
  <c r="R1453" i="1" s="1"/>
  <c r="Q1452" i="1"/>
  <c r="R1452" i="1" s="1"/>
  <c r="Q1451" i="1"/>
  <c r="R1451" i="1" s="1"/>
  <c r="Q1450" i="1"/>
  <c r="R1450" i="1" s="1"/>
  <c r="Q1448" i="1"/>
  <c r="R1448" i="1" s="1"/>
  <c r="Q1447" i="1"/>
  <c r="R1447" i="1" s="1"/>
  <c r="Q1446" i="1"/>
  <c r="R1446" i="1" s="1"/>
  <c r="Q1445" i="1"/>
  <c r="R1445" i="1" s="1"/>
  <c r="Q1444" i="1"/>
  <c r="R1444" i="1" s="1"/>
  <c r="Q1443" i="1"/>
  <c r="R1443" i="1" s="1"/>
  <c r="Q1442" i="1"/>
  <c r="R1442" i="1" s="1"/>
  <c r="Q1440" i="1"/>
  <c r="R1440" i="1" s="1"/>
  <c r="Q1439" i="1"/>
  <c r="R1439" i="1" s="1"/>
  <c r="Q1438" i="1"/>
  <c r="R1438" i="1" s="1"/>
  <c r="Q1437" i="1"/>
  <c r="R1437" i="1" s="1"/>
  <c r="Q1436" i="1"/>
  <c r="R1436" i="1" s="1"/>
  <c r="Q1435" i="1"/>
  <c r="R1435" i="1" s="1"/>
  <c r="Q1434" i="1"/>
  <c r="R1434" i="1" s="1"/>
  <c r="Q1432" i="1"/>
  <c r="R1432" i="1" s="1"/>
  <c r="Q1431" i="1"/>
  <c r="R1431" i="1" s="1"/>
  <c r="Q1430" i="1"/>
  <c r="R1430" i="1" s="1"/>
  <c r="Q1429" i="1"/>
  <c r="R1429" i="1" s="1"/>
  <c r="Q1428" i="1"/>
  <c r="R1428" i="1" s="1"/>
  <c r="Q1427" i="1"/>
  <c r="R1427" i="1" s="1"/>
  <c r="Q1426" i="1"/>
  <c r="R1426" i="1" s="1"/>
  <c r="Q1424" i="1"/>
  <c r="R1424" i="1" s="1"/>
  <c r="Q1423" i="1"/>
  <c r="R1423" i="1" s="1"/>
  <c r="Q1422" i="1"/>
  <c r="R1422" i="1" s="1"/>
  <c r="Q1421" i="1"/>
  <c r="R1421" i="1" s="1"/>
  <c r="Q1420" i="1"/>
  <c r="R1420" i="1" s="1"/>
  <c r="Q1419" i="1"/>
  <c r="R1419" i="1" s="1"/>
  <c r="Q1418" i="1"/>
  <c r="R1418" i="1" s="1"/>
  <c r="Q1416" i="1"/>
  <c r="R1416" i="1" s="1"/>
  <c r="Q1415" i="1"/>
  <c r="R1415" i="1" s="1"/>
  <c r="Q1414" i="1"/>
  <c r="R1414" i="1" s="1"/>
  <c r="Q1413" i="1"/>
  <c r="R1413" i="1" s="1"/>
  <c r="Q1412" i="1"/>
  <c r="R1412" i="1" s="1"/>
  <c r="Q1411" i="1"/>
  <c r="R1411" i="1" s="1"/>
  <c r="Q1410" i="1"/>
  <c r="R1410" i="1" s="1"/>
  <c r="Q1408" i="1"/>
  <c r="R1408" i="1" s="1"/>
  <c r="Q1407" i="1"/>
  <c r="R1407" i="1" s="1"/>
  <c r="Q1406" i="1"/>
  <c r="R1406" i="1" s="1"/>
  <c r="Q1405" i="1"/>
  <c r="R1405" i="1" s="1"/>
  <c r="Q1404" i="1"/>
  <c r="R1404" i="1" s="1"/>
  <c r="Q1403" i="1"/>
  <c r="R1403" i="1" s="1"/>
  <c r="Q1402" i="1"/>
  <c r="R1402" i="1" s="1"/>
  <c r="Q1400" i="1"/>
  <c r="R1400" i="1" s="1"/>
  <c r="Q1399" i="1"/>
  <c r="R1399" i="1" s="1"/>
  <c r="Q1398" i="1"/>
  <c r="R1398" i="1" s="1"/>
  <c r="Q1397" i="1"/>
  <c r="R1397" i="1" s="1"/>
  <c r="Q1396" i="1"/>
  <c r="R1396" i="1" s="1"/>
  <c r="Q1395" i="1"/>
  <c r="R1395" i="1" s="1"/>
  <c r="Q1394" i="1"/>
  <c r="R1394" i="1" s="1"/>
  <c r="Q1392" i="1"/>
  <c r="R1392" i="1" s="1"/>
  <c r="Q1391" i="1"/>
  <c r="R1391" i="1" s="1"/>
  <c r="Q1390" i="1"/>
  <c r="R1390" i="1" s="1"/>
  <c r="Q1389" i="1"/>
  <c r="R1389" i="1" s="1"/>
  <c r="Q1388" i="1"/>
  <c r="R1388" i="1" s="1"/>
  <c r="Q1387" i="1"/>
  <c r="R1387" i="1" s="1"/>
  <c r="Q1386" i="1"/>
  <c r="R1386" i="1" s="1"/>
  <c r="Q1384" i="1"/>
  <c r="R1384" i="1" s="1"/>
  <c r="Q1383" i="1"/>
  <c r="R1383" i="1" s="1"/>
  <c r="Q1382" i="1"/>
  <c r="R1382" i="1" s="1"/>
  <c r="Q1381" i="1"/>
  <c r="R1381" i="1" s="1"/>
  <c r="Q1380" i="1"/>
  <c r="R1380" i="1" s="1"/>
  <c r="Q1379" i="1"/>
  <c r="R1379" i="1" s="1"/>
  <c r="Q1378" i="1"/>
  <c r="R1378" i="1" s="1"/>
  <c r="Q1376" i="1"/>
  <c r="R1376" i="1" s="1"/>
  <c r="Q1375" i="1"/>
  <c r="R1375" i="1" s="1"/>
  <c r="Q1374" i="1"/>
  <c r="R1374" i="1" s="1"/>
  <c r="Q1373" i="1"/>
  <c r="R1373" i="1" s="1"/>
  <c r="Q1372" i="1"/>
  <c r="R1372" i="1" s="1"/>
  <c r="Q1371" i="1"/>
  <c r="R1371" i="1" s="1"/>
  <c r="Q1370" i="1"/>
  <c r="R1370" i="1" s="1"/>
  <c r="Q1368" i="1"/>
  <c r="R1368" i="1" s="1"/>
  <c r="Q1367" i="1"/>
  <c r="R1367" i="1" s="1"/>
  <c r="Q1366" i="1"/>
  <c r="R1366" i="1" s="1"/>
  <c r="Q1365" i="1"/>
  <c r="R1365" i="1" s="1"/>
  <c r="Q1364" i="1"/>
  <c r="R1364" i="1" s="1"/>
  <c r="Q1363" i="1"/>
  <c r="R1363" i="1" s="1"/>
  <c r="Q1362" i="1"/>
  <c r="R1362" i="1" s="1"/>
  <c r="Q1360" i="1"/>
  <c r="R1360" i="1" s="1"/>
  <c r="Q1359" i="1"/>
  <c r="R1359" i="1" s="1"/>
  <c r="Q1358" i="1"/>
  <c r="R1358" i="1" s="1"/>
  <c r="Q1357" i="1"/>
  <c r="R1357" i="1" s="1"/>
  <c r="Q1356" i="1"/>
  <c r="R1356" i="1" s="1"/>
  <c r="Q1355" i="1"/>
  <c r="R1355" i="1" s="1"/>
  <c r="Q1354" i="1"/>
  <c r="R1354" i="1" s="1"/>
  <c r="Q1352" i="1"/>
  <c r="R1352" i="1" s="1"/>
  <c r="Q1351" i="1"/>
  <c r="R1351" i="1" s="1"/>
  <c r="Q1350" i="1"/>
  <c r="R1350" i="1" s="1"/>
  <c r="Q1349" i="1"/>
  <c r="R1349" i="1" s="1"/>
  <c r="Q1348" i="1"/>
  <c r="R1348" i="1" s="1"/>
  <c r="Q1347" i="1"/>
  <c r="R1347" i="1" s="1"/>
  <c r="Q1346" i="1"/>
  <c r="R1346" i="1" s="1"/>
  <c r="Q1344" i="1"/>
  <c r="R1344" i="1" s="1"/>
  <c r="Q1343" i="1"/>
  <c r="R1343" i="1" s="1"/>
  <c r="Q1342" i="1"/>
  <c r="R1342" i="1" s="1"/>
  <c r="Q1341" i="1"/>
  <c r="R1341" i="1" s="1"/>
  <c r="Q1340" i="1"/>
  <c r="R1340" i="1" s="1"/>
  <c r="Q1339" i="1"/>
  <c r="R1339" i="1" s="1"/>
  <c r="Q1338" i="1"/>
  <c r="R1338" i="1" s="1"/>
  <c r="Q1336" i="1"/>
  <c r="R1336" i="1" s="1"/>
  <c r="Q1335" i="1"/>
  <c r="R1335" i="1" s="1"/>
  <c r="Q1334" i="1"/>
  <c r="R1334" i="1" s="1"/>
  <c r="Q1333" i="1"/>
  <c r="R1333" i="1" s="1"/>
  <c r="Q1332" i="1"/>
  <c r="R1332" i="1" s="1"/>
  <c r="Q1331" i="1"/>
  <c r="R1331" i="1" s="1"/>
  <c r="Q1330" i="1"/>
  <c r="R1330" i="1" s="1"/>
  <c r="Q1328" i="1"/>
  <c r="R1328" i="1" s="1"/>
  <c r="Q1327" i="1"/>
  <c r="R1327" i="1" s="1"/>
  <c r="Q1326" i="1"/>
  <c r="R1326" i="1" s="1"/>
  <c r="Q1325" i="1"/>
  <c r="R1325" i="1" s="1"/>
  <c r="Q1324" i="1"/>
  <c r="R1324" i="1" s="1"/>
  <c r="Q1323" i="1"/>
  <c r="R1323" i="1" s="1"/>
  <c r="Q1322" i="1"/>
  <c r="R1322" i="1" s="1"/>
  <c r="Q1320" i="1"/>
  <c r="R1320" i="1" s="1"/>
  <c r="Q1319" i="1"/>
  <c r="R1319" i="1" s="1"/>
  <c r="Q1318" i="1"/>
  <c r="R1318" i="1" s="1"/>
  <c r="Q1317" i="1"/>
  <c r="R1317" i="1" s="1"/>
  <c r="Q1316" i="1"/>
  <c r="R1316" i="1" s="1"/>
  <c r="Q1315" i="1"/>
  <c r="R1315" i="1" s="1"/>
  <c r="Q1314" i="1"/>
  <c r="R1314" i="1" s="1"/>
  <c r="Q1312" i="1"/>
  <c r="R1312" i="1" s="1"/>
  <c r="Q1311" i="1"/>
  <c r="R1311" i="1" s="1"/>
  <c r="Q1310" i="1"/>
  <c r="R1310" i="1" s="1"/>
  <c r="Q1309" i="1"/>
  <c r="R1309" i="1" s="1"/>
  <c r="Q1308" i="1"/>
  <c r="R1308" i="1" s="1"/>
  <c r="Q1307" i="1"/>
  <c r="R1307" i="1" s="1"/>
  <c r="Q1306" i="1"/>
  <c r="R1306" i="1" s="1"/>
  <c r="Q1304" i="1"/>
  <c r="R1304" i="1" s="1"/>
  <c r="Q1303" i="1"/>
  <c r="R1303" i="1" s="1"/>
  <c r="Q1302" i="1"/>
  <c r="R1302" i="1" s="1"/>
  <c r="Q1301" i="1"/>
  <c r="R1301" i="1" s="1"/>
  <c r="Q1300" i="1"/>
  <c r="R1300" i="1" s="1"/>
  <c r="Q1299" i="1"/>
  <c r="R1299" i="1" s="1"/>
  <c r="Q1298" i="1"/>
  <c r="R1298" i="1" s="1"/>
  <c r="Q1296" i="1"/>
  <c r="R1296" i="1" s="1"/>
  <c r="Q1295" i="1"/>
  <c r="R1295" i="1" s="1"/>
  <c r="Q1294" i="1"/>
  <c r="R1294" i="1" s="1"/>
  <c r="Q1293" i="1"/>
  <c r="R1293" i="1" s="1"/>
  <c r="Q1292" i="1"/>
  <c r="R1292" i="1" s="1"/>
  <c r="Q1291" i="1"/>
  <c r="R1291" i="1" s="1"/>
  <c r="Q1290" i="1"/>
  <c r="R1290" i="1" s="1"/>
  <c r="Q1288" i="1"/>
  <c r="R1288" i="1" s="1"/>
  <c r="Q1287" i="1"/>
  <c r="R1287" i="1" s="1"/>
  <c r="Q1286" i="1"/>
  <c r="R1286" i="1" s="1"/>
  <c r="Q1285" i="1"/>
  <c r="R1285" i="1" s="1"/>
  <c r="Q1284" i="1"/>
  <c r="R1284" i="1" s="1"/>
  <c r="Q1283" i="1"/>
  <c r="R1283" i="1" s="1"/>
  <c r="Q1282" i="1"/>
  <c r="R1282" i="1" s="1"/>
  <c r="Q1280" i="1"/>
  <c r="R1280" i="1" s="1"/>
  <c r="Q1279" i="1"/>
  <c r="R1279" i="1" s="1"/>
  <c r="Q1278" i="1"/>
  <c r="R1278" i="1" s="1"/>
  <c r="Q1277" i="1"/>
  <c r="R1277" i="1" s="1"/>
  <c r="Q1276" i="1"/>
  <c r="R1276" i="1" s="1"/>
  <c r="Q1275" i="1"/>
  <c r="R1275" i="1" s="1"/>
  <c r="Q1274" i="1"/>
  <c r="R1274" i="1" s="1"/>
  <c r="Q1272" i="1"/>
  <c r="R1272" i="1" s="1"/>
  <c r="Q1271" i="1"/>
  <c r="R1271" i="1" s="1"/>
  <c r="Q1270" i="1"/>
  <c r="R1270" i="1" s="1"/>
  <c r="Q1269" i="1"/>
  <c r="R1269" i="1" s="1"/>
  <c r="Q1268" i="1"/>
  <c r="R1268" i="1" s="1"/>
  <c r="Q1267" i="1"/>
  <c r="R1267" i="1" s="1"/>
  <c r="Q1266" i="1"/>
  <c r="R1266" i="1" s="1"/>
  <c r="Q1264" i="1"/>
  <c r="R1264" i="1" s="1"/>
  <c r="Q1263" i="1"/>
  <c r="R1263" i="1" s="1"/>
  <c r="Q1262" i="1"/>
  <c r="R1262" i="1" s="1"/>
  <c r="Q1261" i="1"/>
  <c r="R1261" i="1" s="1"/>
  <c r="Q1260" i="1"/>
  <c r="R1260" i="1" s="1"/>
  <c r="Q1259" i="1"/>
  <c r="R1259" i="1" s="1"/>
  <c r="Q1258" i="1"/>
  <c r="R1258" i="1" s="1"/>
  <c r="Q1256" i="1"/>
  <c r="R1256" i="1" s="1"/>
  <c r="Q1255" i="1"/>
  <c r="R1255" i="1" s="1"/>
  <c r="Q1254" i="1"/>
  <c r="R1254" i="1" s="1"/>
  <c r="Q1253" i="1"/>
  <c r="R1253" i="1" s="1"/>
  <c r="Q1252" i="1"/>
  <c r="R1252" i="1" s="1"/>
  <c r="Q1251" i="1"/>
  <c r="R1251" i="1" s="1"/>
  <c r="Q1250" i="1"/>
  <c r="R1250" i="1" s="1"/>
  <c r="Q1248" i="1"/>
  <c r="R1248" i="1" s="1"/>
  <c r="Q1247" i="1"/>
  <c r="R1247" i="1" s="1"/>
  <c r="Q1246" i="1"/>
  <c r="R1246" i="1" s="1"/>
  <c r="Q1245" i="1"/>
  <c r="R1245" i="1" s="1"/>
  <c r="Q1244" i="1"/>
  <c r="R1244" i="1" s="1"/>
  <c r="Q1243" i="1"/>
  <c r="R1243" i="1" s="1"/>
  <c r="Q1242" i="1"/>
  <c r="R1242" i="1" s="1"/>
  <c r="Q1240" i="1"/>
  <c r="R1240" i="1" s="1"/>
  <c r="Q1239" i="1"/>
  <c r="R1239" i="1" s="1"/>
  <c r="Q1238" i="1"/>
  <c r="R1238" i="1" s="1"/>
  <c r="Q1237" i="1"/>
  <c r="R1237" i="1" s="1"/>
  <c r="Q1236" i="1"/>
  <c r="R1236" i="1" s="1"/>
  <c r="Q1235" i="1"/>
  <c r="R1235" i="1" s="1"/>
  <c r="Q1234" i="1"/>
  <c r="R1234" i="1" s="1"/>
  <c r="Q1232" i="1"/>
  <c r="R1232" i="1" s="1"/>
  <c r="Q1231" i="1"/>
  <c r="R1231" i="1" s="1"/>
  <c r="Q1230" i="1"/>
  <c r="R1230" i="1" s="1"/>
  <c r="Q1229" i="1"/>
  <c r="R1229" i="1" s="1"/>
  <c r="Q1228" i="1"/>
  <c r="R1228" i="1" s="1"/>
  <c r="Q1227" i="1"/>
  <c r="R1227" i="1" s="1"/>
  <c r="Q1226" i="1"/>
  <c r="R1226" i="1" s="1"/>
  <c r="Q1224" i="1"/>
  <c r="R1224" i="1" s="1"/>
  <c r="Q1223" i="1"/>
  <c r="R1223" i="1" s="1"/>
  <c r="Q1222" i="1"/>
  <c r="R1222" i="1" s="1"/>
  <c r="Q1221" i="1"/>
  <c r="R1221" i="1" s="1"/>
  <c r="Q1220" i="1"/>
  <c r="R1220" i="1" s="1"/>
  <c r="Q1219" i="1"/>
  <c r="R1219" i="1" s="1"/>
  <c r="Q1218" i="1"/>
  <c r="R1218" i="1" s="1"/>
  <c r="Q1216" i="1"/>
  <c r="R1216" i="1" s="1"/>
  <c r="Q1215" i="1"/>
  <c r="R1215" i="1" s="1"/>
  <c r="Q1214" i="1"/>
  <c r="R1214" i="1" s="1"/>
  <c r="Q1213" i="1"/>
  <c r="R1213" i="1" s="1"/>
  <c r="Q1212" i="1"/>
  <c r="R1212" i="1" s="1"/>
  <c r="Q1211" i="1"/>
  <c r="R1211" i="1" s="1"/>
  <c r="Q1210" i="1"/>
  <c r="R1210" i="1" s="1"/>
  <c r="Q1208" i="1"/>
  <c r="R1208" i="1" s="1"/>
  <c r="Q1207" i="1"/>
  <c r="R1207" i="1" s="1"/>
  <c r="Q1206" i="1"/>
  <c r="R1206" i="1" s="1"/>
  <c r="Q1205" i="1"/>
  <c r="R1205" i="1" s="1"/>
  <c r="Q1204" i="1"/>
  <c r="R1204" i="1" s="1"/>
  <c r="Q1203" i="1"/>
  <c r="R1203" i="1" s="1"/>
  <c r="Q1202" i="1"/>
  <c r="R1202" i="1" s="1"/>
  <c r="Q1200" i="1"/>
  <c r="R1200" i="1" s="1"/>
  <c r="Q1199" i="1"/>
  <c r="R1199" i="1" s="1"/>
  <c r="Q1198" i="1"/>
  <c r="R1198" i="1" s="1"/>
  <c r="Q1197" i="1"/>
  <c r="R1197" i="1" s="1"/>
  <c r="Q1196" i="1"/>
  <c r="R1196" i="1" s="1"/>
  <c r="Q1195" i="1"/>
  <c r="R1195" i="1" s="1"/>
  <c r="Q1194" i="1"/>
  <c r="R1194" i="1" s="1"/>
  <c r="Q1192" i="1"/>
  <c r="R1192" i="1" s="1"/>
  <c r="Q1191" i="1"/>
  <c r="R1191" i="1" s="1"/>
  <c r="Q1190" i="1"/>
  <c r="R1190" i="1" s="1"/>
  <c r="Q1189" i="1"/>
  <c r="R1189" i="1" s="1"/>
  <c r="Q1188" i="1"/>
  <c r="R1188" i="1" s="1"/>
  <c r="Q1187" i="1"/>
  <c r="R1187" i="1" s="1"/>
  <c r="Q1186" i="1"/>
  <c r="R1186" i="1" s="1"/>
  <c r="Q1184" i="1"/>
  <c r="R1184" i="1" s="1"/>
  <c r="Q1183" i="1"/>
  <c r="R1183" i="1" s="1"/>
  <c r="Q1182" i="1"/>
  <c r="R1182" i="1" s="1"/>
  <c r="Q1181" i="1"/>
  <c r="R1181" i="1" s="1"/>
  <c r="Q1180" i="1"/>
  <c r="R1180" i="1" s="1"/>
  <c r="Q1179" i="1"/>
  <c r="R1179" i="1" s="1"/>
  <c r="Q1178" i="1"/>
  <c r="R1178" i="1" s="1"/>
  <c r="Q1176" i="1"/>
  <c r="R1176" i="1" s="1"/>
  <c r="Q1175" i="1"/>
  <c r="R1175" i="1" s="1"/>
  <c r="Q1174" i="1"/>
  <c r="R1174" i="1" s="1"/>
  <c r="Q1173" i="1"/>
  <c r="R1173" i="1" s="1"/>
  <c r="Q1172" i="1"/>
  <c r="R1172" i="1" s="1"/>
  <c r="Q1171" i="1"/>
  <c r="R1171" i="1" s="1"/>
  <c r="Q1170" i="1"/>
  <c r="R1170" i="1" s="1"/>
  <c r="Q1168" i="1"/>
  <c r="R1168" i="1" s="1"/>
  <c r="Q1167" i="1"/>
  <c r="R1167" i="1" s="1"/>
  <c r="Q1166" i="1"/>
  <c r="R1166" i="1" s="1"/>
  <c r="Q1165" i="1"/>
  <c r="R1165" i="1" s="1"/>
  <c r="Q1164" i="1"/>
  <c r="R1164" i="1" s="1"/>
  <c r="Q1163" i="1"/>
  <c r="R1163" i="1" s="1"/>
  <c r="Q1162" i="1"/>
  <c r="R1162" i="1" s="1"/>
  <c r="Q1160" i="1"/>
  <c r="R1160" i="1" s="1"/>
  <c r="Q1159" i="1"/>
  <c r="R1159" i="1" s="1"/>
  <c r="Q1158" i="1"/>
  <c r="R1158" i="1" s="1"/>
  <c r="Q1157" i="1"/>
  <c r="R1157" i="1" s="1"/>
  <c r="Q1156" i="1"/>
  <c r="R1156" i="1" s="1"/>
  <c r="Q1155" i="1"/>
  <c r="R1155" i="1" s="1"/>
  <c r="Q1154" i="1"/>
  <c r="R1154" i="1" s="1"/>
  <c r="Q1152" i="1"/>
  <c r="R1152" i="1" s="1"/>
  <c r="Q1151" i="1"/>
  <c r="R1151" i="1" s="1"/>
  <c r="Q1150" i="1"/>
  <c r="R1150" i="1" s="1"/>
  <c r="Q1149" i="1"/>
  <c r="R1149" i="1" s="1"/>
  <c r="Q1148" i="1"/>
  <c r="R1148" i="1" s="1"/>
  <c r="Q1147" i="1"/>
  <c r="R1147" i="1" s="1"/>
  <c r="Q1146" i="1"/>
  <c r="R1146" i="1" s="1"/>
  <c r="Q1144" i="1"/>
  <c r="R1144" i="1" s="1"/>
  <c r="Q1143" i="1"/>
  <c r="R1143" i="1" s="1"/>
  <c r="Q1142" i="1"/>
  <c r="R1142" i="1" s="1"/>
  <c r="Q1141" i="1"/>
  <c r="R1141" i="1" s="1"/>
  <c r="Q1140" i="1"/>
  <c r="R1140" i="1" s="1"/>
  <c r="Q1139" i="1"/>
  <c r="R1139" i="1" s="1"/>
  <c r="Q1138" i="1"/>
  <c r="R1138" i="1" s="1"/>
  <c r="Q1136" i="1"/>
  <c r="R1136" i="1" s="1"/>
  <c r="Q1135" i="1"/>
  <c r="R1135" i="1" s="1"/>
  <c r="Q1134" i="1"/>
  <c r="R1134" i="1" s="1"/>
  <c r="Q1133" i="1"/>
  <c r="R1133" i="1" s="1"/>
  <c r="Q1132" i="1"/>
  <c r="R1132" i="1" s="1"/>
  <c r="Q1131" i="1"/>
  <c r="R1131" i="1" s="1"/>
  <c r="Q1130" i="1"/>
  <c r="R1130" i="1" s="1"/>
  <c r="Q1128" i="1"/>
  <c r="R1128" i="1" s="1"/>
  <c r="Q1127" i="1"/>
  <c r="R1127" i="1" s="1"/>
  <c r="Q1126" i="1"/>
  <c r="R1126" i="1" s="1"/>
  <c r="Q1125" i="1"/>
  <c r="R1125" i="1" s="1"/>
  <c r="Q1124" i="1"/>
  <c r="R1124" i="1" s="1"/>
  <c r="Q1123" i="1"/>
  <c r="R1123" i="1" s="1"/>
  <c r="Q1122" i="1"/>
  <c r="R1122" i="1" s="1"/>
  <c r="Q1120" i="1"/>
  <c r="R1120" i="1" s="1"/>
  <c r="Q1119" i="1"/>
  <c r="R1119" i="1" s="1"/>
  <c r="Q1118" i="1"/>
  <c r="R1118" i="1" s="1"/>
  <c r="Q1117" i="1"/>
  <c r="R1117" i="1" s="1"/>
  <c r="Q1116" i="1"/>
  <c r="R1116" i="1" s="1"/>
  <c r="Q1115" i="1"/>
  <c r="R1115" i="1" s="1"/>
  <c r="Q1114" i="1"/>
  <c r="R1114" i="1" s="1"/>
  <c r="Q1112" i="1"/>
  <c r="R1112" i="1" s="1"/>
  <c r="Q1111" i="1"/>
  <c r="R1111" i="1" s="1"/>
  <c r="Q1110" i="1"/>
  <c r="R1110" i="1" s="1"/>
  <c r="Q1109" i="1"/>
  <c r="R1109" i="1" s="1"/>
  <c r="Q1108" i="1"/>
  <c r="R1108" i="1" s="1"/>
  <c r="Q1107" i="1"/>
  <c r="R1107" i="1" s="1"/>
  <c r="Q1106" i="1"/>
  <c r="R1106" i="1" s="1"/>
  <c r="Q1104" i="1"/>
  <c r="R1104" i="1" s="1"/>
  <c r="Q1103" i="1"/>
  <c r="R1103" i="1" s="1"/>
  <c r="Q1102" i="1"/>
  <c r="R1102" i="1" s="1"/>
  <c r="Q1101" i="1"/>
  <c r="R1101" i="1" s="1"/>
  <c r="Q1100" i="1"/>
  <c r="R1100" i="1" s="1"/>
  <c r="Q1099" i="1"/>
  <c r="R1099" i="1" s="1"/>
  <c r="Q1098" i="1"/>
  <c r="R1098" i="1" s="1"/>
  <c r="Q1096" i="1"/>
  <c r="R1096" i="1" s="1"/>
  <c r="Q1095" i="1"/>
  <c r="R1095" i="1" s="1"/>
  <c r="Q1094" i="1"/>
  <c r="R1094" i="1" s="1"/>
  <c r="Q1093" i="1"/>
  <c r="R1093" i="1" s="1"/>
  <c r="Q1092" i="1"/>
  <c r="R1092" i="1" s="1"/>
  <c r="Q1091" i="1"/>
  <c r="R1091" i="1" s="1"/>
  <c r="Q1090" i="1"/>
  <c r="R1090" i="1" s="1"/>
  <c r="Q1088" i="1"/>
  <c r="R1088" i="1" s="1"/>
  <c r="Q1087" i="1"/>
  <c r="R1087" i="1" s="1"/>
  <c r="Q1086" i="1"/>
  <c r="R1086" i="1" s="1"/>
  <c r="Q1085" i="1"/>
  <c r="R1085" i="1" s="1"/>
  <c r="Q1084" i="1"/>
  <c r="R1084" i="1" s="1"/>
  <c r="Q1083" i="1"/>
  <c r="R1083" i="1" s="1"/>
  <c r="Q1082" i="1"/>
  <c r="R1082" i="1" s="1"/>
  <c r="Q1080" i="1"/>
  <c r="R1080" i="1" s="1"/>
  <c r="Q1079" i="1"/>
  <c r="R1079" i="1" s="1"/>
  <c r="Q1078" i="1"/>
  <c r="R1078" i="1" s="1"/>
  <c r="Q1077" i="1"/>
  <c r="R1077" i="1" s="1"/>
  <c r="Q1076" i="1"/>
  <c r="R1076" i="1" s="1"/>
  <c r="Q1075" i="1"/>
  <c r="R1075" i="1" s="1"/>
  <c r="Q1074" i="1"/>
  <c r="R1074" i="1" s="1"/>
  <c r="Q1072" i="1"/>
  <c r="R1072" i="1" s="1"/>
  <c r="Q1071" i="1"/>
  <c r="R1071" i="1" s="1"/>
  <c r="Q1070" i="1"/>
  <c r="R1070" i="1" s="1"/>
  <c r="Q1069" i="1"/>
  <c r="R1069" i="1" s="1"/>
  <c r="Q1068" i="1"/>
  <c r="R1068" i="1" s="1"/>
  <c r="Q1067" i="1"/>
  <c r="R1067" i="1" s="1"/>
  <c r="Q1066" i="1"/>
  <c r="R1066" i="1" s="1"/>
  <c r="Q1064" i="1"/>
  <c r="R1064" i="1" s="1"/>
  <c r="Q1063" i="1"/>
  <c r="R1063" i="1" s="1"/>
  <c r="Q1062" i="1"/>
  <c r="R1062" i="1" s="1"/>
  <c r="Q1061" i="1"/>
  <c r="R1061" i="1" s="1"/>
  <c r="Q1060" i="1"/>
  <c r="R1060" i="1" s="1"/>
  <c r="Q1059" i="1"/>
  <c r="R1059" i="1" s="1"/>
  <c r="Q1058" i="1"/>
  <c r="R1058" i="1" s="1"/>
  <c r="Q1056" i="1"/>
  <c r="R1056" i="1" s="1"/>
  <c r="Q1055" i="1"/>
  <c r="R1055" i="1" s="1"/>
  <c r="Q1054" i="1"/>
  <c r="R1054" i="1" s="1"/>
  <c r="Q1053" i="1"/>
  <c r="R1053" i="1" s="1"/>
  <c r="Q1052" i="1"/>
  <c r="R1052" i="1" s="1"/>
  <c r="Q1051" i="1"/>
  <c r="R1051" i="1" s="1"/>
  <c r="Q1050" i="1"/>
  <c r="R1050" i="1" s="1"/>
  <c r="Q1048" i="1"/>
  <c r="R1048" i="1" s="1"/>
  <c r="Q1047" i="1"/>
  <c r="R1047" i="1" s="1"/>
  <c r="Q1046" i="1"/>
  <c r="R1046" i="1" s="1"/>
  <c r="Q1045" i="1"/>
  <c r="R1045" i="1" s="1"/>
  <c r="Q1044" i="1"/>
  <c r="R1044" i="1" s="1"/>
  <c r="Q1043" i="1"/>
  <c r="R1043" i="1" s="1"/>
  <c r="Q1042" i="1"/>
  <c r="R1042" i="1" s="1"/>
  <c r="Q1040" i="1"/>
  <c r="R1040" i="1" s="1"/>
  <c r="Q1039" i="1"/>
  <c r="R1039" i="1" s="1"/>
  <c r="Q1038" i="1"/>
  <c r="R1038" i="1" s="1"/>
  <c r="Q1037" i="1"/>
  <c r="R1037" i="1" s="1"/>
  <c r="Q1036" i="1"/>
  <c r="R1036" i="1" s="1"/>
  <c r="Q1035" i="1"/>
  <c r="R1035" i="1" s="1"/>
  <c r="Q1034" i="1"/>
  <c r="R1034" i="1" s="1"/>
  <c r="Q1032" i="1"/>
  <c r="R1032" i="1" s="1"/>
  <c r="Q1031" i="1"/>
  <c r="R1031" i="1" s="1"/>
  <c r="Q1030" i="1"/>
  <c r="R1030" i="1" s="1"/>
  <c r="Q1029" i="1"/>
  <c r="R1029" i="1" s="1"/>
  <c r="Q1028" i="1"/>
  <c r="R1028" i="1" s="1"/>
  <c r="Q1027" i="1"/>
  <c r="R1027" i="1" s="1"/>
  <c r="Q1026" i="1"/>
  <c r="R1026" i="1" s="1"/>
  <c r="Q1024" i="1"/>
  <c r="R1024" i="1" s="1"/>
  <c r="Q1023" i="1"/>
  <c r="R1023" i="1" s="1"/>
  <c r="Q1022" i="1"/>
  <c r="R1022" i="1" s="1"/>
  <c r="Q1021" i="1"/>
  <c r="R1021" i="1" s="1"/>
  <c r="Q1020" i="1"/>
  <c r="R1020" i="1" s="1"/>
  <c r="Q1019" i="1"/>
  <c r="R1019" i="1" s="1"/>
  <c r="Q1018" i="1"/>
  <c r="R1018" i="1" s="1"/>
  <c r="Q1016" i="1"/>
  <c r="R1016" i="1" s="1"/>
  <c r="Q1015" i="1"/>
  <c r="R1015" i="1" s="1"/>
  <c r="Q1014" i="1"/>
  <c r="R1014" i="1" s="1"/>
  <c r="Q1013" i="1"/>
  <c r="R1013" i="1" s="1"/>
  <c r="Q1012" i="1"/>
  <c r="R1012" i="1" s="1"/>
  <c r="Q1011" i="1"/>
  <c r="R1011" i="1" s="1"/>
  <c r="Q1010" i="1"/>
  <c r="R1010" i="1" s="1"/>
  <c r="Q1008" i="1"/>
  <c r="R1008" i="1" s="1"/>
  <c r="Q1007" i="1"/>
  <c r="R1007" i="1" s="1"/>
  <c r="Q1006" i="1"/>
  <c r="R1006" i="1" s="1"/>
  <c r="Q1005" i="1"/>
  <c r="R1005" i="1" s="1"/>
  <c r="Q1004" i="1"/>
  <c r="R1004" i="1" s="1"/>
  <c r="Q1003" i="1"/>
  <c r="R1003" i="1" s="1"/>
  <c r="Q1002" i="1"/>
  <c r="R1002" i="1" s="1"/>
  <c r="Q1000" i="1"/>
  <c r="R1000" i="1" s="1"/>
  <c r="Q999" i="1"/>
  <c r="R999" i="1" s="1"/>
  <c r="Q998" i="1"/>
  <c r="R998" i="1" s="1"/>
  <c r="Q997" i="1"/>
  <c r="R997" i="1" s="1"/>
  <c r="Q996" i="1"/>
  <c r="R996" i="1" s="1"/>
  <c r="Q995" i="1"/>
  <c r="R995" i="1" s="1"/>
  <c r="Q994" i="1"/>
  <c r="R994" i="1" s="1"/>
  <c r="Q992" i="1"/>
  <c r="R992" i="1" s="1"/>
  <c r="Q991" i="1"/>
  <c r="R991" i="1" s="1"/>
  <c r="Q990" i="1"/>
  <c r="R990" i="1" s="1"/>
  <c r="Q989" i="1"/>
  <c r="R989" i="1" s="1"/>
  <c r="Q988" i="1"/>
  <c r="R988" i="1" s="1"/>
  <c r="Q987" i="1"/>
  <c r="R987" i="1" s="1"/>
  <c r="Q986" i="1"/>
  <c r="R986" i="1" s="1"/>
  <c r="Q984" i="1"/>
  <c r="R984" i="1" s="1"/>
  <c r="Q983" i="1"/>
  <c r="R983" i="1" s="1"/>
  <c r="Q982" i="1"/>
  <c r="R982" i="1" s="1"/>
  <c r="Q981" i="1"/>
  <c r="R981" i="1" s="1"/>
  <c r="Q980" i="1"/>
  <c r="R980" i="1" s="1"/>
  <c r="Q979" i="1"/>
  <c r="R979" i="1" s="1"/>
  <c r="Q978" i="1"/>
  <c r="R978" i="1" s="1"/>
  <c r="Q976" i="1"/>
  <c r="R976" i="1" s="1"/>
  <c r="Q975" i="1"/>
  <c r="R975" i="1" s="1"/>
  <c r="Q974" i="1"/>
  <c r="R974" i="1" s="1"/>
  <c r="Q973" i="1"/>
  <c r="R973" i="1" s="1"/>
  <c r="Q972" i="1"/>
  <c r="R972" i="1" s="1"/>
  <c r="Q971" i="1"/>
  <c r="R971" i="1" s="1"/>
  <c r="Q970" i="1"/>
  <c r="R970" i="1" s="1"/>
  <c r="Q968" i="1"/>
  <c r="R968" i="1" s="1"/>
  <c r="Q967" i="1"/>
  <c r="R967" i="1" s="1"/>
  <c r="Q966" i="1"/>
  <c r="R966" i="1" s="1"/>
  <c r="Q965" i="1"/>
  <c r="R965" i="1" s="1"/>
  <c r="Q964" i="1"/>
  <c r="R964" i="1" s="1"/>
  <c r="Q963" i="1"/>
  <c r="R963" i="1" s="1"/>
  <c r="Q962" i="1"/>
  <c r="R962" i="1" s="1"/>
  <c r="Q960" i="1"/>
  <c r="R960" i="1" s="1"/>
  <c r="Q959" i="1"/>
  <c r="R959" i="1" s="1"/>
  <c r="Q958" i="1"/>
  <c r="R958" i="1" s="1"/>
  <c r="Q957" i="1"/>
  <c r="R957" i="1" s="1"/>
  <c r="Q956" i="1"/>
  <c r="R956" i="1" s="1"/>
  <c r="Q955" i="1"/>
  <c r="R955" i="1" s="1"/>
  <c r="Q954" i="1"/>
  <c r="R954" i="1" s="1"/>
  <c r="Q952" i="1"/>
  <c r="R952" i="1" s="1"/>
  <c r="Q951" i="1"/>
  <c r="R951" i="1" s="1"/>
  <c r="Q950" i="1"/>
  <c r="R950" i="1" s="1"/>
  <c r="Q949" i="1"/>
  <c r="R949" i="1" s="1"/>
  <c r="Q948" i="1"/>
  <c r="R948" i="1" s="1"/>
  <c r="Q947" i="1"/>
  <c r="R947" i="1" s="1"/>
  <c r="Q946" i="1"/>
  <c r="R946" i="1" s="1"/>
  <c r="Q944" i="1"/>
  <c r="R944" i="1" s="1"/>
  <c r="Q943" i="1"/>
  <c r="R943" i="1" s="1"/>
  <c r="Q942" i="1"/>
  <c r="R942" i="1" s="1"/>
  <c r="Q941" i="1"/>
  <c r="R941" i="1" s="1"/>
  <c r="Q940" i="1"/>
  <c r="R940" i="1" s="1"/>
  <c r="Q939" i="1"/>
  <c r="R939" i="1" s="1"/>
  <c r="Q938" i="1"/>
  <c r="R938" i="1" s="1"/>
  <c r="Q936" i="1"/>
  <c r="R936" i="1" s="1"/>
  <c r="Q935" i="1"/>
  <c r="R935" i="1" s="1"/>
  <c r="Q934" i="1"/>
  <c r="R934" i="1" s="1"/>
  <c r="Q933" i="1"/>
  <c r="R933" i="1" s="1"/>
  <c r="Q932" i="1"/>
  <c r="R932" i="1" s="1"/>
  <c r="Q931" i="1"/>
  <c r="R931" i="1" s="1"/>
  <c r="Q930" i="1"/>
  <c r="R930" i="1" s="1"/>
  <c r="Q928" i="1"/>
  <c r="R928" i="1" s="1"/>
  <c r="Q927" i="1"/>
  <c r="R927" i="1" s="1"/>
  <c r="Q926" i="1"/>
  <c r="R926" i="1" s="1"/>
  <c r="Q925" i="1"/>
  <c r="R925" i="1" s="1"/>
  <c r="Q924" i="1"/>
  <c r="R924" i="1" s="1"/>
  <c r="Q923" i="1"/>
  <c r="R923" i="1" s="1"/>
  <c r="Q922" i="1"/>
  <c r="R922" i="1" s="1"/>
  <c r="Q920" i="1"/>
  <c r="R920" i="1" s="1"/>
  <c r="Q919" i="1"/>
  <c r="R919" i="1" s="1"/>
  <c r="Q918" i="1"/>
  <c r="R918" i="1" s="1"/>
  <c r="Q917" i="1"/>
  <c r="R917" i="1" s="1"/>
  <c r="Q916" i="1"/>
  <c r="R916" i="1" s="1"/>
  <c r="Q915" i="1"/>
  <c r="R915" i="1" s="1"/>
  <c r="Q914" i="1"/>
  <c r="R914" i="1" s="1"/>
  <c r="Q912" i="1"/>
  <c r="R912" i="1" s="1"/>
  <c r="Q911" i="1"/>
  <c r="R911" i="1" s="1"/>
  <c r="Q910" i="1"/>
  <c r="R910" i="1" s="1"/>
  <c r="Q909" i="1"/>
  <c r="R909" i="1" s="1"/>
  <c r="Q908" i="1"/>
  <c r="R908" i="1" s="1"/>
  <c r="Q907" i="1"/>
  <c r="R907" i="1" s="1"/>
  <c r="Q906" i="1"/>
  <c r="R906" i="1" s="1"/>
  <c r="Q904" i="1"/>
  <c r="R904" i="1" s="1"/>
  <c r="Q903" i="1"/>
  <c r="R903" i="1" s="1"/>
  <c r="Q902" i="1"/>
  <c r="R902" i="1" s="1"/>
  <c r="Q901" i="1"/>
  <c r="R901" i="1" s="1"/>
  <c r="Q900" i="1"/>
  <c r="R900" i="1" s="1"/>
  <c r="Q899" i="1"/>
  <c r="R899" i="1" s="1"/>
  <c r="Q898" i="1"/>
  <c r="R898" i="1" s="1"/>
  <c r="Q896" i="1"/>
  <c r="R896" i="1" s="1"/>
  <c r="Q895" i="1"/>
  <c r="R895" i="1" s="1"/>
  <c r="Q894" i="1"/>
  <c r="R894" i="1" s="1"/>
  <c r="Q893" i="1"/>
  <c r="R893" i="1" s="1"/>
  <c r="Q892" i="1"/>
  <c r="R892" i="1" s="1"/>
  <c r="Q891" i="1"/>
  <c r="R891" i="1" s="1"/>
  <c r="Q890" i="1"/>
  <c r="R890" i="1" s="1"/>
  <c r="Q888" i="1"/>
  <c r="R888" i="1" s="1"/>
  <c r="Q887" i="1"/>
  <c r="R887" i="1" s="1"/>
  <c r="Q886" i="1"/>
  <c r="R886" i="1" s="1"/>
  <c r="Q885" i="1"/>
  <c r="R885" i="1" s="1"/>
  <c r="Q884" i="1"/>
  <c r="R884" i="1" s="1"/>
  <c r="Q883" i="1"/>
  <c r="R883" i="1" s="1"/>
  <c r="Q882" i="1"/>
  <c r="R882" i="1" s="1"/>
  <c r="Q880" i="1"/>
  <c r="R880" i="1" s="1"/>
  <c r="Q879" i="1"/>
  <c r="R879" i="1" s="1"/>
  <c r="Q878" i="1"/>
  <c r="R878" i="1" s="1"/>
  <c r="Q877" i="1"/>
  <c r="R877" i="1" s="1"/>
  <c r="Q876" i="1"/>
  <c r="R876" i="1" s="1"/>
  <c r="Q875" i="1"/>
  <c r="R875" i="1" s="1"/>
  <c r="Q874" i="1"/>
  <c r="R874" i="1" s="1"/>
  <c r="Q872" i="1"/>
  <c r="R872" i="1" s="1"/>
  <c r="Q871" i="1"/>
  <c r="R871" i="1" s="1"/>
  <c r="Q870" i="1"/>
  <c r="R870" i="1" s="1"/>
  <c r="Q869" i="1"/>
  <c r="R869" i="1" s="1"/>
  <c r="Q868" i="1"/>
  <c r="R868" i="1" s="1"/>
  <c r="Q867" i="1"/>
  <c r="R867" i="1" s="1"/>
  <c r="Q866" i="1"/>
  <c r="R866" i="1" s="1"/>
  <c r="Q864" i="1"/>
  <c r="R864" i="1" s="1"/>
  <c r="Q863" i="1"/>
  <c r="R863" i="1" s="1"/>
  <c r="Q862" i="1"/>
  <c r="R862" i="1" s="1"/>
  <c r="Q861" i="1"/>
  <c r="R861" i="1" s="1"/>
  <c r="Q860" i="1"/>
  <c r="R860" i="1" s="1"/>
  <c r="Q859" i="1"/>
  <c r="R859" i="1" s="1"/>
  <c r="Q858" i="1"/>
  <c r="R858" i="1" s="1"/>
  <c r="Q856" i="1"/>
  <c r="R856" i="1" s="1"/>
  <c r="Q855" i="1"/>
  <c r="R855" i="1" s="1"/>
  <c r="Q854" i="1"/>
  <c r="R854" i="1" s="1"/>
  <c r="Q853" i="1"/>
  <c r="R853" i="1" s="1"/>
  <c r="Q852" i="1"/>
  <c r="R852" i="1" s="1"/>
  <c r="Q851" i="1"/>
  <c r="R851" i="1" s="1"/>
  <c r="Q850" i="1"/>
  <c r="R850" i="1" s="1"/>
  <c r="Q848" i="1"/>
  <c r="R848" i="1" s="1"/>
  <c r="Q847" i="1"/>
  <c r="R847" i="1" s="1"/>
  <c r="Q846" i="1"/>
  <c r="R846" i="1" s="1"/>
  <c r="Q845" i="1"/>
  <c r="R845" i="1" s="1"/>
  <c r="Q844" i="1"/>
  <c r="R844" i="1" s="1"/>
  <c r="Q843" i="1"/>
  <c r="R843" i="1" s="1"/>
  <c r="Q842" i="1"/>
  <c r="R842" i="1" s="1"/>
  <c r="Q840" i="1"/>
  <c r="R840" i="1" s="1"/>
  <c r="Q839" i="1"/>
  <c r="R839" i="1" s="1"/>
  <c r="Q838" i="1"/>
  <c r="R838" i="1" s="1"/>
  <c r="Q837" i="1"/>
  <c r="R837" i="1" s="1"/>
  <c r="Q836" i="1"/>
  <c r="R836" i="1" s="1"/>
  <c r="Q835" i="1"/>
  <c r="R835" i="1" s="1"/>
  <c r="Q834" i="1"/>
  <c r="R834" i="1" s="1"/>
  <c r="Q832" i="1"/>
  <c r="R832" i="1" s="1"/>
  <c r="Q831" i="1"/>
  <c r="R831" i="1" s="1"/>
  <c r="Q830" i="1"/>
  <c r="R830" i="1" s="1"/>
  <c r="Q829" i="1"/>
  <c r="R829" i="1" s="1"/>
  <c r="Q828" i="1"/>
  <c r="R828" i="1" s="1"/>
  <c r="Q827" i="1"/>
  <c r="R827" i="1" s="1"/>
  <c r="Q826" i="1"/>
  <c r="R826" i="1" s="1"/>
  <c r="Q824" i="1"/>
  <c r="R824" i="1" s="1"/>
  <c r="Q823" i="1"/>
  <c r="R823" i="1" s="1"/>
  <c r="Q822" i="1"/>
  <c r="R822" i="1" s="1"/>
  <c r="Q821" i="1"/>
  <c r="R821" i="1" s="1"/>
  <c r="Q820" i="1"/>
  <c r="R820" i="1" s="1"/>
  <c r="Q819" i="1"/>
  <c r="R819" i="1" s="1"/>
  <c r="Q818" i="1"/>
  <c r="R818" i="1" s="1"/>
  <c r="Q816" i="1"/>
  <c r="R816" i="1" s="1"/>
  <c r="Q815" i="1"/>
  <c r="R815" i="1" s="1"/>
  <c r="Q814" i="1"/>
  <c r="R814" i="1" s="1"/>
  <c r="Q813" i="1"/>
  <c r="R813" i="1" s="1"/>
  <c r="Q812" i="1"/>
  <c r="R812" i="1" s="1"/>
  <c r="Q811" i="1"/>
  <c r="R811" i="1" s="1"/>
  <c r="Q810" i="1"/>
  <c r="R810" i="1" s="1"/>
  <c r="Q808" i="1"/>
  <c r="R808" i="1" s="1"/>
  <c r="Q807" i="1"/>
  <c r="R807" i="1" s="1"/>
  <c r="Q806" i="1"/>
  <c r="R806" i="1" s="1"/>
  <c r="Q805" i="1"/>
  <c r="R805" i="1" s="1"/>
  <c r="Q804" i="1"/>
  <c r="R804" i="1" s="1"/>
  <c r="Q803" i="1"/>
  <c r="R803" i="1" s="1"/>
  <c r="Q802" i="1"/>
  <c r="R802" i="1" s="1"/>
  <c r="Q800" i="1"/>
  <c r="R800" i="1" s="1"/>
  <c r="Q799" i="1"/>
  <c r="R799" i="1" s="1"/>
  <c r="Q798" i="1"/>
  <c r="R798" i="1" s="1"/>
  <c r="Q797" i="1"/>
  <c r="R797" i="1" s="1"/>
  <c r="Q796" i="1"/>
  <c r="R796" i="1" s="1"/>
  <c r="Q795" i="1"/>
  <c r="R795" i="1" s="1"/>
  <c r="Q794" i="1"/>
  <c r="R794" i="1" s="1"/>
  <c r="Q792" i="1"/>
  <c r="R792" i="1" s="1"/>
  <c r="Q791" i="1"/>
  <c r="R791" i="1" s="1"/>
  <c r="Q790" i="1"/>
  <c r="R790" i="1" s="1"/>
  <c r="Q789" i="1"/>
  <c r="R789" i="1" s="1"/>
  <c r="Q788" i="1"/>
  <c r="R788" i="1" s="1"/>
  <c r="Q787" i="1"/>
  <c r="R787" i="1" s="1"/>
  <c r="Q786" i="1"/>
  <c r="R786" i="1" s="1"/>
  <c r="Q784" i="1"/>
  <c r="R784" i="1" s="1"/>
  <c r="Q783" i="1"/>
  <c r="R783" i="1" s="1"/>
  <c r="Q782" i="1"/>
  <c r="R782" i="1" s="1"/>
  <c r="Q781" i="1"/>
  <c r="R781" i="1" s="1"/>
  <c r="Q780" i="1"/>
  <c r="R780" i="1" s="1"/>
  <c r="Q779" i="1"/>
  <c r="R779" i="1" s="1"/>
  <c r="Q778" i="1"/>
  <c r="R778" i="1" s="1"/>
  <c r="Q776" i="1"/>
  <c r="R776" i="1" s="1"/>
  <c r="Q775" i="1"/>
  <c r="R775" i="1" s="1"/>
  <c r="Q774" i="1"/>
  <c r="R774" i="1" s="1"/>
  <c r="Q773" i="1"/>
  <c r="R773" i="1" s="1"/>
  <c r="Q772" i="1"/>
  <c r="R772" i="1" s="1"/>
  <c r="Q771" i="1"/>
  <c r="R771" i="1" s="1"/>
  <c r="Q770" i="1"/>
  <c r="R770" i="1" s="1"/>
  <c r="Q768" i="1"/>
  <c r="R768" i="1" s="1"/>
  <c r="Q767" i="1"/>
  <c r="R767" i="1" s="1"/>
  <c r="Q766" i="1"/>
  <c r="R766" i="1" s="1"/>
  <c r="Q765" i="1"/>
  <c r="R765" i="1" s="1"/>
  <c r="Q764" i="1"/>
  <c r="R764" i="1" s="1"/>
  <c r="Q763" i="1"/>
  <c r="R763" i="1" s="1"/>
  <c r="Q762" i="1"/>
  <c r="R762" i="1" s="1"/>
  <c r="Q760" i="1"/>
  <c r="R760" i="1" s="1"/>
  <c r="Q759" i="1"/>
  <c r="R759" i="1" s="1"/>
  <c r="Q758" i="1"/>
  <c r="R758" i="1" s="1"/>
  <c r="Q757" i="1"/>
  <c r="R757" i="1" s="1"/>
  <c r="Q756" i="1"/>
  <c r="R756" i="1" s="1"/>
  <c r="Q755" i="1"/>
  <c r="R755" i="1" s="1"/>
  <c r="Q754" i="1"/>
  <c r="R754" i="1" s="1"/>
  <c r="Q752" i="1"/>
  <c r="R752" i="1" s="1"/>
  <c r="Q751" i="1"/>
  <c r="R751" i="1" s="1"/>
  <c r="Q750" i="1"/>
  <c r="R750" i="1" s="1"/>
  <c r="Q749" i="1"/>
  <c r="R749" i="1" s="1"/>
  <c r="Q748" i="1"/>
  <c r="R748" i="1" s="1"/>
  <c r="Q747" i="1"/>
  <c r="R747" i="1" s="1"/>
  <c r="Q746" i="1"/>
  <c r="R746" i="1" s="1"/>
  <c r="Q744" i="1"/>
  <c r="R744" i="1" s="1"/>
  <c r="Q743" i="1"/>
  <c r="R743" i="1" s="1"/>
  <c r="Q742" i="1"/>
  <c r="R742" i="1" s="1"/>
  <c r="Q741" i="1"/>
  <c r="R741" i="1" s="1"/>
  <c r="Q740" i="1"/>
  <c r="R740" i="1" s="1"/>
  <c r="Q739" i="1"/>
  <c r="R739" i="1" s="1"/>
  <c r="Q738" i="1"/>
  <c r="R738" i="1" s="1"/>
  <c r="Q736" i="1"/>
  <c r="R736" i="1" s="1"/>
  <c r="Q735" i="1"/>
  <c r="R735" i="1" s="1"/>
  <c r="Q734" i="1"/>
  <c r="R734" i="1" s="1"/>
  <c r="Q733" i="1"/>
  <c r="R733" i="1" s="1"/>
  <c r="Q732" i="1"/>
  <c r="R732" i="1" s="1"/>
  <c r="Q731" i="1"/>
  <c r="R731" i="1" s="1"/>
  <c r="Q730" i="1"/>
  <c r="R730" i="1" s="1"/>
  <c r="Q728" i="1"/>
  <c r="R728" i="1" s="1"/>
  <c r="Q727" i="1"/>
  <c r="R727" i="1" s="1"/>
  <c r="Q726" i="1"/>
  <c r="R726" i="1" s="1"/>
  <c r="Q725" i="1"/>
  <c r="R725" i="1" s="1"/>
  <c r="Q724" i="1"/>
  <c r="R724" i="1" s="1"/>
  <c r="Q723" i="1"/>
  <c r="R723" i="1" s="1"/>
  <c r="Q722" i="1"/>
  <c r="R722" i="1" s="1"/>
  <c r="Q720" i="1"/>
  <c r="R720" i="1" s="1"/>
  <c r="Q719" i="1"/>
  <c r="R719" i="1" s="1"/>
  <c r="Q718" i="1"/>
  <c r="R718" i="1" s="1"/>
  <c r="Q717" i="1"/>
  <c r="R717" i="1" s="1"/>
  <c r="Q716" i="1"/>
  <c r="R716" i="1" s="1"/>
  <c r="Q715" i="1"/>
  <c r="R715" i="1" s="1"/>
  <c r="Q714" i="1"/>
  <c r="R714" i="1" s="1"/>
  <c r="Q712" i="1"/>
  <c r="R712" i="1" s="1"/>
  <c r="Q711" i="1"/>
  <c r="R711" i="1" s="1"/>
  <c r="Q710" i="1"/>
  <c r="R710" i="1" s="1"/>
  <c r="Q709" i="1"/>
  <c r="R709" i="1" s="1"/>
  <c r="Q708" i="1"/>
  <c r="R708" i="1" s="1"/>
  <c r="Q707" i="1"/>
  <c r="R707" i="1" s="1"/>
  <c r="Q706" i="1"/>
  <c r="R706" i="1" s="1"/>
  <c r="Q704" i="1"/>
  <c r="R704" i="1" s="1"/>
  <c r="Q703" i="1"/>
  <c r="R703" i="1" s="1"/>
  <c r="Q702" i="1"/>
  <c r="R702" i="1" s="1"/>
  <c r="Q701" i="1"/>
  <c r="R701" i="1" s="1"/>
  <c r="Q700" i="1"/>
  <c r="R700" i="1" s="1"/>
  <c r="Q699" i="1"/>
  <c r="R699" i="1" s="1"/>
  <c r="Q698" i="1"/>
  <c r="R698" i="1" s="1"/>
  <c r="Q696" i="1"/>
  <c r="R696" i="1" s="1"/>
  <c r="Q695" i="1"/>
  <c r="R695" i="1" s="1"/>
  <c r="Q694" i="1"/>
  <c r="R694" i="1" s="1"/>
  <c r="Q693" i="1"/>
  <c r="R693" i="1" s="1"/>
  <c r="Q692" i="1"/>
  <c r="R692" i="1" s="1"/>
  <c r="Q691" i="1"/>
  <c r="R691" i="1" s="1"/>
  <c r="Q690" i="1"/>
  <c r="R690" i="1" s="1"/>
  <c r="Q688" i="1"/>
  <c r="R688" i="1" s="1"/>
  <c r="Q687" i="1"/>
  <c r="R687" i="1" s="1"/>
  <c r="Q686" i="1"/>
  <c r="R686" i="1" s="1"/>
  <c r="Q685" i="1"/>
  <c r="R685" i="1" s="1"/>
  <c r="Q684" i="1"/>
  <c r="R684" i="1" s="1"/>
  <c r="Q683" i="1"/>
  <c r="R683" i="1" s="1"/>
  <c r="Q682" i="1"/>
  <c r="R682" i="1" s="1"/>
  <c r="Q680" i="1"/>
  <c r="R680" i="1" s="1"/>
  <c r="Q679" i="1"/>
  <c r="R679" i="1" s="1"/>
  <c r="Q678" i="1"/>
  <c r="R678" i="1" s="1"/>
  <c r="Q677" i="1"/>
  <c r="R677" i="1" s="1"/>
  <c r="Q676" i="1"/>
  <c r="R676" i="1" s="1"/>
  <c r="Q675" i="1"/>
  <c r="R675" i="1" s="1"/>
  <c r="Q674" i="1"/>
  <c r="R674" i="1" s="1"/>
  <c r="Q672" i="1"/>
  <c r="R672" i="1" s="1"/>
  <c r="Q671" i="1"/>
  <c r="R671" i="1" s="1"/>
  <c r="Q670" i="1"/>
  <c r="R670" i="1" s="1"/>
  <c r="Q669" i="1"/>
  <c r="R669" i="1" s="1"/>
  <c r="Q668" i="1"/>
  <c r="R668" i="1" s="1"/>
  <c r="Q667" i="1"/>
  <c r="R667" i="1" s="1"/>
  <c r="Q666" i="1"/>
  <c r="R666" i="1" s="1"/>
  <c r="Q664" i="1"/>
  <c r="R664" i="1" s="1"/>
  <c r="Q663" i="1"/>
  <c r="R663" i="1" s="1"/>
  <c r="Q662" i="1"/>
  <c r="R662" i="1" s="1"/>
  <c r="Q661" i="1"/>
  <c r="R661" i="1" s="1"/>
  <c r="Q660" i="1"/>
  <c r="R660" i="1" s="1"/>
  <c r="Q659" i="1"/>
  <c r="R659" i="1" s="1"/>
  <c r="Q658" i="1"/>
  <c r="R658" i="1" s="1"/>
  <c r="Q656" i="1"/>
  <c r="R656" i="1" s="1"/>
  <c r="Q655" i="1"/>
  <c r="R655" i="1" s="1"/>
  <c r="Q654" i="1"/>
  <c r="R654" i="1" s="1"/>
  <c r="Q653" i="1"/>
  <c r="R653" i="1" s="1"/>
  <c r="Q652" i="1"/>
  <c r="R652" i="1" s="1"/>
  <c r="Q651" i="1"/>
  <c r="R651" i="1" s="1"/>
  <c r="Q650" i="1"/>
  <c r="R650" i="1" s="1"/>
  <c r="Q648" i="1"/>
  <c r="R648" i="1" s="1"/>
  <c r="Q647" i="1"/>
  <c r="R647" i="1" s="1"/>
  <c r="Q646" i="1"/>
  <c r="R646" i="1" s="1"/>
  <c r="Q645" i="1"/>
  <c r="R645" i="1" s="1"/>
  <c r="Q644" i="1"/>
  <c r="R644" i="1" s="1"/>
  <c r="Q643" i="1"/>
  <c r="R643" i="1" s="1"/>
  <c r="Q642" i="1"/>
  <c r="R642" i="1" s="1"/>
  <c r="Q640" i="1"/>
  <c r="R640" i="1" s="1"/>
  <c r="Q639" i="1"/>
  <c r="R639" i="1" s="1"/>
  <c r="Q638" i="1"/>
  <c r="R638" i="1" s="1"/>
  <c r="Q637" i="1"/>
  <c r="R637" i="1" s="1"/>
  <c r="Q636" i="1"/>
  <c r="R636" i="1" s="1"/>
  <c r="Q635" i="1"/>
  <c r="R635" i="1" s="1"/>
  <c r="Q634" i="1"/>
  <c r="R634" i="1" s="1"/>
  <c r="Q632" i="1"/>
  <c r="R632" i="1" s="1"/>
  <c r="Q631" i="1"/>
  <c r="R631" i="1" s="1"/>
  <c r="Q630" i="1"/>
  <c r="R630" i="1" s="1"/>
  <c r="Q629" i="1"/>
  <c r="R629" i="1" s="1"/>
  <c r="Q628" i="1"/>
  <c r="R628" i="1" s="1"/>
  <c r="Q627" i="1"/>
  <c r="R627" i="1" s="1"/>
  <c r="Q626" i="1"/>
  <c r="R626" i="1" s="1"/>
  <c r="Q624" i="1"/>
  <c r="R624" i="1" s="1"/>
  <c r="Q623" i="1"/>
  <c r="R623" i="1" s="1"/>
  <c r="Q622" i="1"/>
  <c r="R622" i="1" s="1"/>
  <c r="Q621" i="1"/>
  <c r="R621" i="1" s="1"/>
  <c r="Q620" i="1"/>
  <c r="R620" i="1" s="1"/>
  <c r="Q619" i="1"/>
  <c r="R619" i="1" s="1"/>
  <c r="Q618" i="1"/>
  <c r="R618" i="1" s="1"/>
  <c r="Q616" i="1"/>
  <c r="R616" i="1" s="1"/>
  <c r="Q615" i="1"/>
  <c r="R615" i="1" s="1"/>
  <c r="Q614" i="1"/>
  <c r="R614" i="1" s="1"/>
  <c r="Q613" i="1"/>
  <c r="R613" i="1" s="1"/>
  <c r="Q612" i="1"/>
  <c r="R612" i="1" s="1"/>
  <c r="Q611" i="1"/>
  <c r="R611" i="1" s="1"/>
  <c r="Q610" i="1"/>
  <c r="R610" i="1" s="1"/>
  <c r="Q608" i="1"/>
  <c r="R608" i="1" s="1"/>
  <c r="Q607" i="1"/>
  <c r="R607" i="1" s="1"/>
  <c r="Q606" i="1"/>
  <c r="R606" i="1" s="1"/>
  <c r="Q605" i="1"/>
  <c r="R605" i="1" s="1"/>
  <c r="Q604" i="1"/>
  <c r="R604" i="1" s="1"/>
  <c r="Q603" i="1"/>
  <c r="R603" i="1" s="1"/>
  <c r="Q602" i="1"/>
  <c r="R602" i="1" s="1"/>
  <c r="Q600" i="1"/>
  <c r="R600" i="1" s="1"/>
  <c r="Q599" i="1"/>
  <c r="R599" i="1" s="1"/>
  <c r="Q598" i="1"/>
  <c r="R598" i="1" s="1"/>
  <c r="Q597" i="1"/>
  <c r="R597" i="1" s="1"/>
  <c r="Q596" i="1"/>
  <c r="R596" i="1" s="1"/>
  <c r="Q595" i="1"/>
  <c r="R595" i="1" s="1"/>
  <c r="Q594" i="1"/>
  <c r="R594" i="1" s="1"/>
  <c r="Q592" i="1"/>
  <c r="R592" i="1" s="1"/>
  <c r="Q591" i="1"/>
  <c r="R591" i="1" s="1"/>
  <c r="Q590" i="1"/>
  <c r="R590" i="1" s="1"/>
  <c r="Q589" i="1"/>
  <c r="R589" i="1" s="1"/>
  <c r="Q588" i="1"/>
  <c r="R588" i="1" s="1"/>
  <c r="Q587" i="1"/>
  <c r="R587" i="1" s="1"/>
  <c r="Q586" i="1"/>
  <c r="R586" i="1" s="1"/>
  <c r="Q584" i="1"/>
  <c r="R584" i="1" s="1"/>
  <c r="Q583" i="1"/>
  <c r="R583" i="1" s="1"/>
  <c r="Q582" i="1"/>
  <c r="R582" i="1" s="1"/>
  <c r="Q581" i="1"/>
  <c r="R581" i="1" s="1"/>
  <c r="Q580" i="1"/>
  <c r="R580" i="1" s="1"/>
  <c r="Q579" i="1"/>
  <c r="R579" i="1" s="1"/>
  <c r="Q578" i="1"/>
  <c r="R578" i="1" s="1"/>
  <c r="Q576" i="1"/>
  <c r="R576" i="1" s="1"/>
  <c r="Q575" i="1"/>
  <c r="R575" i="1" s="1"/>
  <c r="Q574" i="1"/>
  <c r="R574" i="1" s="1"/>
  <c r="Q573" i="1"/>
  <c r="R573" i="1" s="1"/>
  <c r="Q572" i="1"/>
  <c r="R572" i="1" s="1"/>
  <c r="Q571" i="1"/>
  <c r="R571" i="1" s="1"/>
  <c r="Q570" i="1"/>
  <c r="R570" i="1" s="1"/>
  <c r="Q568" i="1"/>
  <c r="R568" i="1" s="1"/>
  <c r="Q567" i="1"/>
  <c r="R567" i="1" s="1"/>
  <c r="Q566" i="1"/>
  <c r="R566" i="1" s="1"/>
  <c r="Q565" i="1"/>
  <c r="R565" i="1" s="1"/>
  <c r="Q564" i="1"/>
  <c r="R564" i="1" s="1"/>
  <c r="Q563" i="1"/>
  <c r="R563" i="1" s="1"/>
  <c r="Q562" i="1"/>
  <c r="R562" i="1" s="1"/>
  <c r="Q560" i="1"/>
  <c r="R560" i="1" s="1"/>
  <c r="Q559" i="1"/>
  <c r="R559" i="1" s="1"/>
  <c r="Q558" i="1"/>
  <c r="R558" i="1" s="1"/>
  <c r="Q557" i="1"/>
  <c r="R557" i="1" s="1"/>
  <c r="Q556" i="1"/>
  <c r="R556" i="1" s="1"/>
  <c r="Q555" i="1"/>
  <c r="R555" i="1" s="1"/>
  <c r="Q554" i="1"/>
  <c r="R554" i="1" s="1"/>
  <c r="Q552" i="1"/>
  <c r="R552" i="1" s="1"/>
  <c r="Q551" i="1"/>
  <c r="R551" i="1" s="1"/>
  <c r="Q550" i="1"/>
  <c r="R550" i="1" s="1"/>
  <c r="Q549" i="1"/>
  <c r="R549" i="1" s="1"/>
  <c r="Q548" i="1"/>
  <c r="R548" i="1" s="1"/>
  <c r="Q547" i="1"/>
  <c r="R547" i="1" s="1"/>
  <c r="Q546" i="1"/>
  <c r="R546" i="1" s="1"/>
  <c r="Q544" i="1"/>
  <c r="R544" i="1" s="1"/>
  <c r="Q543" i="1"/>
  <c r="R543" i="1" s="1"/>
  <c r="Q542" i="1"/>
  <c r="R542" i="1" s="1"/>
  <c r="Q541" i="1"/>
  <c r="R541" i="1" s="1"/>
  <c r="Q540" i="1"/>
  <c r="R540" i="1" s="1"/>
  <c r="Q539" i="1"/>
  <c r="R539" i="1" s="1"/>
  <c r="Q538" i="1"/>
  <c r="R538" i="1" s="1"/>
  <c r="Q536" i="1"/>
  <c r="R536" i="1" s="1"/>
  <c r="Q535" i="1"/>
  <c r="R535" i="1" s="1"/>
  <c r="Q534" i="1"/>
  <c r="R534" i="1" s="1"/>
  <c r="Q533" i="1"/>
  <c r="R533" i="1" s="1"/>
  <c r="Q532" i="1"/>
  <c r="R532" i="1" s="1"/>
  <c r="Q531" i="1"/>
  <c r="R531" i="1" s="1"/>
  <c r="Q530" i="1"/>
  <c r="R530" i="1" s="1"/>
  <c r="Q528" i="1"/>
  <c r="R528" i="1" s="1"/>
  <c r="Q527" i="1"/>
  <c r="R527" i="1" s="1"/>
  <c r="Q526" i="1"/>
  <c r="R526" i="1" s="1"/>
  <c r="Q525" i="1"/>
  <c r="R525" i="1" s="1"/>
  <c r="Q524" i="1"/>
  <c r="R524" i="1" s="1"/>
  <c r="Q523" i="1"/>
  <c r="R523" i="1" s="1"/>
  <c r="Q522" i="1"/>
  <c r="R522" i="1" s="1"/>
  <c r="Q520" i="1"/>
  <c r="R520" i="1" s="1"/>
  <c r="Q519" i="1"/>
  <c r="R519" i="1" s="1"/>
  <c r="Q518" i="1"/>
  <c r="R518" i="1" s="1"/>
  <c r="Q517" i="1"/>
  <c r="R517" i="1" s="1"/>
  <c r="Q516" i="1"/>
  <c r="R516" i="1" s="1"/>
  <c r="Q515" i="1"/>
  <c r="R515" i="1" s="1"/>
  <c r="Q514" i="1"/>
  <c r="R514" i="1" s="1"/>
  <c r="Q512" i="1"/>
  <c r="R512" i="1" s="1"/>
  <c r="Q511" i="1"/>
  <c r="R511" i="1" s="1"/>
  <c r="Q510" i="1"/>
  <c r="R510" i="1" s="1"/>
  <c r="Q509" i="1"/>
  <c r="R509" i="1" s="1"/>
  <c r="Q508" i="1"/>
  <c r="R508" i="1" s="1"/>
  <c r="Q507" i="1"/>
  <c r="R507" i="1" s="1"/>
  <c r="Q506" i="1"/>
  <c r="R506" i="1" s="1"/>
  <c r="Q504" i="1"/>
  <c r="R504" i="1" s="1"/>
  <c r="Q503" i="1"/>
  <c r="R503" i="1" s="1"/>
  <c r="Q502" i="1"/>
  <c r="R502" i="1" s="1"/>
  <c r="Q501" i="1"/>
  <c r="R501" i="1" s="1"/>
  <c r="Q500" i="1"/>
  <c r="R500" i="1" s="1"/>
  <c r="Q499" i="1"/>
  <c r="R499" i="1" s="1"/>
  <c r="Q498" i="1"/>
  <c r="R498" i="1" s="1"/>
  <c r="Q496" i="1"/>
  <c r="R496" i="1" s="1"/>
  <c r="Q495" i="1"/>
  <c r="R495" i="1" s="1"/>
  <c r="Q494" i="1"/>
  <c r="R494" i="1" s="1"/>
  <c r="Q493" i="1"/>
  <c r="R493" i="1" s="1"/>
  <c r="Q492" i="1"/>
  <c r="R492" i="1" s="1"/>
  <c r="Q491" i="1"/>
  <c r="R491" i="1" s="1"/>
  <c r="Q490" i="1"/>
  <c r="R490" i="1" s="1"/>
  <c r="Q488" i="1"/>
  <c r="R488" i="1" s="1"/>
  <c r="Q487" i="1"/>
  <c r="R487" i="1" s="1"/>
  <c r="Q486" i="1"/>
  <c r="R486" i="1" s="1"/>
  <c r="Q485" i="1"/>
  <c r="R485" i="1" s="1"/>
  <c r="Q484" i="1"/>
  <c r="R484" i="1" s="1"/>
  <c r="Q483" i="1"/>
  <c r="R483" i="1" s="1"/>
  <c r="Q482" i="1"/>
  <c r="R482" i="1" s="1"/>
  <c r="Q480" i="1"/>
  <c r="R480" i="1" s="1"/>
  <c r="Q479" i="1"/>
  <c r="R479" i="1" s="1"/>
  <c r="Q478" i="1"/>
  <c r="R478" i="1" s="1"/>
  <c r="Q477" i="1"/>
  <c r="R477" i="1" s="1"/>
  <c r="Q476" i="1"/>
  <c r="R476" i="1" s="1"/>
  <c r="Q475" i="1"/>
  <c r="R475" i="1" s="1"/>
  <c r="Q474" i="1"/>
  <c r="R474" i="1" s="1"/>
  <c r="Q472" i="1"/>
  <c r="R472" i="1" s="1"/>
  <c r="Q471" i="1"/>
  <c r="R471" i="1" s="1"/>
  <c r="Q470" i="1"/>
  <c r="R470" i="1" s="1"/>
  <c r="Q469" i="1"/>
  <c r="R469" i="1" s="1"/>
  <c r="Q468" i="1"/>
  <c r="R468" i="1" s="1"/>
  <c r="Q467" i="1"/>
  <c r="R467" i="1" s="1"/>
  <c r="Q466" i="1"/>
  <c r="R466" i="1" s="1"/>
  <c r="Q464" i="1"/>
  <c r="R464" i="1" s="1"/>
  <c r="Q463" i="1"/>
  <c r="R463" i="1" s="1"/>
  <c r="Q462" i="1"/>
  <c r="R462" i="1" s="1"/>
  <c r="Q461" i="1"/>
  <c r="R461" i="1" s="1"/>
  <c r="Q460" i="1"/>
  <c r="R460" i="1" s="1"/>
  <c r="Q459" i="1"/>
  <c r="R459" i="1" s="1"/>
  <c r="Q458" i="1"/>
  <c r="R458" i="1" s="1"/>
  <c r="Q456" i="1"/>
  <c r="R456" i="1" s="1"/>
  <c r="Q455" i="1"/>
  <c r="R455" i="1" s="1"/>
  <c r="Q454" i="1"/>
  <c r="R454" i="1" s="1"/>
  <c r="Q453" i="1"/>
  <c r="R453" i="1" s="1"/>
  <c r="Q452" i="1"/>
  <c r="R452" i="1" s="1"/>
  <c r="Q451" i="1"/>
  <c r="R451" i="1" s="1"/>
  <c r="Q450" i="1"/>
  <c r="R450" i="1" s="1"/>
  <c r="Q448" i="1"/>
  <c r="R448" i="1" s="1"/>
  <c r="Q447" i="1"/>
  <c r="R447" i="1" s="1"/>
  <c r="Q446" i="1"/>
  <c r="R446" i="1" s="1"/>
  <c r="Q445" i="1"/>
  <c r="R445" i="1" s="1"/>
  <c r="Q444" i="1"/>
  <c r="R444" i="1" s="1"/>
  <c r="Q443" i="1"/>
  <c r="R443" i="1" s="1"/>
  <c r="Q442" i="1"/>
  <c r="R442" i="1" s="1"/>
  <c r="Q440" i="1"/>
  <c r="R440" i="1" s="1"/>
  <c r="Q439" i="1"/>
  <c r="R439" i="1" s="1"/>
  <c r="Q438" i="1"/>
  <c r="R438" i="1" s="1"/>
  <c r="Q437" i="1"/>
  <c r="R437" i="1" s="1"/>
  <c r="Q436" i="1"/>
  <c r="R436" i="1" s="1"/>
  <c r="Q435" i="1"/>
  <c r="R435" i="1" s="1"/>
  <c r="Q434" i="1"/>
  <c r="R434" i="1" s="1"/>
  <c r="Q432" i="1"/>
  <c r="R432" i="1" s="1"/>
  <c r="Q431" i="1"/>
  <c r="R431" i="1" s="1"/>
  <c r="Q430" i="1"/>
  <c r="R430" i="1" s="1"/>
  <c r="Q429" i="1"/>
  <c r="R429" i="1" s="1"/>
  <c r="Q428" i="1"/>
  <c r="R428" i="1" s="1"/>
  <c r="Q427" i="1"/>
  <c r="R427" i="1" s="1"/>
  <c r="Q426" i="1"/>
  <c r="R426" i="1" s="1"/>
  <c r="Q424" i="1"/>
  <c r="R424" i="1" s="1"/>
  <c r="Q423" i="1"/>
  <c r="R423" i="1" s="1"/>
  <c r="Q422" i="1"/>
  <c r="R422" i="1" s="1"/>
  <c r="Q421" i="1"/>
  <c r="R421" i="1" s="1"/>
  <c r="Q420" i="1"/>
  <c r="R420" i="1" s="1"/>
  <c r="Q419" i="1"/>
  <c r="R419" i="1" s="1"/>
  <c r="Q418" i="1"/>
  <c r="R418" i="1" s="1"/>
  <c r="Q416" i="1"/>
  <c r="R416" i="1" s="1"/>
  <c r="Q415" i="1"/>
  <c r="R415" i="1" s="1"/>
  <c r="Q414" i="1"/>
  <c r="R414" i="1" s="1"/>
  <c r="Q413" i="1"/>
  <c r="R413" i="1" s="1"/>
  <c r="Q412" i="1"/>
  <c r="R412" i="1" s="1"/>
  <c r="Q411" i="1"/>
  <c r="R411" i="1" s="1"/>
  <c r="Q410" i="1"/>
  <c r="R410" i="1" s="1"/>
  <c r="Q408" i="1"/>
  <c r="R408" i="1" s="1"/>
  <c r="Q407" i="1"/>
  <c r="R407" i="1" s="1"/>
  <c r="Q406" i="1"/>
  <c r="R406" i="1" s="1"/>
  <c r="Q405" i="1"/>
  <c r="R405" i="1" s="1"/>
  <c r="Q404" i="1"/>
  <c r="R404" i="1" s="1"/>
  <c r="Q403" i="1"/>
  <c r="R403" i="1" s="1"/>
  <c r="Q402" i="1"/>
  <c r="R402" i="1" s="1"/>
  <c r="Q400" i="1"/>
  <c r="R400" i="1" s="1"/>
  <c r="Q399" i="1"/>
  <c r="R399" i="1" s="1"/>
  <c r="Q398" i="1"/>
  <c r="R398" i="1" s="1"/>
  <c r="Q397" i="1"/>
  <c r="R397" i="1" s="1"/>
  <c r="Q396" i="1"/>
  <c r="R396" i="1" s="1"/>
  <c r="Q395" i="1"/>
  <c r="R395" i="1" s="1"/>
  <c r="Q394" i="1"/>
  <c r="R394" i="1" s="1"/>
  <c r="Q392" i="1"/>
  <c r="R392" i="1" s="1"/>
  <c r="Q391" i="1"/>
  <c r="R391" i="1" s="1"/>
  <c r="Q390" i="1"/>
  <c r="R390" i="1" s="1"/>
  <c r="Q389" i="1"/>
  <c r="R389" i="1" s="1"/>
  <c r="Q388" i="1"/>
  <c r="R388" i="1" s="1"/>
  <c r="Q387" i="1"/>
  <c r="R387" i="1" s="1"/>
  <c r="Q386" i="1"/>
  <c r="R386" i="1" s="1"/>
  <c r="Q384" i="1"/>
  <c r="R384" i="1" s="1"/>
  <c r="Q383" i="1"/>
  <c r="R383" i="1" s="1"/>
  <c r="Q382" i="1"/>
  <c r="R382" i="1" s="1"/>
  <c r="Q381" i="1"/>
  <c r="R381" i="1" s="1"/>
  <c r="Q380" i="1"/>
  <c r="R380" i="1" s="1"/>
  <c r="Q379" i="1"/>
  <c r="R379" i="1" s="1"/>
  <c r="Q378" i="1"/>
  <c r="R378" i="1" s="1"/>
  <c r="Q376" i="1"/>
  <c r="R376" i="1" s="1"/>
  <c r="Q375" i="1"/>
  <c r="R375" i="1" s="1"/>
  <c r="Q374" i="1"/>
  <c r="R374" i="1" s="1"/>
  <c r="Q373" i="1"/>
  <c r="R373" i="1" s="1"/>
  <c r="Q372" i="1"/>
  <c r="R372" i="1" s="1"/>
  <c r="Q371" i="1"/>
  <c r="R371" i="1" s="1"/>
  <c r="Q370" i="1"/>
  <c r="R370" i="1" s="1"/>
  <c r="Q368" i="1"/>
  <c r="R368" i="1" s="1"/>
  <c r="Q367" i="1"/>
  <c r="R367" i="1" s="1"/>
  <c r="Q366" i="1"/>
  <c r="R366" i="1" s="1"/>
  <c r="Q365" i="1"/>
  <c r="R365" i="1" s="1"/>
  <c r="Q364" i="1"/>
  <c r="R364" i="1" s="1"/>
  <c r="Q363" i="1"/>
  <c r="R363" i="1" s="1"/>
  <c r="Q362" i="1"/>
  <c r="R362" i="1" s="1"/>
  <c r="Q360" i="1"/>
  <c r="R360" i="1" s="1"/>
  <c r="Q359" i="1"/>
  <c r="R359" i="1" s="1"/>
  <c r="Q358" i="1"/>
  <c r="R358" i="1" s="1"/>
  <c r="Q357" i="1"/>
  <c r="R357" i="1" s="1"/>
  <c r="Q356" i="1"/>
  <c r="R356" i="1" s="1"/>
  <c r="Q355" i="1"/>
  <c r="R355" i="1" s="1"/>
  <c r="Q354" i="1"/>
  <c r="R354" i="1" s="1"/>
  <c r="Q352" i="1"/>
  <c r="R352" i="1" s="1"/>
  <c r="Q351" i="1"/>
  <c r="R351" i="1" s="1"/>
  <c r="Q350" i="1"/>
  <c r="R350" i="1" s="1"/>
  <c r="Q349" i="1"/>
  <c r="R349" i="1" s="1"/>
  <c r="Q348" i="1"/>
  <c r="R348" i="1" s="1"/>
  <c r="Q347" i="1"/>
  <c r="R347" i="1" s="1"/>
  <c r="Q346" i="1"/>
  <c r="R346" i="1" s="1"/>
  <c r="Q344" i="1"/>
  <c r="R344" i="1" s="1"/>
  <c r="Q343" i="1"/>
  <c r="R343" i="1" s="1"/>
  <c r="Q342" i="1"/>
  <c r="R342" i="1" s="1"/>
  <c r="Q341" i="1"/>
  <c r="R341" i="1" s="1"/>
  <c r="Q340" i="1"/>
  <c r="R340" i="1" s="1"/>
  <c r="Q339" i="1"/>
  <c r="R339" i="1" s="1"/>
  <c r="Q338" i="1"/>
  <c r="R338" i="1" s="1"/>
  <c r="Q336" i="1"/>
  <c r="R336" i="1" s="1"/>
  <c r="Q335" i="1"/>
  <c r="R335" i="1" s="1"/>
  <c r="Q334" i="1"/>
  <c r="R334" i="1" s="1"/>
  <c r="Q333" i="1"/>
  <c r="R333" i="1" s="1"/>
  <c r="Q332" i="1"/>
  <c r="R332" i="1" s="1"/>
  <c r="Q331" i="1"/>
  <c r="R331" i="1" s="1"/>
  <c r="Q330" i="1"/>
  <c r="R330" i="1" s="1"/>
  <c r="Q328" i="1"/>
  <c r="R328" i="1" s="1"/>
  <c r="Q327" i="1"/>
  <c r="R327" i="1" s="1"/>
  <c r="Q326" i="1"/>
  <c r="R326" i="1" s="1"/>
  <c r="Q325" i="1"/>
  <c r="R325" i="1" s="1"/>
  <c r="Q324" i="1"/>
  <c r="R324" i="1" s="1"/>
  <c r="Q323" i="1"/>
  <c r="R323" i="1" s="1"/>
  <c r="Q322" i="1"/>
  <c r="R322" i="1" s="1"/>
  <c r="Q320" i="1"/>
  <c r="R320" i="1" s="1"/>
  <c r="Q319" i="1"/>
  <c r="R319" i="1" s="1"/>
  <c r="Q318" i="1"/>
  <c r="R318" i="1" s="1"/>
  <c r="Q317" i="1"/>
  <c r="R317" i="1" s="1"/>
  <c r="Q316" i="1"/>
  <c r="R316" i="1" s="1"/>
  <c r="Q315" i="1"/>
  <c r="R315" i="1" s="1"/>
  <c r="Q314" i="1"/>
  <c r="R314" i="1" s="1"/>
  <c r="Q312" i="1"/>
  <c r="R312" i="1" s="1"/>
  <c r="Q311" i="1"/>
  <c r="R311" i="1" s="1"/>
  <c r="Q310" i="1"/>
  <c r="R310" i="1" s="1"/>
  <c r="Q309" i="1"/>
  <c r="R309" i="1" s="1"/>
  <c r="Q308" i="1"/>
  <c r="R308" i="1" s="1"/>
  <c r="Q307" i="1"/>
  <c r="R307" i="1" s="1"/>
  <c r="Q306" i="1"/>
  <c r="R306" i="1" s="1"/>
  <c r="Q304" i="1"/>
  <c r="R304" i="1" s="1"/>
  <c r="Q303" i="1"/>
  <c r="R303" i="1" s="1"/>
  <c r="Q302" i="1"/>
  <c r="R302" i="1" s="1"/>
  <c r="Q301" i="1"/>
  <c r="R301" i="1" s="1"/>
  <c r="Q300" i="1"/>
  <c r="R300" i="1" s="1"/>
  <c r="Q299" i="1"/>
  <c r="R299" i="1" s="1"/>
  <c r="Q298" i="1"/>
  <c r="R298" i="1" s="1"/>
  <c r="Q296" i="1"/>
  <c r="R296" i="1" s="1"/>
  <c r="Q295" i="1"/>
  <c r="R295" i="1" s="1"/>
  <c r="Q294" i="1"/>
  <c r="R294" i="1" s="1"/>
  <c r="Q293" i="1"/>
  <c r="R293" i="1" s="1"/>
  <c r="Q292" i="1"/>
  <c r="R292" i="1" s="1"/>
  <c r="Q291" i="1"/>
  <c r="R291" i="1" s="1"/>
  <c r="Q290" i="1"/>
  <c r="R290" i="1" s="1"/>
  <c r="Q288" i="1"/>
  <c r="R288" i="1" s="1"/>
  <c r="Q287" i="1"/>
  <c r="R287" i="1" s="1"/>
  <c r="Q286" i="1"/>
  <c r="R286" i="1" s="1"/>
  <c r="Q285" i="1"/>
  <c r="R285" i="1" s="1"/>
  <c r="Q284" i="1"/>
  <c r="R284" i="1" s="1"/>
  <c r="Q283" i="1"/>
  <c r="R283" i="1" s="1"/>
  <c r="Q282" i="1"/>
  <c r="R282" i="1" s="1"/>
  <c r="Q280" i="1"/>
  <c r="R280" i="1" s="1"/>
  <c r="Q279" i="1"/>
  <c r="R279" i="1" s="1"/>
  <c r="Q278" i="1"/>
  <c r="R278" i="1" s="1"/>
  <c r="Q277" i="1"/>
  <c r="R277" i="1" s="1"/>
  <c r="Q276" i="1"/>
  <c r="R276" i="1" s="1"/>
  <c r="Q275" i="1"/>
  <c r="R275" i="1" s="1"/>
  <c r="Q274" i="1"/>
  <c r="R274" i="1" s="1"/>
  <c r="Q272" i="1"/>
  <c r="R272" i="1" s="1"/>
  <c r="Q271" i="1"/>
  <c r="R271" i="1" s="1"/>
  <c r="Q270" i="1"/>
  <c r="R270" i="1" s="1"/>
  <c r="Q269" i="1"/>
  <c r="R269" i="1" s="1"/>
  <c r="Q268" i="1"/>
  <c r="R268" i="1" s="1"/>
  <c r="Q267" i="1"/>
  <c r="R267" i="1" s="1"/>
  <c r="Q266" i="1"/>
  <c r="R266" i="1" s="1"/>
  <c r="Q264" i="1"/>
  <c r="R264" i="1" s="1"/>
  <c r="Q263" i="1"/>
  <c r="R263" i="1" s="1"/>
  <c r="Q262" i="1"/>
  <c r="R262" i="1" s="1"/>
  <c r="Q261" i="1"/>
  <c r="R261" i="1" s="1"/>
  <c r="Q260" i="1"/>
  <c r="R260" i="1" s="1"/>
  <c r="Q259" i="1"/>
  <c r="R259" i="1" s="1"/>
  <c r="Q258" i="1"/>
  <c r="R258" i="1" s="1"/>
  <c r="Q256" i="1"/>
  <c r="R256" i="1" s="1"/>
  <c r="Q255" i="1"/>
  <c r="R255" i="1" s="1"/>
  <c r="Q254" i="1"/>
  <c r="R254" i="1" s="1"/>
  <c r="Q253" i="1"/>
  <c r="R253" i="1" s="1"/>
  <c r="Q252" i="1"/>
  <c r="R252" i="1" s="1"/>
  <c r="Q251" i="1"/>
  <c r="R251" i="1" s="1"/>
  <c r="Q250" i="1"/>
  <c r="R250" i="1" s="1"/>
  <c r="Q248" i="1"/>
  <c r="R248" i="1" s="1"/>
  <c r="Q247" i="1"/>
  <c r="R247" i="1" s="1"/>
  <c r="Q246" i="1"/>
  <c r="R246" i="1" s="1"/>
  <c r="Q245" i="1"/>
  <c r="R245" i="1" s="1"/>
  <c r="Q244" i="1"/>
  <c r="R244" i="1" s="1"/>
  <c r="Q243" i="1"/>
  <c r="R243" i="1" s="1"/>
  <c r="Q242" i="1"/>
  <c r="R242" i="1" s="1"/>
  <c r="Q240" i="1"/>
  <c r="R240" i="1" s="1"/>
  <c r="Q239" i="1"/>
  <c r="R239" i="1" s="1"/>
  <c r="Q238" i="1"/>
  <c r="R238" i="1" s="1"/>
  <c r="Q237" i="1"/>
  <c r="R237" i="1" s="1"/>
  <c r="Q236" i="1"/>
  <c r="R236" i="1" s="1"/>
  <c r="Q235" i="1"/>
  <c r="R235" i="1" s="1"/>
  <c r="Q234" i="1"/>
  <c r="R234" i="1" s="1"/>
  <c r="Q232" i="1"/>
  <c r="R232" i="1" s="1"/>
  <c r="Q231" i="1"/>
  <c r="R231" i="1" s="1"/>
  <c r="Q230" i="1"/>
  <c r="R230" i="1" s="1"/>
  <c r="Q229" i="1"/>
  <c r="R229" i="1" s="1"/>
  <c r="Q228" i="1"/>
  <c r="R228" i="1" s="1"/>
  <c r="Q227" i="1"/>
  <c r="R227" i="1" s="1"/>
  <c r="Q226" i="1"/>
  <c r="R226" i="1" s="1"/>
  <c r="Q224" i="1"/>
  <c r="R224" i="1" s="1"/>
  <c r="Q223" i="1"/>
  <c r="R223" i="1" s="1"/>
  <c r="Q222" i="1"/>
  <c r="R222" i="1" s="1"/>
  <c r="Q221" i="1"/>
  <c r="R221" i="1" s="1"/>
  <c r="Q220" i="1"/>
  <c r="R220" i="1" s="1"/>
  <c r="Q219" i="1"/>
  <c r="R219" i="1" s="1"/>
  <c r="Q218" i="1"/>
  <c r="R218" i="1" s="1"/>
  <c r="Q216" i="1"/>
  <c r="R216" i="1" s="1"/>
  <c r="Q215" i="1"/>
  <c r="R215" i="1" s="1"/>
  <c r="Q214" i="1"/>
  <c r="R214" i="1" s="1"/>
  <c r="Q213" i="1"/>
  <c r="R213" i="1" s="1"/>
  <c r="Q212" i="1"/>
  <c r="R212" i="1" s="1"/>
  <c r="Q211" i="1"/>
  <c r="R211" i="1" s="1"/>
  <c r="Q210" i="1"/>
  <c r="R210" i="1" s="1"/>
  <c r="Q208" i="1"/>
  <c r="R208" i="1" s="1"/>
  <c r="Q207" i="1"/>
  <c r="R207" i="1" s="1"/>
  <c r="Q206" i="1"/>
  <c r="R206" i="1" s="1"/>
  <c r="Q205" i="1"/>
  <c r="R205" i="1" s="1"/>
  <c r="Q204" i="1"/>
  <c r="R204" i="1" s="1"/>
  <c r="Q203" i="1"/>
  <c r="R203" i="1" s="1"/>
  <c r="Q202" i="1"/>
  <c r="R202" i="1" s="1"/>
  <c r="Q200" i="1"/>
  <c r="R200" i="1" s="1"/>
  <c r="Q199" i="1"/>
  <c r="R199" i="1" s="1"/>
  <c r="Q198" i="1"/>
  <c r="R198" i="1" s="1"/>
  <c r="Q197" i="1"/>
  <c r="R197" i="1" s="1"/>
  <c r="Q196" i="1"/>
  <c r="R196" i="1" s="1"/>
  <c r="Q195" i="1"/>
  <c r="R195" i="1" s="1"/>
  <c r="Q194" i="1"/>
  <c r="R194" i="1" s="1"/>
  <c r="Q192" i="1"/>
  <c r="R192" i="1" s="1"/>
  <c r="Q191" i="1"/>
  <c r="R191" i="1" s="1"/>
  <c r="Q190" i="1"/>
  <c r="R190" i="1" s="1"/>
  <c r="Q189" i="1"/>
  <c r="R189" i="1" s="1"/>
  <c r="Q188" i="1"/>
  <c r="R188" i="1" s="1"/>
  <c r="Q187" i="1"/>
  <c r="R187" i="1" s="1"/>
  <c r="Q186" i="1"/>
  <c r="R186" i="1" s="1"/>
  <c r="Q184" i="1"/>
  <c r="R184" i="1" s="1"/>
  <c r="Q183" i="1"/>
  <c r="R183" i="1" s="1"/>
  <c r="Q182" i="1"/>
  <c r="R182" i="1" s="1"/>
  <c r="Q181" i="1"/>
  <c r="R181" i="1" s="1"/>
  <c r="Q180" i="1"/>
  <c r="R180" i="1" s="1"/>
  <c r="Q179" i="1"/>
  <c r="R179" i="1" s="1"/>
  <c r="Q178" i="1"/>
  <c r="R178" i="1" s="1"/>
  <c r="Q176" i="1"/>
  <c r="R176" i="1" s="1"/>
  <c r="Q175" i="1"/>
  <c r="R175" i="1" s="1"/>
  <c r="Q174" i="1"/>
  <c r="R174" i="1" s="1"/>
  <c r="Q173" i="1"/>
  <c r="R173" i="1" s="1"/>
  <c r="Q172" i="1"/>
  <c r="R172" i="1" s="1"/>
  <c r="Q171" i="1"/>
  <c r="R171" i="1" s="1"/>
  <c r="Q170" i="1"/>
  <c r="R170" i="1" s="1"/>
  <c r="Q168" i="1"/>
  <c r="R168" i="1" s="1"/>
  <c r="Q167" i="1"/>
  <c r="R167" i="1" s="1"/>
  <c r="Q166" i="1"/>
  <c r="R166" i="1" s="1"/>
  <c r="Q165" i="1"/>
  <c r="R165" i="1" s="1"/>
  <c r="Q164" i="1"/>
  <c r="R164" i="1" s="1"/>
  <c r="Q163" i="1"/>
  <c r="R163" i="1" s="1"/>
  <c r="Q162" i="1"/>
  <c r="R162" i="1" s="1"/>
  <c r="Q160" i="1"/>
  <c r="R160" i="1" s="1"/>
  <c r="Q159" i="1"/>
  <c r="R159" i="1" s="1"/>
  <c r="Q158" i="1"/>
  <c r="R158" i="1" s="1"/>
  <c r="Q157" i="1"/>
  <c r="R157" i="1" s="1"/>
  <c r="Q156" i="1"/>
  <c r="R156" i="1" s="1"/>
  <c r="Q155" i="1"/>
  <c r="R155" i="1" s="1"/>
  <c r="Q154" i="1"/>
  <c r="R154" i="1" s="1"/>
  <c r="Q152" i="1"/>
  <c r="R152" i="1" s="1"/>
  <c r="Q151" i="1"/>
  <c r="R151" i="1" s="1"/>
  <c r="Q150" i="1"/>
  <c r="R150" i="1" s="1"/>
  <c r="Q149" i="1"/>
  <c r="R149" i="1" s="1"/>
  <c r="Q148" i="1"/>
  <c r="R148" i="1" s="1"/>
  <c r="Q147" i="1"/>
  <c r="R147" i="1" s="1"/>
  <c r="Q146" i="1"/>
  <c r="R146" i="1" s="1"/>
  <c r="Q144" i="1"/>
  <c r="R144" i="1" s="1"/>
  <c r="Q143" i="1"/>
  <c r="R143" i="1" s="1"/>
  <c r="Q142" i="1"/>
  <c r="R142" i="1" s="1"/>
  <c r="Q141" i="1"/>
  <c r="R141" i="1" s="1"/>
  <c r="Q140" i="1"/>
  <c r="R140" i="1" s="1"/>
  <c r="Q139" i="1"/>
  <c r="R139" i="1" s="1"/>
  <c r="Q138" i="1"/>
  <c r="R138" i="1" s="1"/>
  <c r="Q136" i="1"/>
  <c r="R136" i="1" s="1"/>
  <c r="Q135" i="1"/>
  <c r="R135" i="1" s="1"/>
  <c r="Q134" i="1"/>
  <c r="R134" i="1" s="1"/>
  <c r="Q133" i="1"/>
  <c r="R133" i="1" s="1"/>
  <c r="Q132" i="1"/>
  <c r="R132" i="1" s="1"/>
  <c r="Q131" i="1"/>
  <c r="R131" i="1" s="1"/>
  <c r="Q130" i="1"/>
  <c r="R130" i="1" s="1"/>
  <c r="Q128" i="1"/>
  <c r="R128" i="1" s="1"/>
  <c r="Q127" i="1"/>
  <c r="R127" i="1" s="1"/>
  <c r="Q126" i="1"/>
  <c r="R126" i="1" s="1"/>
  <c r="Q125" i="1"/>
  <c r="R125" i="1" s="1"/>
  <c r="Q124" i="1"/>
  <c r="R124" i="1" s="1"/>
  <c r="Q123" i="1"/>
  <c r="R123" i="1" s="1"/>
  <c r="Q122" i="1"/>
  <c r="R122" i="1" s="1"/>
  <c r="Q120" i="1"/>
  <c r="R120" i="1" s="1"/>
  <c r="Q119" i="1"/>
  <c r="R119" i="1" s="1"/>
  <c r="Q118" i="1"/>
  <c r="R118" i="1" s="1"/>
  <c r="Q117" i="1"/>
  <c r="R117" i="1" s="1"/>
  <c r="Q116" i="1"/>
  <c r="R116" i="1" s="1"/>
  <c r="Q115" i="1"/>
  <c r="R115" i="1" s="1"/>
  <c r="Q114" i="1"/>
  <c r="R114" i="1" s="1"/>
  <c r="Q112" i="1"/>
  <c r="R112" i="1" s="1"/>
  <c r="Q111" i="1"/>
  <c r="R111" i="1" s="1"/>
  <c r="Q110" i="1"/>
  <c r="R110" i="1" s="1"/>
  <c r="Q109" i="1"/>
  <c r="R109" i="1" s="1"/>
  <c r="Q108" i="1"/>
  <c r="R108" i="1" s="1"/>
  <c r="Q107" i="1"/>
  <c r="R107" i="1" s="1"/>
  <c r="Q106" i="1"/>
  <c r="R106" i="1" s="1"/>
  <c r="Q104" i="1"/>
  <c r="R104" i="1" s="1"/>
  <c r="Q103" i="1"/>
  <c r="R103" i="1" s="1"/>
  <c r="Q102" i="1"/>
  <c r="R102" i="1" s="1"/>
  <c r="Q101" i="1"/>
  <c r="R101" i="1" s="1"/>
  <c r="Q100" i="1"/>
  <c r="R100" i="1" s="1"/>
  <c r="Q99" i="1"/>
  <c r="R99" i="1" s="1"/>
  <c r="Q98" i="1"/>
  <c r="R98" i="1" s="1"/>
  <c r="Q96" i="1"/>
  <c r="R96" i="1" s="1"/>
  <c r="Q95" i="1"/>
  <c r="R95" i="1" s="1"/>
  <c r="Q94" i="1"/>
  <c r="R94" i="1" s="1"/>
  <c r="Q93" i="1"/>
  <c r="R93" i="1" s="1"/>
  <c r="Q92" i="1"/>
  <c r="R92" i="1" s="1"/>
  <c r="Q91" i="1"/>
  <c r="R91" i="1" s="1"/>
  <c r="Q90" i="1"/>
  <c r="R90" i="1" s="1"/>
  <c r="Q88" i="1"/>
  <c r="R88" i="1" s="1"/>
  <c r="Q87" i="1"/>
  <c r="R87" i="1" s="1"/>
  <c r="Q86" i="1"/>
  <c r="R86" i="1" s="1"/>
  <c r="Q85" i="1"/>
  <c r="R85" i="1" s="1"/>
  <c r="Q84" i="1"/>
  <c r="R84" i="1" s="1"/>
  <c r="Q83" i="1"/>
  <c r="R83" i="1" s="1"/>
  <c r="Q82" i="1"/>
  <c r="R82" i="1" s="1"/>
  <c r="Q80" i="1"/>
  <c r="R80" i="1" s="1"/>
  <c r="Q79" i="1"/>
  <c r="R79" i="1" s="1"/>
  <c r="Q78" i="1"/>
  <c r="R78" i="1" s="1"/>
  <c r="Q77" i="1"/>
  <c r="R77" i="1" s="1"/>
  <c r="Q76" i="1"/>
  <c r="R76" i="1" s="1"/>
  <c r="Q75" i="1"/>
  <c r="R75" i="1" s="1"/>
  <c r="Q74" i="1"/>
  <c r="R74" i="1" s="1"/>
  <c r="Q72" i="1"/>
  <c r="R72" i="1" s="1"/>
  <c r="Q71" i="1"/>
  <c r="R71" i="1" s="1"/>
  <c r="Q70" i="1"/>
  <c r="R70" i="1" s="1"/>
  <c r="Q69" i="1"/>
  <c r="R69" i="1" s="1"/>
  <c r="Q68" i="1"/>
  <c r="R68" i="1" s="1"/>
  <c r="Q67" i="1"/>
  <c r="R67" i="1" s="1"/>
  <c r="Q66" i="1"/>
  <c r="R66" i="1" s="1"/>
  <c r="Q64" i="1"/>
  <c r="R64" i="1" s="1"/>
  <c r="Q63" i="1"/>
  <c r="R63" i="1" s="1"/>
  <c r="Q62" i="1"/>
  <c r="R62" i="1" s="1"/>
  <c r="Q61" i="1"/>
  <c r="R61" i="1" s="1"/>
  <c r="Q60" i="1"/>
  <c r="R60" i="1" s="1"/>
  <c r="Q59" i="1"/>
  <c r="R59" i="1" s="1"/>
  <c r="Q58" i="1"/>
  <c r="R58" i="1" s="1"/>
  <c r="Q56" i="1"/>
  <c r="R56" i="1" s="1"/>
  <c r="Q55" i="1"/>
  <c r="R55" i="1" s="1"/>
  <c r="Q54" i="1"/>
  <c r="R54" i="1" s="1"/>
  <c r="Q53" i="1"/>
  <c r="R53" i="1" s="1"/>
  <c r="Q52" i="1"/>
  <c r="R52" i="1" s="1"/>
  <c r="Q51" i="1"/>
  <c r="R51" i="1" s="1"/>
  <c r="Q50" i="1"/>
  <c r="R50" i="1" s="1"/>
  <c r="Q48" i="1"/>
  <c r="R48" i="1" s="1"/>
  <c r="Q47" i="1"/>
  <c r="R47" i="1" s="1"/>
  <c r="Q46" i="1"/>
  <c r="R46" i="1" s="1"/>
  <c r="Q45" i="1"/>
  <c r="R45" i="1" s="1"/>
  <c r="Q44" i="1"/>
  <c r="R44" i="1" s="1"/>
  <c r="Q43" i="1"/>
  <c r="R43" i="1" s="1"/>
  <c r="Q42" i="1"/>
  <c r="R42" i="1" s="1"/>
  <c r="Q40" i="1"/>
  <c r="R40" i="1" s="1"/>
  <c r="Q39" i="1"/>
  <c r="R39" i="1" s="1"/>
  <c r="Q38" i="1"/>
  <c r="R38" i="1" s="1"/>
  <c r="Q37" i="1"/>
  <c r="R37" i="1" s="1"/>
  <c r="Q36" i="1"/>
  <c r="R36" i="1" s="1"/>
  <c r="Q35" i="1"/>
  <c r="R35" i="1" s="1"/>
  <c r="Q34" i="1"/>
  <c r="R34" i="1" s="1"/>
  <c r="Q32" i="1"/>
  <c r="R32" i="1" s="1"/>
  <c r="Q31" i="1"/>
  <c r="R31" i="1" s="1"/>
  <c r="Q30" i="1"/>
  <c r="R30" i="1" s="1"/>
  <c r="Q29" i="1"/>
  <c r="R29" i="1" s="1"/>
  <c r="Q28" i="1"/>
  <c r="R28" i="1" s="1"/>
  <c r="Q27" i="1"/>
  <c r="R27" i="1" s="1"/>
  <c r="Q26" i="1"/>
  <c r="R26" i="1" s="1"/>
  <c r="Q24" i="1"/>
  <c r="R24" i="1" s="1"/>
  <c r="Q23" i="1"/>
  <c r="R23" i="1" s="1"/>
  <c r="Q22" i="1"/>
  <c r="R22" i="1" s="1"/>
  <c r="Q21" i="1"/>
  <c r="R21" i="1" s="1"/>
  <c r="Q20" i="1"/>
  <c r="R20" i="1" s="1"/>
  <c r="Q19" i="1"/>
  <c r="R19" i="1" s="1"/>
  <c r="Q18" i="1"/>
  <c r="R18" i="1" s="1"/>
  <c r="Q16" i="1"/>
  <c r="R16" i="1" s="1"/>
  <c r="Q15" i="1"/>
  <c r="R15" i="1" s="1"/>
  <c r="Q14" i="1"/>
  <c r="R14" i="1" s="1"/>
  <c r="Q13" i="1"/>
  <c r="R13" i="1" s="1"/>
  <c r="Q12" i="1"/>
  <c r="R12" i="1" s="1"/>
  <c r="Q11" i="1"/>
  <c r="R11" i="1" s="1"/>
  <c r="Q10" i="1"/>
  <c r="R10" i="1" s="1"/>
  <c r="Q8" i="1"/>
  <c r="R8" i="1" s="1"/>
  <c r="Q7" i="1"/>
  <c r="R7" i="1" s="1"/>
  <c r="Q6" i="1"/>
  <c r="R6" i="1" s="1"/>
  <c r="Q5" i="1"/>
  <c r="R5" i="1" s="1"/>
  <c r="Q4" i="1"/>
  <c r="R4" i="1" s="1"/>
  <c r="Q3" i="1"/>
  <c r="R3" i="1" s="1"/>
  <c r="Q2" i="1"/>
  <c r="R2" i="1" s="1"/>
  <c r="T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<sst xmlns="http://schemas.openxmlformats.org/spreadsheetml/2006/main" count="18378" uniqueCount="1366">
  <si>
    <t>Owner</t>
  </si>
  <si>
    <t>Fuel</t>
  </si>
  <si>
    <t>Fuel (no space after comma)</t>
  </si>
  <si>
    <t>Fuel 1</t>
  </si>
  <si>
    <t>Fuel 2</t>
  </si>
  <si>
    <t>Fuel 3</t>
  </si>
  <si>
    <t>Capacity (MW)</t>
  </si>
  <si>
    <t>Status</t>
  </si>
  <si>
    <t>Start Year</t>
  </si>
  <si>
    <t>Retired Year</t>
  </si>
  <si>
    <t>Latitude</t>
  </si>
  <si>
    <t>Longitude</t>
  </si>
  <si>
    <t>Country/Area</t>
  </si>
  <si>
    <t>Generation (TWh)</t>
  </si>
  <si>
    <t>Emission Factor (kg CO2/ mmBtu)</t>
  </si>
  <si>
    <t>Fuel Consumption (mmBtu)</t>
  </si>
  <si>
    <t>CO2 Emissions (g CO2)</t>
  </si>
  <si>
    <t>Carbon Intensity (g CO2/ kWh)</t>
  </si>
  <si>
    <t>bh energy gap llp</t>
  </si>
  <si>
    <t>bioenergy: refuse (municipal and industrial wastes)</t>
  </si>
  <si>
    <t>pre-construction</t>
  </si>
  <si>
    <t>N/A</t>
  </si>
  <si>
    <t>united kingdom</t>
  </si>
  <si>
    <t>metsä fibre oy</t>
  </si>
  <si>
    <t>bioenergy: wood &amp; other biomass (solids), bioenergy: wood &amp; other biomass (syngas)</t>
  </si>
  <si>
    <t>bioenergy: wood &amp; other biomass (solids)</t>
  </si>
  <si>
    <t>bioenergy: wood &amp; other biomass (syngas)</t>
  </si>
  <si>
    <t>operating</t>
  </si>
  <si>
    <t>finland</t>
  </si>
  <si>
    <t>renergy group partners llc</t>
  </si>
  <si>
    <t>egypt</t>
  </si>
  <si>
    <t>e.on värme sverige ab</t>
  </si>
  <si>
    <t>bioenergy: wood &amp; other biomass (solids), fossil liquids: waste/other oil</t>
  </si>
  <si>
    <t>fossil liquids: waste/other oil</t>
  </si>
  <si>
    <t>sweden</t>
  </si>
  <si>
    <t>fri el green power spa</t>
  </si>
  <si>
    <t>bioenergy: biodiesel</t>
  </si>
  <si>
    <t>italy</t>
  </si>
  <si>
    <t>a2a spa</t>
  </si>
  <si>
    <t>netherlands</t>
  </si>
  <si>
    <t>aeb exploitatie bv</t>
  </si>
  <si>
    <t>bioenergy: refuse (municipal and industrial wastes), bioenergy: wastewater and sewage sludge (solids or biogas)</t>
  </si>
  <si>
    <t>bioenergy: wastewater and sewage sludge (solids or biogas)</t>
  </si>
  <si>
    <t>bioenergy: agricultural waste (biogas)</t>
  </si>
  <si>
    <t>indonesia</t>
  </si>
  <si>
    <t>agroaurora sac</t>
  </si>
  <si>
    <t>bioenergy: agricultural waste (solids)</t>
  </si>
  <si>
    <t>peru</t>
  </si>
  <si>
    <t>agropéu   agro industrial de pompéu sa</t>
  </si>
  <si>
    <t>brazil</t>
  </si>
  <si>
    <t>the aichi gamagori biomass power generation llc</t>
  </si>
  <si>
    <t>japan</t>
  </si>
  <si>
    <t>osaka gas co ltd</t>
  </si>
  <si>
    <t>construction</t>
  </si>
  <si>
    <t>other</t>
  </si>
  <si>
    <t>kansai electric power co</t>
  </si>
  <si>
    <t>alternative generating company 1 llc</t>
  </si>
  <si>
    <t>russia</t>
  </si>
  <si>
    <t>united arab emirates</t>
  </si>
  <si>
    <t>alabama river cellulose llc</t>
  </si>
  <si>
    <t>bioenergy: paper mill wastes, bioenergy: wood &amp; other biomass (solids)</t>
  </si>
  <si>
    <t>bioenergy: paper mill wastes</t>
  </si>
  <si>
    <t>united states</t>
  </si>
  <si>
    <t>nsl sugars ltd</t>
  </si>
  <si>
    <t>bioenergy: agricultural waste (solids), coal: unknown</t>
  </si>
  <si>
    <t>coal: unknown</t>
  </si>
  <si>
    <t>india</t>
  </si>
  <si>
    <t>regenerate energy holdings llc</t>
  </si>
  <si>
    <t>bioenergy: wood &amp; other biomass (solids), fossil gas: natural gas</t>
  </si>
  <si>
    <t>fossil gas: natural gas</t>
  </si>
  <si>
    <t>green power cagayan philippines inc</t>
  </si>
  <si>
    <t>cancelled</t>
  </si>
  <si>
    <t>philippines</t>
  </si>
  <si>
    <t>atvos bioenergia alcidia sa</t>
  </si>
  <si>
    <t>alcogroup sa</t>
  </si>
  <si>
    <t>bioenergy: agricultural waste (unknown)</t>
  </si>
  <si>
    <t>companhia de álcool conceição da barra sa</t>
  </si>
  <si>
    <t>fcc environment</t>
  </si>
  <si>
    <t>alberta pacific forest industries inc</t>
  </si>
  <si>
    <t>canada</t>
  </si>
  <si>
    <t>usina alta mogiana sa</t>
  </si>
  <si>
    <t>virginia electric and power co</t>
  </si>
  <si>
    <t>i/s amager resourcecenter</t>
  </si>
  <si>
    <t>denmark</t>
  </si>
  <si>
    <t>hofor a/s</t>
  </si>
  <si>
    <t>brazil adecoagro participações sa</t>
  </si>
  <si>
    <t>ivinhema energia ltda</t>
  </si>
  <si>
    <t>adecoagro vale do ivinhema sa</t>
  </si>
  <si>
    <t>rwe ag</t>
  </si>
  <si>
    <t>bioenergy: wood &amp; other biomass (solids), coal: bituminous</t>
  </si>
  <si>
    <t>coal: bituminous</t>
  </si>
  <si>
    <t>china machinery engineering corp</t>
  </si>
  <si>
    <t>bangladesh</t>
  </si>
  <si>
    <t>oji green energy tokushima co ltd</t>
  </si>
  <si>
    <t>mothballed</t>
  </si>
  <si>
    <t>engie energía chile sa</t>
  </si>
  <si>
    <t>bioenergy: unknown</t>
  </si>
  <si>
    <t>announced</t>
  </si>
  <si>
    <t>chile</t>
  </si>
  <si>
    <t>pixelle androscoggin llc</t>
  </si>
  <si>
    <t>bioenergy: paper mill wastes, bioenergy: wood &amp; other biomass (solids), bioenergy: wastewater and sewage sludge (solids or biogas)</t>
  </si>
  <si>
    <t>anhui anqing development investment (group) co ltd</t>
  </si>
  <si>
    <t>china</t>
  </si>
  <si>
    <t>shandong huatai paper industry shareholding co ltd</t>
  </si>
  <si>
    <t>anhui guozhen ecological technology co ltd</t>
  </si>
  <si>
    <t>bioenergy: agricultural waste (solids), bioenergy: wood &amp; other biomass (solids)</t>
  </si>
  <si>
    <t>anhui wanneng environmental technology co ltd</t>
  </si>
  <si>
    <t>hangzhou jinxu holding co ltd</t>
  </si>
  <si>
    <t>natural person(s)</t>
  </si>
  <si>
    <t>everbright green bioenergy (anhui) holdings co ltd</t>
  </si>
  <si>
    <t>anhui jinxuan technology co ltd</t>
  </si>
  <si>
    <t>everbright green renewable energy (anhui) holdings co ltd</t>
  </si>
  <si>
    <t>anhui waneng environmental protection power generation co ltd</t>
  </si>
  <si>
    <t>hong kong china power new energy holdings ltd</t>
  </si>
  <si>
    <t>csic (shanghai) new energy co ltd</t>
  </si>
  <si>
    <t>ningbo energy group co ltd</t>
  </si>
  <si>
    <t>xianna management consulting co ltd</t>
  </si>
  <si>
    <t>national bio energy group ltd</t>
  </si>
  <si>
    <t>kaidi ecological and environmental technology co ltd</t>
  </si>
  <si>
    <t>anhui nenghui green energy co ltd</t>
  </si>
  <si>
    <t>kaidi sunshine bioenergy investment co ltd</t>
  </si>
  <si>
    <t>li'ang ecology energy co ltd</t>
  </si>
  <si>
    <t>nanjing keyuan smart energy investment co ltd</t>
  </si>
  <si>
    <t>china energy conservation (shandong) investment development co ltd</t>
  </si>
  <si>
    <t>shucheng yingqi new energy co ltd</t>
  </si>
  <si>
    <t>shanying international holdings co ltd</t>
  </si>
  <si>
    <t>ningguo ninggang industrial investment co ltd</t>
  </si>
  <si>
    <t>shenzhen energy environmental protection co ltd</t>
  </si>
  <si>
    <t>shanghai electrical equipment (anhui) investment co ltd</t>
  </si>
  <si>
    <t>shengyi holdings investment co ltd</t>
  </si>
  <si>
    <t>shanghai pudong environmental development co ltd</t>
  </si>
  <si>
    <t>wuhan kaidi biomass power generation co ltd</t>
  </si>
  <si>
    <t>shengyuan environmental protection co ltd</t>
  </si>
  <si>
    <t>stora enso publication paper oyj</t>
  </si>
  <si>
    <t>bioenergy: unknown, fossil gas: natural gas</t>
  </si>
  <si>
    <t>suzano sa</t>
  </si>
  <si>
    <t>arauco bioenergía sa</t>
  </si>
  <si>
    <t>energy answers arecibo llc</t>
  </si>
  <si>
    <t>cancelled - inferred 4 y</t>
  </si>
  <si>
    <t>puerto rico</t>
  </si>
  <si>
    <t>mälarenergi ab</t>
  </si>
  <si>
    <t>bioenergy: refuse (municipal and industrial wastes), bioenergy: wood &amp; other biomass (solids)</t>
  </si>
  <si>
    <t>bioenergy: wood &amp; other biomass (solids), fossil liquids: heavy fuel oil</t>
  </si>
  <si>
    <t>fossil liquids: heavy fuel oil</t>
  </si>
  <si>
    <t>domtar llc</t>
  </si>
  <si>
    <t>bioenergy: paper mill wastes, bioenergy: wood &amp; other biomass (solids), fossil gas: natural gas</t>
  </si>
  <si>
    <t>asia symbol (shangdong) pulp and paper co ltd</t>
  </si>
  <si>
    <t>dhampur sugar mills ltd</t>
  </si>
  <si>
    <t>ørsted a/s</t>
  </si>
  <si>
    <t>bom sucesso agroindústria sa</t>
  </si>
  <si>
    <t>africa plantation for sustainable development ltd</t>
  </si>
  <si>
    <t>ghana</t>
  </si>
  <si>
    <t>ontario power generation inc</t>
  </si>
  <si>
    <t>ava gmbh</t>
  </si>
  <si>
    <t>germany</t>
  </si>
  <si>
    <t>bioenergy: wood &amp; other biomass (solids), coal: unknown, fossil gas: natural gas</t>
  </si>
  <si>
    <t>bioenergy: agricultural waste (solids), fossil gas: natural gas, fossil liquids: heavy fuel oil</t>
  </si>
  <si>
    <t>viridor ltd</t>
  </si>
  <si>
    <t>dutch enviro energy holdings bv</t>
  </si>
  <si>
    <t>bahawalpur energy ltd</t>
  </si>
  <si>
    <t>pakistan</t>
  </si>
  <si>
    <t>bracell sp celulose ltda</t>
  </si>
  <si>
    <t>cpfl bioenergia ltda</t>
  </si>
  <si>
    <t>bakonyi erőmű zrt</t>
  </si>
  <si>
    <t>bioenergy: wood &amp; other biomass (solids), coal: subbituminous</t>
  </si>
  <si>
    <t>coal: subbituminous</t>
  </si>
  <si>
    <t>hungary</t>
  </si>
  <si>
    <t>bioenergy: wood &amp; other biomass (solids), bioenergy: refuse (municipal and industrial wastes), coal: unknown</t>
  </si>
  <si>
    <t>cnim groupe sa</t>
  </si>
  <si>
    <t>azerbaijan</t>
  </si>
  <si>
    <t>veolia environnement sa</t>
  </si>
  <si>
    <t>taiwan</t>
  </si>
  <si>
    <t>shelved - inferred 2 y</t>
  </si>
  <si>
    <t>mali</t>
  </si>
  <si>
    <t>bambuí bioenergia sa</t>
  </si>
  <si>
    <t>nama power and water procurement company saoc</t>
  </si>
  <si>
    <t>oman</t>
  </si>
  <si>
    <t>bioenergia barra ltda</t>
  </si>
  <si>
    <t>açucareira quatá sa</t>
  </si>
  <si>
    <t>usina barralcool sa</t>
  </si>
  <si>
    <t>agripower inc</t>
  </si>
  <si>
    <t>brasil bio fuels sa</t>
  </si>
  <si>
    <t>bioenergy: biodiesel, bioenergy: agricultural waste (solids)</t>
  </si>
  <si>
    <t>tc energy corp</t>
  </si>
  <si>
    <t>beijing anxing zhonglian real estate co ltd</t>
  </si>
  <si>
    <t>beijing environmental sanitation engineering group co ltd</t>
  </si>
  <si>
    <t>china agricultural development key construction fund co ltd</t>
  </si>
  <si>
    <t>beijing energy jingneng clean energy and power shareholding co ltd</t>
  </si>
  <si>
    <t>beijing chaoyang environment group co ltd</t>
  </si>
  <si>
    <t>city management committee of beijing fengtai district</t>
  </si>
  <si>
    <t>avic securities co ltd</t>
  </si>
  <si>
    <t>shougang environmental industry co ltd</t>
  </si>
  <si>
    <t>dynagreen environmental protection group co ltd</t>
  </si>
  <si>
    <t>environmental protection bureau of taipei city government</t>
  </si>
  <si>
    <t>ben   bioenergia geração e comercialização de energia do nordeste sa</t>
  </si>
  <si>
    <t>enea ciepło sp zoo</t>
  </si>
  <si>
    <t>poland</t>
  </si>
  <si>
    <t>spe bio alvorada sa</t>
  </si>
  <si>
    <t>spe bio coopcana sa</t>
  </si>
  <si>
    <t>companhia de bioenergia de angola lda</t>
  </si>
  <si>
    <t>angola</t>
  </si>
  <si>
    <t>bioenergética vale do paracatu sa</t>
  </si>
  <si>
    <t>ipiranga bioenergia descalvado sa</t>
  </si>
  <si>
    <t>lins bioenergia ltda</t>
  </si>
  <si>
    <t>ipiranga bioenergia mococa sa</t>
  </si>
  <si>
    <t>bioenergy sucavea</t>
  </si>
  <si>
    <t>romania</t>
  </si>
  <si>
    <t>companhia energética de são miguel dos campos sa</t>
  </si>
  <si>
    <t>jbs sa</t>
  </si>
  <si>
    <t>biomasse italia spa</t>
  </si>
  <si>
    <t>bioenergy: wood &amp; other biomass (solids), bioenergy: agricultural waste (solids)</t>
  </si>
  <si>
    <t>biopower sardegna srl</t>
  </si>
  <si>
    <t>biscom inc</t>
  </si>
  <si>
    <t>lumino biomass power inc</t>
  </si>
  <si>
    <t>black river generation llc</t>
  </si>
  <si>
    <t>bioenergy: wood &amp; other biomass (solids), other: other, fossil liquids: unknown</t>
  </si>
  <si>
    <t>other: other</t>
  </si>
  <si>
    <t>fossil liquids: unknown</t>
  </si>
  <si>
    <t>e.on uk plc</t>
  </si>
  <si>
    <t>afro renewable energy group</t>
  </si>
  <si>
    <t>malawi</t>
  </si>
  <si>
    <t>bmc moerdijk bv</t>
  </si>
  <si>
    <t>bioenergia boa esperança ltda</t>
  </si>
  <si>
    <t>usina cerradão sa</t>
  </si>
  <si>
    <t>bioenergética boa vista sa</t>
  </si>
  <si>
    <t>international paper co</t>
  </si>
  <si>
    <t>bioenergy: paper mill wastes, bioenergy: wood &amp; other biomass (solids), fossil liquids: unknown</t>
  </si>
  <si>
    <t>albioma sas</t>
  </si>
  <si>
    <t>france</t>
  </si>
  <si>
    <t>bomhus energi ab</t>
  </si>
  <si>
    <t>georgia pacific llc</t>
  </si>
  <si>
    <t>bioenergy: paper mill wastes, fossil gas: natural gas</t>
  </si>
  <si>
    <t>octopus renewables ltd</t>
  </si>
  <si>
    <t>stockholm exergi ab</t>
  </si>
  <si>
    <t>capital dynamics inc</t>
  </si>
  <si>
    <t>australia</t>
  </si>
  <si>
    <t>emera energy inc</t>
  </si>
  <si>
    <t>cogeração de energia elétrica rhodia brotas sa</t>
  </si>
  <si>
    <t>bulleh shah packaging pvt ltd</t>
  </si>
  <si>
    <t>berlin station llc</t>
  </si>
  <si>
    <t>burgo group spa</t>
  </si>
  <si>
    <t>belgium</t>
  </si>
  <si>
    <t>pedra agroindustrial sa</t>
  </si>
  <si>
    <t>buzen new energy co ltd</t>
  </si>
  <si>
    <t>bela vista energética sa</t>
  </si>
  <si>
    <t>bioenergia caarapó ltda</t>
  </si>
  <si>
    <t>sjc bioenergia ltda</t>
  </si>
  <si>
    <t>rio claro agroindustrial sa</t>
  </si>
  <si>
    <t>cadillac renewable energy llc</t>
  </si>
  <si>
    <t>honduras</t>
  </si>
  <si>
    <t>atlantic power corp</t>
  </si>
  <si>
    <t>bioenergy: wood &amp; other biomass (solids), bioenergy: refuse (municipal and industrial wastes)</t>
  </si>
  <si>
    <t>usina termelétrica cambará sa</t>
  </si>
  <si>
    <t>usina coruripe açúcar e álcool sa</t>
  </si>
  <si>
    <t>cocal comércio indústria canaã açúcar e álcool ltda</t>
  </si>
  <si>
    <t>canabrava energética sa</t>
  </si>
  <si>
    <t>canápolis açúcar e etanol sa</t>
  </si>
  <si>
    <t>west fraser mills ltd</t>
  </si>
  <si>
    <t>bioenergy: wood &amp; other biomass (solids), bioenergy: paper mill wastes, fossil gas: unknown</t>
  </si>
  <si>
    <t>fossil gas: unknown</t>
  </si>
  <si>
    <t>mercer peace river pulp ltd</t>
  </si>
  <si>
    <t>bioenergy: wood &amp; other biomass (solids), bioenergy: paper mill wastes, fossil gas: natural gas</t>
  </si>
  <si>
    <t>cofco international brasil sa</t>
  </si>
  <si>
    <t>bioenergy: paper mill wastes, bioenergy: wood &amp; other biomass (solids), coal: bituminous</t>
  </si>
  <si>
    <t>greenvolt   energias renováveis sa</t>
  </si>
  <si>
    <t>portugal</t>
  </si>
  <si>
    <t>altri sgps sa</t>
  </si>
  <si>
    <t>celulose nipo   brasileira sa</t>
  </si>
  <si>
    <t>central azucarera don pedro inc</t>
  </si>
  <si>
    <t>usina central olho d'água sa</t>
  </si>
  <si>
    <t>cepo handa biomass power co ltd</t>
  </si>
  <si>
    <t>cerona   companhia de energia renovável</t>
  </si>
  <si>
    <t>bioenergia cerradão ii ltda</t>
  </si>
  <si>
    <t>neomille sa</t>
  </si>
  <si>
    <t>central energética vale do sapucaí ltda</t>
  </si>
  <si>
    <t>videolar innova sa</t>
  </si>
  <si>
    <t>compañía azucarera salvadoreña sa de cv</t>
  </si>
  <si>
    <t>el salvador</t>
  </si>
  <si>
    <t>chiniot power ltd</t>
  </si>
  <si>
    <t>green fuel</t>
  </si>
  <si>
    <t>zimbabwe</t>
  </si>
  <si>
    <t>chofu bio power llc</t>
  </si>
  <si>
    <t>chongqing sanfeng environment group corp ltd</t>
  </si>
  <si>
    <t>fengdu kaidi green energy development co ltd</t>
  </si>
  <si>
    <t>guangdong chant group inc</t>
  </si>
  <si>
    <t>usina termeletrica lençóis paulista spe sa</t>
  </si>
  <si>
    <t>biopower sa</t>
  </si>
  <si>
    <t>cuba</t>
  </si>
  <si>
    <t>clealco açúcar e álcool sa</t>
  </si>
  <si>
    <t>cleanaway waste management ltd</t>
  </si>
  <si>
    <t>cmpc bioenergía forestales sa</t>
  </si>
  <si>
    <t>cmpc celulose riograndense ltda</t>
  </si>
  <si>
    <t>centro norte energia sa</t>
  </si>
  <si>
    <t>coastal carolina clean power</t>
  </si>
  <si>
    <t>retired</t>
  </si>
  <si>
    <t>albioma codora energia sa</t>
  </si>
  <si>
    <t>greenleaf power</t>
  </si>
  <si>
    <t>bioenergy: wood &amp; other biomass (solids), fossil liquids: petroleum coke, other: other</t>
  </si>
  <si>
    <t>fossil liquids: petroleum coke</t>
  </si>
  <si>
    <t>colombo bioenergia sa</t>
  </si>
  <si>
    <t>acucar e etanol oswaldo ribeiro de mendonca sa</t>
  </si>
  <si>
    <t>usina conquista do pontal sa</t>
  </si>
  <si>
    <t>unigrà srl</t>
  </si>
  <si>
    <t>coromandel sugars ltd</t>
  </si>
  <si>
    <t>coruripe energética sa</t>
  </si>
  <si>
    <t>bioenergia costa pinto ltda</t>
  </si>
  <si>
    <t>clean energy systems inc</t>
  </si>
  <si>
    <t>shelved</t>
  </si>
  <si>
    <t>reworld holding corp</t>
  </si>
  <si>
    <t>bioenergy: refuse (municipal and industrial wastes), fossil gas: natural gas</t>
  </si>
  <si>
    <t>covanta essex co</t>
  </si>
  <si>
    <t>bioenergy: refuse (municipal and industrial wastes), fossil liquids: unknown</t>
  </si>
  <si>
    <t>reworld waste llc</t>
  </si>
  <si>
    <t>bioenergy: refuse (municipal and industrial wastes), bioenergy: wood &amp; other biomass (solids), fossil liquids: unknown</t>
  </si>
  <si>
    <t>hennepin county department of environmental services</t>
  </si>
  <si>
    <t>covanta plymouth renewable energy lp</t>
  </si>
  <si>
    <t>bioenergy: refuse (municipal and industrial wastes), fossil gas: natural gas, fossil liquids: unknown</t>
  </si>
  <si>
    <t>westrock co</t>
  </si>
  <si>
    <t>bioenergy: wood &amp; other biomass (solids), fossil gas: natural gas, fossil liquids: unknown</t>
  </si>
  <si>
    <t>bioenergy: wood &amp; other biomass (solids), bioenergy: wood &amp; other biomass (solids), fossil liquids: waste/other oil</t>
  </si>
  <si>
    <t>cms energy corp</t>
  </si>
  <si>
    <t>cr energy concepts</t>
  </si>
  <si>
    <t>bioenergy: refuse (syngas)</t>
  </si>
  <si>
    <t>djibouti</t>
  </si>
  <si>
    <t>materials innovation recycling authority</t>
  </si>
  <si>
    <t>tam sinh nghia investment and development jsc</t>
  </si>
  <si>
    <t>vietnam</t>
  </si>
  <si>
    <t>fuerzas energéticas del sur de europa i sl</t>
  </si>
  <si>
    <t>spain</t>
  </si>
  <si>
    <t>greenalia sa</t>
  </si>
  <si>
    <t>cvw energética ltda</t>
  </si>
  <si>
    <t>da mata sa   açúcar e álcool</t>
  </si>
  <si>
    <t>cgn korea</t>
  </si>
  <si>
    <t>south korea</t>
  </si>
  <si>
    <t>daio paper corp</t>
  </si>
  <si>
    <t>smurfit kappa group plc</t>
  </si>
  <si>
    <t>kenya electricity generating company plc</t>
  </si>
  <si>
    <t>kenya</t>
  </si>
  <si>
    <t>gs eps co ltd</t>
  </si>
  <si>
    <t>dcm shriram ltd</t>
  </si>
  <si>
    <t>umeå energi ab</t>
  </si>
  <si>
    <t>de jong verpakking bv</t>
  </si>
  <si>
    <t>bioenergy: agricultural waste (biogas), fossil gas: natural gas</t>
  </si>
  <si>
    <t>enercasa   energia caiuá sa</t>
  </si>
  <si>
    <t>gainesville regional utilities</t>
  </si>
  <si>
    <t>delta sucroenergia sa</t>
  </si>
  <si>
    <t>packaging corporation of america</t>
  </si>
  <si>
    <t>société des energies nouvelles</t>
  </si>
  <si>
    <t>côte d'ivoire</t>
  </si>
  <si>
    <t>qatari ministry of municipality and urban planning</t>
  </si>
  <si>
    <t>bioenergy: refuse (landfill gas), bioenergy: refuse (municipal and industrial wastes)</t>
  </si>
  <si>
    <t>bioenergy: refuse (landfill gas)</t>
  </si>
  <si>
    <t>qatar</t>
  </si>
  <si>
    <t>korea east west power co ltd</t>
  </si>
  <si>
    <t>drax power ltd</t>
  </si>
  <si>
    <t>dubai municipality</t>
  </si>
  <si>
    <t>ireland</t>
  </si>
  <si>
    <t>hamburger hungaria kft</t>
  </si>
  <si>
    <t>bioenergy: wood &amp; other biomass (solids), bioenergy: paper mill wastes, bioenergy: wastewater and sewage sludge (solids or biogas)</t>
  </si>
  <si>
    <t>sylvamo corp</t>
  </si>
  <si>
    <t>north london waste authority</t>
  </si>
  <si>
    <t>eew energy from waste gmbh</t>
  </si>
  <si>
    <t>progroup ag</t>
  </si>
  <si>
    <t>bioenergy: paper mill wastes, bioenergy: refuse (municipal and industrial wastes), bioenergy: wastewater and sewage sludge (solids or biogas)</t>
  </si>
  <si>
    <t>bioenergy sa</t>
  </si>
  <si>
    <t>colombia</t>
  </si>
  <si>
    <t>ence energía y celulosa sa</t>
  </si>
  <si>
    <t>usina eldorado sa</t>
  </si>
  <si>
    <t>european development corporation ltd</t>
  </si>
  <si>
    <t>magnon green energy sl</t>
  </si>
  <si>
    <t>eneco nv</t>
  </si>
  <si>
    <t>central energética tupaciguara ltda</t>
  </si>
  <si>
    <t>interargem gmbh</t>
  </si>
  <si>
    <t>central bioenergética enervale sa</t>
  </si>
  <si>
    <t>ennatuurlijk bv</t>
  </si>
  <si>
    <t>energética entre rios ltda</t>
  </si>
  <si>
    <t>renuka do brasil sa</t>
  </si>
  <si>
    <t>billerud us production holding llc</t>
  </si>
  <si>
    <t>eskilstuna energi och miljö ab</t>
  </si>
  <si>
    <t>albioma esplanada energia sa</t>
  </si>
  <si>
    <t>cpfl bio ester ltda</t>
  </si>
  <si>
    <t>euca energy administração e participacões ltda</t>
  </si>
  <si>
    <t>istanbul metropolitan municipality</t>
  </si>
  <si>
    <t>türkiye</t>
  </si>
  <si>
    <t>pequot energy</t>
  </si>
  <si>
    <t>usina santa isabel sa</t>
  </si>
  <si>
    <t>fênix complexo industrial sa</t>
  </si>
  <si>
    <t>ferrari termoelétrica sa</t>
  </si>
  <si>
    <t>enfinium energy ltd</t>
  </si>
  <si>
    <t>the navigator co</t>
  </si>
  <si>
    <t>government of ethiopia</t>
  </si>
  <si>
    <t>ethiopia</t>
  </si>
  <si>
    <t>stadtwerke düsseldorf ag</t>
  </si>
  <si>
    <t>bionorth energy lp</t>
  </si>
  <si>
    <t>mainova ag</t>
  </si>
  <si>
    <t>fes frankfurter entsorgungs  und service gmbh</t>
  </si>
  <si>
    <t>fuentes renovables de energía sa</t>
  </si>
  <si>
    <t>argentina</t>
  </si>
  <si>
    <t>fs agrisolutions industria de biocombustiveis ltda</t>
  </si>
  <si>
    <t>hanlan (xiamen) solid waste treatment co ltd</t>
  </si>
  <si>
    <t>liansheng paper (longhai) co ltd</t>
  </si>
  <si>
    <t>taisheng technology (group) co ltd</t>
  </si>
  <si>
    <t>pingtan new idea energy equity investment management partnership (general partnership)</t>
  </si>
  <si>
    <t>fujian sunner holdings group co ltd</t>
  </si>
  <si>
    <t>fujian textile (holdings) co ltd</t>
  </si>
  <si>
    <t>fujian energy group co ltd</t>
  </si>
  <si>
    <t>fujian salt industry group co ltd</t>
  </si>
  <si>
    <t>able co ltd</t>
  </si>
  <si>
    <t>fukuyama biomass power plant gk</t>
  </si>
  <si>
    <t>bioenergy: wood &amp; other biomass (solids), bioenergy: wood &amp; other biomass (solids)</t>
  </si>
  <si>
    <t>usina açucareira furlan sa</t>
  </si>
  <si>
    <t>prominet power co ltd</t>
  </si>
  <si>
    <t>fjernvarme fyn a/s</t>
  </si>
  <si>
    <t>canves environmental investment co ltd</t>
  </si>
  <si>
    <t>martinique</t>
  </si>
  <si>
    <t>municipality of kaohsiung city</t>
  </si>
  <si>
    <t>jiangsu yongying environmental protection technology co ltd</t>
  </si>
  <si>
    <t>beijing longfu huayi trading co ltd</t>
  </si>
  <si>
    <t>tianjin xiaowo environmental protection engineering co ltd</t>
  </si>
  <si>
    <t>bioenergia gasa ltda</t>
  </si>
  <si>
    <t>bioenergy: wood &amp; other biomass (solids), other: other, fossil gas: natural gas</t>
  </si>
  <si>
    <t>northstar clean energy co</t>
  </si>
  <si>
    <t>usina giasa ltda</t>
  </si>
  <si>
    <t>gm sugars and energy ltd</t>
  </si>
  <si>
    <t>goiasa goiatuba álcool ltda</t>
  </si>
  <si>
    <t>green island energy ltd</t>
  </si>
  <si>
    <t>minnesota valley alfalfa producers cooperative</t>
  </si>
  <si>
    <t>fortistar llc</t>
  </si>
  <si>
    <t>myanmar</t>
  </si>
  <si>
    <t>green power ichihara co ltd</t>
  </si>
  <si>
    <t>grp franklin renewable energy facility llc</t>
  </si>
  <si>
    <t>grp madison renewable energy facility llc</t>
  </si>
  <si>
    <t>billerud ab</t>
  </si>
  <si>
    <t>guaçu geração de energia sa</t>
  </si>
  <si>
    <t>central energética guaíra ltda</t>
  </si>
  <si>
    <t>guangzhou yongxing environmental protection energy co ltd</t>
  </si>
  <si>
    <t>yuefeng kewei environmental protection investment (guangdong) co ltd</t>
  </si>
  <si>
    <t>dongguan dongshi new energy co ltd</t>
  </si>
  <si>
    <t>shanghai kaineng new technology engineering co ltd</t>
  </si>
  <si>
    <t>foshan water environmental protection co ltd</t>
  </si>
  <si>
    <t>guangzhou huantou yongxing group co ltd</t>
  </si>
  <si>
    <t>dongguan jiabao landscaping co ltd</t>
  </si>
  <si>
    <t>huizhou aofengda industrial co ltd</t>
  </si>
  <si>
    <t>guang dong guang ye investment group co ltd</t>
  </si>
  <si>
    <t>jiangmen binjiang industrial development investment co ltd</t>
  </si>
  <si>
    <t>jiangmen public energy environmental protection co ltd</t>
  </si>
  <si>
    <t>guangzhou city appearance and environmental sanitation bureau</t>
  </si>
  <si>
    <t>dynagreen investment holdings co ltd</t>
  </si>
  <si>
    <t>hengjian energy environmental protection group co ltd</t>
  </si>
  <si>
    <t>guangdong shaoneng group co ltd</t>
  </si>
  <si>
    <t>shenzhen energy transportation co ltd</t>
  </si>
  <si>
    <t>shenzhen energy group co ltd</t>
  </si>
  <si>
    <t>guangdong shunkong development co ltd</t>
  </si>
  <si>
    <t>foshan nanhai hanlan solid waste treatment investment co ltd</t>
  </si>
  <si>
    <t>infore environment technology group co ltd</t>
  </si>
  <si>
    <t>shaoguan fangxia business co ltd</t>
  </si>
  <si>
    <t>bioenergy: agricultural waste (solids), bioenergy: refuse (municipal and industrial wastes)</t>
  </si>
  <si>
    <t>shandong chenming paper holdings ltd</t>
  </si>
  <si>
    <t>cdb development fund co ltd</t>
  </si>
  <si>
    <t>guangdong shajiao (plant c) power generation co</t>
  </si>
  <si>
    <t>everbright environmental protection (china) co ltd</t>
  </si>
  <si>
    <t>anhui shengyun environmental protection (group) co ltd</t>
  </si>
  <si>
    <t>shanghai xinhuan environmental protection investment center lp</t>
  </si>
  <si>
    <t>nine dragons global (china) investment group co ltd</t>
  </si>
  <si>
    <t>bioenergy: paper mill wastes, bioenergy: wastewater and sewage sludge (solids or biogas), bioenergy: wood &amp; other biomass (solids)</t>
  </si>
  <si>
    <t>shandong sun paper co ltd</t>
  </si>
  <si>
    <t>bioenergy: paper mill wastes, bioenergy: wastewater and sewage sludge (solids or biogas)</t>
  </si>
  <si>
    <t>bioenergy: paper mill wastes, bioenergy: agricultural waste (solids), bioenergy: wood &amp; other biomass (solids)</t>
  </si>
  <si>
    <t>beihai urban development investment group co ltd</t>
  </si>
  <si>
    <t>beihai baishuitang domestic garbage treatment plant</t>
  </si>
  <si>
    <t>beijing enterprises europe investment management co ltd</t>
  </si>
  <si>
    <t>guangxi chongzuo city industrial investment development group co ltd</t>
  </si>
  <si>
    <t>guangxi lelin forestry group co ltd</t>
  </si>
  <si>
    <t>mitr phol sugar co ltd</t>
  </si>
  <si>
    <t>guangxi chongzuo dazhou sugar industry co ltd</t>
  </si>
  <si>
    <t>mp energy co ltd</t>
  </si>
  <si>
    <t>mps international holdings ltd</t>
  </si>
  <si>
    <t>guangxi qiquan energy technology co ltd</t>
  </si>
  <si>
    <t>guangxi east asia funan sugar refinery co ltd</t>
  </si>
  <si>
    <t>guangdong xinneng environmental protection technology co ltd</t>
  </si>
  <si>
    <t>guangxi guojin wealth investment co ltd</t>
  </si>
  <si>
    <t>liuzhou environmental sanitation construction and development co ltd</t>
  </si>
  <si>
    <t>shanghai kangheng environment co ltd</t>
  </si>
  <si>
    <t>guangxi deli wood industry development co ltd</t>
  </si>
  <si>
    <t>nanning jianning water investment group co ltd</t>
  </si>
  <si>
    <t>shanghai kangru enterprise management co ltd</t>
  </si>
  <si>
    <t>liangyi sugar international holdings ltd</t>
  </si>
  <si>
    <t>sugar factory in ningming county, guangxi zhuang autonomous region</t>
  </si>
  <si>
    <t>mitr siam global holdings pte ltd</t>
  </si>
  <si>
    <t>qinzhou huahui forestry co ltd</t>
  </si>
  <si>
    <t>sinarmas paper (china) investment co ltd</t>
  </si>
  <si>
    <t>guangxi rural investment group power generation co ltd</t>
  </si>
  <si>
    <t>shandong qiquan energy technology co ltd</t>
  </si>
  <si>
    <t>guangxi xintianchen energy investment co ltd</t>
  </si>
  <si>
    <t>china southern power grid integrated energy (guangdong) co ltd</t>
  </si>
  <si>
    <t>guangdong hemu trading co ltd</t>
  </si>
  <si>
    <t>bioenergy: paper mill wastes, bioenergy: agricultural waste (solids), bioenergy: wastewater and sewage sludge (solids or biogas)</t>
  </si>
  <si>
    <t>dongguan jianhui paper co ltd</t>
  </si>
  <si>
    <t>wuzhou chengan construction engineering group co ltd</t>
  </si>
  <si>
    <t>china energy construction group investment co ltd</t>
  </si>
  <si>
    <t>guangxi jingxin trading co ltd</t>
  </si>
  <si>
    <t>guangxi benuqi technology co ltd</t>
  </si>
  <si>
    <t>tereos açúcar e energia brasil sa</t>
  </si>
  <si>
    <t>shaanxi forestry industry group co ltd</t>
  </si>
  <si>
    <t>guizhou hanxing energy development co ltd</t>
  </si>
  <si>
    <t>guizhou new industrialization development equity investment fund partnership lp</t>
  </si>
  <si>
    <t>yangpu changjiang investment co ltd</t>
  </si>
  <si>
    <t>balrampur chini mills ltd</t>
  </si>
  <si>
    <t>gwangyang green energy co ltd</t>
  </si>
  <si>
    <t>city and county of honolulu</t>
  </si>
  <si>
    <t>mitsubishi paper mills ltd</t>
  </si>
  <si>
    <t>bioenergy: wood &amp; other biomass (solids), bioenergy: agricultural waste (solids), coal: unknown</t>
  </si>
  <si>
    <t>jinan luxinxinyuan electrical equipment co ltd</t>
  </si>
  <si>
    <t>shandong guoneng huida fuel co ltd</t>
  </si>
  <si>
    <t>everbright environmental energy (hainan) holdings co ltd</t>
  </si>
  <si>
    <t>national energy group hainan electric power co ltd</t>
  </si>
  <si>
    <t>northern virginia electric cooperative corp</t>
  </si>
  <si>
    <t>loimua oy</t>
  </si>
  <si>
    <t>summit handa power co ltd</t>
  </si>
  <si>
    <t>nanaimo forest products ltd</t>
  </si>
  <si>
    <t>fortum oyj</t>
  </si>
  <si>
    <t>bioenergy: paper mill wastes, bioenergy: wastewater and sewage sludge (solids or biogas), fossil gas: natural gas</t>
  </si>
  <si>
    <t>hengshui liteng investment center lp</t>
  </si>
  <si>
    <t>hengshui shuangcheng investment center (lp)</t>
  </si>
  <si>
    <t>hebei yufeng jing'an breeding co ltd</t>
  </si>
  <si>
    <t>anping guangpeng investment center lp</t>
  </si>
  <si>
    <t>anping xufan investment center (lp)</t>
  </si>
  <si>
    <t>china power xingtang biomass thermal power co ltd</t>
  </si>
  <si>
    <t>cecep environmental technology co ltd</t>
  </si>
  <si>
    <t>tianjin teda environmental protection co ltd</t>
  </si>
  <si>
    <t>shanneng ecological group co ltd</t>
  </si>
  <si>
    <t>huadian new energy group corp ltd</t>
  </si>
  <si>
    <t>zhongbo guoneng (beijing) technology co ltd</t>
  </si>
  <si>
    <t>shenzhen pingan dahua huitong wealth management co ltd</t>
  </si>
  <si>
    <t>guangdong rundian environmental protection co ltd</t>
  </si>
  <si>
    <t>beijing qiancheng jinyu technology co ltd</t>
  </si>
  <si>
    <t>wen'an youneng biothermal power co ltd</t>
  </si>
  <si>
    <t>shaanxi distributed energy co ltd</t>
  </si>
  <si>
    <t>hebei lanchi environmental protection equipment co ltd</t>
  </si>
  <si>
    <t>lin'an jiasheng environmental protection co ltd</t>
  </si>
  <si>
    <t>china electronic system technology co ltd</t>
  </si>
  <si>
    <t>china everbright environment (group) co ltd</t>
  </si>
  <si>
    <t>china construction second engineering bureau ltd</t>
  </si>
  <si>
    <t>china xiongan group ecological construction investment co ltd</t>
  </si>
  <si>
    <t>china huadian corporation ltd</t>
  </si>
  <si>
    <t>zhangjiakou chengjie environmental protection group co ltd</t>
  </si>
  <si>
    <t>skellefteå kraft ab</t>
  </si>
  <si>
    <t>karlstads energi ab</t>
  </si>
  <si>
    <t>harbin electric co ltd</t>
  </si>
  <si>
    <t>tianjin sound water co ltd</t>
  </si>
  <si>
    <t>national energy bio power co ltd</t>
  </si>
  <si>
    <t>bayan yubao thermal power co ltd</t>
  </si>
  <si>
    <t>bei'an jiuzhou environmental energy co ltd</t>
  </si>
  <si>
    <t>tongjiang changheng biomass thermal power co ltd</t>
  </si>
  <si>
    <t>harbin changheng thermal power co ltd</t>
  </si>
  <si>
    <t>heilongjiang huiyi agricultural science and technology development co ltd</t>
  </si>
  <si>
    <t>shandong xiangrun new energy co ltd</t>
  </si>
  <si>
    <t>heilongjiang new industry investment group co ltd</t>
  </si>
  <si>
    <t>huaneng heilongjiang power generation co ltd</t>
  </si>
  <si>
    <t>heilongjiang yipin biotechnology co ltd</t>
  </si>
  <si>
    <t>duerbot mongolian autonomous county state owned assets management co ltd</t>
  </si>
  <si>
    <t>heilongjiang new industry investment group longjiang new energy development co ltd</t>
  </si>
  <si>
    <t>shandong shuitou group co ltd</t>
  </si>
  <si>
    <t>beijing jiuzhou electric co ltd</t>
  </si>
  <si>
    <t>zhongmin energy shareholding co ltd</t>
  </si>
  <si>
    <t>wuhan tongqu environment investment co ltd</t>
  </si>
  <si>
    <t>sound group co ltd</t>
  </si>
  <si>
    <t>jiuzhou environmental energy technology group co ltd</t>
  </si>
  <si>
    <t>harbin electric corp</t>
  </si>
  <si>
    <t>sdic biotechnology investment co ltd</t>
  </si>
  <si>
    <t>underdeveloped areas industry development fund co ltd</t>
  </si>
  <si>
    <t>central enterprise rural industrial investment fund co ltd</t>
  </si>
  <si>
    <t>heilongjiang duoya engineering management co ltd</t>
  </si>
  <si>
    <t>hegang wanlong heat supply co ltd</t>
  </si>
  <si>
    <t>heilongjiang chenneng investment group co ltd</t>
  </si>
  <si>
    <t>harbin qingqun investment co ltd</t>
  </si>
  <si>
    <t>zhongcheng hengrui (beijing) investment consulting co ltd</t>
  </si>
  <si>
    <t>spic heilongjiang lvtuo new energy co ltd</t>
  </si>
  <si>
    <t>jilin electric power co ltd</t>
  </si>
  <si>
    <t>heilongjiang chenneng new energy development co ltd</t>
  </si>
  <si>
    <t>harbin jiuzhou energy management co ltd</t>
  </si>
  <si>
    <t>heilongjiang qingxiang enterprise management group co ltd</t>
  </si>
  <si>
    <t>harbin intercontinental energy management co ltd</t>
  </si>
  <si>
    <t>china electric power engineering consulting group northeast electric power design institute co ltd</t>
  </si>
  <si>
    <t>heilongjiang province longlin new energy co ltd</t>
  </si>
  <si>
    <t>xiamen hanyi investment co ltd</t>
  </si>
  <si>
    <t>jilin yinhe investment group co ltd</t>
  </si>
  <si>
    <t>zhejiang anfu electromechanical technology co ltd</t>
  </si>
  <si>
    <t>heilongjiang boxin investment co ltd</t>
  </si>
  <si>
    <t>heilongjiang nuobao investment co ltd</t>
  </si>
  <si>
    <t>china energy engineering group north construction and investment group co ltd</t>
  </si>
  <si>
    <t>china enfi engineering technology co ltd</t>
  </si>
  <si>
    <t>beijing beikong environmental protection engineering technology co ltd</t>
  </si>
  <si>
    <t>heilongjiang shizhou investment co ltd</t>
  </si>
  <si>
    <t>yi'an county dongyang heating co ltd</t>
  </si>
  <si>
    <t>harbin green energy new energy co ltd</t>
  </si>
  <si>
    <t>yichun forestry shuangfeng forestry bureau co ltd</t>
  </si>
  <si>
    <t>zhongji huaye (beijing) investment co ltd</t>
  </si>
  <si>
    <t>qinghai zhineng xiangying new energy technology co ltd</t>
  </si>
  <si>
    <t>longyuan power group co ltd</t>
  </si>
  <si>
    <t>china energy construction investment suihua clean energy co ltd</t>
  </si>
  <si>
    <t>zhaodong zhongda chemical co ltd</t>
  </si>
  <si>
    <t>limei sun</t>
  </si>
  <si>
    <t>heilongjiang qingxiang thermal power co ltd</t>
  </si>
  <si>
    <t>e.on se</t>
  </si>
  <si>
    <t>bioenergy: agricultural waste (biogas), fossil gas: natural gas, fossil liquids: fuel oil</t>
  </si>
  <si>
    <t>fossil liquids: fuel oil</t>
  </si>
  <si>
    <t>xinxiang zhongyi power generation co ltd</t>
  </si>
  <si>
    <t>tianhao new energy co ltd</t>
  </si>
  <si>
    <t>shanghai kanghengrongli new energy engineering co ltd</t>
  </si>
  <si>
    <t>lingbao urban renovation investment co ltd</t>
  </si>
  <si>
    <t>edf (china) investment co ltd</t>
  </si>
  <si>
    <t>city development environment co ltd</t>
  </si>
  <si>
    <t>china water conservancy hydropower eleventh engineering bureau co ltd</t>
  </si>
  <si>
    <t>luohe urban development investment co ltd</t>
  </si>
  <si>
    <t>beijing shouchuang environmental investment co ltd</t>
  </si>
  <si>
    <t>lushan city investment and construction group co ltd</t>
  </si>
  <si>
    <t>henan nongkai yumin advanced manufacturing investment fund</t>
  </si>
  <si>
    <t>puyang economic development investment co ltd</t>
  </si>
  <si>
    <t>hongye holding group corporation ltd</t>
  </si>
  <si>
    <t>puyang huiguan trading co ltd</t>
  </si>
  <si>
    <t>henan agricultural investment industry investment co ltd</t>
  </si>
  <si>
    <t>nanle xingqiang investment management co ltd</t>
  </si>
  <si>
    <t>shandong luhua energy group co ltd</t>
  </si>
  <si>
    <t>guangdong hydropower second bureau co ltd</t>
  </si>
  <si>
    <t>qi county urban development investment group co ltd</t>
  </si>
  <si>
    <t>zhoukou chengfa environmental investment co ltd</t>
  </si>
  <si>
    <t>shandong moore polymer material co ltd</t>
  </si>
  <si>
    <t>taiqian investment group co ltd</t>
  </si>
  <si>
    <t>hangzhou jinhuan investment co ltd</t>
  </si>
  <si>
    <t>zhengzhou public utilities investment development group co ltd</t>
  </si>
  <si>
    <t>henan ruitong thermal power development co ltd</t>
  </si>
  <si>
    <t>jiaozuo investment group co ltd</t>
  </si>
  <si>
    <t>shandong luhua clean energy co ltd</t>
  </si>
  <si>
    <t>xixia baoneng environmental protection technology co ltd</t>
  </si>
  <si>
    <t>tianhao investment group co ltd</t>
  </si>
  <si>
    <t>zhongshan chant new industry co ltd</t>
  </si>
  <si>
    <t>china power engineering consulting (group) technology development co ltd</t>
  </si>
  <si>
    <t>honduran green power corporation sa de cv</t>
  </si>
  <si>
    <t>hibikinada thermal power plant</t>
  </si>
  <si>
    <t>hippo valley estates ltd</t>
  </si>
  <si>
    <t>hirohata biomass power generation co ltd</t>
  </si>
  <si>
    <t>b+t energie gmbh</t>
  </si>
  <si>
    <t>cez as</t>
  </si>
  <si>
    <t>czech republic</t>
  </si>
  <si>
    <t>bioenergy: refuse (municipal and industrial wastes), bioenergy: biodiesel</t>
  </si>
  <si>
    <t>orthios operations ltd</t>
  </si>
  <si>
    <t>övik energi ab</t>
  </si>
  <si>
    <t>taiwan power co</t>
  </si>
  <si>
    <t>hu honua bioenergy llc</t>
  </si>
  <si>
    <t>bioenergy: agricultural waste (solids), bioenergy: unknown</t>
  </si>
  <si>
    <t>huaneng shandong power generation co ltd</t>
  </si>
  <si>
    <t>huanggang chenming pulpandpaper co ltd</t>
  </si>
  <si>
    <t>bioenergy: wood &amp; other biomass (solids), bioenergy: paper mill wastes</t>
  </si>
  <si>
    <t>everbright green bioenergy (jingmen) holdings co ltd</t>
  </si>
  <si>
    <t>china construction third bureau group co ltd</t>
  </si>
  <si>
    <t>wuhan environmental investment and development group co ltd</t>
  </si>
  <si>
    <t>wuhan ecological environment investment development group co ltd</t>
  </si>
  <si>
    <t>xiaogan city construction investment co</t>
  </si>
  <si>
    <t>grandblue environment co ltd</t>
  </si>
  <si>
    <t>hubei ecological environmental protection co ltd</t>
  </si>
  <si>
    <t>changjiang qingyuan energy saving and environmental protection co ltd</t>
  </si>
  <si>
    <t>hunan xiangtou holding group co ltd</t>
  </si>
  <si>
    <t>huahui engineering design group co ltd</t>
  </si>
  <si>
    <t>china energy construction group planning and design co ltd</t>
  </si>
  <si>
    <t>tianjin xiangneng jianye enterprise management partnership lp</t>
  </si>
  <si>
    <t>three gorges capital holdings co ltd</t>
  </si>
  <si>
    <t>jiangsu zhongtian technology co ltd</t>
  </si>
  <si>
    <t>hunan junxin environmental protection group co ltd</t>
  </si>
  <si>
    <t>yonker environmental protection co ltd</t>
  </si>
  <si>
    <t>changsha hongzhao environmental protection technology partnership lp</t>
  </si>
  <si>
    <t>hunan desheng investment development co ltd</t>
  </si>
  <si>
    <t>hunan jun tai new material technology co ltd</t>
  </si>
  <si>
    <t>zhonghuan new energy bio power generation co ltd</t>
  </si>
  <si>
    <t>liuyang urban and rural development group co ltd</t>
  </si>
  <si>
    <t>xiangtan tianyi development group co ltd</t>
  </si>
  <si>
    <t>shouguang luli wood industry co ltd</t>
  </si>
  <si>
    <t>shandong zhimeng holdings co ltd</t>
  </si>
  <si>
    <t>changsha rongxie new energy development co ltd</t>
  </si>
  <si>
    <t>hunza power pvt ltd</t>
  </si>
  <si>
    <t>hvc groep</t>
  </si>
  <si>
    <t>hyogo pulp co ltd</t>
  </si>
  <si>
    <t>hyuga biomass power co ltd</t>
  </si>
  <si>
    <t>iaco agrícola sa</t>
  </si>
  <si>
    <t>ibitiúva bioenergética sa</t>
  </si>
  <si>
    <t>ichihara biomass power co ltd</t>
  </si>
  <si>
    <t>vattenfall ab</t>
  </si>
  <si>
    <t>söderenergi ab</t>
  </si>
  <si>
    <t>iggesund paperboard ab</t>
  </si>
  <si>
    <t>imari green power co ltd</t>
  </si>
  <si>
    <t>indus energy ltd</t>
  </si>
  <si>
    <t>steag gmbh</t>
  </si>
  <si>
    <t>veolia nederland bv</t>
  </si>
  <si>
    <t>ministry of energy and mines (cuba)</t>
  </si>
  <si>
    <t>promotora industrial azucarera sa de cv</t>
  </si>
  <si>
    <t>mexico</t>
  </si>
  <si>
    <t>ingenio antonio guiteras</t>
  </si>
  <si>
    <t>ingenio batalla de las guásimas</t>
  </si>
  <si>
    <t>empresa generadora de energía renovable de rivas sa</t>
  </si>
  <si>
    <t>nicaragua</t>
  </si>
  <si>
    <t>grupo el ángel</t>
  </si>
  <si>
    <t>zerus sa</t>
  </si>
  <si>
    <t>ingenio central azucarero jiboa sa</t>
  </si>
  <si>
    <t>grupo azucarero del trópico</t>
  </si>
  <si>
    <t>ecudos sa</t>
  </si>
  <si>
    <t>ecuador</t>
  </si>
  <si>
    <t>ingenio la unión sa</t>
  </si>
  <si>
    <t>bioenergy: agricultural waste (solids), coal: unknown, fossil liquids: fuel oil</t>
  </si>
  <si>
    <t>guatemala</t>
  </si>
  <si>
    <t>grupo pantaleón</t>
  </si>
  <si>
    <t>cogeneración green power sa</t>
  </si>
  <si>
    <t>sociedad agrícola e industrial san carlos sa</t>
  </si>
  <si>
    <t>beta san miguel sa de cv</t>
  </si>
  <si>
    <t>ingenio y refinería san martín del tabacal srl</t>
  </si>
  <si>
    <t>ingenio uruguay</t>
  </si>
  <si>
    <t>inner mongoli jujia bioenergy technology co ltd</t>
  </si>
  <si>
    <t>longji power co ltd</t>
  </si>
  <si>
    <t>hunan modern environmental technology co ltd</t>
  </si>
  <si>
    <t>jilin xingqi group co ltd</t>
  </si>
  <si>
    <t>inner mongolia xinhe new energy technology co ltd</t>
  </si>
  <si>
    <t>inner mongolia boneng biomass thermal power co ltd</t>
  </si>
  <si>
    <t>hulunbeier daowei energy development co ltd</t>
  </si>
  <si>
    <t>inner mongolia hemudu agricultural development co ltd</t>
  </si>
  <si>
    <t>tianjin taida urban environment co ltd</t>
  </si>
  <si>
    <t>tianjin jusen technology partnership lp</t>
  </si>
  <si>
    <t>inpasa agroindustrial sa</t>
  </si>
  <si>
    <t>canfor pulp ltd</t>
  </si>
  <si>
    <t>termoelétrica interlagos ltda</t>
  </si>
  <si>
    <t>bioenergy: paper mill wastes, fossil gas: natural gas, fossil liquids: unknown</t>
  </si>
  <si>
    <t>wilmar sugar australia ltd</t>
  </si>
  <si>
    <t>ishikari bio energy llc</t>
  </si>
  <si>
    <t>nippon paper industries co ltd</t>
  </si>
  <si>
    <t>g bio ishinomaki sue llc</t>
  </si>
  <si>
    <t>agence metropolitaine des dechets menagers</t>
  </si>
  <si>
    <t>termo elétrica itaenga ltda</t>
  </si>
  <si>
    <t>usinas itamarati sa</t>
  </si>
  <si>
    <t>ittefaq power pvt ltd</t>
  </si>
  <si>
    <t>bp bioenergia ituiutaba ltda</t>
  </si>
  <si>
    <t>itumbiara bioenergia sa</t>
  </si>
  <si>
    <t>awep onahama</t>
  </si>
  <si>
    <t>nippon paper group inc</t>
  </si>
  <si>
    <t>upm sa</t>
  </si>
  <si>
    <t>bioenergy: wood &amp; other biomass (solids), other: other</t>
  </si>
  <si>
    <t>jari celulose papel e embalagens sa</t>
  </si>
  <si>
    <t>bioenergia jataí ltda</t>
  </si>
  <si>
    <t>tauron wydobycie sa</t>
  </si>
  <si>
    <t>companhia alcoolquímica nacional   alcoolquímica sa</t>
  </si>
  <si>
    <t>vermont public power supply authority</t>
  </si>
  <si>
    <t>green mountain power corp</t>
  </si>
  <si>
    <t>burlington electric department</t>
  </si>
  <si>
    <t>jeonju power corp</t>
  </si>
  <si>
    <t>rayonier advanced materials inc</t>
  </si>
  <si>
    <t>zhejiang weiming environmental protection co ltd</t>
  </si>
  <si>
    <t>shanghai electric group co ltd</t>
  </si>
  <si>
    <t>shanghai electric hong kong co ltd</t>
  </si>
  <si>
    <t>taicang city investment environmental protection construction investment co ltd</t>
  </si>
  <si>
    <t>gcl smart energy (suzhou) co ltd</t>
  </si>
  <si>
    <t>shandong yuanyi energy inc</t>
  </si>
  <si>
    <t>wuxi huaguang environmental energy group co ltd</t>
  </si>
  <si>
    <t>wuxi municipal public utilities industry group co ltd</t>
  </si>
  <si>
    <t>shanghai electric investment co ltd</t>
  </si>
  <si>
    <t>zhongsheng clean energy investment (jiangsu) co ltd</t>
  </si>
  <si>
    <t>jiangsu daji power generation co ltd</t>
  </si>
  <si>
    <t>jiangsu daji environmental protection energy dafeng co ltd</t>
  </si>
  <si>
    <t>jinzhou solid waste management co ltd</t>
  </si>
  <si>
    <t>yongxin kaidi green energy development co ltd</t>
  </si>
  <si>
    <t>green energy investment development co ltd</t>
  </si>
  <si>
    <t>five continents special paper group co ltd</t>
  </si>
  <si>
    <t>bioenergy: paper mill wastes, bioenergy: agricultural waste (solids)</t>
  </si>
  <si>
    <t>jiangxi dingyuan ecological environmental protection co ltd</t>
  </si>
  <si>
    <t>sichuan energy investment group</t>
  </si>
  <si>
    <t>yangzhou shouchuang investment co ltd</t>
  </si>
  <si>
    <t>jiangxi administrative assets group co ltd</t>
  </si>
  <si>
    <t>shangrao investment holding group co ltd</t>
  </si>
  <si>
    <t>jiangxi shanli new energy co ltd</t>
  </si>
  <si>
    <t>zhuorui no.1 equity investment partnership</t>
  </si>
  <si>
    <t>state power investment group</t>
  </si>
  <si>
    <t>ningbo meishan free trade port chuangwao equity investment partnership lp</t>
  </si>
  <si>
    <t>tbea technology investment co ltd</t>
  </si>
  <si>
    <t>jilin zhongkai new energy development and utilization co ltd</t>
  </si>
  <si>
    <t>beijing xuneng development technology co ltd</t>
  </si>
  <si>
    <t>china aviation planning and design institute (group) co ltd</t>
  </si>
  <si>
    <t>guangdong hanwei environmental protection investment co ltd</t>
  </si>
  <si>
    <t>changling runpeng new energy co ltd</t>
  </si>
  <si>
    <t>dongliao yikang food co ltd</t>
  </si>
  <si>
    <t>liaoning fengwo new energy co ltd</t>
  </si>
  <si>
    <t>zhejiang shentai biomass energy development co ltd</t>
  </si>
  <si>
    <t>huaneng power international inc</t>
  </si>
  <si>
    <t>jiangsu jintongling fluid machinery technology co ltd</t>
  </si>
  <si>
    <t>panshi jidian hongri smart energy co ltd</t>
  </si>
  <si>
    <t>shuifa water investment (beijing) ecological technology group co ltd</t>
  </si>
  <si>
    <t>jilin new energy development co ltd</t>
  </si>
  <si>
    <t>beijing hengchengxin new energy investment co ltd</t>
  </si>
  <si>
    <t>zhonghuan huanhui technology group co ltd</t>
  </si>
  <si>
    <t>dalian winning group co ltd</t>
  </si>
  <si>
    <t>yinfeng holdings co ltd</t>
  </si>
  <si>
    <t>hainan jinhai pulp and paper company ltd</t>
  </si>
  <si>
    <t>savon voima oyj</t>
  </si>
  <si>
    <t>universal robina corp</t>
  </si>
  <si>
    <t>kakira sugar ltd</t>
  </si>
  <si>
    <t>uganda</t>
  </si>
  <si>
    <t>the kamisu biomass power generation llc</t>
  </si>
  <si>
    <t>kruger specialty papers holding lp</t>
  </si>
  <si>
    <t>kanda biomass energy kk</t>
  </si>
  <si>
    <t>westrock north charleston</t>
  </si>
  <si>
    <t>bioenergy: wood &amp; other biomass (solids), bioenergy: paper mill wastes, coal: bituminous</t>
  </si>
  <si>
    <t>karatsu biomass energy gk</t>
  </si>
  <si>
    <t>ukraine</t>
  </si>
  <si>
    <t>kashmir power pvt ltd</t>
  </si>
  <si>
    <t>renew energy ltd</t>
  </si>
  <si>
    <t>new zealand</t>
  </si>
  <si>
    <t>china tianying co ltd</t>
  </si>
  <si>
    <t>idemitsu renewables</t>
  </si>
  <si>
    <t>verus energy</t>
  </si>
  <si>
    <t>kenana sugar company</t>
  </si>
  <si>
    <t>sudan</t>
  </si>
  <si>
    <t>pt riau prima energy</t>
  </si>
  <si>
    <t>bioenergy: paper mill wastes, bioenergy: wood &amp; other biomass (solids), bioenergy: agricultural waste (solids)</t>
  </si>
  <si>
    <t>avista corp</t>
  </si>
  <si>
    <t>thailand</t>
  </si>
  <si>
    <t>domtar paper co llc kingsport mill</t>
  </si>
  <si>
    <t>oji fibre solutions (nz) ltd</t>
  </si>
  <si>
    <t>sappi finland oy</t>
  </si>
  <si>
    <t>klabin sa</t>
  </si>
  <si>
    <t>greater chennai corporation</t>
  </si>
  <si>
    <t>zespół elektrowni pątnów adamów konin sa</t>
  </si>
  <si>
    <t>kotkan energia oy</t>
  </si>
  <si>
    <t>tekniska verken i linköping ab</t>
  </si>
  <si>
    <t>bioenergy: unknown, bioenergy: wood &amp; other biomass (solids), other: other</t>
  </si>
  <si>
    <t>acciona energy</t>
  </si>
  <si>
    <t>kymin voima oy</t>
  </si>
  <si>
    <t>lahti energia oy</t>
  </si>
  <si>
    <t>compañía azucarera los balcanes sa</t>
  </si>
  <si>
    <t>hulleras del norte sa</t>
  </si>
  <si>
    <t>oulun energia oy</t>
  </si>
  <si>
    <t>bioenergy: wood &amp; other biomass (solids), bioenergy: refuse (municipal and industrial wastes), other: other</t>
  </si>
  <si>
    <t>usina laguna   álcool e açúcar ltda</t>
  </si>
  <si>
    <t>lahore xingzhong renewable energy co ltd</t>
  </si>
  <si>
    <t>lancaster county solid wr authority</t>
  </si>
  <si>
    <t>edf production electrique insulaire sas</t>
  </si>
  <si>
    <t>french guiana</t>
  </si>
  <si>
    <t>thal ltd</t>
  </si>
  <si>
    <t>ld celulose sa</t>
  </si>
  <si>
    <t>biosev sa</t>
  </si>
  <si>
    <t>guadeloupe</t>
  </si>
  <si>
    <t>lee county board of commissioners</t>
  </si>
  <si>
    <t>shaoneng group leiyang electric power industry co ltd</t>
  </si>
  <si>
    <t>lenzing papier gmbh</t>
  </si>
  <si>
    <t>austria</t>
  </si>
  <si>
    <t>clearwater paper corp</t>
  </si>
  <si>
    <t>dalian hongsheng investment co ltd</t>
  </si>
  <si>
    <t>lantian youneng investment fund management (beijing) co ltd</t>
  </si>
  <si>
    <t>chaoyang lantian zhongneng bioenergy co ltd</t>
  </si>
  <si>
    <t>dandong mingsheng real estate co ltd</t>
  </si>
  <si>
    <t>dalian liaoneng power new energy development co ltd</t>
  </si>
  <si>
    <t>fuxin xingguang municipal engineering co ltd</t>
  </si>
  <si>
    <t>haicheng huitong sewage treatment co ltd</t>
  </si>
  <si>
    <t>yihai kerry arowana grain, oil and foodstuff co ltd</t>
  </si>
  <si>
    <t>shenyang basic industry construction development group co ltd</t>
  </si>
  <si>
    <t>shenyang gelin energy technology co ltd</t>
  </si>
  <si>
    <t>shenyang xindun bioenergy technology co ltd</t>
  </si>
  <si>
    <t>dianyan (shenyang) intelligent technology service co ltd</t>
  </si>
  <si>
    <t>shenyang jiaxu power consulting service partnership lp</t>
  </si>
  <si>
    <t>dandong tianyuan energy co ltd</t>
  </si>
  <si>
    <t>shenyang xinji investment management co ltd</t>
  </si>
  <si>
    <t>shenyang xinji environmental protection operation management co ltd</t>
  </si>
  <si>
    <t>city of aarhaus</t>
  </si>
  <si>
    <t>veolia energia łódź sa</t>
  </si>
  <si>
    <t>lokmangal sugar ethanol co generation industries ltd</t>
  </si>
  <si>
    <t>miller turner</t>
  </si>
  <si>
    <t>copenhagen infrastructure partners p/s</t>
  </si>
  <si>
    <t>bioenergy: wood &amp; other biomass (solids), bioenergy: refuse (municipal and industrial wastes), bioenergy: biodiesel</t>
  </si>
  <si>
    <t>tergopower</t>
  </si>
  <si>
    <t>nc renewable power   lumberton llc</t>
  </si>
  <si>
    <t>energetický a průmyslový holding as</t>
  </si>
  <si>
    <t>macau environmental protection bureau</t>
  </si>
  <si>
    <t>macao</t>
  </si>
  <si>
    <t>conifex timber inc</t>
  </si>
  <si>
    <t>ingenio madre tierra</t>
  </si>
  <si>
    <t>ofunato power generation co ltd</t>
  </si>
  <si>
    <t>ingenio magdalena sa</t>
  </si>
  <si>
    <t>bioenergy: agricultural waste (solids), fossil liquids: fuel oil</t>
  </si>
  <si>
    <t>dr congo</t>
  </si>
  <si>
    <t>sunbird bioenergy (sl) ltd</t>
  </si>
  <si>
    <t>sierra leone</t>
  </si>
  <si>
    <t>manitowoc public utilities inc</t>
  </si>
  <si>
    <t>bioenergy: wood &amp; other biomass (solids), fossil liquids: petroleum coke, coal: bituminous</t>
  </si>
  <si>
    <t>ipc mansfield mill</t>
  </si>
  <si>
    <t>shenyang lan sa trading co ltd</t>
  </si>
  <si>
    <t>guinea-bissau</t>
  </si>
  <si>
    <t>bioenergia maracaí ltda</t>
  </si>
  <si>
    <t>crystal sugar co inc</t>
  </si>
  <si>
    <t>greencoat capital llp</t>
  </si>
  <si>
    <t>domtar paper company llc</t>
  </si>
  <si>
    <t>marusumi paper co ltd</t>
  </si>
  <si>
    <t>mav elektrik üretim sanayi ve ticaret as</t>
  </si>
  <si>
    <t>bioenergy: agricultural waste (syngas)</t>
  </si>
  <si>
    <t>schwarz produktion stiftung and co kg</t>
  </si>
  <si>
    <t>bioenergy: wood &amp; other biomass (solids), bioenergy: refuse (municipal and industrial wastes), coal: anthracite</t>
  </si>
  <si>
    <t>coal: anthracite</t>
  </si>
  <si>
    <t>kibo mining</t>
  </si>
  <si>
    <t>bioenergy: wood &amp; other biomass (biocoal)</t>
  </si>
  <si>
    <t>tanzania</t>
  </si>
  <si>
    <t>ute mendonça geração e comercialização de energia elétrica ltda</t>
  </si>
  <si>
    <t>f2i</t>
  </si>
  <si>
    <t>metsä board oyj</t>
  </si>
  <si>
    <t>toshiba corp</t>
  </si>
  <si>
    <t>phu khieo bio energy co ltd</t>
  </si>
  <si>
    <t>dan chang bio energy co ltd</t>
  </si>
  <si>
    <t>mitr phol bio power phu luang co ltd</t>
  </si>
  <si>
    <t>marubeni clean power corp</t>
  </si>
  <si>
    <t>allete inc</t>
  </si>
  <si>
    <t>bioenergy: wood &amp; other biomass (solids), coal: subbituminous, fossil gas: natural gas</t>
  </si>
  <si>
    <t>bunge açúcar e bioenergia sa</t>
  </si>
  <si>
    <t>sumitomo joint electric power co ltd</t>
  </si>
  <si>
    <t>bioenergy: wood &amp; other biomass (solids), bioenergy: wood &amp; other biomass (solids), coal: unknown</t>
  </si>
  <si>
    <t>sumitomo forestry co ltd</t>
  </si>
  <si>
    <t>italgreen energy srl</t>
  </si>
  <si>
    <t>celulosa y energía punta pereira sa</t>
  </si>
  <si>
    <t>uruguay</t>
  </si>
  <si>
    <t>northeast maryland waste disposal authority</t>
  </si>
  <si>
    <t>bioenergy: paper mill wastes, bioenergy: wood &amp; other biomass (solids), fossil gas: lng</t>
  </si>
  <si>
    <t>fossil gas: lng</t>
  </si>
  <si>
    <t>kalmar energi holding ab</t>
  </si>
  <si>
    <t>dte energy services inc</t>
  </si>
  <si>
    <t>macpherson power co</t>
  </si>
  <si>
    <t>mufindi paper mills ltd</t>
  </si>
  <si>
    <t>swb ag</t>
  </si>
  <si>
    <t>sarrai group ltd</t>
  </si>
  <si>
    <t>eneos biomass power muroran gk</t>
  </si>
  <si>
    <t>bioenergy: wood &amp; other biomass (solids), coal: anthracite</t>
  </si>
  <si>
    <t>austin energy corp</t>
  </si>
  <si>
    <t>okinawa uruma new energy kk</t>
  </si>
  <si>
    <t>zambia sugar plc</t>
  </si>
  <si>
    <t>zambia</t>
  </si>
  <si>
    <t>nanatsujima biomass power llc</t>
  </si>
  <si>
    <t>companhia energetica nardini sa</t>
  </si>
  <si>
    <t>national power supply pcl</t>
  </si>
  <si>
    <t>new energy miki co ltd</t>
  </si>
  <si>
    <t>new hope power co</t>
  </si>
  <si>
    <t>bioenergy: agricultural waste (solids), bioenergy: wood &amp; other biomass (solids), fossil gas: natural gas</t>
  </si>
  <si>
    <t>nova gália bioenergia ltda</t>
  </si>
  <si>
    <t>bioenergy: agricultural waste (solids), bioenergy: wood &amp; other biomass (solids), bioenergy: wood &amp; other biomass (solids)</t>
  </si>
  <si>
    <t>bioenergy: agricultural waste (solids), bioenergy: agricultural waste (solids)</t>
  </si>
  <si>
    <t>nihon kaisui co ltd</t>
  </si>
  <si>
    <t>tts kikaku kk</t>
  </si>
  <si>
    <t>solar 21 renewable energy ltd</t>
  </si>
  <si>
    <t>ute novo horizonte geração e comercialização de energia elétrica ltda</t>
  </si>
  <si>
    <t>obayashi kamisu biomass power generation co ltd</t>
  </si>
  <si>
    <t>omaezakikou biomass energy gk</t>
  </si>
  <si>
    <t>ethiopian sugar industry group</t>
  </si>
  <si>
    <t>eldorado brasil celulose sa</t>
  </si>
  <si>
    <t>covanta onondaga lp</t>
  </si>
  <si>
    <t>chp invest kft</t>
  </si>
  <si>
    <t>újpalotai energia kft</t>
  </si>
  <si>
    <t>kraftringen energi ab</t>
  </si>
  <si>
    <t>jämtkraft ab</t>
  </si>
  <si>
    <t>ostkraft holding a/s</t>
  </si>
  <si>
    <t>svenska cellulosa sca ab</t>
  </si>
  <si>
    <t>stora enso oyj</t>
  </si>
  <si>
    <t>bioenergy: paper mill wastes, bioenergy: refuse (municipal and industrial wastes), coal: unknown</t>
  </si>
  <si>
    <t>namibia power corp ltd</t>
  </si>
  <si>
    <t>namibia</t>
  </si>
  <si>
    <t>bioenergy: paper mill wastes, bioenergy: wood &amp; other biomass (solids), other: other</t>
  </si>
  <si>
    <t>ozu biomass power co ltd</t>
  </si>
  <si>
    <t>solid waste authority of palm beach county co</t>
  </si>
  <si>
    <t>ingenio palo gordo sa</t>
  </si>
  <si>
    <t>thai power supply co ltd</t>
  </si>
  <si>
    <t>paracel sa</t>
  </si>
  <si>
    <t>paraguay</t>
  </si>
  <si>
    <t>raízen paraguaçu ltda</t>
  </si>
  <si>
    <t>g7 sugar ltd</t>
  </si>
  <si>
    <t>pasco county (florida)</t>
  </si>
  <si>
    <t>usina caeté sa</t>
  </si>
  <si>
    <t>pannonpower holding zrt</t>
  </si>
  <si>
    <t>pedro afonso bioenergia ltda</t>
  </si>
  <si>
    <t>peterborough green energy ltd</t>
  </si>
  <si>
    <t>piedmont green power llc</t>
  </si>
  <si>
    <t>alholmens kraft ab oy</t>
  </si>
  <si>
    <t>bioenergy: wood &amp; other biomass (solids), other: other, coal: anthracite</t>
  </si>
  <si>
    <t>pactiv evergreen inc</t>
  </si>
  <si>
    <t>bioenergy: paper mill wastes, fossil liquids: unknown, fossil gas: natural gas</t>
  </si>
  <si>
    <t>bioenergy: wood &amp; other biomass (solids), fossil gas: natural gas, coal: bituminous</t>
  </si>
  <si>
    <t>pinellas county (florida)</t>
  </si>
  <si>
    <t>pioneiros bioenergia sa</t>
  </si>
  <si>
    <t>pitangueiras açúcar e álcool ltda</t>
  </si>
  <si>
    <t>plainfield renewable energy llc</t>
  </si>
  <si>
    <t>bioenergy: wood &amp; other biomass (solids), bioenergy: wastewater and sewage sludge (solids or biogas), fossil gas: natural gas</t>
  </si>
  <si>
    <t>pohang renewable energy inc</t>
  </si>
  <si>
    <t>enea sa</t>
  </si>
  <si>
    <t>dalkia čr as</t>
  </si>
  <si>
    <t>powercrop russi srl</t>
  </si>
  <si>
    <t>porin prossessivoima oy</t>
  </si>
  <si>
    <t>bioenergy: wood &amp; other biomass (solids), bioenergy: refuse (municipal and industrial wastes), fossil gas: lng</t>
  </si>
  <si>
    <t>nova scotia power inc</t>
  </si>
  <si>
    <t>bioenergy: paper mill wastes, bioenergy: wood &amp; other biomass (solids), bioenergy: unknown</t>
  </si>
  <si>
    <t>cerradinho bioenergia sa</t>
  </si>
  <si>
    <t>poseung green power co</t>
  </si>
  <si>
    <t>paper excellence canada holdings corp</t>
  </si>
  <si>
    <t>pravara renewable energy ltd</t>
  </si>
  <si>
    <t>sita reenergy roosendaal bv</t>
  </si>
  <si>
    <t>canadian forest products ltd</t>
  </si>
  <si>
    <t>biffa plc</t>
  </si>
  <si>
    <t>bioenergy: wood &amp; other biomass (solids), coal: waste coal</t>
  </si>
  <si>
    <t>coal: waste coal</t>
  </si>
  <si>
    <t>aguas tratadas del valle de méxico sa de cv</t>
  </si>
  <si>
    <t>los angeles county sanitation</t>
  </si>
  <si>
    <t>arauco argentina sa</t>
  </si>
  <si>
    <t>etelä savon energia oy</t>
  </si>
  <si>
    <t>xining huangshui investment management co ltd</t>
  </si>
  <si>
    <t>metro pacific investments corp</t>
  </si>
  <si>
    <t>mackay sugar ltd</t>
  </si>
  <si>
    <t>bioenergia rafard ltda</t>
  </si>
  <si>
    <t>fas energy</t>
  </si>
  <si>
    <t>verdo holding a/s</t>
  </si>
  <si>
    <t>upm kymmene oyj</t>
  </si>
  <si>
    <t>bioenergy: wood &amp; other biomass (solids), bioenergy: wastewater and sewage sludge (solids or biogas)</t>
  </si>
  <si>
    <t>redcar holdings ltd</t>
  </si>
  <si>
    <t>regenerate livermore falls llc</t>
  </si>
  <si>
    <t>reenergy holdings llc</t>
  </si>
  <si>
    <t>bioenergy: wood &amp; other biomass (solids), fossil gas: unknown</t>
  </si>
  <si>
    <t>remondis australia pty ltd</t>
  </si>
  <si>
    <t>rengo co ltd</t>
  </si>
  <si>
    <t>dahe environmental services co ltd</t>
  </si>
  <si>
    <t>grupo integra</t>
  </si>
  <si>
    <t>westrock celulose papel e embalagens ltd</t>
  </si>
  <si>
    <t>eber bioenergia e agricultura ltda</t>
  </si>
  <si>
    <t>albioma rio pardo termoelétrica ltda</t>
  </si>
  <si>
    <t>glencane bioenergia sa</t>
  </si>
  <si>
    <t>riopaila energía sasesp</t>
  </si>
  <si>
    <t>indaver nv</t>
  </si>
  <si>
    <t>cory ltd</t>
  </si>
  <si>
    <t>national power pty ltd</t>
  </si>
  <si>
    <t>mercer international inc</t>
  </si>
  <si>
    <t>wisconsin electric power co</t>
  </si>
  <si>
    <t>ineos runcorn (tps) ltd</t>
  </si>
  <si>
    <t>viridor efw runcorn ltd</t>
  </si>
  <si>
    <t>goteborg energi ab</t>
  </si>
  <si>
    <t>pf résolu canada inc</t>
  </si>
  <si>
    <t>bioenergy: ethanol</t>
  </si>
  <si>
    <t>réunion</t>
  </si>
  <si>
    <t>sakaide biomass power llc</t>
  </si>
  <si>
    <t>summit energy corp</t>
  </si>
  <si>
    <t>sakthi sugars ltd</t>
  </si>
  <si>
    <t>bioenergy: agricultural waste (solids), bioenergy: wood &amp; other biomass (solids), coal: unknown</t>
  </si>
  <si>
    <t>san pedro bio energy srl</t>
  </si>
  <si>
    <t>dominican republic</t>
  </si>
  <si>
    <t>växjö energi ab</t>
  </si>
  <si>
    <t>sanix inc</t>
  </si>
  <si>
    <t>termoelétrica santa adélia ltda</t>
  </si>
  <si>
    <t>compañía agrícola industrial santa ana sa</t>
  </si>
  <si>
    <t>geração bioeletricidade santa cândida i ltda</t>
  </si>
  <si>
    <t>geração biomassa santa cândida ii sa</t>
  </si>
  <si>
    <t>bioenergetica santa cruz sa</t>
  </si>
  <si>
    <t>agroindustrial santa juliana ltda</t>
  </si>
  <si>
    <t>grupo campollo codina</t>
  </si>
  <si>
    <t>agro energia santa luzia sa</t>
  </si>
  <si>
    <t>usina de açúcar santa terezinha ltda</t>
  </si>
  <si>
    <t>erb mg energias sa</t>
  </si>
  <si>
    <t>abengoa sa</t>
  </si>
  <si>
    <t>u.s.j.   açúcar e álcool sa</t>
  </si>
  <si>
    <t>ute são josé da estiva sa</t>
  </si>
  <si>
    <t>sada bio energia e agricultura ltda</t>
  </si>
  <si>
    <t>sao luiz termoeletrica sa</t>
  </si>
  <si>
    <t>bioenergética são martinho sa</t>
  </si>
  <si>
    <t>são martinho sa</t>
  </si>
  <si>
    <t>renova inc</t>
  </si>
  <si>
    <t>granite shore power llc</t>
  </si>
  <si>
    <t>sgc energy co ltd</t>
  </si>
  <si>
    <t>the seksaria biswan sugar factory ltd</t>
  </si>
  <si>
    <t>morinomiyako biomass energy gk</t>
  </si>
  <si>
    <t>sendai ko biomass power gk</t>
  </si>
  <si>
    <t>resolute forest products inc</t>
  </si>
  <si>
    <t>seokmun energy co ltd</t>
  </si>
  <si>
    <t>west london energy recovery ltd</t>
  </si>
  <si>
    <t>shaanxi green energy co ltd</t>
  </si>
  <si>
    <t>shaanxi environmental protection industry group co ltd</t>
  </si>
  <si>
    <t>zhongsheng environmental technology development co ltd</t>
  </si>
  <si>
    <t>korea carbon energy international co ltd</t>
  </si>
  <si>
    <t>shanghai bluebirdme technology co ltd</t>
  </si>
  <si>
    <t>heilongjiang hualong electric power engineering co ltd</t>
  </si>
  <si>
    <t>shanghai dingchen automation engineering co ltd</t>
  </si>
  <si>
    <t>lantian county infrastructure construction investment co ltd</t>
  </si>
  <si>
    <t>anhui haichuang green energy environmental protection group co ltd</t>
  </si>
  <si>
    <t>xi'an bailuyuan modern agriculture investment development co ltd</t>
  </si>
  <si>
    <t>scegc seventh construction group co ltd</t>
  </si>
  <si>
    <t>xi'an huanyi renewable resources utilization co ltd</t>
  </si>
  <si>
    <t>shaanxi xixian new area environment group co ltd</t>
  </si>
  <si>
    <t>shahtaj sugar mills ltd</t>
  </si>
  <si>
    <t>jinan huabo investment consulting co ltd</t>
  </si>
  <si>
    <t>shandong ludian investment co ltd</t>
  </si>
  <si>
    <t>shandong yongneng energy saving and environmental protection service co ltd</t>
  </si>
  <si>
    <t>zhonghuan ju (beijing) technology co ltd</t>
  </si>
  <si>
    <t>shandong yingde investment co ltd</t>
  </si>
  <si>
    <t>qingdao shanghe urban renewal group co ltd</t>
  </si>
  <si>
    <t>qingdao solid waste disposal co ltd</t>
  </si>
  <si>
    <t>jinan energy investment holdings group co ltd</t>
  </si>
  <si>
    <t>beijing hongyuan xianghe technology co ltd</t>
  </si>
  <si>
    <t>rongtai energy investment co ltd</t>
  </si>
  <si>
    <t>shandong millennium consulting co ltd</t>
  </si>
  <si>
    <t>shandong shouguang giant energy thermal power development co ltd</t>
  </si>
  <si>
    <t>cecep (linyi) environmental protection energy co ltd</t>
  </si>
  <si>
    <t>zibo zhongxiang real estate co ltd</t>
  </si>
  <si>
    <t>zibo jinxi new energy co ltd</t>
  </si>
  <si>
    <t>hangzhou jingxuan investment partnership lp</t>
  </si>
  <si>
    <t>pingyin innovative composite materials co ltd</t>
  </si>
  <si>
    <t>dezhou taiding new material technology co ltd</t>
  </si>
  <si>
    <t>qingdao west coast public utilities group engineering construction co ltd</t>
  </si>
  <si>
    <t>qingdao energy thermal power co ltd</t>
  </si>
  <si>
    <t>qingdao west coast public utility group energy heating co ltd</t>
  </si>
  <si>
    <t>qingdao lanxin environmental technology partnership lp</t>
  </si>
  <si>
    <t>shandong port rizhao port group co ltd</t>
  </si>
  <si>
    <t>weihai huayuan biomass thermal power co ltd</t>
  </si>
  <si>
    <t>shenxian city heating co ltd</t>
  </si>
  <si>
    <t>jining rongda equity investment management co ltd</t>
  </si>
  <si>
    <t>zaozhuang mining (group) co ltd</t>
  </si>
  <si>
    <t>yanggu xiangguang thermal power co ltd</t>
  </si>
  <si>
    <t>yanggu xiangguang copper co ltd</t>
  </si>
  <si>
    <t>xinfengxiang energy development co ltd</t>
  </si>
  <si>
    <t>shandong luzhong investment co ltd</t>
  </si>
  <si>
    <t>tongyu heavy industry co ltd</t>
  </si>
  <si>
    <t>yuurban zhongyi urban construction investment co ltd</t>
  </si>
  <si>
    <t>zaozhuang mining group jiangzhuang coal gangue thermal power co ltd</t>
  </si>
  <si>
    <t>green power investment holdings ltd</t>
  </si>
  <si>
    <t>jinan shengquan group co ltd</t>
  </si>
  <si>
    <t>baowu group environmental resources technology co ltd</t>
  </si>
  <si>
    <t>shanghai industrial environment yangtze river delta environmental resources (hong kong) co ltd</t>
  </si>
  <si>
    <t>shanghai environment group co ltd</t>
  </si>
  <si>
    <t>shanghai baicun technology co ltd</t>
  </si>
  <si>
    <t>shanghai fengxian development (group) co ltd</t>
  </si>
  <si>
    <t>shanghai environment group renewable energy operation management co ltd</t>
  </si>
  <si>
    <t>shanghai chengtou laogang base management co ltd</t>
  </si>
  <si>
    <t>shanxi guoyao new energy group co ltd</t>
  </si>
  <si>
    <t>shanxi guochuang energy co ltd</t>
  </si>
  <si>
    <t>emirates waste to energy co</t>
  </si>
  <si>
    <t>sheikhoo power private ltd</t>
  </si>
  <si>
    <t>keppel seghers hong kong ltd</t>
  </si>
  <si>
    <t>hong kong</t>
  </si>
  <si>
    <t>shimonoseki biomass energy llc</t>
  </si>
  <si>
    <t>urjankur shree datta power co ltd</t>
  </si>
  <si>
    <t>shri sai priya sugars ltd</t>
  </si>
  <si>
    <t>sichuan energy investment development co ltd</t>
  </si>
  <si>
    <t>chengdu xingrong environment co ltd</t>
  </si>
  <si>
    <t>zhongke runtong technology (chengdu) group co ltd</t>
  </si>
  <si>
    <t>everbright urban and rural renewable energy (deyang) holdings co ltd</t>
  </si>
  <si>
    <t>sichuan yongfeng paper co ltd</t>
  </si>
  <si>
    <t>bioenergy: paper mill wastes, coal: unknown</t>
  </si>
  <si>
    <t>suzhou junjing industrial co ltd</t>
  </si>
  <si>
    <t>chongqing kaipurui enterprises co ltd</t>
  </si>
  <si>
    <t>sichuan yingji new energy investment co ltd</t>
  </si>
  <si>
    <t>sichuan energy investment energy conservation and environmental protection investment co ltd</t>
  </si>
  <si>
    <t>sierra pacific industries</t>
  </si>
  <si>
    <t>bioenergy: wood &amp; other biomass (solids), fossil liquids: unknown</t>
  </si>
  <si>
    <t>royal eswatini sugar corp ltd</t>
  </si>
  <si>
    <t>eswatini</t>
  </si>
  <si>
    <t>pt oki pulp and paper mills</t>
  </si>
  <si>
    <t>bioenergy: paper mill wastes, bioenergy: wood &amp; other biomass (solids), fossil liquids: waste/other oil</t>
  </si>
  <si>
    <t>bioenergy: wastewater and sewage sludge (solids or biogas), bioenergy: refuse (municipal and industrial wastes)</t>
  </si>
  <si>
    <t>veolia nv/sa</t>
  </si>
  <si>
    <t>sse thermal ltd</t>
  </si>
  <si>
    <t>borås energy and environment</t>
  </si>
  <si>
    <t>thien y energy environmental jsc</t>
  </si>
  <si>
    <t>sodegaura biomass power co ltd</t>
  </si>
  <si>
    <t>södra skogsägarna ek for</t>
  </si>
  <si>
    <t>sociedade galega do medio ambiente sa</t>
  </si>
  <si>
    <t>sappi ltd</t>
  </si>
  <si>
    <t>tirme sa</t>
  </si>
  <si>
    <t>sonora estância sa</t>
  </si>
  <si>
    <t>ep uk investments ltd</t>
  </si>
  <si>
    <t>dte st paul llc</t>
  </si>
  <si>
    <t>bioenergy: wood &amp; other biomass (solids), bioenergy: agricultural waste (solids), fossil gas: natural gas</t>
  </si>
  <si>
    <t>dte stockton llc</t>
  </si>
  <si>
    <t>sudokwon landfill site management corp</t>
  </si>
  <si>
    <t>pt jakarta solusi lestari</t>
  </si>
  <si>
    <t>mitsubishi corporation power ltd</t>
  </si>
  <si>
    <t>mondi swiecie sa</t>
  </si>
  <si>
    <t>mondi syktyvkar lpk jsc</t>
  </si>
  <si>
    <t>sykué geração ltda</t>
  </si>
  <si>
    <t>pge górnictwo i energetyka konwencjonalna sa</t>
  </si>
  <si>
    <t>tadweer waste treatment llc</t>
  </si>
  <si>
    <t>tahara biomass power plant llc</t>
  </si>
  <si>
    <t>tahara green biomass llc</t>
  </si>
  <si>
    <t>tampico renewable energy sapi de cv</t>
  </si>
  <si>
    <t>taoyuan county government</t>
  </si>
  <si>
    <t>biomass energy tawara shirahama llc</t>
  </si>
  <si>
    <t>mgt teesside ltd</t>
  </si>
  <si>
    <t>hartlepool borough council</t>
  </si>
  <si>
    <t>armech africa ltd</t>
  </si>
  <si>
    <t>agile energy recovery ltd</t>
  </si>
  <si>
    <t>energy power resources ltd</t>
  </si>
  <si>
    <t>tianjin chenhuan industrial park management co ltd</t>
  </si>
  <si>
    <t>tianjin dongfang caixin investment group co ltd</t>
  </si>
  <si>
    <t>china environmental protection group co ltd</t>
  </si>
  <si>
    <t>tianjin yongtai hengji investment co ltd</t>
  </si>
  <si>
    <t>vale do tijuco açúcar e álcool sa</t>
  </si>
  <si>
    <t>equitix investment management ltd</t>
  </si>
  <si>
    <t>tokushima tsuda biomass power plant gk</t>
  </si>
  <si>
    <t>tomatoh biomass power gk</t>
  </si>
  <si>
    <t>jönköping energi ab</t>
  </si>
  <si>
    <t>tpi polene power pcl</t>
  </si>
  <si>
    <t>triangle pvt ltd</t>
  </si>
  <si>
    <t>grupo aroeira</t>
  </si>
  <si>
    <t>grupo san diego</t>
  </si>
  <si>
    <t>tropical bioenergia sa</t>
  </si>
  <si>
    <t>tsuruga green power co ltd</t>
  </si>
  <si>
    <t>singapore</t>
  </si>
  <si>
    <t>national environment agency (singapore)</t>
  </si>
  <si>
    <t>iren group</t>
  </si>
  <si>
    <t>elektroprivreda bih dd</t>
  </si>
  <si>
    <t>bosnia and herzegovina</t>
  </si>
  <si>
    <t>twence holding bv</t>
  </si>
  <si>
    <t>tauron cieplo sp zoo</t>
  </si>
  <si>
    <t>uberaba energia ltda</t>
  </si>
  <si>
    <t>ubombo sugar ltd</t>
  </si>
  <si>
    <t>usina alto alegre   açúcar e álcool sa</t>
  </si>
  <si>
    <t>bioenergy: paper mill wastes, bioenergy: wood &amp; other biomass (solids), bioenergy: agricultural waste (unknown)</t>
  </si>
  <si>
    <t>companhia brasileira de energia renovável</t>
  </si>
  <si>
    <t>union county utilities authority</t>
  </si>
  <si>
    <t>bioenergia univalem ltda</t>
  </si>
  <si>
    <t>lara central de tratamento de resíduos ltda</t>
  </si>
  <si>
    <t>valoriza energia spe ltda</t>
  </si>
  <si>
    <t>central energética rio pardo sa</t>
  </si>
  <si>
    <t>montigny</t>
  </si>
  <si>
    <t>association intercommunale de traitement des déchets liégeois cvba/scrl</t>
  </si>
  <si>
    <t>bioenergy: wood &amp; other biomass (solids), bioenergy: paper mill wastes, fossil liquids: heavy fuel oil</t>
  </si>
  <si>
    <t>ute vale do paraná albioma sa</t>
  </si>
  <si>
    <t>companhia energética vale do são simão sa</t>
  </si>
  <si>
    <t>valorsul sa</t>
  </si>
  <si>
    <t>vantaan energia oy</t>
  </si>
  <si>
    <t>bioenergy: unknown, fossil liquids: unknown</t>
  </si>
  <si>
    <t>öresundskraft ab</t>
  </si>
  <si>
    <t>veracel celulose sa</t>
  </si>
  <si>
    <t>usina vertente ltda</t>
  </si>
  <si>
    <t>syndicat mixte d'élimination des déchets arrondissement de rouen</t>
  </si>
  <si>
    <t>victorias milling co inc</t>
  </si>
  <si>
    <t>ignitis grupe ab</t>
  </si>
  <si>
    <t>lithuania</t>
  </si>
  <si>
    <t>beo čista energija doo</t>
  </si>
  <si>
    <t>serbia</t>
  </si>
  <si>
    <t>viralcool açúcar e álcool ltda</t>
  </si>
  <si>
    <t>geração biomassa vista alegre i sa</t>
  </si>
  <si>
    <t>geração bioeletricidade vista alegre ii sa</t>
  </si>
  <si>
    <t>agroindustrial vista alegre sa</t>
  </si>
  <si>
    <t>smfl mirai partners co ltd</t>
  </si>
  <si>
    <t>jag international energy co ltd</t>
  </si>
  <si>
    <t>warana sugar ltd</t>
  </si>
  <si>
    <t>tamarack energy inc</t>
  </si>
  <si>
    <t>wd agroindustrial ltda</t>
  </si>
  <si>
    <t>westrock west point mill</t>
  </si>
  <si>
    <t>bioenergy: wood &amp; other biomass (solids), coal: bituminous, fossil liquids: unknown</t>
  </si>
  <si>
    <t>westrock florence</t>
  </si>
  <si>
    <t>wheelabrator environmental systems inc</t>
  </si>
  <si>
    <t>bioenergy: wood &amp; other biomass (solids), bioenergy: refuse (landfill gas), other: tires</t>
  </si>
  <si>
    <t>other: tires</t>
  </si>
  <si>
    <t>wheelabrator technologies (uk) ltd</t>
  </si>
  <si>
    <t>attero noord bv</t>
  </si>
  <si>
    <t>uk wood recycling ltd</t>
  </si>
  <si>
    <t>wisapower oy</t>
  </si>
  <si>
    <t>bioenergy: paper mill wastes, bioenergy: unknown, other: other</t>
  </si>
  <si>
    <t>east texas electric cooperative inc</t>
  </si>
  <si>
    <t>beijing capital heat power co ltd</t>
  </si>
  <si>
    <t>beijing environment co ltd</t>
  </si>
  <si>
    <t>beijing puneng international investment co ltd</t>
  </si>
  <si>
    <t>kumamoto forest generation llc</t>
  </si>
  <si>
    <t>chubu electric power co inc</t>
  </si>
  <si>
    <t>yonago biomass power generation llc</t>
  </si>
  <si>
    <t>korea south east power co ltd</t>
  </si>
  <si>
    <t>york county solid waste and refuse authority</t>
  </si>
  <si>
    <t>sojitz corp</t>
  </si>
  <si>
    <t>bioenergy: wood &amp; other biomass (solids), bioenergy: wood &amp; other biomass (solids), bioenergy: refuse (municipal and industrial wastes)</t>
  </si>
  <si>
    <t>china star international holdings ltd</t>
  </si>
  <si>
    <t>qujing yunnengtou new energy power generation co ltd</t>
  </si>
  <si>
    <t>zabalgarbi ltd</t>
  </si>
  <si>
    <t>amsterdam waste environmental consultancy and technology bv</t>
  </si>
  <si>
    <t>palestine</t>
  </si>
  <si>
    <t>zellstoff celgar ltd</t>
  </si>
  <si>
    <t>liansheng pulp paper (zhangzhou) co ltd</t>
  </si>
  <si>
    <t>beijing zhongke runyu environmental protection technology co ltd</t>
  </si>
  <si>
    <t>zhejiang qianjiang biochemistry co ltd</t>
  </si>
  <si>
    <t>zhejiang shanying paper co ltd</t>
  </si>
  <si>
    <t>huanyu group international holdings co ltd</t>
  </si>
  <si>
    <t>zhejiang lecheng investment co ltd</t>
  </si>
  <si>
    <t>zjmi environmental energy co ltd</t>
  </si>
  <si>
    <t>jinhua trading integrated energy co ltd</t>
  </si>
  <si>
    <t>zhejiang jinyi tianyuanzhicheng high tech industry development co ltd</t>
  </si>
  <si>
    <t>jinhua urban construction investment group co ltd</t>
  </si>
  <si>
    <t>hangzhou high tech industry development area assets management co ltd</t>
  </si>
  <si>
    <t>hangzhou xiaoshan environmental investment development co ltd</t>
  </si>
  <si>
    <t>hangzhou qiantang new area urban development group co ltd</t>
  </si>
  <si>
    <t>zhejiang zheneng xingyuan energy saving technology co ltd</t>
  </si>
  <si>
    <t>ningbo fenghuan investment co ltd</t>
  </si>
  <si>
    <t>ningbo haishu development and construction investment group co ltd</t>
  </si>
  <si>
    <t>ningbo ecological environmental protection industry group co ltd</t>
  </si>
  <si>
    <t>ningbo municipal public utilities investment co ltd</t>
  </si>
  <si>
    <t>shaoxing public utilities group co ltd</t>
  </si>
  <si>
    <t>shaoxing keqiao water group co ltd</t>
  </si>
  <si>
    <t>yueqing state owned investment co ltd</t>
  </si>
  <si>
    <t>hangzhou yuhang urban construction group co ltd</t>
  </si>
  <si>
    <t>zibo hongda thermoelectricity co ltd</t>
  </si>
  <si>
    <t>aegon energy</t>
  </si>
  <si>
    <t>dubai electricity and water authority pjsc</t>
  </si>
  <si>
    <t>empee sugars and chemicals ltd</t>
  </si>
  <si>
    <t>bahrain</t>
  </si>
  <si>
    <t>ecogreen energy pvt ltd</t>
  </si>
  <si>
    <t>siddiqui fabrics inteq energy</t>
  </si>
  <si>
    <t>saudia german power plant ltd</t>
  </si>
  <si>
    <t>korea district heating corp</t>
  </si>
  <si>
    <t>daejae energy co ltd</t>
  </si>
  <si>
    <t>dongu energy</t>
  </si>
  <si>
    <t>enprotech co ltd</t>
  </si>
  <si>
    <t>jiangmen xinhui district oasis environmental protection co ltd</t>
  </si>
  <si>
    <t>china national environmental protection group</t>
  </si>
  <si>
    <t>shenzhen langkun environmental group co ltd</t>
  </si>
  <si>
    <t>china everbright international co ltd</t>
  </si>
  <si>
    <t>china power international development co ltd</t>
  </si>
  <si>
    <t>hanwha sandc co ltd</t>
  </si>
  <si>
    <t>hansol paper</t>
  </si>
  <si>
    <t>hawaiian philippine company inc</t>
  </si>
  <si>
    <t>china power international new energy holdings co ltd</t>
  </si>
  <si>
    <t>beijing shouchuang environment holdings co ltd</t>
  </si>
  <si>
    <t>beijing shouchuang ecological environmental protection group co ltd</t>
  </si>
  <si>
    <t>hubei danjiang state owned capital investment group co ltd</t>
  </si>
  <si>
    <t>beijing high energy era environmental technology co ltd</t>
  </si>
  <si>
    <t>consorcio azucarero central sa</t>
  </si>
  <si>
    <t>bhi</t>
  </si>
  <si>
    <t>jdw sugar mills ltd</t>
  </si>
  <si>
    <t>eco energy co ltd</t>
  </si>
  <si>
    <t>canvest kewei environmental investment (guangdong) co ltd</t>
  </si>
  <si>
    <t>western development investment group co ltd</t>
  </si>
  <si>
    <t>south negros biopower inc</t>
  </si>
  <si>
    <t>re clean holdings ltd</t>
  </si>
  <si>
    <t>nardini agroindustrial ltda</t>
  </si>
  <si>
    <t>oil search ltd</t>
  </si>
  <si>
    <t>papua new guinea</t>
  </si>
  <si>
    <t>aligned energy llc</t>
  </si>
  <si>
    <t>dynamotive latinoamericana sa</t>
  </si>
  <si>
    <t>keppel infrastructure trust management pte ltd</t>
  </si>
  <si>
    <t>seodaegu energy ltd co</t>
  </si>
  <si>
    <t>seohae combined heat and power cogenerator ltd</t>
  </si>
  <si>
    <t>linyi hengyuan thermal co ltd</t>
  </si>
  <si>
    <t>datong fuqiao environmental protection new energy co ltd</t>
  </si>
  <si>
    <t>mula sahakari sakhar karkhana ltd</t>
  </si>
  <si>
    <t>sunandl co ltd</t>
  </si>
  <si>
    <t>suntek energy co ltd</t>
  </si>
  <si>
    <t>advanced energies group pty ltd</t>
  </si>
  <si>
    <t>reforestadora de la costa sas</t>
  </si>
  <si>
    <t>edf energy ltd</t>
  </si>
  <si>
    <t>Source</t>
  </si>
  <si>
    <t>Comment</t>
  </si>
  <si>
    <t xml:space="preserve">https://www.ipcc-nggip.iges.or.jp/public/2006gl/pdf/2_Volume2/V2_2_Ch2_Stationary_Combustion.pdf </t>
  </si>
  <si>
    <t>Municipal wastes biomass-fraction</t>
  </si>
  <si>
    <t xml:space="preserve">https://www.epa.gov/system/files/documents/2025-01/ghg-emission-factors-hub-2025.pdf </t>
  </si>
  <si>
    <t>https://www.epa.gov/system/files/documents/2025-01/ghg-emission-factors-hub-2025.pdf</t>
  </si>
  <si>
    <t xml:space="preserve">https://www.epa.gov/system/files/documents/2025-01/ghg-emission-factors-hub-2025.pdf  </t>
  </si>
  <si>
    <t>Average of "bioenergy: agricultural waste"</t>
  </si>
  <si>
    <t>Average of "bioenergy:"</t>
  </si>
  <si>
    <t>Gas works gas</t>
  </si>
  <si>
    <t>Sewage gas</t>
  </si>
  <si>
    <t>Other liquid biofuels</t>
  </si>
  <si>
    <t>Average of "coal:"</t>
  </si>
  <si>
    <t xml:space="preserve">https://www.sciencedirect.com/topics/engineering/specific-emission-factor </t>
  </si>
  <si>
    <t>Average of "other:"</t>
  </si>
  <si>
    <t>Average of "fossil liquids:"</t>
  </si>
  <si>
    <t>https://www.volker-quaschning.de/datserv/CO2-spez/index_e.php</t>
  </si>
  <si>
    <t>Average of "fossil gas:"</t>
  </si>
  <si>
    <t>Fuel: Intermediate 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</si>
</sst>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0" fontId="2" fillId="2" borderId="0" xfId="0" applyFont="1" applyFill="1"/>
    <xf numFmtId="0" fontId="4" fillId="0" borderId="0" xfId="1"/>
  </cellXfs>
  <cellStyles count="2">
    <cellStyle name="Hyperlink" xfId="1" builtinId="8"/>
    <cellStyle name="Normal" xfId="0" builtinId="0"/>
  </cellStyles>
  <dxfs count="9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C0DF1B-180E-4D48-B872-9EB60BCF2446}" name="Table1" displayName="Table1" ref="A1:R2837" totalsRowShown="0" headerRowDxfId="8" headerRowBorderDxfId="6" tableBorderDxfId="7">
  <autoFilter ref="A1:R2837" xr:uid="{27C0DF1B-180E-4D48-B872-9EB60BCF2446}">
    <filterColumn colId="8">
      <filters>
        <filter val="1900"/>
        <filter val="1913"/>
        <filter val="1921"/>
        <filter val="1941"/>
        <filter val="1949"/>
        <filter val="1951"/>
        <filter val="2030"/>
        <filter val="N/A"/>
      </filters>
    </filterColumn>
  </autoFilter>
  <tableColumns count="18">
    <tableColumn id="1" xr3:uid="{8B0A2483-8FDA-48E8-948C-57299CE83FB6}" name="Owner"/>
    <tableColumn id="2" xr3:uid="{0AB06DFA-FCA7-43AA-A4CF-03B4A3531DEB}" name="Fuel"/>
    <tableColumn id="15" xr3:uid="{AB2E4F8C-7A24-4EA1-AA8B-F8788C783D7B}" name="Fuel (no space after comma)" dataDxfId="5">
      <calculatedColumnFormula>SUBSTITUTE(Table1[[#This Row],[Fuel]],", ",",")</calculatedColumnFormula>
    </tableColumn>
    <tableColumn id="16" xr3:uid="{F1F6315A-BFBE-4DF0-A2CB-4354A510241F}" name="Fuel 1"/>
    <tableColumn id="17" xr3:uid="{2D9DC827-F122-4E58-958E-056A045598FC}" name="Fuel 2"/>
    <tableColumn id="18" xr3:uid="{55808EC0-6B90-48DD-8F54-5FFFEFFD1345}" name="Fuel 3"/>
    <tableColumn id="3" xr3:uid="{FF03D107-375C-4C88-8CD1-A8A52DE2CB91}" name="Capacity (MW)"/>
    <tableColumn id="4" xr3:uid="{D59419CA-79DA-435E-B842-D2B0B07D825C}" name="Status"/>
    <tableColumn id="5" xr3:uid="{806E94EE-3681-4DCE-8BD1-173F5AD4AE9E}" name="Start Year"/>
    <tableColumn id="6" xr3:uid="{D174EA93-7BA9-420A-B43B-3310DD87FF48}" name="Retired Year"/>
    <tableColumn id="7" xr3:uid="{474251DF-DA54-4B46-87BC-9DCB11B06073}" name="Latitude"/>
    <tableColumn id="8" xr3:uid="{F7F45BD9-0FEF-4E1A-AF6A-3EDB8CEBB774}" name="Longitude"/>
    <tableColumn id="9" xr3:uid="{64D8A07C-C75A-4E5F-B9EB-23A5770E881C}" name="Country/Area"/>
    <tableColumn id="10" xr3:uid="{01377206-98A6-450A-B7FC-5C5FE24804CA}" name="Generation (TWh)" dataDxfId="4">
      <calculatedColumnFormula>Table1[[#This Row],[Capacity (MW)]]*8760*0.72*10^-6</calculatedColumnFormula>
    </tableColumn>
    <tableColumn id="11" xr3:uid="{21459E18-6736-4DEA-B3D8-715FEF97966B}" name="Emission Factor (kg CO2/ mmBtu)" dataDxfId="3">
      <calculatedColumnFormula array="1">AVERAGE(VLOOKUP(_xlfn.TEXTSPLIT(Table1[[#This Row],[Fuel (no space after comma)]], ","), FuelList_Final_EF!$A$2:$B$32, 2, FALSE))</calculatedColumnFormula>
    </tableColumn>
    <tableColumn id="12" xr3:uid="{A6F7BBD1-9D63-4BB0-AED8-B9C1F71DCEFF}" name="Fuel Consumption (mmBtu)" dataDxfId="2">
      <calculatedColumnFormula>(16112*Table1[[#This Row],[Generation (TWh)]]*10^9)/10^6</calculatedColumnFormula>
    </tableColumn>
    <tableColumn id="13" xr3:uid="{6B4E2BAD-4FF5-491A-9280-C858187FED16}" name="CO2 Emissions (g CO2)" dataDxfId="1">
      <calculatedColumnFormula>Table1[[#This Row],[Emission Factor (kg CO2/ mmBtu)]]*Table1[[#This Row],[Fuel Consumption (mmBtu)]]*10^3</calculatedColumnFormula>
    </tableColumn>
    <tableColumn id="14" xr3:uid="{0551EB7D-8D88-40B5-9D43-FDBC86ADC467}" name="Carbon Intensity (g CO2/ kWh)" dataDxfId="0">
      <calculatedColumnFormula>(Table1[[#This Row],[CO2 Emissions (g CO2)]])/(Table1[[#This Row],[Generation (TWh)]]*10^9)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pa.gov/system/files/documents/2025-01/ghg-emission-factors-hub-2025.pdf" TargetMode="External"/><Relationship Id="rId13" Type="http://schemas.openxmlformats.org/officeDocument/2006/relationships/hyperlink" Target="https://www.ipcc-nggip.iges.or.jp/public/2006gl/pdf/2_Volume2/V2_2_Ch2_Stationary_Combustion.pdf" TargetMode="External"/><Relationship Id="rId18" Type="http://schemas.openxmlformats.org/officeDocument/2006/relationships/hyperlink" Target="https://www.ipcc-nggip.iges.or.jp/public/2006gl/pdf/2_Volume2/V2_2_Ch2_Stationary_Combustion.pdf" TargetMode="External"/><Relationship Id="rId3" Type="http://schemas.openxmlformats.org/officeDocument/2006/relationships/hyperlink" Target="https://www.epa.gov/system/files/documents/2025-01/ghg-emission-factors-hub-2025.pdf" TargetMode="External"/><Relationship Id="rId21" Type="http://schemas.openxmlformats.org/officeDocument/2006/relationships/hyperlink" Target="https://www.ipcc-nggip.iges.or.jp/public/2006gl/pdf/2_Volume2/V2_2_Ch2_Stationary_Combustion.pdf" TargetMode="External"/><Relationship Id="rId7" Type="http://schemas.openxmlformats.org/officeDocument/2006/relationships/hyperlink" Target="https://www.ipcc-nggip.iges.or.jp/public/2006gl/pdf/2_Volume2/V2_2_Ch2_Stationary_Combustion.pdf" TargetMode="External"/><Relationship Id="rId12" Type="http://schemas.openxmlformats.org/officeDocument/2006/relationships/hyperlink" Target="https://www.epa.gov/system/files/documents/2025-01/ghg-emission-factors-hub-2025.pdf" TargetMode="External"/><Relationship Id="rId17" Type="http://schemas.openxmlformats.org/officeDocument/2006/relationships/hyperlink" Target="https://www.ipcc-nggip.iges.or.jp/public/2006gl/pdf/2_Volume2/V2_2_Ch2_Stationary_Combustion.pdf" TargetMode="External"/><Relationship Id="rId2" Type="http://schemas.openxmlformats.org/officeDocument/2006/relationships/hyperlink" Target="https://www.epa.gov/system/files/documents/2025-01/ghg-emission-factors-hub-2025.pdf" TargetMode="External"/><Relationship Id="rId16" Type="http://schemas.openxmlformats.org/officeDocument/2006/relationships/hyperlink" Target="https://www.epa.gov/system/files/documents/2025-01/ghg-emission-factors-hub-2025.pdf" TargetMode="External"/><Relationship Id="rId20" Type="http://schemas.openxmlformats.org/officeDocument/2006/relationships/hyperlink" Target="https://www.ipcc-nggip.iges.or.jp/public/2006gl/pdf/2_Volume2/V2_2_Ch2_Stationary_Combustion.pdf" TargetMode="External"/><Relationship Id="rId1" Type="http://schemas.openxmlformats.org/officeDocument/2006/relationships/hyperlink" Target="https://www.ipcc-nggip.iges.or.jp/public/2006gl/pdf/2_Volume2/V2_2_Ch2_Stationary_Combustion.pdf" TargetMode="External"/><Relationship Id="rId6" Type="http://schemas.openxmlformats.org/officeDocument/2006/relationships/hyperlink" Target="https://www.epa.gov/system/files/documents/2025-01/ghg-emission-factors-hub-2025.pdf" TargetMode="External"/><Relationship Id="rId11" Type="http://schemas.openxmlformats.org/officeDocument/2006/relationships/hyperlink" Target="https://www.ipcc-nggip.iges.or.jp/public/2006gl/pdf/2_Volume2/V2_2_Ch2_Stationary_Combustion.pdf" TargetMode="External"/><Relationship Id="rId24" Type="http://schemas.openxmlformats.org/officeDocument/2006/relationships/hyperlink" Target="https://www.sciencedirect.com/topics/engineering/specific-emission-factor" TargetMode="External"/><Relationship Id="rId5" Type="http://schemas.openxmlformats.org/officeDocument/2006/relationships/hyperlink" Target="https://www.epa.gov/system/files/documents/2025-01/ghg-emission-factors-hub-2025.pdf" TargetMode="External"/><Relationship Id="rId15" Type="http://schemas.openxmlformats.org/officeDocument/2006/relationships/hyperlink" Target="https://www.epa.gov/system/files/documents/2025-01/ghg-emission-factors-hub-2025.pdf" TargetMode="External"/><Relationship Id="rId23" Type="http://schemas.openxmlformats.org/officeDocument/2006/relationships/hyperlink" Target="https://www.volker-quaschning.de/datserv/CO2-spez/index_e.php" TargetMode="External"/><Relationship Id="rId10" Type="http://schemas.openxmlformats.org/officeDocument/2006/relationships/hyperlink" Target="https://www.ipcc-nggip.iges.or.jp/public/2006gl/pdf/2_Volume2/V2_2_Ch2_Stationary_Combustion.pdf" TargetMode="External"/><Relationship Id="rId19" Type="http://schemas.openxmlformats.org/officeDocument/2006/relationships/hyperlink" Target="https://www.ipcc-nggip.iges.or.jp/public/2006gl/pdf/2_Volume2/V2_2_Ch2_Stationary_Combustion.pdf" TargetMode="External"/><Relationship Id="rId4" Type="http://schemas.openxmlformats.org/officeDocument/2006/relationships/hyperlink" Target="https://www.ipcc-nggip.iges.or.jp/public/2006gl/pdf/2_Volume2/V2_2_Ch2_Stationary_Combustion.pdf" TargetMode="External"/><Relationship Id="rId9" Type="http://schemas.openxmlformats.org/officeDocument/2006/relationships/hyperlink" Target="https://www.ipcc-nggip.iges.or.jp/public/2006gl/pdf/2_Volume2/V2_2_Ch2_Stationary_Combustion.pdf" TargetMode="External"/><Relationship Id="rId14" Type="http://schemas.openxmlformats.org/officeDocument/2006/relationships/hyperlink" Target="https://www.ipcc-nggip.iges.or.jp/public/2006gl/pdf/2_Volume2/V2_2_Ch2_Stationary_Combustion.pdf" TargetMode="External"/><Relationship Id="rId22" Type="http://schemas.openxmlformats.org/officeDocument/2006/relationships/hyperlink" Target="https://www.ipcc-nggip.iges.or.jp/public/2006gl/pdf/2_Volume2/V2_2_Ch2_Stationary_Combustion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837"/>
  <sheetViews>
    <sheetView tabSelected="1" topLeftCell="F1" workbookViewId="0">
      <selection activeCell="H1690" sqref="H1690"/>
    </sheetView>
  </sheetViews>
  <sheetFormatPr defaultRowHeight="14.45"/>
  <cols>
    <col min="1" max="1" width="21.42578125" customWidth="1"/>
    <col min="2" max="2" width="121" bestFit="1" customWidth="1"/>
    <col min="3" max="6" width="121" customWidth="1"/>
    <col min="7" max="7" width="18.7109375" customWidth="1"/>
    <col min="8" max="8" width="19.7109375" customWidth="1"/>
    <col min="9" max="9" width="11.140625" customWidth="1"/>
    <col min="10" max="10" width="13.140625" customWidth="1"/>
    <col min="11" max="11" width="9.7109375" customWidth="1"/>
    <col min="12" max="12" width="11.140625" customWidth="1"/>
    <col min="13" max="13" width="14.28515625" customWidth="1"/>
    <col min="14" max="14" width="20.5703125" bestFit="1" customWidth="1"/>
    <col min="15" max="15" width="33.85546875" bestFit="1" customWidth="1"/>
    <col min="16" max="16" width="28.7109375" bestFit="1" customWidth="1"/>
    <col min="17" max="17" width="25.140625" bestFit="1" customWidth="1"/>
    <col min="18" max="18" width="31.42578125" bestFit="1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20" hidden="1">
      <c r="A2" t="s">
        <v>18</v>
      </c>
      <c r="B2" t="s">
        <v>19</v>
      </c>
      <c r="C2" t="str">
        <f>SUBSTITUTE(Table1[[#This Row],[Fuel]],", ",",")</f>
        <v>bioenergy: refuse (municipal and industrial wastes)</v>
      </c>
      <c r="D2" t="s">
        <v>19</v>
      </c>
      <c r="G2">
        <v>44</v>
      </c>
      <c r="H2" t="s">
        <v>20</v>
      </c>
      <c r="I2">
        <v>2027</v>
      </c>
      <c r="J2" t="s">
        <v>21</v>
      </c>
      <c r="K2">
        <v>52.608600000000003</v>
      </c>
      <c r="L2">
        <v>-2.0103</v>
      </c>
      <c r="M2" t="s">
        <v>22</v>
      </c>
      <c r="N2" s="2">
        <f>Table1[[#This Row],[Capacity (MW)]]*8760*0.72*10^-6</f>
        <v>0.27751679999999995</v>
      </c>
      <c r="O2" s="2" cm="1">
        <f t="array" ref="O2">AVERAGE(VLOOKUP(_xlfn.TEXTSPLIT(Table1[[#This Row],[Fuel (no space after comma)]], ","), FuelList_Final_EF!$A$2:$B$32, 2, FALSE))</f>
        <v>105.42962572482868</v>
      </c>
      <c r="P2" s="2">
        <f>(16112*Table1[[#This Row],[Generation (TWh)]]*10^9)/10^6</f>
        <v>4471350.6815999988</v>
      </c>
      <c r="Q2" s="2">
        <f>Table1[[#This Row],[Emission Factor (kg CO2/ mmBtu)]]*Table1[[#This Row],[Fuel Consumption (mmBtu)]]*10^3</f>
        <v>471412828845.54547</v>
      </c>
      <c r="R2" s="2">
        <f>(Table1[[#This Row],[CO2 Emissions (g CO2)]])/(Table1[[#This Row],[Generation (TWh)]]*10^9)</f>
        <v>1698.6821296784397</v>
      </c>
      <c r="T2">
        <f>AVERAGE(Table1[Carbon Intensity (g CO2/ kWh)])</f>
        <v>1682.2643939057659</v>
      </c>
    </row>
    <row r="3" spans="1:20" hidden="1">
      <c r="A3" t="s">
        <v>23</v>
      </c>
      <c r="B3" t="s">
        <v>24</v>
      </c>
      <c r="C3" t="str">
        <f>SUBSTITUTE(Table1[[#This Row],[Fuel]],", ",",")</f>
        <v>bioenergy: wood &amp; other biomass (solids),bioenergy: wood &amp; other biomass (syngas)</v>
      </c>
      <c r="D3" t="s">
        <v>25</v>
      </c>
      <c r="E3" t="s">
        <v>26</v>
      </c>
      <c r="G3">
        <v>260</v>
      </c>
      <c r="H3" t="s">
        <v>27</v>
      </c>
      <c r="I3">
        <v>2017</v>
      </c>
      <c r="J3" t="s">
        <v>21</v>
      </c>
      <c r="K3">
        <v>62.590800000000002</v>
      </c>
      <c r="L3">
        <v>25.752199999999998</v>
      </c>
      <c r="M3" t="s">
        <v>28</v>
      </c>
      <c r="N3" s="2">
        <f>Table1[[#This Row],[Capacity (MW)]]*8760*0.72*10^-6</f>
        <v>1.639872</v>
      </c>
      <c r="O3" s="2" cm="1">
        <f t="array" ref="O3">AVERAGE(VLOOKUP(_xlfn.TEXTSPLIT(Table1[[#This Row],[Fuel (no space after comma)]], ","), FuelList_Final_EF!$A$2:$B$32, 2, FALSE))</f>
        <v>70.30537691091196</v>
      </c>
      <c r="P3" s="2">
        <f>(16112*Table1[[#This Row],[Generation (TWh)]]*10^9)/10^6</f>
        <v>26421617.664000001</v>
      </c>
      <c r="Q3" s="2">
        <f>Table1[[#This Row],[Emission Factor (kg CO2/ mmBtu)]]*Table1[[#This Row],[Fuel Consumption (mmBtu)]]*10^3</f>
        <v>1857581788463.5293</v>
      </c>
      <c r="R3" s="2">
        <f>(Table1[[#This Row],[CO2 Emissions (g CO2)]])/(Table1[[#This Row],[Generation (TWh)]]*10^9)</f>
        <v>1132.7602327886136</v>
      </c>
    </row>
    <row r="4" spans="1:20" hidden="1">
      <c r="A4" t="s">
        <v>29</v>
      </c>
      <c r="B4" t="s">
        <v>19</v>
      </c>
      <c r="C4" t="str">
        <f>SUBSTITUTE(Table1[[#This Row],[Fuel]],", ",",")</f>
        <v>bioenergy: refuse (municipal and industrial wastes)</v>
      </c>
      <c r="D4" t="s">
        <v>19</v>
      </c>
      <c r="G4">
        <v>30</v>
      </c>
      <c r="H4" t="s">
        <v>20</v>
      </c>
      <c r="I4">
        <v>2026</v>
      </c>
      <c r="J4" t="s">
        <v>21</v>
      </c>
      <c r="K4">
        <v>30.042121999999999</v>
      </c>
      <c r="L4">
        <v>31.095022</v>
      </c>
      <c r="M4" t="s">
        <v>30</v>
      </c>
      <c r="N4" s="2">
        <f>Table1[[#This Row],[Capacity (MW)]]*8760*0.72*10^-6</f>
        <v>0.189216</v>
      </c>
      <c r="O4" s="2" cm="1">
        <f t="array" ref="O4">AVERAGE(VLOOKUP(_xlfn.TEXTSPLIT(Table1[[#This Row],[Fuel (no space after comma)]], ","), FuelList_Final_EF!$A$2:$B$32, 2, FALSE))</f>
        <v>105.42962572482868</v>
      </c>
      <c r="P4" s="2">
        <f>(16112*Table1[[#This Row],[Generation (TWh)]]*10^9)/10^6</f>
        <v>3048648.1919999998</v>
      </c>
      <c r="Q4" s="2">
        <f>Table1[[#This Row],[Emission Factor (kg CO2/ mmBtu)]]*Table1[[#This Row],[Fuel Consumption (mmBtu)]]*10^3</f>
        <v>321417837849.23566</v>
      </c>
      <c r="R4" s="2">
        <f>(Table1[[#This Row],[CO2 Emissions (g CO2)]])/(Table1[[#This Row],[Generation (TWh)]]*10^9)</f>
        <v>1698.6821296784397</v>
      </c>
    </row>
    <row r="5" spans="1:20" hidden="1">
      <c r="A5" t="s">
        <v>31</v>
      </c>
      <c r="B5" t="s">
        <v>32</v>
      </c>
      <c r="C5" t="str">
        <f>SUBSTITUTE(Table1[[#This Row],[Fuel]],", ",",")</f>
        <v>bioenergy: wood &amp; other biomass (solids),fossil liquids: waste/other oil</v>
      </c>
      <c r="D5" t="s">
        <v>25</v>
      </c>
      <c r="E5" t="s">
        <v>33</v>
      </c>
      <c r="G5">
        <v>100</v>
      </c>
      <c r="H5" t="s">
        <v>27</v>
      </c>
      <c r="I5">
        <v>1974</v>
      </c>
      <c r="J5" t="s">
        <v>21</v>
      </c>
      <c r="K5">
        <v>59.264899999999997</v>
      </c>
      <c r="L5">
        <v>15.177199999999999</v>
      </c>
      <c r="M5" t="s">
        <v>34</v>
      </c>
      <c r="N5" s="2">
        <f>Table1[[#This Row],[Capacity (MW)]]*8760*0.72*10^-6</f>
        <v>0.63071999999999995</v>
      </c>
      <c r="O5" s="2" cm="1">
        <f t="array" ref="O5">AVERAGE(VLOOKUP(_xlfn.TEXTSPLIT(Table1[[#This Row],[Fuel (no space after comma)]], ","), FuelList_Final_EF!$A$2:$B$32, 2, FALSE))</f>
        <v>85.53995782814971</v>
      </c>
      <c r="P5" s="2">
        <f>(16112*Table1[[#This Row],[Generation (TWh)]]*10^9)/10^6</f>
        <v>10162160.640000001</v>
      </c>
      <c r="Q5" s="2">
        <f>Table1[[#This Row],[Emission Factor (kg CO2/ mmBtu)]]*Table1[[#This Row],[Fuel Consumption (mmBtu)]]*10^3</f>
        <v>869270792588.48303</v>
      </c>
      <c r="R5" s="2">
        <f>(Table1[[#This Row],[CO2 Emissions (g CO2)]])/(Table1[[#This Row],[Generation (TWh)]]*10^9)</f>
        <v>1378.2198005271484</v>
      </c>
    </row>
    <row r="6" spans="1:20" hidden="1">
      <c r="A6" t="s">
        <v>35</v>
      </c>
      <c r="B6" t="s">
        <v>36</v>
      </c>
      <c r="C6" t="str">
        <f>SUBSTITUTE(Table1[[#This Row],[Fuel]],", ",",")</f>
        <v>bioenergy: biodiesel</v>
      </c>
      <c r="D6" t="s">
        <v>36</v>
      </c>
      <c r="G6">
        <v>68</v>
      </c>
      <c r="H6" t="s">
        <v>27</v>
      </c>
      <c r="I6">
        <v>2008</v>
      </c>
      <c r="J6" t="s">
        <v>21</v>
      </c>
      <c r="K6">
        <v>40.974400000000003</v>
      </c>
      <c r="L6">
        <v>14.3766</v>
      </c>
      <c r="M6" t="s">
        <v>37</v>
      </c>
      <c r="N6" s="2">
        <f>Table1[[#This Row],[Capacity (MW)]]*8760*0.72*10^-6</f>
        <v>0.42888959999999998</v>
      </c>
      <c r="O6" s="2" cm="1">
        <f t="array" ref="O6">AVERAGE(VLOOKUP(_xlfn.TEXTSPLIT(Table1[[#This Row],[Fuel (no space after comma)]], ","), FuelList_Final_EF!$A$2:$B$32, 2, FALSE))</f>
        <v>73.84</v>
      </c>
      <c r="P6" s="2">
        <f>(16112*Table1[[#This Row],[Generation (TWh)]]*10^9)/10^6</f>
        <v>6910269.2351999991</v>
      </c>
      <c r="Q6" s="2">
        <f>Table1[[#This Row],[Emission Factor (kg CO2/ mmBtu)]]*Table1[[#This Row],[Fuel Consumption (mmBtu)]]*10^3</f>
        <v>510254280327.16791</v>
      </c>
      <c r="R6" s="2">
        <f>(Table1[[#This Row],[CO2 Emissions (g CO2)]])/(Table1[[#This Row],[Generation (TWh)]]*10^9)</f>
        <v>1189.7100799999998</v>
      </c>
    </row>
    <row r="7" spans="1:20" hidden="1">
      <c r="A7" t="s">
        <v>38</v>
      </c>
      <c r="B7" t="s">
        <v>19</v>
      </c>
      <c r="C7" t="str">
        <f>SUBSTITUTE(Table1[[#This Row],[Fuel]],", ",",")</f>
        <v>bioenergy: refuse (municipal and industrial wastes)</v>
      </c>
      <c r="D7" t="s">
        <v>19</v>
      </c>
      <c r="G7">
        <v>36</v>
      </c>
      <c r="H7" t="s">
        <v>27</v>
      </c>
      <c r="I7">
        <v>2009</v>
      </c>
      <c r="J7" t="s">
        <v>21</v>
      </c>
      <c r="K7">
        <v>40.979100000000003</v>
      </c>
      <c r="L7">
        <v>14.3828</v>
      </c>
      <c r="M7" t="s">
        <v>37</v>
      </c>
      <c r="N7" s="2">
        <f>Table1[[#This Row],[Capacity (MW)]]*8760*0.72*10^-6</f>
        <v>0.22705919999999996</v>
      </c>
      <c r="O7" s="2" cm="1">
        <f t="array" ref="O7">AVERAGE(VLOOKUP(_xlfn.TEXTSPLIT(Table1[[#This Row],[Fuel (no space after comma)]], ","), FuelList_Final_EF!$A$2:$B$32, 2, FALSE))</f>
        <v>105.42962572482868</v>
      </c>
      <c r="P7" s="2">
        <f>(16112*Table1[[#This Row],[Generation (TWh)]]*10^9)/10^6</f>
        <v>3658377.8303999994</v>
      </c>
      <c r="Q7" s="2">
        <f>Table1[[#This Row],[Emission Factor (kg CO2/ mmBtu)]]*Table1[[#This Row],[Fuel Consumption (mmBtu)]]*10^3</f>
        <v>385701405419.0827</v>
      </c>
      <c r="R7" s="2">
        <f>(Table1[[#This Row],[CO2 Emissions (g CO2)]])/(Table1[[#This Row],[Generation (TWh)]]*10^9)</f>
        <v>1698.6821296784397</v>
      </c>
    </row>
    <row r="8" spans="1:20" hidden="1">
      <c r="A8" t="s">
        <v>38</v>
      </c>
      <c r="B8" t="s">
        <v>19</v>
      </c>
      <c r="C8" t="str">
        <f>SUBSTITUTE(Table1[[#This Row],[Fuel]],", ",",")</f>
        <v>bioenergy: refuse (municipal and industrial wastes)</v>
      </c>
      <c r="D8" t="s">
        <v>19</v>
      </c>
      <c r="G8">
        <v>36</v>
      </c>
      <c r="H8" t="s">
        <v>27</v>
      </c>
      <c r="I8">
        <v>2009</v>
      </c>
      <c r="J8" t="s">
        <v>21</v>
      </c>
      <c r="K8">
        <v>40.979100000000003</v>
      </c>
      <c r="L8">
        <v>14.3828</v>
      </c>
      <c r="M8" t="s">
        <v>37</v>
      </c>
      <c r="N8" s="2">
        <f>Table1[[#This Row],[Capacity (MW)]]*8760*0.72*10^-6</f>
        <v>0.22705919999999996</v>
      </c>
      <c r="O8" s="2" cm="1">
        <f t="array" ref="O8">AVERAGE(VLOOKUP(_xlfn.TEXTSPLIT(Table1[[#This Row],[Fuel (no space after comma)]], ","), FuelList_Final_EF!$A$2:$B$32, 2, FALSE))</f>
        <v>105.42962572482868</v>
      </c>
      <c r="P8" s="2">
        <f>(16112*Table1[[#This Row],[Generation (TWh)]]*10^9)/10^6</f>
        <v>3658377.8303999994</v>
      </c>
      <c r="Q8" s="2">
        <f>Table1[[#This Row],[Emission Factor (kg CO2/ mmBtu)]]*Table1[[#This Row],[Fuel Consumption (mmBtu)]]*10^3</f>
        <v>385701405419.0827</v>
      </c>
      <c r="R8" s="2">
        <f>(Table1[[#This Row],[CO2 Emissions (g CO2)]])/(Table1[[#This Row],[Generation (TWh)]]*10^9)</f>
        <v>1698.6821296784397</v>
      </c>
    </row>
    <row r="9" spans="1:20" hidden="1">
      <c r="A9" t="s">
        <v>38</v>
      </c>
      <c r="B9" t="s">
        <v>19</v>
      </c>
      <c r="C9" t="str">
        <f>SUBSTITUTE(Table1[[#This Row],[Fuel]],", ",",")</f>
        <v>bioenergy: refuse (municipal and industrial wastes)</v>
      </c>
      <c r="D9" t="s">
        <v>19</v>
      </c>
      <c r="G9">
        <v>36</v>
      </c>
      <c r="H9" t="s">
        <v>27</v>
      </c>
      <c r="I9">
        <v>2009</v>
      </c>
      <c r="J9" t="s">
        <v>21</v>
      </c>
      <c r="K9">
        <v>40.979100000000003</v>
      </c>
      <c r="L9">
        <v>14.3828</v>
      </c>
      <c r="M9" t="s">
        <v>37</v>
      </c>
      <c r="N9" s="2">
        <f>Table1[[#This Row],[Capacity (MW)]]*8760*0.72*10^-6</f>
        <v>0.22705919999999996</v>
      </c>
      <c r="O9" s="2" cm="1">
        <f t="array" ref="O9">AVERAGE(VLOOKUP(_xlfn.TEXTSPLIT(Table1[[#This Row],[Fuel (no space after comma)]], ","), FuelList_Final_EF!$A$2:$B$32, 2, FALSE))</f>
        <v>105.42962572482868</v>
      </c>
      <c r="P9" s="2">
        <f>(16112*Table1[[#This Row],[Generation (TWh)]]*10^9)/10^6</f>
        <v>3658377.8303999994</v>
      </c>
      <c r="Q9" s="2">
        <f>Table1[[#This Row],[Emission Factor (kg CO2/ mmBtu)]]*Table1[[#This Row],[Fuel Consumption (mmBtu)]]*10^3</f>
        <v>385701405419.0827</v>
      </c>
      <c r="R9" s="2">
        <f>(Table1[[#This Row],[CO2 Emissions (g CO2)]])/(Table1[[#This Row],[Generation (TWh)]]*10^9)</f>
        <v>1698.6821296784397</v>
      </c>
    </row>
    <row r="10" spans="1:20" hidden="1">
      <c r="A10" t="s">
        <v>21</v>
      </c>
      <c r="B10" t="s">
        <v>19</v>
      </c>
      <c r="C10" t="str">
        <f>SUBSTITUTE(Table1[[#This Row],[Fuel]],", ",",")</f>
        <v>bioenergy: refuse (municipal and industrial wastes)</v>
      </c>
      <c r="D10" t="s">
        <v>19</v>
      </c>
      <c r="G10">
        <v>125</v>
      </c>
      <c r="H10" t="s">
        <v>27</v>
      </c>
      <c r="I10">
        <v>1997</v>
      </c>
      <c r="J10" t="s">
        <v>21</v>
      </c>
      <c r="K10">
        <v>51.683</v>
      </c>
      <c r="L10">
        <v>4.5804999999999998</v>
      </c>
      <c r="M10" t="s">
        <v>39</v>
      </c>
      <c r="N10" s="2">
        <f>Table1[[#This Row],[Capacity (MW)]]*8760*0.72*10^-6</f>
        <v>0.78839999999999999</v>
      </c>
      <c r="O10" s="2" cm="1">
        <f t="array" ref="O10">AVERAGE(VLOOKUP(_xlfn.TEXTSPLIT(Table1[[#This Row],[Fuel (no space after comma)]], ","), FuelList_Final_EF!$A$2:$B$32, 2, FALSE))</f>
        <v>105.42962572482868</v>
      </c>
      <c r="P10" s="2">
        <f>(16112*Table1[[#This Row],[Generation (TWh)]]*10^9)/10^6</f>
        <v>12702700.800000001</v>
      </c>
      <c r="Q10" s="2">
        <f>Table1[[#This Row],[Emission Factor (kg CO2/ mmBtu)]]*Table1[[#This Row],[Fuel Consumption (mmBtu)]]*10^3</f>
        <v>1339240991038.4819</v>
      </c>
      <c r="R10" s="2">
        <f>(Table1[[#This Row],[CO2 Emissions (g CO2)]])/(Table1[[#This Row],[Generation (TWh)]]*10^9)</f>
        <v>1698.6821296784399</v>
      </c>
    </row>
    <row r="11" spans="1:20" hidden="1">
      <c r="A11" t="s">
        <v>40</v>
      </c>
      <c r="B11" t="s">
        <v>41</v>
      </c>
      <c r="C11" t="str">
        <f>SUBSTITUTE(Table1[[#This Row],[Fuel]],", ",",")</f>
        <v>bioenergy: refuse (municipal and industrial wastes),bioenergy: wastewater and sewage sludge (solids or biogas)</v>
      </c>
      <c r="D11" t="s">
        <v>19</v>
      </c>
      <c r="E11" t="s">
        <v>42</v>
      </c>
      <c r="G11">
        <v>39</v>
      </c>
      <c r="H11" t="s">
        <v>27</v>
      </c>
      <c r="I11">
        <v>1993</v>
      </c>
      <c r="J11" t="s">
        <v>21</v>
      </c>
      <c r="K11">
        <v>52.4011</v>
      </c>
      <c r="L11">
        <v>4.7934999999999999</v>
      </c>
      <c r="M11" t="s">
        <v>39</v>
      </c>
      <c r="N11" s="2">
        <f>Table1[[#This Row],[Capacity (MW)]]*8760*0.72*10^-6</f>
        <v>0.24598079999999997</v>
      </c>
      <c r="O11" s="2" cm="1">
        <f t="array" ref="O11">AVERAGE(VLOOKUP(_xlfn.TEXTSPLIT(Table1[[#This Row],[Fuel (no space after comma)]], ","), FuelList_Final_EF!$A$2:$B$32, 2, FALSE))</f>
        <v>81.497100685292565</v>
      </c>
      <c r="P11" s="2">
        <f>(16112*Table1[[#This Row],[Generation (TWh)]]*10^9)/10^6</f>
        <v>3963242.6495999997</v>
      </c>
      <c r="Q11" s="2">
        <f>Table1[[#This Row],[Emission Factor (kg CO2/ mmBtu)]]*Table1[[#This Row],[Fuel Consumption (mmBtu)]]*10^3</f>
        <v>322992785254.69684</v>
      </c>
      <c r="R11" s="2">
        <f>(Table1[[#This Row],[CO2 Emissions (g CO2)]])/(Table1[[#This Row],[Generation (TWh)]]*10^9)</f>
        <v>1313.0812862414339</v>
      </c>
    </row>
    <row r="12" spans="1:20" hidden="1">
      <c r="A12" t="s">
        <v>40</v>
      </c>
      <c r="B12" t="s">
        <v>41</v>
      </c>
      <c r="C12" t="str">
        <f>SUBSTITUTE(Table1[[#This Row],[Fuel]],", ",",")</f>
        <v>bioenergy: refuse (municipal and industrial wastes),bioenergy: wastewater and sewage sludge (solids or biogas)</v>
      </c>
      <c r="D12" t="s">
        <v>19</v>
      </c>
      <c r="E12" t="s">
        <v>42</v>
      </c>
      <c r="G12">
        <v>72</v>
      </c>
      <c r="H12" t="s">
        <v>27</v>
      </c>
      <c r="I12">
        <v>2007</v>
      </c>
      <c r="J12" t="s">
        <v>21</v>
      </c>
      <c r="K12">
        <v>52.4011</v>
      </c>
      <c r="L12">
        <v>4.7934999999999999</v>
      </c>
      <c r="M12" t="s">
        <v>39</v>
      </c>
      <c r="N12" s="2">
        <f>Table1[[#This Row],[Capacity (MW)]]*8760*0.72*10^-6</f>
        <v>0.45411839999999992</v>
      </c>
      <c r="O12" s="2" cm="1">
        <f t="array" ref="O12">AVERAGE(VLOOKUP(_xlfn.TEXTSPLIT(Table1[[#This Row],[Fuel (no space after comma)]], ","), FuelList_Final_EF!$A$2:$B$32, 2, FALSE))</f>
        <v>81.497100685292565</v>
      </c>
      <c r="P12" s="2">
        <f>(16112*Table1[[#This Row],[Generation (TWh)]]*10^9)/10^6</f>
        <v>7316755.6607999988</v>
      </c>
      <c r="Q12" s="2">
        <f>Table1[[#This Row],[Emission Factor (kg CO2/ mmBtu)]]*Table1[[#This Row],[Fuel Consumption (mmBtu)]]*10^3</f>
        <v>596294372777.90186</v>
      </c>
      <c r="R12" s="2">
        <f>(Table1[[#This Row],[CO2 Emissions (g CO2)]])/(Table1[[#This Row],[Generation (TWh)]]*10^9)</f>
        <v>1313.0812862414339</v>
      </c>
    </row>
    <row r="13" spans="1:20" hidden="1">
      <c r="A13" t="s">
        <v>21</v>
      </c>
      <c r="B13" t="s">
        <v>43</v>
      </c>
      <c r="C13" t="str">
        <f>SUBSTITUTE(Table1[[#This Row],[Fuel]],", ",",")</f>
        <v>bioenergy: agricultural waste (biogas)</v>
      </c>
      <c r="D13" t="s">
        <v>43</v>
      </c>
      <c r="G13">
        <v>1058</v>
      </c>
      <c r="H13" t="s">
        <v>27</v>
      </c>
      <c r="I13">
        <v>2017</v>
      </c>
      <c r="J13" t="s">
        <v>21</v>
      </c>
      <c r="K13">
        <v>-2.7164999999999999</v>
      </c>
      <c r="L13">
        <v>101.3702</v>
      </c>
      <c r="M13" t="s">
        <v>44</v>
      </c>
      <c r="N13" s="2">
        <f>Table1[[#This Row],[Capacity (MW)]]*8760*0.72*10^-6</f>
        <v>6.6730175999999997</v>
      </c>
      <c r="O13" s="2" cm="1">
        <f t="array" ref="O13">AVERAGE(VLOOKUP(_xlfn.TEXTSPLIT(Table1[[#This Row],[Fuel (no space after comma)]], ","), FuelList_Final_EF!$A$2:$B$32, 2, FALSE))</f>
        <v>52.07</v>
      </c>
      <c r="P13" s="2">
        <f>(16112*Table1[[#This Row],[Generation (TWh)]]*10^9)/10^6</f>
        <v>107515659.5712</v>
      </c>
      <c r="Q13" s="2">
        <f>Table1[[#This Row],[Emission Factor (kg CO2/ mmBtu)]]*Table1[[#This Row],[Fuel Consumption (mmBtu)]]*10^3</f>
        <v>5598340393872.3838</v>
      </c>
      <c r="R13" s="2">
        <f>(Table1[[#This Row],[CO2 Emissions (g CO2)]])/(Table1[[#This Row],[Generation (TWh)]]*10^9)</f>
        <v>838.95183999999995</v>
      </c>
    </row>
    <row r="14" spans="1:20" hidden="1">
      <c r="A14" t="s">
        <v>45</v>
      </c>
      <c r="B14" t="s">
        <v>46</v>
      </c>
      <c r="C14" t="str">
        <f>SUBSTITUTE(Table1[[#This Row],[Fuel]],", ",",")</f>
        <v>bioenergy: agricultural waste (solids)</v>
      </c>
      <c r="D14" t="s">
        <v>46</v>
      </c>
      <c r="G14">
        <v>38</v>
      </c>
      <c r="H14" t="s">
        <v>27</v>
      </c>
      <c r="I14">
        <v>2012</v>
      </c>
      <c r="J14" t="s">
        <v>21</v>
      </c>
      <c r="K14">
        <v>-4.9279000000000002</v>
      </c>
      <c r="L14">
        <v>-80.849100000000007</v>
      </c>
      <c r="M14" t="s">
        <v>47</v>
      </c>
      <c r="N14" s="2">
        <f>Table1[[#This Row],[Capacity (MW)]]*8760*0.72*10^-6</f>
        <v>0.23967359999999996</v>
      </c>
      <c r="O14" s="2" cm="1">
        <f t="array" ref="O14">AVERAGE(VLOOKUP(_xlfn.TEXTSPLIT(Table1[[#This Row],[Fuel (no space after comma)]], ","), FuelList_Final_EF!$A$2:$B$32, 2, FALSE))</f>
        <v>118.17</v>
      </c>
      <c r="P14" s="2">
        <f>(16112*Table1[[#This Row],[Generation (TWh)]]*10^9)/10^6</f>
        <v>3861621.0431999997</v>
      </c>
      <c r="Q14" s="2">
        <f>Table1[[#This Row],[Emission Factor (kg CO2/ mmBtu)]]*Table1[[#This Row],[Fuel Consumption (mmBtu)]]*10^3</f>
        <v>456327758674.94397</v>
      </c>
      <c r="R14" s="2">
        <f>(Table1[[#This Row],[CO2 Emissions (g CO2)]])/(Table1[[#This Row],[Generation (TWh)]]*10^9)</f>
        <v>1903.9550400000001</v>
      </c>
    </row>
    <row r="15" spans="1:20" hidden="1">
      <c r="A15" t="s">
        <v>48</v>
      </c>
      <c r="B15" t="s">
        <v>46</v>
      </c>
      <c r="C15" t="str">
        <f>SUBSTITUTE(Table1[[#This Row],[Fuel]],", ",",")</f>
        <v>bioenergy: agricultural waste (solids)</v>
      </c>
      <c r="D15" t="s">
        <v>46</v>
      </c>
      <c r="G15">
        <v>52</v>
      </c>
      <c r="H15" t="s">
        <v>27</v>
      </c>
      <c r="I15">
        <v>2016</v>
      </c>
      <c r="J15" t="s">
        <v>21</v>
      </c>
      <c r="K15">
        <v>-19.2517</v>
      </c>
      <c r="L15">
        <v>-44.984999999999999</v>
      </c>
      <c r="M15" t="s">
        <v>49</v>
      </c>
      <c r="N15" s="2">
        <f>Table1[[#This Row],[Capacity (MW)]]*8760*0.72*10^-6</f>
        <v>0.32797439999999994</v>
      </c>
      <c r="O15" s="2" cm="1">
        <f t="array" ref="O15">AVERAGE(VLOOKUP(_xlfn.TEXTSPLIT(Table1[[#This Row],[Fuel (no space after comma)]], ","), FuelList_Final_EF!$A$2:$B$32, 2, FALSE))</f>
        <v>118.17</v>
      </c>
      <c r="P15" s="2">
        <f>(16112*Table1[[#This Row],[Generation (TWh)]]*10^9)/10^6</f>
        <v>5284323.5327999992</v>
      </c>
      <c r="Q15" s="2">
        <f>Table1[[#This Row],[Emission Factor (kg CO2/ mmBtu)]]*Table1[[#This Row],[Fuel Consumption (mmBtu)]]*10^3</f>
        <v>624448511870.97595</v>
      </c>
      <c r="R15" s="2">
        <f>(Table1[[#This Row],[CO2 Emissions (g CO2)]])/(Table1[[#This Row],[Generation (TWh)]]*10^9)</f>
        <v>1903.9550400000003</v>
      </c>
    </row>
    <row r="16" spans="1:20" hidden="1">
      <c r="A16" t="s">
        <v>50</v>
      </c>
      <c r="B16" t="s">
        <v>25</v>
      </c>
      <c r="C16" t="str">
        <f>SUBSTITUTE(Table1[[#This Row],[Fuel]],", ",",")</f>
        <v>bioenergy: wood &amp; other biomass (solids)</v>
      </c>
      <c r="D16" t="s">
        <v>25</v>
      </c>
      <c r="G16">
        <v>50</v>
      </c>
      <c r="H16" t="s">
        <v>27</v>
      </c>
      <c r="I16">
        <v>2023</v>
      </c>
      <c r="J16" t="s">
        <v>21</v>
      </c>
      <c r="K16">
        <v>34.805199999999999</v>
      </c>
      <c r="L16">
        <v>137.208</v>
      </c>
      <c r="M16" t="s">
        <v>51</v>
      </c>
      <c r="N16" s="2">
        <f>Table1[[#This Row],[Capacity (MW)]]*8760*0.72*10^-6</f>
        <v>0.31535999999999997</v>
      </c>
      <c r="O16" s="2" cm="1">
        <f t="array" ref="O16">AVERAGE(VLOOKUP(_xlfn.TEXTSPLIT(Table1[[#This Row],[Fuel (no space after comma)]], ","), FuelList_Final_EF!$A$2:$B$32, 2, FALSE))</f>
        <v>93.8</v>
      </c>
      <c r="P16" s="2">
        <f>(16112*Table1[[#This Row],[Generation (TWh)]]*10^9)/10^6</f>
        <v>5081080.32</v>
      </c>
      <c r="Q16" s="2">
        <f>Table1[[#This Row],[Emission Factor (kg CO2/ mmBtu)]]*Table1[[#This Row],[Fuel Consumption (mmBtu)]]*10^3</f>
        <v>476605334016.00006</v>
      </c>
      <c r="R16" s="2">
        <f>(Table1[[#This Row],[CO2 Emissions (g CO2)]])/(Table1[[#This Row],[Generation (TWh)]]*10^9)</f>
        <v>1511.3056000000001</v>
      </c>
    </row>
    <row r="17" spans="1:18" hidden="1">
      <c r="A17" t="s">
        <v>52</v>
      </c>
      <c r="B17" t="s">
        <v>25</v>
      </c>
      <c r="C17" t="str">
        <f>SUBSTITUTE(Table1[[#This Row],[Fuel]],", ",",")</f>
        <v>bioenergy: wood &amp; other biomass (solids)</v>
      </c>
      <c r="D17" t="s">
        <v>25</v>
      </c>
      <c r="G17">
        <v>18.75</v>
      </c>
      <c r="H17" t="s">
        <v>53</v>
      </c>
      <c r="I17">
        <v>2024</v>
      </c>
      <c r="J17" t="s">
        <v>21</v>
      </c>
      <c r="K17">
        <v>34.700400000000002</v>
      </c>
      <c r="L17">
        <v>137.249</v>
      </c>
      <c r="M17" t="s">
        <v>51</v>
      </c>
      <c r="N17" s="2">
        <f>Table1[[#This Row],[Capacity (MW)]]*8760*0.72*10^-6</f>
        <v>0.11825999999999999</v>
      </c>
      <c r="O17" s="2" cm="1">
        <f t="array" ref="O17">AVERAGE(VLOOKUP(_xlfn.TEXTSPLIT(Table1[[#This Row],[Fuel (no space after comma)]], ","), FuelList_Final_EF!$A$2:$B$32, 2, FALSE))</f>
        <v>93.8</v>
      </c>
      <c r="P17" s="2">
        <f>(16112*Table1[[#This Row],[Generation (TWh)]]*10^9)/10^6</f>
        <v>1905405.12</v>
      </c>
      <c r="Q17" s="2">
        <f>Table1[[#This Row],[Emission Factor (kg CO2/ mmBtu)]]*Table1[[#This Row],[Fuel Consumption (mmBtu)]]*10^3</f>
        <v>178727000256</v>
      </c>
      <c r="R17" s="2">
        <f>(Table1[[#This Row],[CO2 Emissions (g CO2)]])/(Table1[[#This Row],[Generation (TWh)]]*10^9)</f>
        <v>1511.3056000000001</v>
      </c>
    </row>
    <row r="18" spans="1:18" hidden="1">
      <c r="A18" t="s">
        <v>54</v>
      </c>
      <c r="B18" t="s">
        <v>25</v>
      </c>
      <c r="C18" t="str">
        <f>SUBSTITUTE(Table1[[#This Row],[Fuel]],", ",",")</f>
        <v>bioenergy: wood &amp; other biomass (solids)</v>
      </c>
      <c r="D18" t="s">
        <v>25</v>
      </c>
      <c r="G18">
        <v>56.25</v>
      </c>
      <c r="H18" t="s">
        <v>53</v>
      </c>
      <c r="I18">
        <v>2024</v>
      </c>
      <c r="J18" t="s">
        <v>21</v>
      </c>
      <c r="K18">
        <v>34.700400000000002</v>
      </c>
      <c r="L18">
        <v>137.249</v>
      </c>
      <c r="M18" t="s">
        <v>51</v>
      </c>
      <c r="N18" s="2">
        <f>Table1[[#This Row],[Capacity (MW)]]*8760*0.72*10^-6</f>
        <v>0.35477999999999998</v>
      </c>
      <c r="O18" s="2" cm="1">
        <f t="array" ref="O18">AVERAGE(VLOOKUP(_xlfn.TEXTSPLIT(Table1[[#This Row],[Fuel (no space after comma)]], ","), FuelList_Final_EF!$A$2:$B$32, 2, FALSE))</f>
        <v>93.8</v>
      </c>
      <c r="P18" s="2">
        <f>(16112*Table1[[#This Row],[Generation (TWh)]]*10^9)/10^6</f>
        <v>5716215.3600000003</v>
      </c>
      <c r="Q18" s="2">
        <f>Table1[[#This Row],[Emission Factor (kg CO2/ mmBtu)]]*Table1[[#This Row],[Fuel Consumption (mmBtu)]]*10^3</f>
        <v>536181000768</v>
      </c>
      <c r="R18" s="2">
        <f>(Table1[[#This Row],[CO2 Emissions (g CO2)]])/(Table1[[#This Row],[Generation (TWh)]]*10^9)</f>
        <v>1511.3055999999999</v>
      </c>
    </row>
    <row r="19" spans="1:18" hidden="1">
      <c r="A19" t="s">
        <v>55</v>
      </c>
      <c r="B19" t="s">
        <v>25</v>
      </c>
      <c r="C19" t="str">
        <f>SUBSTITUTE(Table1[[#This Row],[Fuel]],", ",",")</f>
        <v>bioenergy: wood &amp; other biomass (solids)</v>
      </c>
      <c r="D19" t="s">
        <v>25</v>
      </c>
      <c r="G19">
        <v>200</v>
      </c>
      <c r="H19" t="s">
        <v>27</v>
      </c>
      <c r="I19">
        <v>1982</v>
      </c>
      <c r="J19" t="s">
        <v>21</v>
      </c>
      <c r="K19">
        <v>34.774808999999998</v>
      </c>
      <c r="L19">
        <v>134.457246</v>
      </c>
      <c r="M19" t="s">
        <v>51</v>
      </c>
      <c r="N19" s="2">
        <f>Table1[[#This Row],[Capacity (MW)]]*8760*0.72*10^-6</f>
        <v>1.2614399999999999</v>
      </c>
      <c r="O19" s="2" cm="1">
        <f t="array" ref="O19">AVERAGE(VLOOKUP(_xlfn.TEXTSPLIT(Table1[[#This Row],[Fuel (no space after comma)]], ","), FuelList_Final_EF!$A$2:$B$32, 2, FALSE))</f>
        <v>93.8</v>
      </c>
      <c r="P19" s="2">
        <f>(16112*Table1[[#This Row],[Generation (TWh)]]*10^9)/10^6</f>
        <v>20324321.280000001</v>
      </c>
      <c r="Q19" s="2">
        <f>Table1[[#This Row],[Emission Factor (kg CO2/ mmBtu)]]*Table1[[#This Row],[Fuel Consumption (mmBtu)]]*10^3</f>
        <v>1906421336064.0002</v>
      </c>
      <c r="R19" s="2">
        <f>(Table1[[#This Row],[CO2 Emissions (g CO2)]])/(Table1[[#This Row],[Generation (TWh)]]*10^9)</f>
        <v>1511.3056000000001</v>
      </c>
    </row>
    <row r="20" spans="1:18" hidden="1">
      <c r="A20" t="s">
        <v>56</v>
      </c>
      <c r="B20" t="s">
        <v>19</v>
      </c>
      <c r="C20" t="str">
        <f>SUBSTITUTE(Table1[[#This Row],[Fuel]],", ",",")</f>
        <v>bioenergy: refuse (municipal and industrial wastes)</v>
      </c>
      <c r="D20" t="s">
        <v>19</v>
      </c>
      <c r="G20">
        <v>70</v>
      </c>
      <c r="H20" t="s">
        <v>53</v>
      </c>
      <c r="I20">
        <v>2024</v>
      </c>
      <c r="J20" t="s">
        <v>21</v>
      </c>
      <c r="K20">
        <v>55.676358399999998</v>
      </c>
      <c r="L20">
        <v>38.241704900000002</v>
      </c>
      <c r="M20" t="s">
        <v>57</v>
      </c>
      <c r="N20" s="2">
        <f>Table1[[#This Row],[Capacity (MW)]]*8760*0.72*10^-6</f>
        <v>0.44150400000000001</v>
      </c>
      <c r="O20" s="2" cm="1">
        <f t="array" ref="O20">AVERAGE(VLOOKUP(_xlfn.TEXTSPLIT(Table1[[#This Row],[Fuel (no space after comma)]], ","), FuelList_Final_EF!$A$2:$B$32, 2, FALSE))</f>
        <v>105.42962572482868</v>
      </c>
      <c r="P20" s="2">
        <f>(16112*Table1[[#This Row],[Generation (TWh)]]*10^9)/10^6</f>
        <v>7113512.4479999999</v>
      </c>
      <c r="Q20" s="2">
        <f>Table1[[#This Row],[Emission Factor (kg CO2/ mmBtu)]]*Table1[[#This Row],[Fuel Consumption (mmBtu)]]*10^3</f>
        <v>749974954981.5498</v>
      </c>
      <c r="R20" s="2">
        <f>(Table1[[#This Row],[CO2 Emissions (g CO2)]])/(Table1[[#This Row],[Generation (TWh)]]*10^9)</f>
        <v>1698.6821296784397</v>
      </c>
    </row>
    <row r="21" spans="1:18">
      <c r="A21" t="s">
        <v>54</v>
      </c>
      <c r="B21" t="s">
        <v>19</v>
      </c>
      <c r="C21" t="str">
        <f>SUBSTITUTE(Table1[[#This Row],[Fuel]],", ",",")</f>
        <v>bioenergy: refuse (municipal and industrial wastes)</v>
      </c>
      <c r="D21" t="s">
        <v>19</v>
      </c>
      <c r="G21">
        <v>80</v>
      </c>
      <c r="H21" t="s">
        <v>20</v>
      </c>
      <c r="I21" t="s">
        <v>21</v>
      </c>
      <c r="J21" t="s">
        <v>21</v>
      </c>
      <c r="K21">
        <v>24.029299999999999</v>
      </c>
      <c r="L21">
        <v>54.397300000000001</v>
      </c>
      <c r="M21" t="s">
        <v>58</v>
      </c>
      <c r="N21" s="2">
        <f>Table1[[#This Row],[Capacity (MW)]]*8760*0.72*10^-6</f>
        <v>0.50457600000000002</v>
      </c>
      <c r="O21" s="2" cm="1">
        <f t="array" ref="O21">AVERAGE(VLOOKUP(_xlfn.TEXTSPLIT(Table1[[#This Row],[Fuel (no space after comma)]], ","), FuelList_Final_EF!$A$2:$B$32, 2, FALSE))</f>
        <v>105.42962572482868</v>
      </c>
      <c r="P21" s="2">
        <f>(16112*Table1[[#This Row],[Generation (TWh)]]*10^9)/10^6</f>
        <v>8129728.512000001</v>
      </c>
      <c r="Q21" s="2">
        <f>Table1[[#This Row],[Emission Factor (kg CO2/ mmBtu)]]*Table1[[#This Row],[Fuel Consumption (mmBtu)]]*10^3</f>
        <v>857114234264.62854</v>
      </c>
      <c r="R21" s="2">
        <f>(Table1[[#This Row],[CO2 Emissions (g CO2)]])/(Table1[[#This Row],[Generation (TWh)]]*10^9)</f>
        <v>1698.6821296784401</v>
      </c>
    </row>
    <row r="22" spans="1:18" hidden="1">
      <c r="A22" t="s">
        <v>59</v>
      </c>
      <c r="B22" t="s">
        <v>60</v>
      </c>
      <c r="C22" t="str">
        <f>SUBSTITUTE(Table1[[#This Row],[Fuel]],", ",",")</f>
        <v>bioenergy: paper mill wastes,bioenergy: wood &amp; other biomass (solids)</v>
      </c>
      <c r="D22" t="s">
        <v>61</v>
      </c>
      <c r="E22" t="s">
        <v>25</v>
      </c>
      <c r="G22">
        <v>69</v>
      </c>
      <c r="H22" t="s">
        <v>27</v>
      </c>
      <c r="I22">
        <v>1991</v>
      </c>
      <c r="J22" t="s">
        <v>21</v>
      </c>
      <c r="K22">
        <v>31.5825</v>
      </c>
      <c r="L22">
        <v>-87.488900000000001</v>
      </c>
      <c r="M22" t="s">
        <v>62</v>
      </c>
      <c r="N22" s="2">
        <f>Table1[[#This Row],[Capacity (MW)]]*8760*0.72*10^-6</f>
        <v>0.43519679999999999</v>
      </c>
      <c r="O22" s="2" cm="1">
        <f t="array" ref="O22">AVERAGE(VLOOKUP(_xlfn.TEXTSPLIT(Table1[[#This Row],[Fuel (no space after comma)]], ","), FuelList_Final_EF!$A$2:$B$32, 2, FALSE))</f>
        <v>97.137216657880856</v>
      </c>
      <c r="P22" s="2">
        <f>(16112*Table1[[#This Row],[Generation (TWh)]]*10^9)/10^6</f>
        <v>7011890.841599999</v>
      </c>
      <c r="Q22" s="2">
        <f>Table1[[#This Row],[Emission Factor (kg CO2/ mmBtu)]]*Table1[[#This Row],[Fuel Consumption (mmBtu)]]*10^3</f>
        <v>681115559861.90967</v>
      </c>
      <c r="R22" s="2">
        <f>(Table1[[#This Row],[CO2 Emissions (g CO2)]])/(Table1[[#This Row],[Generation (TWh)]]*10^9)</f>
        <v>1565.0748347917763</v>
      </c>
    </row>
    <row r="23" spans="1:18" hidden="1">
      <c r="A23" t="s">
        <v>59</v>
      </c>
      <c r="B23" t="s">
        <v>60</v>
      </c>
      <c r="C23" t="str">
        <f>SUBSTITUTE(Table1[[#This Row],[Fuel]],", ",",")</f>
        <v>bioenergy: paper mill wastes,bioenergy: wood &amp; other biomass (solids)</v>
      </c>
      <c r="D23" t="s">
        <v>61</v>
      </c>
      <c r="E23" t="s">
        <v>25</v>
      </c>
      <c r="G23">
        <v>48</v>
      </c>
      <c r="H23" t="s">
        <v>27</v>
      </c>
      <c r="I23">
        <v>1978</v>
      </c>
      <c r="J23" t="s">
        <v>21</v>
      </c>
      <c r="K23">
        <v>31.5825</v>
      </c>
      <c r="L23">
        <v>-87.488900000000001</v>
      </c>
      <c r="M23" t="s">
        <v>62</v>
      </c>
      <c r="N23" s="2">
        <f>Table1[[#This Row],[Capacity (MW)]]*8760*0.72*10^-6</f>
        <v>0.30274559999999995</v>
      </c>
      <c r="O23" s="2" cm="1">
        <f t="array" ref="O23">AVERAGE(VLOOKUP(_xlfn.TEXTSPLIT(Table1[[#This Row],[Fuel (no space after comma)]], ","), FuelList_Final_EF!$A$2:$B$32, 2, FALSE))</f>
        <v>97.137216657880856</v>
      </c>
      <c r="P23" s="2">
        <f>(16112*Table1[[#This Row],[Generation (TWh)]]*10^9)/10^6</f>
        <v>4877837.1071999986</v>
      </c>
      <c r="Q23" s="2">
        <f>Table1[[#This Row],[Emission Factor (kg CO2/ mmBtu)]]*Table1[[#This Row],[Fuel Consumption (mmBtu)]]*10^3</f>
        <v>473819519903.93701</v>
      </c>
      <c r="R23" s="2">
        <f>(Table1[[#This Row],[CO2 Emissions (g CO2)]])/(Table1[[#This Row],[Generation (TWh)]]*10^9)</f>
        <v>1565.0748347917761</v>
      </c>
    </row>
    <row r="24" spans="1:18" hidden="1">
      <c r="A24" t="s">
        <v>63</v>
      </c>
      <c r="B24" t="s">
        <v>64</v>
      </c>
      <c r="C24" t="str">
        <f>SUBSTITUTE(Table1[[#This Row],[Fuel]],", ",",")</f>
        <v>bioenergy: agricultural waste (solids),coal: unknown</v>
      </c>
      <c r="D24" t="s">
        <v>46</v>
      </c>
      <c r="E24" t="s">
        <v>65</v>
      </c>
      <c r="G24">
        <v>34</v>
      </c>
      <c r="H24" t="s">
        <v>27</v>
      </c>
      <c r="I24">
        <v>2012</v>
      </c>
      <c r="J24" t="s">
        <v>21</v>
      </c>
      <c r="K24">
        <v>17.462199999999999</v>
      </c>
      <c r="L24">
        <v>76.565100000000001</v>
      </c>
      <c r="M24" t="s">
        <v>66</v>
      </c>
      <c r="N24" s="2">
        <f>Table1[[#This Row],[Capacity (MW)]]*8760*0.72*10^-6</f>
        <v>0.21444479999999999</v>
      </c>
      <c r="O24" s="2" cm="1">
        <f t="array" ref="O24">AVERAGE(VLOOKUP(_xlfn.TEXTSPLIT(Table1[[#This Row],[Fuel (no space after comma)]], ","), FuelList_Final_EF!$A$2:$B$32, 2, FALSE))</f>
        <v>109.63850553505534</v>
      </c>
      <c r="P24" s="2">
        <f>(16112*Table1[[#This Row],[Generation (TWh)]]*10^9)/10^6</f>
        <v>3455134.6175999995</v>
      </c>
      <c r="Q24" s="2">
        <f>Table1[[#This Row],[Emission Factor (kg CO2/ mmBtu)]]*Table1[[#This Row],[Fuel Consumption (mmBtu)]]*10^3</f>
        <v>378815795896.09888</v>
      </c>
      <c r="R24" s="2">
        <f>(Table1[[#This Row],[CO2 Emissions (g CO2)]])/(Table1[[#This Row],[Generation (TWh)]]*10^9)</f>
        <v>1766.4956011808115</v>
      </c>
    </row>
    <row r="25" spans="1:18" hidden="1">
      <c r="A25" t="s">
        <v>67</v>
      </c>
      <c r="B25" t="s">
        <v>68</v>
      </c>
      <c r="C25" t="str">
        <f>SUBSTITUTE(Table1[[#This Row],[Fuel]],", ",",")</f>
        <v>bioenergy: wood &amp; other biomass (solids),fossil gas: natural gas</v>
      </c>
      <c r="D25" t="s">
        <v>25</v>
      </c>
      <c r="E25" t="s">
        <v>69</v>
      </c>
      <c r="G25">
        <v>55</v>
      </c>
      <c r="H25" t="s">
        <v>27</v>
      </c>
      <c r="I25">
        <v>2017</v>
      </c>
      <c r="J25" t="s">
        <v>21</v>
      </c>
      <c r="K25">
        <v>31.555900000000001</v>
      </c>
      <c r="L25">
        <v>-84.110299999999995</v>
      </c>
      <c r="M25" t="s">
        <v>62</v>
      </c>
      <c r="N25" s="2">
        <f>Table1[[#This Row],[Capacity (MW)]]*8760*0.72*10^-6</f>
        <v>0.34689599999999998</v>
      </c>
      <c r="O25" s="2" cm="1">
        <f t="array" ref="O25">AVERAGE(VLOOKUP(_xlfn.TEXTSPLIT(Table1[[#This Row],[Fuel (no space after comma)]], ","), FuelList_Final_EF!$A$2:$B$32, 2, FALSE))</f>
        <v>73.430000000000007</v>
      </c>
      <c r="P25" s="2">
        <f>(16112*Table1[[#This Row],[Generation (TWh)]]*10^9)/10^6</f>
        <v>5589188.352</v>
      </c>
      <c r="Q25" s="2">
        <f>Table1[[#This Row],[Emission Factor (kg CO2/ mmBtu)]]*Table1[[#This Row],[Fuel Consumption (mmBtu)]]*10^3</f>
        <v>410414100687.36005</v>
      </c>
      <c r="R25" s="2">
        <f>(Table1[[#This Row],[CO2 Emissions (g CO2)]])/(Table1[[#This Row],[Generation (TWh)]]*10^9)</f>
        <v>1183.1041600000001</v>
      </c>
    </row>
    <row r="26" spans="1:18">
      <c r="A26" t="s">
        <v>70</v>
      </c>
      <c r="B26" t="s">
        <v>25</v>
      </c>
      <c r="C26" t="str">
        <f>SUBSTITUTE(Table1[[#This Row],[Fuel]],", ",",")</f>
        <v>bioenergy: wood &amp; other biomass (solids)</v>
      </c>
      <c r="D26" t="s">
        <v>25</v>
      </c>
      <c r="G26">
        <v>30</v>
      </c>
      <c r="H26" t="s">
        <v>71</v>
      </c>
      <c r="I26" t="s">
        <v>21</v>
      </c>
      <c r="J26" t="s">
        <v>21</v>
      </c>
      <c r="K26">
        <v>17.9405</v>
      </c>
      <c r="L26">
        <v>121.6818</v>
      </c>
      <c r="M26" t="s">
        <v>72</v>
      </c>
      <c r="N26" s="2">
        <f>Table1[[#This Row],[Capacity (MW)]]*8760*0.72*10^-6</f>
        <v>0.189216</v>
      </c>
      <c r="O26" s="2" cm="1">
        <f t="array" ref="O26">AVERAGE(VLOOKUP(_xlfn.TEXTSPLIT(Table1[[#This Row],[Fuel (no space after comma)]], ","), FuelList_Final_EF!$A$2:$B$32, 2, FALSE))</f>
        <v>93.8</v>
      </c>
      <c r="P26" s="2">
        <f>(16112*Table1[[#This Row],[Generation (TWh)]]*10^9)/10^6</f>
        <v>3048648.1919999998</v>
      </c>
      <c r="Q26" s="2">
        <f>Table1[[#This Row],[Emission Factor (kg CO2/ mmBtu)]]*Table1[[#This Row],[Fuel Consumption (mmBtu)]]*10^3</f>
        <v>285963200409.59998</v>
      </c>
      <c r="R26" s="2">
        <f>(Table1[[#This Row],[CO2 Emissions (g CO2)]])/(Table1[[#This Row],[Generation (TWh)]]*10^9)</f>
        <v>1511.3055999999999</v>
      </c>
    </row>
    <row r="27" spans="1:18" hidden="1">
      <c r="A27" t="s">
        <v>73</v>
      </c>
      <c r="B27" t="s">
        <v>46</v>
      </c>
      <c r="C27" t="str">
        <f>SUBSTITUTE(Table1[[#This Row],[Fuel]],", ",",")</f>
        <v>bioenergy: agricultural waste (solids)</v>
      </c>
      <c r="D27" t="s">
        <v>46</v>
      </c>
      <c r="G27">
        <v>38</v>
      </c>
      <c r="H27" t="s">
        <v>27</v>
      </c>
      <c r="I27">
        <v>2010</v>
      </c>
      <c r="J27" t="s">
        <v>21</v>
      </c>
      <c r="K27">
        <v>-22.349699999999999</v>
      </c>
      <c r="L27">
        <v>-52.524000000000001</v>
      </c>
      <c r="M27" t="s">
        <v>49</v>
      </c>
      <c r="N27" s="2">
        <f>Table1[[#This Row],[Capacity (MW)]]*8760*0.72*10^-6</f>
        <v>0.23967359999999996</v>
      </c>
      <c r="O27" s="2" cm="1">
        <f t="array" ref="O27">AVERAGE(VLOOKUP(_xlfn.TEXTSPLIT(Table1[[#This Row],[Fuel (no space after comma)]], ","), FuelList_Final_EF!$A$2:$B$32, 2, FALSE))</f>
        <v>118.17</v>
      </c>
      <c r="P27" s="2">
        <f>(16112*Table1[[#This Row],[Generation (TWh)]]*10^9)/10^6</f>
        <v>3861621.0431999997</v>
      </c>
      <c r="Q27" s="2">
        <f>Table1[[#This Row],[Emission Factor (kg CO2/ mmBtu)]]*Table1[[#This Row],[Fuel Consumption (mmBtu)]]*10^3</f>
        <v>456327758674.94397</v>
      </c>
      <c r="R27" s="2">
        <f>(Table1[[#This Row],[CO2 Emissions (g CO2)]])/(Table1[[#This Row],[Generation (TWh)]]*10^9)</f>
        <v>1903.9550400000001</v>
      </c>
    </row>
    <row r="28" spans="1:18" hidden="1">
      <c r="A28" t="s">
        <v>74</v>
      </c>
      <c r="B28" t="s">
        <v>75</v>
      </c>
      <c r="C28" t="str">
        <f>SUBSTITUTE(Table1[[#This Row],[Fuel]],", ",",")</f>
        <v>bioenergy: agricultural waste (unknown)</v>
      </c>
      <c r="D28" t="s">
        <v>75</v>
      </c>
      <c r="G28">
        <v>60</v>
      </c>
      <c r="H28" t="s">
        <v>27</v>
      </c>
      <c r="I28">
        <v>2010</v>
      </c>
      <c r="J28" t="s">
        <v>21</v>
      </c>
      <c r="K28">
        <v>51.924799999999998</v>
      </c>
      <c r="L28">
        <v>4.1814999999999998</v>
      </c>
      <c r="M28" t="s">
        <v>39</v>
      </c>
      <c r="N28" s="2">
        <f>Table1[[#This Row],[Capacity (MW)]]*8760*0.72*10^-6</f>
        <v>0.37843199999999999</v>
      </c>
      <c r="O28" s="2" cm="1">
        <f t="array" ref="O28">AVERAGE(VLOOKUP(_xlfn.TEXTSPLIT(Table1[[#This Row],[Fuel (no space after comma)]], ","), FuelList_Final_EF!$A$2:$B$32, 2, FALSE))</f>
        <v>72.350251273941311</v>
      </c>
      <c r="P28" s="2">
        <f>(16112*Table1[[#This Row],[Generation (TWh)]]*10^9)/10^6</f>
        <v>6097296.3839999996</v>
      </c>
      <c r="Q28" s="2">
        <f>Table1[[#This Row],[Emission Factor (kg CO2/ mmBtu)]]*Table1[[#This Row],[Fuel Consumption (mmBtu)]]*10^3</f>
        <v>441140925474.09375</v>
      </c>
      <c r="R28" s="2">
        <f>(Table1[[#This Row],[CO2 Emissions (g CO2)]])/(Table1[[#This Row],[Generation (TWh)]]*10^9)</f>
        <v>1165.7072485257424</v>
      </c>
    </row>
    <row r="29" spans="1:18" hidden="1">
      <c r="A29" t="s">
        <v>76</v>
      </c>
      <c r="B29" t="s">
        <v>46</v>
      </c>
      <c r="C29" t="str">
        <f>SUBSTITUTE(Table1[[#This Row],[Fuel]],", ",",")</f>
        <v>bioenergy: agricultural waste (solids)</v>
      </c>
      <c r="D29" t="s">
        <v>46</v>
      </c>
      <c r="G29">
        <v>33</v>
      </c>
      <c r="H29" t="s">
        <v>27</v>
      </c>
      <c r="I29">
        <v>2001</v>
      </c>
      <c r="J29" t="s">
        <v>21</v>
      </c>
      <c r="K29">
        <v>-18.4574</v>
      </c>
      <c r="L29">
        <v>-39.945399999999999</v>
      </c>
      <c r="M29" t="s">
        <v>49</v>
      </c>
      <c r="N29" s="2">
        <f>Table1[[#This Row],[Capacity (MW)]]*8760*0.72*10^-6</f>
        <v>0.20813760000000001</v>
      </c>
      <c r="O29" s="2" cm="1">
        <f t="array" ref="O29">AVERAGE(VLOOKUP(_xlfn.TEXTSPLIT(Table1[[#This Row],[Fuel (no space after comma)]], ","), FuelList_Final_EF!$A$2:$B$32, 2, FALSE))</f>
        <v>118.17</v>
      </c>
      <c r="P29" s="2">
        <f>(16112*Table1[[#This Row],[Generation (TWh)]]*10^9)/10^6</f>
        <v>3353513.0112000001</v>
      </c>
      <c r="Q29" s="2">
        <f>Table1[[#This Row],[Emission Factor (kg CO2/ mmBtu)]]*Table1[[#This Row],[Fuel Consumption (mmBtu)]]*10^3</f>
        <v>396284632533.50403</v>
      </c>
      <c r="R29" s="2">
        <f>(Table1[[#This Row],[CO2 Emissions (g CO2)]])/(Table1[[#This Row],[Generation (TWh)]]*10^9)</f>
        <v>1903.9550400000001</v>
      </c>
    </row>
    <row r="30" spans="1:18" hidden="1">
      <c r="A30" t="s">
        <v>77</v>
      </c>
      <c r="B30" t="s">
        <v>19</v>
      </c>
      <c r="C30" t="str">
        <f>SUBSTITUTE(Table1[[#This Row],[Fuel]],", ",",")</f>
        <v>bioenergy: refuse (municipal and industrial wastes)</v>
      </c>
      <c r="D30" t="s">
        <v>19</v>
      </c>
      <c r="G30">
        <v>43</v>
      </c>
      <c r="H30" t="s">
        <v>27</v>
      </c>
      <c r="I30">
        <v>2008</v>
      </c>
      <c r="J30" t="s">
        <v>21</v>
      </c>
      <c r="K30">
        <v>51.293100000000003</v>
      </c>
      <c r="L30">
        <v>0.4924</v>
      </c>
      <c r="M30" t="s">
        <v>22</v>
      </c>
      <c r="N30" s="2">
        <f>Table1[[#This Row],[Capacity (MW)]]*8760*0.72*10^-6</f>
        <v>0.27120959999999994</v>
      </c>
      <c r="O30" s="2" cm="1">
        <f t="array" ref="O30">AVERAGE(VLOOKUP(_xlfn.TEXTSPLIT(Table1[[#This Row],[Fuel (no space after comma)]], ","), FuelList_Final_EF!$A$2:$B$32, 2, FALSE))</f>
        <v>105.42962572482868</v>
      </c>
      <c r="P30" s="2">
        <f>(16112*Table1[[#This Row],[Generation (TWh)]]*10^9)/10^6</f>
        <v>4369729.0751999989</v>
      </c>
      <c r="Q30" s="2">
        <f>Table1[[#This Row],[Emission Factor (kg CO2/ mmBtu)]]*Table1[[#This Row],[Fuel Consumption (mmBtu)]]*10^3</f>
        <v>460698900917.23761</v>
      </c>
      <c r="R30" s="2">
        <f>(Table1[[#This Row],[CO2 Emissions (g CO2)]])/(Table1[[#This Row],[Generation (TWh)]]*10^9)</f>
        <v>1698.6821296784394</v>
      </c>
    </row>
    <row r="31" spans="1:18" hidden="1">
      <c r="A31" t="s">
        <v>78</v>
      </c>
      <c r="B31" t="s">
        <v>61</v>
      </c>
      <c r="C31" t="str">
        <f>SUBSTITUTE(Table1[[#This Row],[Fuel]],", ",",")</f>
        <v>bioenergy: paper mill wastes</v>
      </c>
      <c r="D31" t="s">
        <v>61</v>
      </c>
      <c r="G31">
        <v>41</v>
      </c>
      <c r="H31" t="s">
        <v>27</v>
      </c>
      <c r="I31">
        <v>1993</v>
      </c>
      <c r="J31" t="s">
        <v>21</v>
      </c>
      <c r="K31">
        <v>54.920999999999999</v>
      </c>
      <c r="L31">
        <v>-112.8622</v>
      </c>
      <c r="M31" t="s">
        <v>79</v>
      </c>
      <c r="N31" s="2">
        <f>Table1[[#This Row],[Capacity (MW)]]*8760*0.72*10^-6</f>
        <v>0.25859519999999997</v>
      </c>
      <c r="O31" s="2" cm="1">
        <f t="array" ref="O31">AVERAGE(VLOOKUP(_xlfn.TEXTSPLIT(Table1[[#This Row],[Fuel (no space after comma)]], ","), FuelList_Final_EF!$A$2:$B$32, 2, FALSE))</f>
        <v>100.47443331576173</v>
      </c>
      <c r="P31" s="2">
        <f>(16112*Table1[[#This Row],[Generation (TWh)]]*10^9)/10^6</f>
        <v>4166485.8624</v>
      </c>
      <c r="Q31" s="2">
        <f>Table1[[#This Row],[Emission Factor (kg CO2/ mmBtu)]]*Table1[[#This Row],[Fuel Consumption (mmBtu)]]*10^3</f>
        <v>418625305942.77283</v>
      </c>
      <c r="R31" s="2">
        <f>(Table1[[#This Row],[CO2 Emissions (g CO2)]])/(Table1[[#This Row],[Generation (TWh)]]*10^9)</f>
        <v>1618.8440695835532</v>
      </c>
    </row>
    <row r="32" spans="1:18" hidden="1">
      <c r="A32" t="s">
        <v>78</v>
      </c>
      <c r="B32" t="s">
        <v>61</v>
      </c>
      <c r="C32" t="str">
        <f>SUBSTITUTE(Table1[[#This Row],[Fuel]],", ",",")</f>
        <v>bioenergy: paper mill wastes</v>
      </c>
      <c r="D32" t="s">
        <v>61</v>
      </c>
      <c r="G32">
        <v>41</v>
      </c>
      <c r="H32" t="s">
        <v>27</v>
      </c>
      <c r="I32">
        <v>1993</v>
      </c>
      <c r="J32" t="s">
        <v>21</v>
      </c>
      <c r="K32">
        <v>54.920999999999999</v>
      </c>
      <c r="L32">
        <v>-112.8622</v>
      </c>
      <c r="M32" t="s">
        <v>79</v>
      </c>
      <c r="N32" s="2">
        <f>Table1[[#This Row],[Capacity (MW)]]*8760*0.72*10^-6</f>
        <v>0.25859519999999997</v>
      </c>
      <c r="O32" s="2" cm="1">
        <f t="array" ref="O32">AVERAGE(VLOOKUP(_xlfn.TEXTSPLIT(Table1[[#This Row],[Fuel (no space after comma)]], ","), FuelList_Final_EF!$A$2:$B$32, 2, FALSE))</f>
        <v>100.47443331576173</v>
      </c>
      <c r="P32" s="2">
        <f>(16112*Table1[[#This Row],[Generation (TWh)]]*10^9)/10^6</f>
        <v>4166485.8624</v>
      </c>
      <c r="Q32" s="2">
        <f>Table1[[#This Row],[Emission Factor (kg CO2/ mmBtu)]]*Table1[[#This Row],[Fuel Consumption (mmBtu)]]*10^3</f>
        <v>418625305942.77283</v>
      </c>
      <c r="R32" s="2">
        <f>(Table1[[#This Row],[CO2 Emissions (g CO2)]])/(Table1[[#This Row],[Generation (TWh)]]*10^9)</f>
        <v>1618.8440695835532</v>
      </c>
    </row>
    <row r="33" spans="1:18" hidden="1">
      <c r="A33" t="s">
        <v>80</v>
      </c>
      <c r="B33" t="s">
        <v>46</v>
      </c>
      <c r="C33" t="str">
        <f>SUBSTITUTE(Table1[[#This Row],[Fuel]],", ",",")</f>
        <v>bioenergy: agricultural waste (solids)</v>
      </c>
      <c r="D33" t="s">
        <v>46</v>
      </c>
      <c r="G33">
        <v>71</v>
      </c>
      <c r="H33" t="s">
        <v>27</v>
      </c>
      <c r="I33">
        <v>1994</v>
      </c>
      <c r="J33" t="s">
        <v>21</v>
      </c>
      <c r="K33">
        <v>-20.4818</v>
      </c>
      <c r="L33">
        <v>-47.866199999999999</v>
      </c>
      <c r="M33" t="s">
        <v>49</v>
      </c>
      <c r="N33" s="2">
        <f>Table1[[#This Row],[Capacity (MW)]]*8760*0.72*10^-6</f>
        <v>0.44781119999999996</v>
      </c>
      <c r="O33" s="2" cm="1">
        <f t="array" ref="O33">AVERAGE(VLOOKUP(_xlfn.TEXTSPLIT(Table1[[#This Row],[Fuel (no space after comma)]], ","), FuelList_Final_EF!$A$2:$B$32, 2, FALSE))</f>
        <v>118.17</v>
      </c>
      <c r="P33" s="2">
        <f>(16112*Table1[[#This Row],[Generation (TWh)]]*10^9)/10^6</f>
        <v>7215134.0543999998</v>
      </c>
      <c r="Q33" s="2">
        <f>Table1[[#This Row],[Emission Factor (kg CO2/ mmBtu)]]*Table1[[#This Row],[Fuel Consumption (mmBtu)]]*10^3</f>
        <v>852612391208.44788</v>
      </c>
      <c r="R33" s="2">
        <f>(Table1[[#This Row],[CO2 Emissions (g CO2)]])/(Table1[[#This Row],[Generation (TWh)]]*10^9)</f>
        <v>1903.9550400000001</v>
      </c>
    </row>
    <row r="34" spans="1:18" hidden="1">
      <c r="A34" t="s">
        <v>81</v>
      </c>
      <c r="B34" t="s">
        <v>68</v>
      </c>
      <c r="C34" t="str">
        <f>SUBSTITUTE(Table1[[#This Row],[Fuel]],", ",",")</f>
        <v>bioenergy: wood &amp; other biomass (solids),fossil gas: natural gas</v>
      </c>
      <c r="D34" t="s">
        <v>25</v>
      </c>
      <c r="E34" t="s">
        <v>69</v>
      </c>
      <c r="G34">
        <v>71</v>
      </c>
      <c r="H34" t="s">
        <v>27</v>
      </c>
      <c r="I34">
        <v>1992</v>
      </c>
      <c r="J34" t="s">
        <v>21</v>
      </c>
      <c r="K34">
        <v>37.118481000000003</v>
      </c>
      <c r="L34">
        <v>-79.273026999999999</v>
      </c>
      <c r="M34" t="s">
        <v>62</v>
      </c>
      <c r="N34" s="2">
        <f>Table1[[#This Row],[Capacity (MW)]]*8760*0.72*10^-6</f>
        <v>0.44781119999999996</v>
      </c>
      <c r="O34" s="2" cm="1">
        <f t="array" ref="O34">AVERAGE(VLOOKUP(_xlfn.TEXTSPLIT(Table1[[#This Row],[Fuel (no space after comma)]], ","), FuelList_Final_EF!$A$2:$B$32, 2, FALSE))</f>
        <v>73.430000000000007</v>
      </c>
      <c r="P34" s="2">
        <f>(16112*Table1[[#This Row],[Generation (TWh)]]*10^9)/10^6</f>
        <v>7215134.0543999998</v>
      </c>
      <c r="Q34" s="2">
        <f>Table1[[#This Row],[Emission Factor (kg CO2/ mmBtu)]]*Table1[[#This Row],[Fuel Consumption (mmBtu)]]*10^3</f>
        <v>529807293614.59204</v>
      </c>
      <c r="R34" s="2">
        <f>(Table1[[#This Row],[CO2 Emissions (g CO2)]])/(Table1[[#This Row],[Generation (TWh)]]*10^9)</f>
        <v>1183.1041600000003</v>
      </c>
    </row>
    <row r="35" spans="1:18" hidden="1">
      <c r="A35" t="s">
        <v>82</v>
      </c>
      <c r="B35" t="s">
        <v>19</v>
      </c>
      <c r="C35" t="str">
        <f>SUBSTITUTE(Table1[[#This Row],[Fuel]],", ",",")</f>
        <v>bioenergy: refuse (municipal and industrial wastes)</v>
      </c>
      <c r="D35" t="s">
        <v>19</v>
      </c>
      <c r="G35">
        <v>63</v>
      </c>
      <c r="H35" t="s">
        <v>27</v>
      </c>
      <c r="I35">
        <v>2019</v>
      </c>
      <c r="J35" t="s">
        <v>21</v>
      </c>
      <c r="K35">
        <v>55.684199999999997</v>
      </c>
      <c r="L35">
        <v>12.619300000000001</v>
      </c>
      <c r="M35" t="s">
        <v>83</v>
      </c>
      <c r="N35" s="2">
        <f>Table1[[#This Row],[Capacity (MW)]]*8760*0.72*10^-6</f>
        <v>0.39735359999999997</v>
      </c>
      <c r="O35" s="2" cm="1">
        <f t="array" ref="O35">AVERAGE(VLOOKUP(_xlfn.TEXTSPLIT(Table1[[#This Row],[Fuel (no space after comma)]], ","), FuelList_Final_EF!$A$2:$B$32, 2, FALSE))</f>
        <v>105.42962572482868</v>
      </c>
      <c r="P35" s="2">
        <f>(16112*Table1[[#This Row],[Generation (TWh)]]*10^9)/10^6</f>
        <v>6402161.2031999994</v>
      </c>
      <c r="Q35" s="2">
        <f>Table1[[#This Row],[Emission Factor (kg CO2/ mmBtu)]]*Table1[[#This Row],[Fuel Consumption (mmBtu)]]*10^3</f>
        <v>674977459483.3949</v>
      </c>
      <c r="R35" s="2">
        <f>(Table1[[#This Row],[CO2 Emissions (g CO2)]])/(Table1[[#This Row],[Generation (TWh)]]*10^9)</f>
        <v>1698.6821296784399</v>
      </c>
    </row>
    <row r="36" spans="1:18" hidden="1">
      <c r="A36" t="s">
        <v>84</v>
      </c>
      <c r="B36" t="s">
        <v>25</v>
      </c>
      <c r="C36" t="str">
        <f>SUBSTITUTE(Table1[[#This Row],[Fuel]],", ",",")</f>
        <v>bioenergy: wood &amp; other biomass (solids)</v>
      </c>
      <c r="D36" t="s">
        <v>25</v>
      </c>
      <c r="G36">
        <v>68</v>
      </c>
      <c r="H36" t="s">
        <v>27</v>
      </c>
      <c r="I36">
        <v>1971</v>
      </c>
      <c r="J36" t="s">
        <v>21</v>
      </c>
      <c r="K36">
        <v>55.686776999999999</v>
      </c>
      <c r="L36">
        <v>12.627701999999999</v>
      </c>
      <c r="M36" t="s">
        <v>83</v>
      </c>
      <c r="N36" s="2">
        <f>Table1[[#This Row],[Capacity (MW)]]*8760*0.72*10^-6</f>
        <v>0.42888959999999998</v>
      </c>
      <c r="O36" s="2" cm="1">
        <f t="array" ref="O36">AVERAGE(VLOOKUP(_xlfn.TEXTSPLIT(Table1[[#This Row],[Fuel (no space after comma)]], ","), FuelList_Final_EF!$A$2:$B$32, 2, FALSE))</f>
        <v>93.8</v>
      </c>
      <c r="P36" s="2">
        <f>(16112*Table1[[#This Row],[Generation (TWh)]]*10^9)/10^6</f>
        <v>6910269.2351999991</v>
      </c>
      <c r="Q36" s="2">
        <f>Table1[[#This Row],[Emission Factor (kg CO2/ mmBtu)]]*Table1[[#This Row],[Fuel Consumption (mmBtu)]]*10^3</f>
        <v>648183254261.75989</v>
      </c>
      <c r="R36" s="2">
        <f>(Table1[[#This Row],[CO2 Emissions (g CO2)]])/(Table1[[#This Row],[Generation (TWh)]]*10^9)</f>
        <v>1511.3055999999997</v>
      </c>
    </row>
    <row r="37" spans="1:18" hidden="1">
      <c r="A37" t="s">
        <v>84</v>
      </c>
      <c r="B37" t="s">
        <v>25</v>
      </c>
      <c r="C37" t="str">
        <f>SUBSTITUTE(Table1[[#This Row],[Fuel]],", ",",")</f>
        <v>bioenergy: wood &amp; other biomass (solids)</v>
      </c>
      <c r="D37" t="s">
        <v>25</v>
      </c>
      <c r="G37">
        <v>150</v>
      </c>
      <c r="H37" t="s">
        <v>27</v>
      </c>
      <c r="I37">
        <v>2020</v>
      </c>
      <c r="J37" t="s">
        <v>21</v>
      </c>
      <c r="K37">
        <v>55.686776999999999</v>
      </c>
      <c r="L37">
        <v>12.627701999999999</v>
      </c>
      <c r="M37" t="s">
        <v>83</v>
      </c>
      <c r="N37" s="2">
        <f>Table1[[#This Row],[Capacity (MW)]]*8760*0.72*10^-6</f>
        <v>0.94607999999999992</v>
      </c>
      <c r="O37" s="2" cm="1">
        <f t="array" ref="O37">AVERAGE(VLOOKUP(_xlfn.TEXTSPLIT(Table1[[#This Row],[Fuel (no space after comma)]], ","), FuelList_Final_EF!$A$2:$B$32, 2, FALSE))</f>
        <v>93.8</v>
      </c>
      <c r="P37" s="2">
        <f>(16112*Table1[[#This Row],[Generation (TWh)]]*10^9)/10^6</f>
        <v>15243240.960000001</v>
      </c>
      <c r="Q37" s="2">
        <f>Table1[[#This Row],[Emission Factor (kg CO2/ mmBtu)]]*Table1[[#This Row],[Fuel Consumption (mmBtu)]]*10^3</f>
        <v>1429816002048</v>
      </c>
      <c r="R37" s="2">
        <f>(Table1[[#This Row],[CO2 Emissions (g CO2)]])/(Table1[[#This Row],[Generation (TWh)]]*10^9)</f>
        <v>1511.3056000000001</v>
      </c>
    </row>
    <row r="38" spans="1:18" hidden="1">
      <c r="A38" t="s">
        <v>85</v>
      </c>
      <c r="B38" t="s">
        <v>46</v>
      </c>
      <c r="C38" t="str">
        <f>SUBSTITUTE(Table1[[#This Row],[Fuel]],", ",",")</f>
        <v>bioenergy: agricultural waste (solids)</v>
      </c>
      <c r="D38" t="s">
        <v>46</v>
      </c>
      <c r="G38">
        <v>40</v>
      </c>
      <c r="H38" t="s">
        <v>27</v>
      </c>
      <c r="I38">
        <v>2018</v>
      </c>
      <c r="J38" t="s">
        <v>21</v>
      </c>
      <c r="K38">
        <v>-22.325099999999999</v>
      </c>
      <c r="L38">
        <v>-53.821199999999997</v>
      </c>
      <c r="M38" t="s">
        <v>49</v>
      </c>
      <c r="N38" s="2">
        <f>Table1[[#This Row],[Capacity (MW)]]*8760*0.72*10^-6</f>
        <v>0.25228800000000001</v>
      </c>
      <c r="O38" s="2" cm="1">
        <f t="array" ref="O38">AVERAGE(VLOOKUP(_xlfn.TEXTSPLIT(Table1[[#This Row],[Fuel (no space after comma)]], ","), FuelList_Final_EF!$A$2:$B$32, 2, FALSE))</f>
        <v>118.17</v>
      </c>
      <c r="P38" s="2">
        <f>(16112*Table1[[#This Row],[Generation (TWh)]]*10^9)/10^6</f>
        <v>4064864.2560000005</v>
      </c>
      <c r="Q38" s="2">
        <f>Table1[[#This Row],[Emission Factor (kg CO2/ mmBtu)]]*Table1[[#This Row],[Fuel Consumption (mmBtu)]]*10^3</f>
        <v>480345009131.52008</v>
      </c>
      <c r="R38" s="2">
        <f>(Table1[[#This Row],[CO2 Emissions (g CO2)]])/(Table1[[#This Row],[Generation (TWh)]]*10^9)</f>
        <v>1903.9550400000003</v>
      </c>
    </row>
    <row r="39" spans="1:18">
      <c r="A39" t="s">
        <v>86</v>
      </c>
      <c r="B39" t="s">
        <v>46</v>
      </c>
      <c r="C39" t="str">
        <f>SUBSTITUTE(Table1[[#This Row],[Fuel]],", ",",")</f>
        <v>bioenergy: agricultural waste (solids)</v>
      </c>
      <c r="D39" t="s">
        <v>46</v>
      </c>
      <c r="G39">
        <v>40</v>
      </c>
      <c r="H39" t="s">
        <v>20</v>
      </c>
      <c r="I39" t="s">
        <v>21</v>
      </c>
      <c r="J39" t="s">
        <v>21</v>
      </c>
      <c r="K39">
        <v>-22.395600000000002</v>
      </c>
      <c r="L39">
        <v>-53.8904</v>
      </c>
      <c r="M39" t="s">
        <v>49</v>
      </c>
      <c r="N39" s="2">
        <f>Table1[[#This Row],[Capacity (MW)]]*8760*0.72*10^-6</f>
        <v>0.25228800000000001</v>
      </c>
      <c r="O39" s="2" cm="1">
        <f t="array" ref="O39">AVERAGE(VLOOKUP(_xlfn.TEXTSPLIT(Table1[[#This Row],[Fuel (no space after comma)]], ","), FuelList_Final_EF!$A$2:$B$32, 2, FALSE))</f>
        <v>118.17</v>
      </c>
      <c r="P39" s="2">
        <f>(16112*Table1[[#This Row],[Generation (TWh)]]*10^9)/10^6</f>
        <v>4064864.2560000005</v>
      </c>
      <c r="Q39" s="2">
        <f>Table1[[#This Row],[Emission Factor (kg CO2/ mmBtu)]]*Table1[[#This Row],[Fuel Consumption (mmBtu)]]*10^3</f>
        <v>480345009131.52008</v>
      </c>
      <c r="R39" s="2">
        <f>(Table1[[#This Row],[CO2 Emissions (g CO2)]])/(Table1[[#This Row],[Generation (TWh)]]*10^9)</f>
        <v>1903.9550400000003</v>
      </c>
    </row>
    <row r="40" spans="1:18" hidden="1">
      <c r="A40" t="s">
        <v>87</v>
      </c>
      <c r="B40" t="s">
        <v>46</v>
      </c>
      <c r="C40" t="str">
        <f>SUBSTITUTE(Table1[[#This Row],[Fuel]],", ",",")</f>
        <v>bioenergy: agricultural waste (solids)</v>
      </c>
      <c r="D40" t="s">
        <v>46</v>
      </c>
      <c r="G40">
        <v>40</v>
      </c>
      <c r="H40" t="s">
        <v>27</v>
      </c>
      <c r="I40">
        <v>2014</v>
      </c>
      <c r="J40" t="s">
        <v>21</v>
      </c>
      <c r="K40">
        <v>-22.438099999999999</v>
      </c>
      <c r="L40">
        <v>-53.578099999999999</v>
      </c>
      <c r="M40" t="s">
        <v>49</v>
      </c>
      <c r="N40" s="2">
        <f>Table1[[#This Row],[Capacity (MW)]]*8760*0.72*10^-6</f>
        <v>0.25228800000000001</v>
      </c>
      <c r="O40" s="2" cm="1">
        <f t="array" ref="O40">AVERAGE(VLOOKUP(_xlfn.TEXTSPLIT(Table1[[#This Row],[Fuel (no space after comma)]], ","), FuelList_Final_EF!$A$2:$B$32, 2, FALSE))</f>
        <v>118.17</v>
      </c>
      <c r="P40" s="2">
        <f>(16112*Table1[[#This Row],[Generation (TWh)]]*10^9)/10^6</f>
        <v>4064864.2560000005</v>
      </c>
      <c r="Q40" s="2">
        <f>Table1[[#This Row],[Emission Factor (kg CO2/ mmBtu)]]*Table1[[#This Row],[Fuel Consumption (mmBtu)]]*10^3</f>
        <v>480345009131.52008</v>
      </c>
      <c r="R40" s="2">
        <f>(Table1[[#This Row],[CO2 Emissions (g CO2)]])/(Table1[[#This Row],[Generation (TWh)]]*10^9)</f>
        <v>1903.9550400000003</v>
      </c>
    </row>
    <row r="41" spans="1:18" hidden="1">
      <c r="A41" t="s">
        <v>87</v>
      </c>
      <c r="B41" t="s">
        <v>46</v>
      </c>
      <c r="C41" t="str">
        <f>SUBSTITUTE(Table1[[#This Row],[Fuel]],", ",",")</f>
        <v>bioenergy: agricultural waste (solids)</v>
      </c>
      <c r="D41" t="s">
        <v>46</v>
      </c>
      <c r="G41">
        <v>40</v>
      </c>
      <c r="H41" t="s">
        <v>27</v>
      </c>
      <c r="I41">
        <v>2014</v>
      </c>
      <c r="J41" t="s">
        <v>21</v>
      </c>
      <c r="K41">
        <v>-22.438099999999999</v>
      </c>
      <c r="L41">
        <v>-53.578099999999999</v>
      </c>
      <c r="M41" t="s">
        <v>49</v>
      </c>
      <c r="N41" s="2">
        <f>Table1[[#This Row],[Capacity (MW)]]*8760*0.72*10^-6</f>
        <v>0.25228800000000001</v>
      </c>
      <c r="O41" s="2" cm="1">
        <f t="array" ref="O41">AVERAGE(VLOOKUP(_xlfn.TEXTSPLIT(Table1[[#This Row],[Fuel (no space after comma)]], ","), FuelList_Final_EF!$A$2:$B$32, 2, FALSE))</f>
        <v>118.17</v>
      </c>
      <c r="P41" s="2">
        <f>(16112*Table1[[#This Row],[Generation (TWh)]]*10^9)/10^6</f>
        <v>4064864.2560000005</v>
      </c>
      <c r="Q41" s="2">
        <f>Table1[[#This Row],[Emission Factor (kg CO2/ mmBtu)]]*Table1[[#This Row],[Fuel Consumption (mmBtu)]]*10^3</f>
        <v>480345009131.52008</v>
      </c>
      <c r="R41" s="2">
        <f>(Table1[[#This Row],[CO2 Emissions (g CO2)]])/(Table1[[#This Row],[Generation (TWh)]]*10^9)</f>
        <v>1903.9550400000003</v>
      </c>
    </row>
    <row r="42" spans="1:18" hidden="1">
      <c r="A42" t="s">
        <v>88</v>
      </c>
      <c r="B42" t="s">
        <v>89</v>
      </c>
      <c r="C42" t="str">
        <f>SUBSTITUTE(Table1[[#This Row],[Fuel]],", ",",")</f>
        <v>bioenergy: wood &amp; other biomass (solids),coal: bituminous</v>
      </c>
      <c r="D42" t="s">
        <v>25</v>
      </c>
      <c r="E42" t="s">
        <v>90</v>
      </c>
      <c r="G42">
        <v>600</v>
      </c>
      <c r="H42" t="s">
        <v>27</v>
      </c>
      <c r="I42">
        <v>2023</v>
      </c>
      <c r="J42" t="s">
        <v>21</v>
      </c>
      <c r="K42">
        <v>51.709806</v>
      </c>
      <c r="L42">
        <v>4.843661</v>
      </c>
      <c r="M42" t="s">
        <v>39</v>
      </c>
      <c r="N42" s="2">
        <f>Table1[[#This Row],[Capacity (MW)]]*8760*0.72*10^-6</f>
        <v>3.7843199999999997</v>
      </c>
      <c r="O42" s="2" cm="1">
        <f t="array" ref="O42">AVERAGE(VLOOKUP(_xlfn.TEXTSPLIT(Table1[[#This Row],[Fuel (no space after comma)]], ","), FuelList_Final_EF!$A$2:$B$32, 2, FALSE))</f>
        <v>96.768212967843965</v>
      </c>
      <c r="P42" s="2">
        <f>(16112*Table1[[#This Row],[Generation (TWh)]]*10^9)/10^6</f>
        <v>60972963.840000004</v>
      </c>
      <c r="Q42" s="2">
        <f>Table1[[#This Row],[Emission Factor (kg CO2/ mmBtu)]]*Table1[[#This Row],[Fuel Consumption (mmBtu)]]*10^3</f>
        <v>5900244750149.7695</v>
      </c>
      <c r="R42" s="2">
        <f>(Table1[[#This Row],[CO2 Emissions (g CO2)]])/(Table1[[#This Row],[Generation (TWh)]]*10^9)</f>
        <v>1559.1294473379023</v>
      </c>
    </row>
    <row r="43" spans="1:18" hidden="1">
      <c r="A43" t="s">
        <v>91</v>
      </c>
      <c r="B43" t="s">
        <v>19</v>
      </c>
      <c r="C43" t="str">
        <f>SUBSTITUTE(Table1[[#This Row],[Fuel]],", ",",")</f>
        <v>bioenergy: refuse (municipal and industrial wastes)</v>
      </c>
      <c r="D43" t="s">
        <v>19</v>
      </c>
      <c r="G43">
        <v>42</v>
      </c>
      <c r="H43" t="s">
        <v>20</v>
      </c>
      <c r="I43">
        <v>2025</v>
      </c>
      <c r="J43" t="s">
        <v>21</v>
      </c>
      <c r="K43">
        <v>23.795258019999999</v>
      </c>
      <c r="L43">
        <v>90.298461020000005</v>
      </c>
      <c r="M43" t="s">
        <v>92</v>
      </c>
      <c r="N43" s="2">
        <f>Table1[[#This Row],[Capacity (MW)]]*8760*0.72*10^-6</f>
        <v>0.26490239999999993</v>
      </c>
      <c r="O43" s="2" cm="1">
        <f t="array" ref="O43">AVERAGE(VLOOKUP(_xlfn.TEXTSPLIT(Table1[[#This Row],[Fuel (no space after comma)]], ","), FuelList_Final_EF!$A$2:$B$32, 2, FALSE))</f>
        <v>105.42962572482868</v>
      </c>
      <c r="P43" s="2">
        <f>(16112*Table1[[#This Row],[Generation (TWh)]]*10^9)/10^6</f>
        <v>4268107.468799999</v>
      </c>
      <c r="Q43" s="2">
        <f>Table1[[#This Row],[Emission Factor (kg CO2/ mmBtu)]]*Table1[[#This Row],[Fuel Consumption (mmBtu)]]*10^3</f>
        <v>449984972988.92981</v>
      </c>
      <c r="R43" s="2">
        <f>(Table1[[#This Row],[CO2 Emissions (g CO2)]])/(Table1[[#This Row],[Generation (TWh)]]*10^9)</f>
        <v>1698.6821296784397</v>
      </c>
    </row>
    <row r="44" spans="1:18" hidden="1">
      <c r="A44" t="s">
        <v>93</v>
      </c>
      <c r="B44" t="s">
        <v>25</v>
      </c>
      <c r="C44" t="str">
        <f>SUBSTITUTE(Table1[[#This Row],[Fuel]],", ",",")</f>
        <v>bioenergy: wood &amp; other biomass (solids)</v>
      </c>
      <c r="D44" t="s">
        <v>25</v>
      </c>
      <c r="G44">
        <v>75</v>
      </c>
      <c r="H44" t="s">
        <v>94</v>
      </c>
      <c r="I44">
        <v>2022</v>
      </c>
      <c r="J44" t="s">
        <v>21</v>
      </c>
      <c r="K44">
        <v>33.9377</v>
      </c>
      <c r="L44">
        <v>134.69659999999999</v>
      </c>
      <c r="M44" t="s">
        <v>51</v>
      </c>
      <c r="N44" s="2">
        <f>Table1[[#This Row],[Capacity (MW)]]*8760*0.72*10^-6</f>
        <v>0.47303999999999996</v>
      </c>
      <c r="O44" s="2" cm="1">
        <f t="array" ref="O44">AVERAGE(VLOOKUP(_xlfn.TEXTSPLIT(Table1[[#This Row],[Fuel (no space after comma)]], ","), FuelList_Final_EF!$A$2:$B$32, 2, FALSE))</f>
        <v>93.8</v>
      </c>
      <c r="P44" s="2">
        <f>(16112*Table1[[#This Row],[Generation (TWh)]]*10^9)/10^6</f>
        <v>7621620.4800000004</v>
      </c>
      <c r="Q44" s="2">
        <f>Table1[[#This Row],[Emission Factor (kg CO2/ mmBtu)]]*Table1[[#This Row],[Fuel Consumption (mmBtu)]]*10^3</f>
        <v>714908001024</v>
      </c>
      <c r="R44" s="2">
        <f>(Table1[[#This Row],[CO2 Emissions (g CO2)]])/(Table1[[#This Row],[Generation (TWh)]]*10^9)</f>
        <v>1511.3056000000001</v>
      </c>
    </row>
    <row r="45" spans="1:18" hidden="1">
      <c r="A45" t="s">
        <v>95</v>
      </c>
      <c r="B45" t="s">
        <v>96</v>
      </c>
      <c r="C45" t="str">
        <f>SUBSTITUTE(Table1[[#This Row],[Fuel]],", ",",")</f>
        <v>bioenergy: unknown</v>
      </c>
      <c r="D45" t="s">
        <v>96</v>
      </c>
      <c r="G45">
        <v>177</v>
      </c>
      <c r="H45" t="s">
        <v>97</v>
      </c>
      <c r="I45">
        <v>2025</v>
      </c>
      <c r="J45" t="s">
        <v>21</v>
      </c>
      <c r="K45">
        <v>-23.087707000000002</v>
      </c>
      <c r="L45">
        <v>-70.407471999999999</v>
      </c>
      <c r="M45" t="s">
        <v>98</v>
      </c>
      <c r="N45" s="2">
        <f>Table1[[#This Row],[Capacity (MW)]]*8760*0.72*10^-6</f>
        <v>1.1163743999999998</v>
      </c>
      <c r="O45" s="2" cm="1">
        <f t="array" ref="O45">AVERAGE(VLOOKUP(_xlfn.TEXTSPLIT(Table1[[#This Row],[Fuel (no space after comma)]], ","), FuelList_Final_EF!$A$2:$B$32, 2, FALSE))</f>
        <v>72.785606017598653</v>
      </c>
      <c r="P45" s="2">
        <f>(16112*Table1[[#This Row],[Generation (TWh)]]*10^9)/10^6</f>
        <v>17987024.332799997</v>
      </c>
      <c r="Q45" s="2">
        <f>Table1[[#This Row],[Emission Factor (kg CO2/ mmBtu)]]*Table1[[#This Row],[Fuel Consumption (mmBtu)]]*10^3</f>
        <v>1309196466516.1409</v>
      </c>
      <c r="R45" s="2">
        <f>(Table1[[#This Row],[CO2 Emissions (g CO2)]])/(Table1[[#This Row],[Generation (TWh)]]*10^9)</f>
        <v>1172.7216841555496</v>
      </c>
    </row>
    <row r="46" spans="1:18" hidden="1">
      <c r="A46" t="s">
        <v>95</v>
      </c>
      <c r="B46" t="s">
        <v>96</v>
      </c>
      <c r="C46" t="str">
        <f>SUBSTITUTE(Table1[[#This Row],[Fuel]],", ",",")</f>
        <v>bioenergy: unknown</v>
      </c>
      <c r="D46" t="s">
        <v>96</v>
      </c>
      <c r="G46">
        <v>178</v>
      </c>
      <c r="H46" t="s">
        <v>97</v>
      </c>
      <c r="I46">
        <v>2025</v>
      </c>
      <c r="J46" t="s">
        <v>21</v>
      </c>
      <c r="K46">
        <v>-23.087707000000002</v>
      </c>
      <c r="L46">
        <v>-70.407471999999999</v>
      </c>
      <c r="M46" t="s">
        <v>98</v>
      </c>
      <c r="N46" s="2">
        <f>Table1[[#This Row],[Capacity (MW)]]*8760*0.72*10^-6</f>
        <v>1.1226815999999997</v>
      </c>
      <c r="O46" s="2" cm="1">
        <f t="array" ref="O46">AVERAGE(VLOOKUP(_xlfn.TEXTSPLIT(Table1[[#This Row],[Fuel (no space after comma)]], ","), FuelList_Final_EF!$A$2:$B$32, 2, FALSE))</f>
        <v>72.785606017598653</v>
      </c>
      <c r="P46" s="2">
        <f>(16112*Table1[[#This Row],[Generation (TWh)]]*10^9)/10^6</f>
        <v>18088645.939199995</v>
      </c>
      <c r="Q46" s="2">
        <f>Table1[[#This Row],[Emission Factor (kg CO2/ mmBtu)]]*Table1[[#This Row],[Fuel Consumption (mmBtu)]]*10^3</f>
        <v>1316593056722.4468</v>
      </c>
      <c r="R46" s="2">
        <f>(Table1[[#This Row],[CO2 Emissions (g CO2)]])/(Table1[[#This Row],[Generation (TWh)]]*10^9)</f>
        <v>1172.7216841555496</v>
      </c>
    </row>
    <row r="47" spans="1:18" hidden="1">
      <c r="A47" t="s">
        <v>99</v>
      </c>
      <c r="B47" t="s">
        <v>100</v>
      </c>
      <c r="C47" t="str">
        <f>SUBSTITUTE(Table1[[#This Row],[Fuel]],", ",",")</f>
        <v>bioenergy: paper mill wastes,bioenergy: wood &amp; other biomass (solids),bioenergy: wastewater and sewage sludge (solids or biogas)</v>
      </c>
      <c r="D47" t="s">
        <v>61</v>
      </c>
      <c r="E47" t="s">
        <v>25</v>
      </c>
      <c r="F47" t="s">
        <v>42</v>
      </c>
      <c r="G47">
        <v>30</v>
      </c>
      <c r="H47" t="s">
        <v>27</v>
      </c>
      <c r="I47">
        <v>1974</v>
      </c>
      <c r="J47" t="s">
        <v>21</v>
      </c>
      <c r="K47">
        <v>44.506300000000003</v>
      </c>
      <c r="L47">
        <v>-70.239500000000007</v>
      </c>
      <c r="M47" t="s">
        <v>62</v>
      </c>
      <c r="N47" s="2">
        <f>Table1[[#This Row],[Capacity (MW)]]*8760*0.72*10^-6</f>
        <v>0.189216</v>
      </c>
      <c r="O47" s="2" cm="1">
        <f t="array" ref="O47">AVERAGE(VLOOKUP(_xlfn.TEXTSPLIT(Table1[[#This Row],[Fuel (no space after comma)]], ","), FuelList_Final_EF!$A$2:$B$32, 2, FALSE))</f>
        <v>83.946336320506063</v>
      </c>
      <c r="P47" s="2">
        <f>(16112*Table1[[#This Row],[Generation (TWh)]]*10^9)/10^6</f>
        <v>3048648.1919999998</v>
      </c>
      <c r="Q47" s="2">
        <f>Table1[[#This Row],[Emission Factor (kg CO2/ mmBtu)]]*Table1[[#This Row],[Fuel Consumption (mmBtu)]]*10^3</f>
        <v>255922846448.53473</v>
      </c>
      <c r="R47" s="2">
        <f>(Table1[[#This Row],[CO2 Emissions (g CO2)]])/(Table1[[#This Row],[Generation (TWh)]]*10^9)</f>
        <v>1352.5433707959937</v>
      </c>
    </row>
    <row r="48" spans="1:18" hidden="1">
      <c r="A48" t="s">
        <v>87</v>
      </c>
      <c r="B48" t="s">
        <v>46</v>
      </c>
      <c r="C48" t="str">
        <f>SUBSTITUTE(Table1[[#This Row],[Fuel]],", ",",")</f>
        <v>bioenergy: agricultural waste (solids)</v>
      </c>
      <c r="D48" t="s">
        <v>46</v>
      </c>
      <c r="G48">
        <v>70</v>
      </c>
      <c r="H48" t="s">
        <v>27</v>
      </c>
      <c r="I48">
        <v>2009</v>
      </c>
      <c r="J48" t="s">
        <v>21</v>
      </c>
      <c r="K48">
        <v>-22.040900000000001</v>
      </c>
      <c r="L48">
        <v>-53.841900000000003</v>
      </c>
      <c r="M48" t="s">
        <v>49</v>
      </c>
      <c r="N48" s="2">
        <f>Table1[[#This Row],[Capacity (MW)]]*8760*0.72*10^-6</f>
        <v>0.44150400000000001</v>
      </c>
      <c r="O48" s="2" cm="1">
        <f t="array" ref="O48">AVERAGE(VLOOKUP(_xlfn.TEXTSPLIT(Table1[[#This Row],[Fuel (no space after comma)]], ","), FuelList_Final_EF!$A$2:$B$32, 2, FALSE))</f>
        <v>118.17</v>
      </c>
      <c r="P48" s="2">
        <f>(16112*Table1[[#This Row],[Generation (TWh)]]*10^9)/10^6</f>
        <v>7113512.4479999999</v>
      </c>
      <c r="Q48" s="2">
        <f>Table1[[#This Row],[Emission Factor (kg CO2/ mmBtu)]]*Table1[[#This Row],[Fuel Consumption (mmBtu)]]*10^3</f>
        <v>840603765980.16003</v>
      </c>
      <c r="R48" s="2">
        <f>(Table1[[#This Row],[CO2 Emissions (g CO2)]])/(Table1[[#This Row],[Generation (TWh)]]*10^9)</f>
        <v>1903.9550400000001</v>
      </c>
    </row>
    <row r="49" spans="1:18" hidden="1">
      <c r="A49" t="s">
        <v>101</v>
      </c>
      <c r="B49" t="s">
        <v>60</v>
      </c>
      <c r="C49" t="str">
        <f>SUBSTITUTE(Table1[[#This Row],[Fuel]],", ",",")</f>
        <v>bioenergy: paper mill wastes,bioenergy: wood &amp; other biomass (solids)</v>
      </c>
      <c r="D49" t="s">
        <v>61</v>
      </c>
      <c r="E49" t="s">
        <v>25</v>
      </c>
      <c r="G49">
        <v>6</v>
      </c>
      <c r="H49" t="s">
        <v>27</v>
      </c>
      <c r="I49">
        <v>2012</v>
      </c>
      <c r="J49" t="s">
        <v>21</v>
      </c>
      <c r="K49">
        <v>30.552600000000002</v>
      </c>
      <c r="L49">
        <v>117.2059</v>
      </c>
      <c r="M49" t="s">
        <v>102</v>
      </c>
      <c r="N49" s="2">
        <f>Table1[[#This Row],[Capacity (MW)]]*8760*0.72*10^-6</f>
        <v>3.7843199999999994E-2</v>
      </c>
      <c r="O49" s="2" cm="1">
        <f t="array" ref="O49">AVERAGE(VLOOKUP(_xlfn.TEXTSPLIT(Table1[[#This Row],[Fuel (no space after comma)]], ","), FuelList_Final_EF!$A$2:$B$32, 2, FALSE))</f>
        <v>97.137216657880856</v>
      </c>
      <c r="P49" s="2">
        <f>(16112*Table1[[#This Row],[Generation (TWh)]]*10^9)/10^6</f>
        <v>609729.63839999982</v>
      </c>
      <c r="Q49" s="2">
        <f>Table1[[#This Row],[Emission Factor (kg CO2/ mmBtu)]]*Table1[[#This Row],[Fuel Consumption (mmBtu)]]*10^3</f>
        <v>59227439987.992126</v>
      </c>
      <c r="R49" s="2">
        <f>(Table1[[#This Row],[CO2 Emissions (g CO2)]])/(Table1[[#This Row],[Generation (TWh)]]*10^9)</f>
        <v>1565.0748347917761</v>
      </c>
    </row>
    <row r="50" spans="1:18" hidden="1">
      <c r="A50" t="s">
        <v>103</v>
      </c>
      <c r="B50" t="s">
        <v>60</v>
      </c>
      <c r="C50" t="str">
        <f>SUBSTITUTE(Table1[[#This Row],[Fuel]],", ",",")</f>
        <v>bioenergy: paper mill wastes,bioenergy: wood &amp; other biomass (solids)</v>
      </c>
      <c r="D50" t="s">
        <v>61</v>
      </c>
      <c r="E50" t="s">
        <v>25</v>
      </c>
      <c r="G50">
        <v>34</v>
      </c>
      <c r="H50" t="s">
        <v>27</v>
      </c>
      <c r="I50">
        <v>2012</v>
      </c>
      <c r="J50" t="s">
        <v>21</v>
      </c>
      <c r="K50">
        <v>30.552600000000002</v>
      </c>
      <c r="L50">
        <v>117.2059</v>
      </c>
      <c r="M50" t="s">
        <v>102</v>
      </c>
      <c r="N50" s="2">
        <f>Table1[[#This Row],[Capacity (MW)]]*8760*0.72*10^-6</f>
        <v>0.21444479999999999</v>
      </c>
      <c r="O50" s="2" cm="1">
        <f t="array" ref="O50">AVERAGE(VLOOKUP(_xlfn.TEXTSPLIT(Table1[[#This Row],[Fuel (no space after comma)]], ","), FuelList_Final_EF!$A$2:$B$32, 2, FALSE))</f>
        <v>97.137216657880856</v>
      </c>
      <c r="P50" s="2">
        <f>(16112*Table1[[#This Row],[Generation (TWh)]]*10^9)/10^6</f>
        <v>3455134.6175999995</v>
      </c>
      <c r="Q50" s="2">
        <f>Table1[[#This Row],[Emission Factor (kg CO2/ mmBtu)]]*Table1[[#This Row],[Fuel Consumption (mmBtu)]]*10^3</f>
        <v>335622159931.95544</v>
      </c>
      <c r="R50" s="2">
        <f>(Table1[[#This Row],[CO2 Emissions (g CO2)]])/(Table1[[#This Row],[Generation (TWh)]]*10^9)</f>
        <v>1565.0748347917761</v>
      </c>
    </row>
    <row r="51" spans="1:18" hidden="1">
      <c r="A51" t="s">
        <v>104</v>
      </c>
      <c r="B51" t="s">
        <v>105</v>
      </c>
      <c r="C51" t="str">
        <f>SUBSTITUTE(Table1[[#This Row],[Fuel]],", ",",")</f>
        <v>bioenergy: agricultural waste (solids),bioenergy: wood &amp; other biomass (solids)</v>
      </c>
      <c r="D51" t="s">
        <v>46</v>
      </c>
      <c r="E51" t="s">
        <v>25</v>
      </c>
      <c r="G51">
        <v>30</v>
      </c>
      <c r="H51" t="s">
        <v>27</v>
      </c>
      <c r="I51">
        <v>2018</v>
      </c>
      <c r="J51" t="s">
        <v>21</v>
      </c>
      <c r="K51">
        <v>33.770400000000002</v>
      </c>
      <c r="L51">
        <v>115.73860000000001</v>
      </c>
      <c r="M51" t="s">
        <v>102</v>
      </c>
      <c r="N51" s="2">
        <f>Table1[[#This Row],[Capacity (MW)]]*8760*0.72*10^-6</f>
        <v>0.189216</v>
      </c>
      <c r="O51" s="2" cm="1">
        <f t="array" ref="O51">AVERAGE(VLOOKUP(_xlfn.TEXTSPLIT(Table1[[#This Row],[Fuel (no space after comma)]], ","), FuelList_Final_EF!$A$2:$B$32, 2, FALSE))</f>
        <v>105.985</v>
      </c>
      <c r="P51" s="2">
        <f>(16112*Table1[[#This Row],[Generation (TWh)]]*10^9)/10^6</f>
        <v>3048648.1919999998</v>
      </c>
      <c r="Q51" s="2">
        <f>Table1[[#This Row],[Emission Factor (kg CO2/ mmBtu)]]*Table1[[#This Row],[Fuel Consumption (mmBtu)]]*10^3</f>
        <v>323110978629.12</v>
      </c>
      <c r="R51" s="2">
        <f>(Table1[[#This Row],[CO2 Emissions (g CO2)]])/(Table1[[#This Row],[Generation (TWh)]]*10^9)</f>
        <v>1707.63032</v>
      </c>
    </row>
    <row r="52" spans="1:18" hidden="1">
      <c r="A52" t="s">
        <v>106</v>
      </c>
      <c r="B52" t="s">
        <v>46</v>
      </c>
      <c r="C52" t="str">
        <f>SUBSTITUTE(Table1[[#This Row],[Fuel]],", ",",")</f>
        <v>bioenergy: agricultural waste (solids)</v>
      </c>
      <c r="D52" t="s">
        <v>46</v>
      </c>
      <c r="G52">
        <v>30</v>
      </c>
      <c r="H52" t="s">
        <v>27</v>
      </c>
      <c r="I52">
        <v>2021</v>
      </c>
      <c r="J52" t="s">
        <v>21</v>
      </c>
      <c r="K52">
        <v>32.399500000000003</v>
      </c>
      <c r="L52">
        <v>117.2453</v>
      </c>
      <c r="M52" t="s">
        <v>102</v>
      </c>
      <c r="N52" s="2">
        <f>Table1[[#This Row],[Capacity (MW)]]*8760*0.72*10^-6</f>
        <v>0.189216</v>
      </c>
      <c r="O52" s="2" cm="1">
        <f t="array" ref="O52">AVERAGE(VLOOKUP(_xlfn.TEXTSPLIT(Table1[[#This Row],[Fuel (no space after comma)]], ","), FuelList_Final_EF!$A$2:$B$32, 2, FALSE))</f>
        <v>118.17</v>
      </c>
      <c r="P52" s="2">
        <f>(16112*Table1[[#This Row],[Generation (TWh)]]*10^9)/10^6</f>
        <v>3048648.1919999998</v>
      </c>
      <c r="Q52" s="2">
        <f>Table1[[#This Row],[Emission Factor (kg CO2/ mmBtu)]]*Table1[[#This Row],[Fuel Consumption (mmBtu)]]*10^3</f>
        <v>360258756848.63995</v>
      </c>
      <c r="R52" s="2">
        <f>(Table1[[#This Row],[CO2 Emissions (g CO2)]])/(Table1[[#This Row],[Generation (TWh)]]*10^9)</f>
        <v>1903.9550399999998</v>
      </c>
    </row>
    <row r="53" spans="1:18" hidden="1">
      <c r="A53" t="s">
        <v>107</v>
      </c>
      <c r="B53" t="s">
        <v>105</v>
      </c>
      <c r="C53" t="str">
        <f>SUBSTITUTE(Table1[[#This Row],[Fuel]],", ",",")</f>
        <v>bioenergy: agricultural waste (solids),bioenergy: wood &amp; other biomass (solids)</v>
      </c>
      <c r="D53" t="s">
        <v>46</v>
      </c>
      <c r="E53" t="s">
        <v>25</v>
      </c>
      <c r="G53">
        <v>21</v>
      </c>
      <c r="H53" t="s">
        <v>27</v>
      </c>
      <c r="I53">
        <v>2018</v>
      </c>
      <c r="J53" t="s">
        <v>21</v>
      </c>
      <c r="K53">
        <v>31.799499999999998</v>
      </c>
      <c r="L53">
        <v>117.7628</v>
      </c>
      <c r="M53" t="s">
        <v>102</v>
      </c>
      <c r="N53" s="2">
        <f>Table1[[#This Row],[Capacity (MW)]]*8760*0.72*10^-6</f>
        <v>0.13245119999999996</v>
      </c>
      <c r="O53" s="2" cm="1">
        <f t="array" ref="O53">AVERAGE(VLOOKUP(_xlfn.TEXTSPLIT(Table1[[#This Row],[Fuel (no space after comma)]], ","), FuelList_Final_EF!$A$2:$B$32, 2, FALSE))</f>
        <v>105.985</v>
      </c>
      <c r="P53" s="2">
        <f>(16112*Table1[[#This Row],[Generation (TWh)]]*10^9)/10^6</f>
        <v>2134053.7343999995</v>
      </c>
      <c r="Q53" s="2">
        <f>Table1[[#This Row],[Emission Factor (kg CO2/ mmBtu)]]*Table1[[#This Row],[Fuel Consumption (mmBtu)]]*10^3</f>
        <v>226177685040.38394</v>
      </c>
      <c r="R53" s="2">
        <f>(Table1[[#This Row],[CO2 Emissions (g CO2)]])/(Table1[[#This Row],[Generation (TWh)]]*10^9)</f>
        <v>1707.63032</v>
      </c>
    </row>
    <row r="54" spans="1:18" hidden="1">
      <c r="A54" t="s">
        <v>108</v>
      </c>
      <c r="B54" t="s">
        <v>105</v>
      </c>
      <c r="C54" t="str">
        <f>SUBSTITUTE(Table1[[#This Row],[Fuel]],", ",",")</f>
        <v>bioenergy: agricultural waste (solids),bioenergy: wood &amp; other biomass (solids)</v>
      </c>
      <c r="D54" t="s">
        <v>46</v>
      </c>
      <c r="E54" t="s">
        <v>25</v>
      </c>
      <c r="G54">
        <v>9</v>
      </c>
      <c r="H54" t="s">
        <v>27</v>
      </c>
      <c r="I54">
        <v>2018</v>
      </c>
      <c r="J54" t="s">
        <v>21</v>
      </c>
      <c r="K54">
        <v>31.799499999999998</v>
      </c>
      <c r="L54">
        <v>117.7628</v>
      </c>
      <c r="M54" t="s">
        <v>102</v>
      </c>
      <c r="N54" s="2">
        <f>Table1[[#This Row],[Capacity (MW)]]*8760*0.72*10^-6</f>
        <v>5.676479999999999E-2</v>
      </c>
      <c r="O54" s="2" cm="1">
        <f t="array" ref="O54">AVERAGE(VLOOKUP(_xlfn.TEXTSPLIT(Table1[[#This Row],[Fuel (no space after comma)]], ","), FuelList_Final_EF!$A$2:$B$32, 2, FALSE))</f>
        <v>105.985</v>
      </c>
      <c r="P54" s="2">
        <f>(16112*Table1[[#This Row],[Generation (TWh)]]*10^9)/10^6</f>
        <v>914594.45759999985</v>
      </c>
      <c r="Q54" s="2">
        <f>Table1[[#This Row],[Emission Factor (kg CO2/ mmBtu)]]*Table1[[#This Row],[Fuel Consumption (mmBtu)]]*10^3</f>
        <v>96933293588.735977</v>
      </c>
      <c r="R54" s="2">
        <f>(Table1[[#This Row],[CO2 Emissions (g CO2)]])/(Table1[[#This Row],[Generation (TWh)]]*10^9)</f>
        <v>1707.6303199999998</v>
      </c>
    </row>
    <row r="55" spans="1:18" hidden="1">
      <c r="A55" t="s">
        <v>109</v>
      </c>
      <c r="B55" t="s">
        <v>105</v>
      </c>
      <c r="C55" t="str">
        <f>SUBSTITUTE(Table1[[#This Row],[Fuel]],", ",",")</f>
        <v>bioenergy: agricultural waste (solids),bioenergy: wood &amp; other biomass (solids)</v>
      </c>
      <c r="D55" t="s">
        <v>46</v>
      </c>
      <c r="E55" t="s">
        <v>25</v>
      </c>
      <c r="G55">
        <v>30</v>
      </c>
      <c r="H55" t="s">
        <v>27</v>
      </c>
      <c r="I55">
        <v>2011</v>
      </c>
      <c r="J55" t="s">
        <v>21</v>
      </c>
      <c r="K55">
        <v>34.414400000000001</v>
      </c>
      <c r="L55">
        <v>116.41459999999999</v>
      </c>
      <c r="M55" t="s">
        <v>102</v>
      </c>
      <c r="N55" s="2">
        <f>Table1[[#This Row],[Capacity (MW)]]*8760*0.72*10^-6</f>
        <v>0.189216</v>
      </c>
      <c r="O55" s="2" cm="1">
        <f t="array" ref="O55">AVERAGE(VLOOKUP(_xlfn.TEXTSPLIT(Table1[[#This Row],[Fuel (no space after comma)]], ","), FuelList_Final_EF!$A$2:$B$32, 2, FALSE))</f>
        <v>105.985</v>
      </c>
      <c r="P55" s="2">
        <f>(16112*Table1[[#This Row],[Generation (TWh)]]*10^9)/10^6</f>
        <v>3048648.1919999998</v>
      </c>
      <c r="Q55" s="2">
        <f>Table1[[#This Row],[Emission Factor (kg CO2/ mmBtu)]]*Table1[[#This Row],[Fuel Consumption (mmBtu)]]*10^3</f>
        <v>323110978629.12</v>
      </c>
      <c r="R55" s="2">
        <f>(Table1[[#This Row],[CO2 Emissions (g CO2)]])/(Table1[[#This Row],[Generation (TWh)]]*10^9)</f>
        <v>1707.63032</v>
      </c>
    </row>
    <row r="56" spans="1:18" hidden="1">
      <c r="A56" t="s">
        <v>110</v>
      </c>
      <c r="B56" t="s">
        <v>46</v>
      </c>
      <c r="C56" t="str">
        <f>SUBSTITUTE(Table1[[#This Row],[Fuel]],", ",",")</f>
        <v>bioenergy: agricultural waste (solids)</v>
      </c>
      <c r="D56" t="s">
        <v>46</v>
      </c>
      <c r="G56">
        <v>30</v>
      </c>
      <c r="H56" t="s">
        <v>27</v>
      </c>
      <c r="I56">
        <v>2019</v>
      </c>
      <c r="J56" t="s">
        <v>21</v>
      </c>
      <c r="K56">
        <v>32.582799999999999</v>
      </c>
      <c r="L56">
        <v>117.2782</v>
      </c>
      <c r="M56" t="s">
        <v>102</v>
      </c>
      <c r="N56" s="2">
        <f>Table1[[#This Row],[Capacity (MW)]]*8760*0.72*10^-6</f>
        <v>0.189216</v>
      </c>
      <c r="O56" s="2" cm="1">
        <f t="array" ref="O56">AVERAGE(VLOOKUP(_xlfn.TEXTSPLIT(Table1[[#This Row],[Fuel (no space after comma)]], ","), FuelList_Final_EF!$A$2:$B$32, 2, FALSE))</f>
        <v>118.17</v>
      </c>
      <c r="P56" s="2">
        <f>(16112*Table1[[#This Row],[Generation (TWh)]]*10^9)/10^6</f>
        <v>3048648.1919999998</v>
      </c>
      <c r="Q56" s="2">
        <f>Table1[[#This Row],[Emission Factor (kg CO2/ mmBtu)]]*Table1[[#This Row],[Fuel Consumption (mmBtu)]]*10^3</f>
        <v>360258756848.63995</v>
      </c>
      <c r="R56" s="2">
        <f>(Table1[[#This Row],[CO2 Emissions (g CO2)]])/(Table1[[#This Row],[Generation (TWh)]]*10^9)</f>
        <v>1903.9550399999998</v>
      </c>
    </row>
    <row r="57" spans="1:18" hidden="1">
      <c r="A57" t="s">
        <v>111</v>
      </c>
      <c r="B57" t="s">
        <v>46</v>
      </c>
      <c r="C57" t="str">
        <f>SUBSTITUTE(Table1[[#This Row],[Fuel]],", ",",")</f>
        <v>bioenergy: agricultural waste (solids)</v>
      </c>
      <c r="D57" t="s">
        <v>46</v>
      </c>
      <c r="G57">
        <v>30</v>
      </c>
      <c r="H57" t="s">
        <v>27</v>
      </c>
      <c r="I57">
        <v>2016</v>
      </c>
      <c r="J57" t="s">
        <v>21</v>
      </c>
      <c r="K57">
        <v>32.308399999999999</v>
      </c>
      <c r="L57">
        <v>117.6105</v>
      </c>
      <c r="M57" t="s">
        <v>102</v>
      </c>
      <c r="N57" s="2">
        <f>Table1[[#This Row],[Capacity (MW)]]*8760*0.72*10^-6</f>
        <v>0.189216</v>
      </c>
      <c r="O57" s="2" cm="1">
        <f t="array" ref="O57">AVERAGE(VLOOKUP(_xlfn.TEXTSPLIT(Table1[[#This Row],[Fuel (no space after comma)]], ","), FuelList_Final_EF!$A$2:$B$32, 2, FALSE))</f>
        <v>118.17</v>
      </c>
      <c r="P57" s="2">
        <f>(16112*Table1[[#This Row],[Generation (TWh)]]*10^9)/10^6</f>
        <v>3048648.1919999998</v>
      </c>
      <c r="Q57" s="2">
        <f>Table1[[#This Row],[Emission Factor (kg CO2/ mmBtu)]]*Table1[[#This Row],[Fuel Consumption (mmBtu)]]*10^3</f>
        <v>360258756848.63995</v>
      </c>
      <c r="R57" s="2">
        <f>(Table1[[#This Row],[CO2 Emissions (g CO2)]])/(Table1[[#This Row],[Generation (TWh)]]*10^9)</f>
        <v>1903.9550399999998</v>
      </c>
    </row>
    <row r="58" spans="1:18" hidden="1">
      <c r="A58" t="s">
        <v>112</v>
      </c>
      <c r="B58" t="s">
        <v>19</v>
      </c>
      <c r="C58" t="str">
        <f>SUBSTITUTE(Table1[[#This Row],[Fuel]],", ",",")</f>
        <v>bioenergy: refuse (municipal and industrial wastes)</v>
      </c>
      <c r="D58" t="s">
        <v>19</v>
      </c>
      <c r="G58">
        <v>40</v>
      </c>
      <c r="H58" t="s">
        <v>27</v>
      </c>
      <c r="I58">
        <v>2021</v>
      </c>
      <c r="J58" t="s">
        <v>21</v>
      </c>
      <c r="K58">
        <v>31.7957</v>
      </c>
      <c r="L58">
        <v>117.5671</v>
      </c>
      <c r="M58" t="s">
        <v>102</v>
      </c>
      <c r="N58" s="2">
        <f>Table1[[#This Row],[Capacity (MW)]]*8760*0.72*10^-6</f>
        <v>0.25228800000000001</v>
      </c>
      <c r="O58" s="2" cm="1">
        <f t="array" ref="O58">AVERAGE(VLOOKUP(_xlfn.TEXTSPLIT(Table1[[#This Row],[Fuel (no space after comma)]], ","), FuelList_Final_EF!$A$2:$B$32, 2, FALSE))</f>
        <v>105.42962572482868</v>
      </c>
      <c r="P58" s="2">
        <f>(16112*Table1[[#This Row],[Generation (TWh)]]*10^9)/10^6</f>
        <v>4064864.2560000005</v>
      </c>
      <c r="Q58" s="2">
        <f>Table1[[#This Row],[Emission Factor (kg CO2/ mmBtu)]]*Table1[[#This Row],[Fuel Consumption (mmBtu)]]*10^3</f>
        <v>428557117132.31427</v>
      </c>
      <c r="R58" s="2">
        <f>(Table1[[#This Row],[CO2 Emissions (g CO2)]])/(Table1[[#This Row],[Generation (TWh)]]*10^9)</f>
        <v>1698.6821296784401</v>
      </c>
    </row>
    <row r="59" spans="1:18" hidden="1">
      <c r="A59" t="s">
        <v>112</v>
      </c>
      <c r="B59" t="s">
        <v>19</v>
      </c>
      <c r="C59" t="str">
        <f>SUBSTITUTE(Table1[[#This Row],[Fuel]],", ",",")</f>
        <v>bioenergy: refuse (municipal and industrial wastes)</v>
      </c>
      <c r="D59" t="s">
        <v>19</v>
      </c>
      <c r="G59">
        <v>40</v>
      </c>
      <c r="H59" t="s">
        <v>27</v>
      </c>
      <c r="I59">
        <v>2021</v>
      </c>
      <c r="J59" t="s">
        <v>21</v>
      </c>
      <c r="K59">
        <v>31.7957</v>
      </c>
      <c r="L59">
        <v>117.5671</v>
      </c>
      <c r="M59" t="s">
        <v>102</v>
      </c>
      <c r="N59" s="2">
        <f>Table1[[#This Row],[Capacity (MW)]]*8760*0.72*10^-6</f>
        <v>0.25228800000000001</v>
      </c>
      <c r="O59" s="2" cm="1">
        <f t="array" ref="O59">AVERAGE(VLOOKUP(_xlfn.TEXTSPLIT(Table1[[#This Row],[Fuel (no space after comma)]], ","), FuelList_Final_EF!$A$2:$B$32, 2, FALSE))</f>
        <v>105.42962572482868</v>
      </c>
      <c r="P59" s="2">
        <f>(16112*Table1[[#This Row],[Generation (TWh)]]*10^9)/10^6</f>
        <v>4064864.2560000005</v>
      </c>
      <c r="Q59" s="2">
        <f>Table1[[#This Row],[Emission Factor (kg CO2/ mmBtu)]]*Table1[[#This Row],[Fuel Consumption (mmBtu)]]*10^3</f>
        <v>428557117132.31427</v>
      </c>
      <c r="R59" s="2">
        <f>(Table1[[#This Row],[CO2 Emissions (g CO2)]])/(Table1[[#This Row],[Generation (TWh)]]*10^9)</f>
        <v>1698.6821296784401</v>
      </c>
    </row>
    <row r="60" spans="1:18" hidden="1">
      <c r="A60" t="s">
        <v>113</v>
      </c>
      <c r="B60" t="s">
        <v>46</v>
      </c>
      <c r="C60" t="str">
        <f>SUBSTITUTE(Table1[[#This Row],[Fuel]],", ",",")</f>
        <v>bioenergy: agricultural waste (solids)</v>
      </c>
      <c r="D60" t="s">
        <v>46</v>
      </c>
      <c r="G60">
        <v>30</v>
      </c>
      <c r="H60" t="s">
        <v>27</v>
      </c>
      <c r="I60">
        <v>2020</v>
      </c>
      <c r="J60" t="s">
        <v>21</v>
      </c>
      <c r="K60">
        <v>32.899700000000003</v>
      </c>
      <c r="L60">
        <v>116.42059999999999</v>
      </c>
      <c r="M60" t="s">
        <v>102</v>
      </c>
      <c r="N60" s="2">
        <f>Table1[[#This Row],[Capacity (MW)]]*8760*0.72*10^-6</f>
        <v>0.189216</v>
      </c>
      <c r="O60" s="2" cm="1">
        <f t="array" ref="O60">AVERAGE(VLOOKUP(_xlfn.TEXTSPLIT(Table1[[#This Row],[Fuel (no space after comma)]], ","), FuelList_Final_EF!$A$2:$B$32, 2, FALSE))</f>
        <v>118.17</v>
      </c>
      <c r="P60" s="2">
        <f>(16112*Table1[[#This Row],[Generation (TWh)]]*10^9)/10^6</f>
        <v>3048648.1919999998</v>
      </c>
      <c r="Q60" s="2">
        <f>Table1[[#This Row],[Emission Factor (kg CO2/ mmBtu)]]*Table1[[#This Row],[Fuel Consumption (mmBtu)]]*10^3</f>
        <v>360258756848.63995</v>
      </c>
      <c r="R60" s="2">
        <f>(Table1[[#This Row],[CO2 Emissions (g CO2)]])/(Table1[[#This Row],[Generation (TWh)]]*10^9)</f>
        <v>1903.9550399999998</v>
      </c>
    </row>
    <row r="61" spans="1:18" hidden="1">
      <c r="A61" t="s">
        <v>111</v>
      </c>
      <c r="B61" t="s">
        <v>46</v>
      </c>
      <c r="C61" t="str">
        <f>SUBSTITUTE(Table1[[#This Row],[Fuel]],", ",",")</f>
        <v>bioenergy: agricultural waste (solids)</v>
      </c>
      <c r="D61" t="s">
        <v>46</v>
      </c>
      <c r="G61">
        <v>30</v>
      </c>
      <c r="H61" t="s">
        <v>27</v>
      </c>
      <c r="I61">
        <v>2017</v>
      </c>
      <c r="J61" t="s">
        <v>21</v>
      </c>
      <c r="K61">
        <v>32.919400000000003</v>
      </c>
      <c r="L61">
        <v>117.68219999999999</v>
      </c>
      <c r="M61" t="s">
        <v>102</v>
      </c>
      <c r="N61" s="2">
        <f>Table1[[#This Row],[Capacity (MW)]]*8760*0.72*10^-6</f>
        <v>0.189216</v>
      </c>
      <c r="O61" s="2" cm="1">
        <f t="array" ref="O61">AVERAGE(VLOOKUP(_xlfn.TEXTSPLIT(Table1[[#This Row],[Fuel (no space after comma)]], ","), FuelList_Final_EF!$A$2:$B$32, 2, FALSE))</f>
        <v>118.17</v>
      </c>
      <c r="P61" s="2">
        <f>(16112*Table1[[#This Row],[Generation (TWh)]]*10^9)/10^6</f>
        <v>3048648.1919999998</v>
      </c>
      <c r="Q61" s="2">
        <f>Table1[[#This Row],[Emission Factor (kg CO2/ mmBtu)]]*Table1[[#This Row],[Fuel Consumption (mmBtu)]]*10^3</f>
        <v>360258756848.63995</v>
      </c>
      <c r="R61" s="2">
        <f>(Table1[[#This Row],[CO2 Emissions (g CO2)]])/(Table1[[#This Row],[Generation (TWh)]]*10^9)</f>
        <v>1903.9550399999998</v>
      </c>
    </row>
    <row r="62" spans="1:18" hidden="1">
      <c r="A62" t="s">
        <v>114</v>
      </c>
      <c r="B62" t="s">
        <v>105</v>
      </c>
      <c r="C62" t="str">
        <f>SUBSTITUTE(Table1[[#This Row],[Fuel]],", ",",")</f>
        <v>bioenergy: agricultural waste (solids),bioenergy: wood &amp; other biomass (solids)</v>
      </c>
      <c r="D62" t="s">
        <v>46</v>
      </c>
      <c r="E62" t="s">
        <v>25</v>
      </c>
      <c r="G62">
        <v>3</v>
      </c>
      <c r="H62" t="s">
        <v>27</v>
      </c>
      <c r="I62">
        <v>2016</v>
      </c>
      <c r="J62" t="s">
        <v>21</v>
      </c>
      <c r="K62">
        <v>32.646799999999999</v>
      </c>
      <c r="L62">
        <v>115.6476</v>
      </c>
      <c r="M62" t="s">
        <v>102</v>
      </c>
      <c r="N62" s="2">
        <f>Table1[[#This Row],[Capacity (MW)]]*8760*0.72*10^-6</f>
        <v>1.8921599999999997E-2</v>
      </c>
      <c r="O62" s="2" cm="1">
        <f t="array" ref="O62">AVERAGE(VLOOKUP(_xlfn.TEXTSPLIT(Table1[[#This Row],[Fuel (no space after comma)]], ","), FuelList_Final_EF!$A$2:$B$32, 2, FALSE))</f>
        <v>105.985</v>
      </c>
      <c r="P62" s="2">
        <f>(16112*Table1[[#This Row],[Generation (TWh)]]*10^9)/10^6</f>
        <v>304864.81919999991</v>
      </c>
      <c r="Q62" s="2">
        <f>Table1[[#This Row],[Emission Factor (kg CO2/ mmBtu)]]*Table1[[#This Row],[Fuel Consumption (mmBtu)]]*10^3</f>
        <v>32311097862.911991</v>
      </c>
      <c r="R62" s="2">
        <f>(Table1[[#This Row],[CO2 Emissions (g CO2)]])/(Table1[[#This Row],[Generation (TWh)]]*10^9)</f>
        <v>1707.6303199999998</v>
      </c>
    </row>
    <row r="63" spans="1:18" hidden="1">
      <c r="A63" t="s">
        <v>115</v>
      </c>
      <c r="B63" t="s">
        <v>105</v>
      </c>
      <c r="C63" t="str">
        <f>SUBSTITUTE(Table1[[#This Row],[Fuel]],", ",",")</f>
        <v>bioenergy: agricultural waste (solids),bioenergy: wood &amp; other biomass (solids)</v>
      </c>
      <c r="D63" t="s">
        <v>46</v>
      </c>
      <c r="E63" t="s">
        <v>25</v>
      </c>
      <c r="G63">
        <v>27</v>
      </c>
      <c r="H63" t="s">
        <v>27</v>
      </c>
      <c r="I63">
        <v>2016</v>
      </c>
      <c r="J63" t="s">
        <v>21</v>
      </c>
      <c r="K63">
        <v>32.646799999999999</v>
      </c>
      <c r="L63">
        <v>115.6476</v>
      </c>
      <c r="M63" t="s">
        <v>102</v>
      </c>
      <c r="N63" s="2">
        <f>Table1[[#This Row],[Capacity (MW)]]*8760*0.72*10^-6</f>
        <v>0.17029439999999998</v>
      </c>
      <c r="O63" s="2" cm="1">
        <f t="array" ref="O63">AVERAGE(VLOOKUP(_xlfn.TEXTSPLIT(Table1[[#This Row],[Fuel (no space after comma)]], ","), FuelList_Final_EF!$A$2:$B$32, 2, FALSE))</f>
        <v>105.985</v>
      </c>
      <c r="P63" s="2">
        <f>(16112*Table1[[#This Row],[Generation (TWh)]]*10^9)/10^6</f>
        <v>2743783.3727999995</v>
      </c>
      <c r="Q63" s="2">
        <f>Table1[[#This Row],[Emission Factor (kg CO2/ mmBtu)]]*Table1[[#This Row],[Fuel Consumption (mmBtu)]]*10^3</f>
        <v>290799880766.20795</v>
      </c>
      <c r="R63" s="2">
        <f>(Table1[[#This Row],[CO2 Emissions (g CO2)]])/(Table1[[#This Row],[Generation (TWh)]]*10^9)</f>
        <v>1707.63032</v>
      </c>
    </row>
    <row r="64" spans="1:18" hidden="1">
      <c r="A64" t="s">
        <v>116</v>
      </c>
      <c r="B64" t="s">
        <v>105</v>
      </c>
      <c r="C64" t="str">
        <f>SUBSTITUTE(Table1[[#This Row],[Fuel]],", ",",")</f>
        <v>bioenergy: agricultural waste (solids),bioenergy: wood &amp; other biomass (solids)</v>
      </c>
      <c r="D64" t="s">
        <v>46</v>
      </c>
      <c r="E64" t="s">
        <v>25</v>
      </c>
      <c r="G64">
        <v>1.5</v>
      </c>
      <c r="H64" t="s">
        <v>27</v>
      </c>
      <c r="I64">
        <v>2017</v>
      </c>
      <c r="J64" t="s">
        <v>21</v>
      </c>
      <c r="K64">
        <v>32.868400000000001</v>
      </c>
      <c r="L64">
        <v>115.8609</v>
      </c>
      <c r="M64" t="s">
        <v>102</v>
      </c>
      <c r="N64" s="2">
        <f>Table1[[#This Row],[Capacity (MW)]]*8760*0.72*10^-6</f>
        <v>9.4607999999999984E-3</v>
      </c>
      <c r="O64" s="2" cm="1">
        <f t="array" ref="O64">AVERAGE(VLOOKUP(_xlfn.TEXTSPLIT(Table1[[#This Row],[Fuel (no space after comma)]], ","), FuelList_Final_EF!$A$2:$B$32, 2, FALSE))</f>
        <v>105.985</v>
      </c>
      <c r="P64" s="2">
        <f>(16112*Table1[[#This Row],[Generation (TWh)]]*10^9)/10^6</f>
        <v>152432.40959999996</v>
      </c>
      <c r="Q64" s="2">
        <f>Table1[[#This Row],[Emission Factor (kg CO2/ mmBtu)]]*Table1[[#This Row],[Fuel Consumption (mmBtu)]]*10^3</f>
        <v>16155548931.455996</v>
      </c>
      <c r="R64" s="2">
        <f>(Table1[[#This Row],[CO2 Emissions (g CO2)]])/(Table1[[#This Row],[Generation (TWh)]]*10^9)</f>
        <v>1707.6303199999998</v>
      </c>
    </row>
    <row r="65" spans="1:18" hidden="1">
      <c r="A65" t="s">
        <v>104</v>
      </c>
      <c r="B65" t="s">
        <v>105</v>
      </c>
      <c r="C65" t="str">
        <f>SUBSTITUTE(Table1[[#This Row],[Fuel]],", ",",")</f>
        <v>bioenergy: agricultural waste (solids),bioenergy: wood &amp; other biomass (solids)</v>
      </c>
      <c r="D65" t="s">
        <v>46</v>
      </c>
      <c r="E65" t="s">
        <v>25</v>
      </c>
      <c r="G65">
        <v>28.5</v>
      </c>
      <c r="H65" t="s">
        <v>27</v>
      </c>
      <c r="I65">
        <v>2017</v>
      </c>
      <c r="J65" t="s">
        <v>21</v>
      </c>
      <c r="K65">
        <v>32.868400000000001</v>
      </c>
      <c r="L65">
        <v>115.8609</v>
      </c>
      <c r="M65" t="s">
        <v>102</v>
      </c>
      <c r="N65" s="2">
        <f>Table1[[#This Row],[Capacity (MW)]]*8760*0.72*10^-6</f>
        <v>0.17975519999999998</v>
      </c>
      <c r="O65" s="2" cm="1">
        <f t="array" ref="O65">AVERAGE(VLOOKUP(_xlfn.TEXTSPLIT(Table1[[#This Row],[Fuel (no space after comma)]], ","), FuelList_Final_EF!$A$2:$B$32, 2, FALSE))</f>
        <v>105.985</v>
      </c>
      <c r="P65" s="2">
        <f>(16112*Table1[[#This Row],[Generation (TWh)]]*10^9)/10^6</f>
        <v>2896215.7823999994</v>
      </c>
      <c r="Q65" s="2">
        <f>Table1[[#This Row],[Emission Factor (kg CO2/ mmBtu)]]*Table1[[#This Row],[Fuel Consumption (mmBtu)]]*10^3</f>
        <v>306955429697.66394</v>
      </c>
      <c r="R65" s="2">
        <f>(Table1[[#This Row],[CO2 Emissions (g CO2)]])/(Table1[[#This Row],[Generation (TWh)]]*10^9)</f>
        <v>1707.63032</v>
      </c>
    </row>
    <row r="66" spans="1:18" hidden="1">
      <c r="A66" t="s">
        <v>111</v>
      </c>
      <c r="B66" t="s">
        <v>105</v>
      </c>
      <c r="C66" t="str">
        <f>SUBSTITUTE(Table1[[#This Row],[Fuel]],", ",",")</f>
        <v>bioenergy: agricultural waste (solids),bioenergy: wood &amp; other biomass (solids)</v>
      </c>
      <c r="D66" t="s">
        <v>46</v>
      </c>
      <c r="E66" t="s">
        <v>25</v>
      </c>
      <c r="G66">
        <v>30</v>
      </c>
      <c r="H66" t="s">
        <v>27</v>
      </c>
      <c r="I66">
        <v>2019</v>
      </c>
      <c r="J66" t="s">
        <v>21</v>
      </c>
      <c r="K66">
        <v>33.445</v>
      </c>
      <c r="L66">
        <v>116.1465</v>
      </c>
      <c r="M66" t="s">
        <v>102</v>
      </c>
      <c r="N66" s="2">
        <f>Table1[[#This Row],[Capacity (MW)]]*8760*0.72*10^-6</f>
        <v>0.189216</v>
      </c>
      <c r="O66" s="2" cm="1">
        <f t="array" ref="O66">AVERAGE(VLOOKUP(_xlfn.TEXTSPLIT(Table1[[#This Row],[Fuel (no space after comma)]], ","), FuelList_Final_EF!$A$2:$B$32, 2, FALSE))</f>
        <v>105.985</v>
      </c>
      <c r="P66" s="2">
        <f>(16112*Table1[[#This Row],[Generation (TWh)]]*10^9)/10^6</f>
        <v>3048648.1919999998</v>
      </c>
      <c r="Q66" s="2">
        <f>Table1[[#This Row],[Emission Factor (kg CO2/ mmBtu)]]*Table1[[#This Row],[Fuel Consumption (mmBtu)]]*10^3</f>
        <v>323110978629.12</v>
      </c>
      <c r="R66" s="2">
        <f>(Table1[[#This Row],[CO2 Emissions (g CO2)]])/(Table1[[#This Row],[Generation (TWh)]]*10^9)</f>
        <v>1707.63032</v>
      </c>
    </row>
    <row r="67" spans="1:18" hidden="1">
      <c r="A67" t="s">
        <v>117</v>
      </c>
      <c r="B67" t="s">
        <v>46</v>
      </c>
      <c r="C67" t="str">
        <f>SUBSTITUTE(Table1[[#This Row],[Fuel]],", ",",")</f>
        <v>bioenergy: agricultural waste (solids)</v>
      </c>
      <c r="D67" t="s">
        <v>46</v>
      </c>
      <c r="G67">
        <v>30</v>
      </c>
      <c r="H67" t="s">
        <v>27</v>
      </c>
      <c r="I67">
        <v>2010</v>
      </c>
      <c r="J67" t="s">
        <v>21</v>
      </c>
      <c r="K67">
        <v>33.2331</v>
      </c>
      <c r="L67">
        <v>117.3372</v>
      </c>
      <c r="M67" t="s">
        <v>102</v>
      </c>
      <c r="N67" s="2">
        <f>Table1[[#This Row],[Capacity (MW)]]*8760*0.72*10^-6</f>
        <v>0.189216</v>
      </c>
      <c r="O67" s="2" cm="1">
        <f t="array" ref="O67">AVERAGE(VLOOKUP(_xlfn.TEXTSPLIT(Table1[[#This Row],[Fuel (no space after comma)]], ","), FuelList_Final_EF!$A$2:$B$32, 2, FALSE))</f>
        <v>118.17</v>
      </c>
      <c r="P67" s="2">
        <f>(16112*Table1[[#This Row],[Generation (TWh)]]*10^9)/10^6</f>
        <v>3048648.1919999998</v>
      </c>
      <c r="Q67" s="2">
        <f>Table1[[#This Row],[Emission Factor (kg CO2/ mmBtu)]]*Table1[[#This Row],[Fuel Consumption (mmBtu)]]*10^3</f>
        <v>360258756848.63995</v>
      </c>
      <c r="R67" s="2">
        <f>(Table1[[#This Row],[CO2 Emissions (g CO2)]])/(Table1[[#This Row],[Generation (TWh)]]*10^9)</f>
        <v>1903.9550399999998</v>
      </c>
    </row>
    <row r="68" spans="1:18" hidden="1">
      <c r="A68" t="s">
        <v>111</v>
      </c>
      <c r="B68" t="s">
        <v>46</v>
      </c>
      <c r="C68" t="str">
        <f>SUBSTITUTE(Table1[[#This Row],[Fuel]],", ",",")</f>
        <v>bioenergy: agricultural waste (solids)</v>
      </c>
      <c r="D68" t="s">
        <v>46</v>
      </c>
      <c r="G68">
        <v>30</v>
      </c>
      <c r="H68" t="s">
        <v>27</v>
      </c>
      <c r="I68">
        <v>2014</v>
      </c>
      <c r="J68" t="s">
        <v>21</v>
      </c>
      <c r="K68">
        <v>31.5124</v>
      </c>
      <c r="L68">
        <v>118.08540000000001</v>
      </c>
      <c r="M68" t="s">
        <v>102</v>
      </c>
      <c r="N68" s="2">
        <f>Table1[[#This Row],[Capacity (MW)]]*8760*0.72*10^-6</f>
        <v>0.189216</v>
      </c>
      <c r="O68" s="2" cm="1">
        <f t="array" ref="O68">AVERAGE(VLOOKUP(_xlfn.TEXTSPLIT(Table1[[#This Row],[Fuel (no space after comma)]], ","), FuelList_Final_EF!$A$2:$B$32, 2, FALSE))</f>
        <v>118.17</v>
      </c>
      <c r="P68" s="2">
        <f>(16112*Table1[[#This Row],[Generation (TWh)]]*10^9)/10^6</f>
        <v>3048648.1919999998</v>
      </c>
      <c r="Q68" s="2">
        <f>Table1[[#This Row],[Emission Factor (kg CO2/ mmBtu)]]*Table1[[#This Row],[Fuel Consumption (mmBtu)]]*10^3</f>
        <v>360258756848.63995</v>
      </c>
      <c r="R68" s="2">
        <f>(Table1[[#This Row],[CO2 Emissions (g CO2)]])/(Table1[[#This Row],[Generation (TWh)]]*10^9)</f>
        <v>1903.9550399999998</v>
      </c>
    </row>
    <row r="69" spans="1:18" hidden="1">
      <c r="A69" t="s">
        <v>111</v>
      </c>
      <c r="B69" t="s">
        <v>105</v>
      </c>
      <c r="C69" t="str">
        <f>SUBSTITUTE(Table1[[#This Row],[Fuel]],", ",",")</f>
        <v>bioenergy: agricultural waste (solids),bioenergy: wood &amp; other biomass (solids)</v>
      </c>
      <c r="D69" t="s">
        <v>46</v>
      </c>
      <c r="E69" t="s">
        <v>25</v>
      </c>
      <c r="G69">
        <v>30</v>
      </c>
      <c r="H69" t="s">
        <v>27</v>
      </c>
      <c r="I69">
        <v>2016</v>
      </c>
      <c r="J69" t="s">
        <v>21</v>
      </c>
      <c r="K69">
        <v>32.987400000000001</v>
      </c>
      <c r="L69">
        <v>117.1134</v>
      </c>
      <c r="M69" t="s">
        <v>102</v>
      </c>
      <c r="N69" s="2">
        <f>Table1[[#This Row],[Capacity (MW)]]*8760*0.72*10^-6</f>
        <v>0.189216</v>
      </c>
      <c r="O69" s="2" cm="1">
        <f t="array" ref="O69">AVERAGE(VLOOKUP(_xlfn.TEXTSPLIT(Table1[[#This Row],[Fuel (no space after comma)]], ","), FuelList_Final_EF!$A$2:$B$32, 2, FALSE))</f>
        <v>105.985</v>
      </c>
      <c r="P69" s="2">
        <f>(16112*Table1[[#This Row],[Generation (TWh)]]*10^9)/10^6</f>
        <v>3048648.1919999998</v>
      </c>
      <c r="Q69" s="2">
        <f>Table1[[#This Row],[Emission Factor (kg CO2/ mmBtu)]]*Table1[[#This Row],[Fuel Consumption (mmBtu)]]*10^3</f>
        <v>323110978629.12</v>
      </c>
      <c r="R69" s="2">
        <f>(Table1[[#This Row],[CO2 Emissions (g CO2)]])/(Table1[[#This Row],[Generation (TWh)]]*10^9)</f>
        <v>1707.63032</v>
      </c>
    </row>
    <row r="70" spans="1:18" hidden="1">
      <c r="A70" t="s">
        <v>118</v>
      </c>
      <c r="B70" t="s">
        <v>46</v>
      </c>
      <c r="C70" t="str">
        <f>SUBSTITUTE(Table1[[#This Row],[Fuel]],", ",",")</f>
        <v>bioenergy: agricultural waste (solids)</v>
      </c>
      <c r="D70" t="s">
        <v>46</v>
      </c>
      <c r="G70">
        <v>30</v>
      </c>
      <c r="H70" t="s">
        <v>27</v>
      </c>
      <c r="I70">
        <v>2013</v>
      </c>
      <c r="J70" t="s">
        <v>21</v>
      </c>
      <c r="K70">
        <v>32.390099999999997</v>
      </c>
      <c r="L70">
        <v>116.27209999999999</v>
      </c>
      <c r="M70" t="s">
        <v>102</v>
      </c>
      <c r="N70" s="2">
        <f>Table1[[#This Row],[Capacity (MW)]]*8760*0.72*10^-6</f>
        <v>0.189216</v>
      </c>
      <c r="O70" s="2" cm="1">
        <f t="array" ref="O70">AVERAGE(VLOOKUP(_xlfn.TEXTSPLIT(Table1[[#This Row],[Fuel (no space after comma)]], ","), FuelList_Final_EF!$A$2:$B$32, 2, FALSE))</f>
        <v>118.17</v>
      </c>
      <c r="P70" s="2">
        <f>(16112*Table1[[#This Row],[Generation (TWh)]]*10^9)/10^6</f>
        <v>3048648.1919999998</v>
      </c>
      <c r="Q70" s="2">
        <f>Table1[[#This Row],[Emission Factor (kg CO2/ mmBtu)]]*Table1[[#This Row],[Fuel Consumption (mmBtu)]]*10^3</f>
        <v>360258756848.63995</v>
      </c>
      <c r="R70" s="2">
        <f>(Table1[[#This Row],[CO2 Emissions (g CO2)]])/(Table1[[#This Row],[Generation (TWh)]]*10^9)</f>
        <v>1903.9550399999998</v>
      </c>
    </row>
    <row r="71" spans="1:18" hidden="1">
      <c r="A71" t="s">
        <v>119</v>
      </c>
      <c r="B71" t="s">
        <v>105</v>
      </c>
      <c r="C71" t="str">
        <f>SUBSTITUTE(Table1[[#This Row],[Fuel]],", ",",")</f>
        <v>bioenergy: agricultural waste (solids),bioenergy: wood &amp; other biomass (solids)</v>
      </c>
      <c r="D71" t="s">
        <v>46</v>
      </c>
      <c r="E71" t="s">
        <v>25</v>
      </c>
      <c r="G71">
        <v>30</v>
      </c>
      <c r="H71" t="s">
        <v>27</v>
      </c>
      <c r="I71">
        <v>2013</v>
      </c>
      <c r="J71" t="s">
        <v>21</v>
      </c>
      <c r="K71">
        <v>31.427700000000002</v>
      </c>
      <c r="L71">
        <v>116.37260000000001</v>
      </c>
      <c r="M71" t="s">
        <v>102</v>
      </c>
      <c r="N71" s="2">
        <f>Table1[[#This Row],[Capacity (MW)]]*8760*0.72*10^-6</f>
        <v>0.189216</v>
      </c>
      <c r="O71" s="2" cm="1">
        <f t="array" ref="O71">AVERAGE(VLOOKUP(_xlfn.TEXTSPLIT(Table1[[#This Row],[Fuel (no space after comma)]], ","), FuelList_Final_EF!$A$2:$B$32, 2, FALSE))</f>
        <v>105.985</v>
      </c>
      <c r="P71" s="2">
        <f>(16112*Table1[[#This Row],[Generation (TWh)]]*10^9)/10^6</f>
        <v>3048648.1919999998</v>
      </c>
      <c r="Q71" s="2">
        <f>Table1[[#This Row],[Emission Factor (kg CO2/ mmBtu)]]*Table1[[#This Row],[Fuel Consumption (mmBtu)]]*10^3</f>
        <v>323110978629.12</v>
      </c>
      <c r="R71" s="2">
        <f>(Table1[[#This Row],[CO2 Emissions (g CO2)]])/(Table1[[#This Row],[Generation (TWh)]]*10^9)</f>
        <v>1707.63032</v>
      </c>
    </row>
    <row r="72" spans="1:18" hidden="1">
      <c r="A72" t="s">
        <v>120</v>
      </c>
      <c r="B72" t="s">
        <v>105</v>
      </c>
      <c r="C72" t="str">
        <f>SUBSTITUTE(Table1[[#This Row],[Fuel]],", ",",")</f>
        <v>bioenergy: agricultural waste (solids),bioenergy: wood &amp; other biomass (solids)</v>
      </c>
      <c r="D72" t="s">
        <v>46</v>
      </c>
      <c r="E72" t="s">
        <v>25</v>
      </c>
      <c r="G72">
        <v>30</v>
      </c>
      <c r="H72" t="s">
        <v>27</v>
      </c>
      <c r="I72">
        <v>2013</v>
      </c>
      <c r="J72" t="s">
        <v>21</v>
      </c>
      <c r="K72">
        <v>31.754899999999999</v>
      </c>
      <c r="L72">
        <v>115.93819999999999</v>
      </c>
      <c r="M72" t="s">
        <v>102</v>
      </c>
      <c r="N72" s="2">
        <f>Table1[[#This Row],[Capacity (MW)]]*8760*0.72*10^-6</f>
        <v>0.189216</v>
      </c>
      <c r="O72" s="2" cm="1">
        <f t="array" ref="O72">AVERAGE(VLOOKUP(_xlfn.TEXTSPLIT(Table1[[#This Row],[Fuel (no space after comma)]], ","), FuelList_Final_EF!$A$2:$B$32, 2, FALSE))</f>
        <v>105.985</v>
      </c>
      <c r="P72" s="2">
        <f>(16112*Table1[[#This Row],[Generation (TWh)]]*10^9)/10^6</f>
        <v>3048648.1919999998</v>
      </c>
      <c r="Q72" s="2">
        <f>Table1[[#This Row],[Emission Factor (kg CO2/ mmBtu)]]*Table1[[#This Row],[Fuel Consumption (mmBtu)]]*10^3</f>
        <v>323110978629.12</v>
      </c>
      <c r="R72" s="2">
        <f>(Table1[[#This Row],[CO2 Emissions (g CO2)]])/(Table1[[#This Row],[Generation (TWh)]]*10^9)</f>
        <v>1707.63032</v>
      </c>
    </row>
    <row r="73" spans="1:18" hidden="1">
      <c r="A73" t="s">
        <v>121</v>
      </c>
      <c r="B73" t="s">
        <v>105</v>
      </c>
      <c r="C73" t="str">
        <f>SUBSTITUTE(Table1[[#This Row],[Fuel]],", ",",")</f>
        <v>bioenergy: agricultural waste (solids),bioenergy: wood &amp; other biomass (solids)</v>
      </c>
      <c r="D73" t="s">
        <v>46</v>
      </c>
      <c r="E73" t="s">
        <v>25</v>
      </c>
      <c r="G73">
        <v>30</v>
      </c>
      <c r="H73" t="s">
        <v>27</v>
      </c>
      <c r="I73">
        <v>2016</v>
      </c>
      <c r="J73" t="s">
        <v>21</v>
      </c>
      <c r="K73">
        <v>31.0045</v>
      </c>
      <c r="L73">
        <v>119.10899999999999</v>
      </c>
      <c r="M73" t="s">
        <v>102</v>
      </c>
      <c r="N73" s="2">
        <f>Table1[[#This Row],[Capacity (MW)]]*8760*0.72*10^-6</f>
        <v>0.189216</v>
      </c>
      <c r="O73" s="2" cm="1">
        <f t="array" ref="O73">AVERAGE(VLOOKUP(_xlfn.TEXTSPLIT(Table1[[#This Row],[Fuel (no space after comma)]], ","), FuelList_Final_EF!$A$2:$B$32, 2, FALSE))</f>
        <v>105.985</v>
      </c>
      <c r="P73" s="2">
        <f>(16112*Table1[[#This Row],[Generation (TWh)]]*10^9)/10^6</f>
        <v>3048648.1919999998</v>
      </c>
      <c r="Q73" s="2">
        <f>Table1[[#This Row],[Emission Factor (kg CO2/ mmBtu)]]*Table1[[#This Row],[Fuel Consumption (mmBtu)]]*10^3</f>
        <v>323110978629.12</v>
      </c>
      <c r="R73" s="2">
        <f>(Table1[[#This Row],[CO2 Emissions (g CO2)]])/(Table1[[#This Row],[Generation (TWh)]]*10^9)</f>
        <v>1707.63032</v>
      </c>
    </row>
    <row r="74" spans="1:18">
      <c r="A74" t="s">
        <v>121</v>
      </c>
      <c r="B74" t="s">
        <v>105</v>
      </c>
      <c r="C74" t="str">
        <f>SUBSTITUTE(Table1[[#This Row],[Fuel]],", ",",")</f>
        <v>bioenergy: agricultural waste (solids),bioenergy: wood &amp; other biomass (solids)</v>
      </c>
      <c r="D74" t="s">
        <v>46</v>
      </c>
      <c r="E74" t="s">
        <v>25</v>
      </c>
      <c r="G74">
        <v>30</v>
      </c>
      <c r="H74" t="s">
        <v>20</v>
      </c>
      <c r="I74" t="s">
        <v>21</v>
      </c>
      <c r="J74" t="s">
        <v>21</v>
      </c>
      <c r="K74">
        <v>31.0045</v>
      </c>
      <c r="L74">
        <v>119.10899999999999</v>
      </c>
      <c r="M74" t="s">
        <v>102</v>
      </c>
      <c r="N74" s="2">
        <f>Table1[[#This Row],[Capacity (MW)]]*8760*0.72*10^-6</f>
        <v>0.189216</v>
      </c>
      <c r="O74" s="2" cm="1">
        <f t="array" ref="O74">AVERAGE(VLOOKUP(_xlfn.TEXTSPLIT(Table1[[#This Row],[Fuel (no space after comma)]], ","), FuelList_Final_EF!$A$2:$B$32, 2, FALSE))</f>
        <v>105.985</v>
      </c>
      <c r="P74" s="2">
        <f>(16112*Table1[[#This Row],[Generation (TWh)]]*10^9)/10^6</f>
        <v>3048648.1919999998</v>
      </c>
      <c r="Q74" s="2">
        <f>Table1[[#This Row],[Emission Factor (kg CO2/ mmBtu)]]*Table1[[#This Row],[Fuel Consumption (mmBtu)]]*10^3</f>
        <v>323110978629.12</v>
      </c>
      <c r="R74" s="2">
        <f>(Table1[[#This Row],[CO2 Emissions (g CO2)]])/(Table1[[#This Row],[Generation (TWh)]]*10^9)</f>
        <v>1707.63032</v>
      </c>
    </row>
    <row r="75" spans="1:18">
      <c r="A75" t="s">
        <v>121</v>
      </c>
      <c r="B75" t="s">
        <v>105</v>
      </c>
      <c r="C75" t="str">
        <f>SUBSTITUTE(Table1[[#This Row],[Fuel]],", ",",")</f>
        <v>bioenergy: agricultural waste (solids),bioenergy: wood &amp; other biomass (solids)</v>
      </c>
      <c r="D75" t="s">
        <v>46</v>
      </c>
      <c r="E75" t="s">
        <v>25</v>
      </c>
      <c r="G75">
        <v>30</v>
      </c>
      <c r="H75" t="s">
        <v>97</v>
      </c>
      <c r="I75" t="s">
        <v>21</v>
      </c>
      <c r="J75" t="s">
        <v>21</v>
      </c>
      <c r="K75">
        <v>31.0045</v>
      </c>
      <c r="L75">
        <v>119.10899999999999</v>
      </c>
      <c r="M75" t="s">
        <v>102</v>
      </c>
      <c r="N75" s="2">
        <f>Table1[[#This Row],[Capacity (MW)]]*8760*0.72*10^-6</f>
        <v>0.189216</v>
      </c>
      <c r="O75" s="2" cm="1">
        <f t="array" ref="O75">AVERAGE(VLOOKUP(_xlfn.TEXTSPLIT(Table1[[#This Row],[Fuel (no space after comma)]], ","), FuelList_Final_EF!$A$2:$B$32, 2, FALSE))</f>
        <v>105.985</v>
      </c>
      <c r="P75" s="2">
        <f>(16112*Table1[[#This Row],[Generation (TWh)]]*10^9)/10^6</f>
        <v>3048648.1919999998</v>
      </c>
      <c r="Q75" s="2">
        <f>Table1[[#This Row],[Emission Factor (kg CO2/ mmBtu)]]*Table1[[#This Row],[Fuel Consumption (mmBtu)]]*10^3</f>
        <v>323110978629.12</v>
      </c>
      <c r="R75" s="2">
        <f>(Table1[[#This Row],[CO2 Emissions (g CO2)]])/(Table1[[#This Row],[Generation (TWh)]]*10^9)</f>
        <v>1707.63032</v>
      </c>
    </row>
    <row r="76" spans="1:18">
      <c r="A76" t="s">
        <v>121</v>
      </c>
      <c r="B76" t="s">
        <v>105</v>
      </c>
      <c r="C76" t="str">
        <f>SUBSTITUTE(Table1[[#This Row],[Fuel]],", ",",")</f>
        <v>bioenergy: agricultural waste (solids),bioenergy: wood &amp; other biomass (solids)</v>
      </c>
      <c r="D76" t="s">
        <v>46</v>
      </c>
      <c r="E76" t="s">
        <v>25</v>
      </c>
      <c r="G76">
        <v>30</v>
      </c>
      <c r="H76" t="s">
        <v>97</v>
      </c>
      <c r="I76" t="s">
        <v>21</v>
      </c>
      <c r="J76" t="s">
        <v>21</v>
      </c>
      <c r="K76">
        <v>31.0045</v>
      </c>
      <c r="L76">
        <v>119.10899999999999</v>
      </c>
      <c r="M76" t="s">
        <v>102</v>
      </c>
      <c r="N76" s="2">
        <f>Table1[[#This Row],[Capacity (MW)]]*8760*0.72*10^-6</f>
        <v>0.189216</v>
      </c>
      <c r="O76" s="2" cm="1">
        <f t="array" ref="O76">AVERAGE(VLOOKUP(_xlfn.TEXTSPLIT(Table1[[#This Row],[Fuel (no space after comma)]], ","), FuelList_Final_EF!$A$2:$B$32, 2, FALSE))</f>
        <v>105.985</v>
      </c>
      <c r="P76" s="2">
        <f>(16112*Table1[[#This Row],[Generation (TWh)]]*10^9)/10^6</f>
        <v>3048648.1919999998</v>
      </c>
      <c r="Q76" s="2">
        <f>Table1[[#This Row],[Emission Factor (kg CO2/ mmBtu)]]*Table1[[#This Row],[Fuel Consumption (mmBtu)]]*10^3</f>
        <v>323110978629.12</v>
      </c>
      <c r="R76" s="2">
        <f>(Table1[[#This Row],[CO2 Emissions (g CO2)]])/(Table1[[#This Row],[Generation (TWh)]]*10^9)</f>
        <v>1707.63032</v>
      </c>
    </row>
    <row r="77" spans="1:18" hidden="1">
      <c r="A77" t="s">
        <v>122</v>
      </c>
      <c r="B77" t="s">
        <v>105</v>
      </c>
      <c r="C77" t="str">
        <f>SUBSTITUTE(Table1[[#This Row],[Fuel]],", ",",")</f>
        <v>bioenergy: agricultural waste (solids),bioenergy: wood &amp; other biomass (solids)</v>
      </c>
      <c r="D77" t="s">
        <v>46</v>
      </c>
      <c r="E77" t="s">
        <v>25</v>
      </c>
      <c r="G77">
        <v>21</v>
      </c>
      <c r="H77" t="s">
        <v>27</v>
      </c>
      <c r="I77">
        <v>2021</v>
      </c>
      <c r="J77" t="s">
        <v>21</v>
      </c>
      <c r="K77">
        <v>33.609400000000001</v>
      </c>
      <c r="L77">
        <v>117.56010000000001</v>
      </c>
      <c r="M77" t="s">
        <v>102</v>
      </c>
      <c r="N77" s="2">
        <f>Table1[[#This Row],[Capacity (MW)]]*8760*0.72*10^-6</f>
        <v>0.13245119999999996</v>
      </c>
      <c r="O77" s="2" cm="1">
        <f t="array" ref="O77">AVERAGE(VLOOKUP(_xlfn.TEXTSPLIT(Table1[[#This Row],[Fuel (no space after comma)]], ","), FuelList_Final_EF!$A$2:$B$32, 2, FALSE))</f>
        <v>105.985</v>
      </c>
      <c r="P77" s="2">
        <f>(16112*Table1[[#This Row],[Generation (TWh)]]*10^9)/10^6</f>
        <v>2134053.7343999995</v>
      </c>
      <c r="Q77" s="2">
        <f>Table1[[#This Row],[Emission Factor (kg CO2/ mmBtu)]]*Table1[[#This Row],[Fuel Consumption (mmBtu)]]*10^3</f>
        <v>226177685040.38394</v>
      </c>
      <c r="R77" s="2">
        <f>(Table1[[#This Row],[CO2 Emissions (g CO2)]])/(Table1[[#This Row],[Generation (TWh)]]*10^9)</f>
        <v>1707.63032</v>
      </c>
    </row>
    <row r="78" spans="1:18" hidden="1">
      <c r="A78" t="s">
        <v>104</v>
      </c>
      <c r="B78" t="s">
        <v>105</v>
      </c>
      <c r="C78" t="str">
        <f>SUBSTITUTE(Table1[[#This Row],[Fuel]],", ",",")</f>
        <v>bioenergy: agricultural waste (solids),bioenergy: wood &amp; other biomass (solids)</v>
      </c>
      <c r="D78" t="s">
        <v>46</v>
      </c>
      <c r="E78" t="s">
        <v>25</v>
      </c>
      <c r="G78">
        <v>9</v>
      </c>
      <c r="H78" t="s">
        <v>27</v>
      </c>
      <c r="I78">
        <v>2021</v>
      </c>
      <c r="J78" t="s">
        <v>21</v>
      </c>
      <c r="K78">
        <v>33.609400000000001</v>
      </c>
      <c r="L78">
        <v>117.56010000000001</v>
      </c>
      <c r="M78" t="s">
        <v>102</v>
      </c>
      <c r="N78" s="2">
        <f>Table1[[#This Row],[Capacity (MW)]]*8760*0.72*10^-6</f>
        <v>5.676479999999999E-2</v>
      </c>
      <c r="O78" s="2" cm="1">
        <f t="array" ref="O78">AVERAGE(VLOOKUP(_xlfn.TEXTSPLIT(Table1[[#This Row],[Fuel (no space after comma)]], ","), FuelList_Final_EF!$A$2:$B$32, 2, FALSE))</f>
        <v>105.985</v>
      </c>
      <c r="P78" s="2">
        <f>(16112*Table1[[#This Row],[Generation (TWh)]]*10^9)/10^6</f>
        <v>914594.45759999985</v>
      </c>
      <c r="Q78" s="2">
        <f>Table1[[#This Row],[Emission Factor (kg CO2/ mmBtu)]]*Table1[[#This Row],[Fuel Consumption (mmBtu)]]*10^3</f>
        <v>96933293588.735977</v>
      </c>
      <c r="R78" s="2">
        <f>(Table1[[#This Row],[CO2 Emissions (g CO2)]])/(Table1[[#This Row],[Generation (TWh)]]*10^9)</f>
        <v>1707.6303199999998</v>
      </c>
    </row>
    <row r="79" spans="1:18" hidden="1">
      <c r="A79" t="s">
        <v>111</v>
      </c>
      <c r="B79" t="s">
        <v>46</v>
      </c>
      <c r="C79" t="str">
        <f>SUBSTITUTE(Table1[[#This Row],[Fuel]],", ",",")</f>
        <v>bioenergy: agricultural waste (solids)</v>
      </c>
      <c r="D79" t="s">
        <v>46</v>
      </c>
      <c r="G79">
        <v>30</v>
      </c>
      <c r="H79" t="s">
        <v>27</v>
      </c>
      <c r="I79">
        <v>2017</v>
      </c>
      <c r="J79" t="s">
        <v>21</v>
      </c>
      <c r="K79">
        <v>33.770200000000003</v>
      </c>
      <c r="L79">
        <v>117.4556</v>
      </c>
      <c r="M79" t="s">
        <v>102</v>
      </c>
      <c r="N79" s="2">
        <f>Table1[[#This Row],[Capacity (MW)]]*8760*0.72*10^-6</f>
        <v>0.189216</v>
      </c>
      <c r="O79" s="2" cm="1">
        <f t="array" ref="O79">AVERAGE(VLOOKUP(_xlfn.TEXTSPLIT(Table1[[#This Row],[Fuel (no space after comma)]], ","), FuelList_Final_EF!$A$2:$B$32, 2, FALSE))</f>
        <v>118.17</v>
      </c>
      <c r="P79" s="2">
        <f>(16112*Table1[[#This Row],[Generation (TWh)]]*10^9)/10^6</f>
        <v>3048648.1919999998</v>
      </c>
      <c r="Q79" s="2">
        <f>Table1[[#This Row],[Emission Factor (kg CO2/ mmBtu)]]*Table1[[#This Row],[Fuel Consumption (mmBtu)]]*10^3</f>
        <v>360258756848.63995</v>
      </c>
      <c r="R79" s="2">
        <f>(Table1[[#This Row],[CO2 Emissions (g CO2)]])/(Table1[[#This Row],[Generation (TWh)]]*10^9)</f>
        <v>1903.9550399999998</v>
      </c>
    </row>
    <row r="80" spans="1:18" hidden="1">
      <c r="A80" t="s">
        <v>117</v>
      </c>
      <c r="B80" t="s">
        <v>105</v>
      </c>
      <c r="C80" t="str">
        <f>SUBSTITUTE(Table1[[#This Row],[Fuel]],", ",",")</f>
        <v>bioenergy: agricultural waste (solids),bioenergy: wood &amp; other biomass (solids)</v>
      </c>
      <c r="D80" t="s">
        <v>46</v>
      </c>
      <c r="E80" t="s">
        <v>25</v>
      </c>
      <c r="G80">
        <v>35</v>
      </c>
      <c r="H80" t="s">
        <v>27</v>
      </c>
      <c r="I80">
        <v>2021</v>
      </c>
      <c r="J80" t="s">
        <v>21</v>
      </c>
      <c r="K80">
        <v>33.018300000000004</v>
      </c>
      <c r="L80">
        <v>115.3415</v>
      </c>
      <c r="M80" t="s">
        <v>102</v>
      </c>
      <c r="N80" s="2">
        <f>Table1[[#This Row],[Capacity (MW)]]*8760*0.72*10^-6</f>
        <v>0.220752</v>
      </c>
      <c r="O80" s="2" cm="1">
        <f t="array" ref="O80">AVERAGE(VLOOKUP(_xlfn.TEXTSPLIT(Table1[[#This Row],[Fuel (no space after comma)]], ","), FuelList_Final_EF!$A$2:$B$32, 2, FALSE))</f>
        <v>105.985</v>
      </c>
      <c r="P80" s="2">
        <f>(16112*Table1[[#This Row],[Generation (TWh)]]*10^9)/10^6</f>
        <v>3556756.2239999999</v>
      </c>
      <c r="Q80" s="2">
        <f>Table1[[#This Row],[Emission Factor (kg CO2/ mmBtu)]]*Table1[[#This Row],[Fuel Consumption (mmBtu)]]*10^3</f>
        <v>376962808400.64001</v>
      </c>
      <c r="R80" s="2">
        <f>(Table1[[#This Row],[CO2 Emissions (g CO2)]])/(Table1[[#This Row],[Generation (TWh)]]*10^9)</f>
        <v>1707.63032</v>
      </c>
    </row>
    <row r="81" spans="1:18" hidden="1">
      <c r="A81" t="s">
        <v>106</v>
      </c>
      <c r="B81" t="s">
        <v>46</v>
      </c>
      <c r="C81" t="str">
        <f>SUBSTITUTE(Table1[[#This Row],[Fuel]],", ",",")</f>
        <v>bioenergy: agricultural waste (solids)</v>
      </c>
      <c r="D81" t="s">
        <v>46</v>
      </c>
      <c r="G81">
        <v>30</v>
      </c>
      <c r="H81" t="s">
        <v>27</v>
      </c>
      <c r="I81">
        <v>2022</v>
      </c>
      <c r="J81" t="s">
        <v>21</v>
      </c>
      <c r="K81">
        <v>33.242800000000003</v>
      </c>
      <c r="L81">
        <v>116.05629999999999</v>
      </c>
      <c r="M81" t="s">
        <v>102</v>
      </c>
      <c r="N81" s="2">
        <f>Table1[[#This Row],[Capacity (MW)]]*8760*0.72*10^-6</f>
        <v>0.189216</v>
      </c>
      <c r="O81" s="2" cm="1">
        <f t="array" ref="O81">AVERAGE(VLOOKUP(_xlfn.TEXTSPLIT(Table1[[#This Row],[Fuel (no space after comma)]], ","), FuelList_Final_EF!$A$2:$B$32, 2, FALSE))</f>
        <v>118.17</v>
      </c>
      <c r="P81" s="2">
        <f>(16112*Table1[[#This Row],[Generation (TWh)]]*10^9)/10^6</f>
        <v>3048648.1919999998</v>
      </c>
      <c r="Q81" s="2">
        <f>Table1[[#This Row],[Emission Factor (kg CO2/ mmBtu)]]*Table1[[#This Row],[Fuel Consumption (mmBtu)]]*10^3</f>
        <v>360258756848.63995</v>
      </c>
      <c r="R81" s="2">
        <f>(Table1[[#This Row],[CO2 Emissions (g CO2)]])/(Table1[[#This Row],[Generation (TWh)]]*10^9)</f>
        <v>1903.9550399999998</v>
      </c>
    </row>
    <row r="82" spans="1:18" hidden="1">
      <c r="A82" t="s">
        <v>123</v>
      </c>
      <c r="B82" t="s">
        <v>105</v>
      </c>
      <c r="C82" t="str">
        <f>SUBSTITUTE(Table1[[#This Row],[Fuel]],", ",",")</f>
        <v>bioenergy: agricultural waste (solids),bioenergy: wood &amp; other biomass (solids)</v>
      </c>
      <c r="D82" t="s">
        <v>46</v>
      </c>
      <c r="E82" t="s">
        <v>25</v>
      </c>
      <c r="G82">
        <v>21</v>
      </c>
      <c r="H82" t="s">
        <v>27</v>
      </c>
      <c r="I82">
        <v>2015</v>
      </c>
      <c r="J82" t="s">
        <v>21</v>
      </c>
      <c r="K82">
        <v>31.383199999999999</v>
      </c>
      <c r="L82">
        <v>116.9812</v>
      </c>
      <c r="M82" t="s">
        <v>102</v>
      </c>
      <c r="N82" s="2">
        <f>Table1[[#This Row],[Capacity (MW)]]*8760*0.72*10^-6</f>
        <v>0.13245119999999996</v>
      </c>
      <c r="O82" s="2" cm="1">
        <f t="array" ref="O82">AVERAGE(VLOOKUP(_xlfn.TEXTSPLIT(Table1[[#This Row],[Fuel (no space after comma)]], ","), FuelList_Final_EF!$A$2:$B$32, 2, FALSE))</f>
        <v>105.985</v>
      </c>
      <c r="P82" s="2">
        <f>(16112*Table1[[#This Row],[Generation (TWh)]]*10^9)/10^6</f>
        <v>2134053.7343999995</v>
      </c>
      <c r="Q82" s="2">
        <f>Table1[[#This Row],[Emission Factor (kg CO2/ mmBtu)]]*Table1[[#This Row],[Fuel Consumption (mmBtu)]]*10^3</f>
        <v>226177685040.38394</v>
      </c>
      <c r="R82" s="2">
        <f>(Table1[[#This Row],[CO2 Emissions (g CO2)]])/(Table1[[#This Row],[Generation (TWh)]]*10^9)</f>
        <v>1707.63032</v>
      </c>
    </row>
    <row r="83" spans="1:18" hidden="1">
      <c r="A83" t="s">
        <v>124</v>
      </c>
      <c r="B83" t="s">
        <v>105</v>
      </c>
      <c r="C83" t="str">
        <f>SUBSTITUTE(Table1[[#This Row],[Fuel]],", ",",")</f>
        <v>bioenergy: agricultural waste (solids),bioenergy: wood &amp; other biomass (solids)</v>
      </c>
      <c r="D83" t="s">
        <v>46</v>
      </c>
      <c r="E83" t="s">
        <v>25</v>
      </c>
      <c r="G83">
        <v>9</v>
      </c>
      <c r="H83" t="s">
        <v>27</v>
      </c>
      <c r="I83">
        <v>2015</v>
      </c>
      <c r="J83" t="s">
        <v>21</v>
      </c>
      <c r="K83">
        <v>31.383199999999999</v>
      </c>
      <c r="L83">
        <v>116.9812</v>
      </c>
      <c r="M83" t="s">
        <v>102</v>
      </c>
      <c r="N83" s="2">
        <f>Table1[[#This Row],[Capacity (MW)]]*8760*0.72*10^-6</f>
        <v>5.676479999999999E-2</v>
      </c>
      <c r="O83" s="2" cm="1">
        <f t="array" ref="O83">AVERAGE(VLOOKUP(_xlfn.TEXTSPLIT(Table1[[#This Row],[Fuel (no space after comma)]], ","), FuelList_Final_EF!$A$2:$B$32, 2, FALSE))</f>
        <v>105.985</v>
      </c>
      <c r="P83" s="2">
        <f>(16112*Table1[[#This Row],[Generation (TWh)]]*10^9)/10^6</f>
        <v>914594.45759999985</v>
      </c>
      <c r="Q83" s="2">
        <f>Table1[[#This Row],[Emission Factor (kg CO2/ mmBtu)]]*Table1[[#This Row],[Fuel Consumption (mmBtu)]]*10^3</f>
        <v>96933293588.735977</v>
      </c>
      <c r="R83" s="2">
        <f>(Table1[[#This Row],[CO2 Emissions (g CO2)]])/(Table1[[#This Row],[Generation (TWh)]]*10^9)</f>
        <v>1707.6303199999998</v>
      </c>
    </row>
    <row r="84" spans="1:18" hidden="1">
      <c r="A84" t="s">
        <v>118</v>
      </c>
      <c r="B84" t="s">
        <v>46</v>
      </c>
      <c r="C84" t="str">
        <f>SUBSTITUTE(Table1[[#This Row],[Fuel]],", ",",")</f>
        <v>bioenergy: agricultural waste (solids)</v>
      </c>
      <c r="D84" t="s">
        <v>46</v>
      </c>
      <c r="G84">
        <v>30</v>
      </c>
      <c r="H84" t="s">
        <v>27</v>
      </c>
      <c r="I84">
        <v>2013</v>
      </c>
      <c r="J84" t="s">
        <v>21</v>
      </c>
      <c r="K84">
        <v>31.2499</v>
      </c>
      <c r="L84">
        <v>117.2283</v>
      </c>
      <c r="M84" t="s">
        <v>102</v>
      </c>
      <c r="N84" s="2">
        <f>Table1[[#This Row],[Capacity (MW)]]*8760*0.72*10^-6</f>
        <v>0.189216</v>
      </c>
      <c r="O84" s="2" cm="1">
        <f t="array" ref="O84">AVERAGE(VLOOKUP(_xlfn.TEXTSPLIT(Table1[[#This Row],[Fuel (no space after comma)]], ","), FuelList_Final_EF!$A$2:$B$32, 2, FALSE))</f>
        <v>118.17</v>
      </c>
      <c r="P84" s="2">
        <f>(16112*Table1[[#This Row],[Generation (TWh)]]*10^9)/10^6</f>
        <v>3048648.1919999998</v>
      </c>
      <c r="Q84" s="2">
        <f>Table1[[#This Row],[Emission Factor (kg CO2/ mmBtu)]]*Table1[[#This Row],[Fuel Consumption (mmBtu)]]*10^3</f>
        <v>360258756848.63995</v>
      </c>
      <c r="R84" s="2">
        <f>(Table1[[#This Row],[CO2 Emissions (g CO2)]])/(Table1[[#This Row],[Generation (TWh)]]*10^9)</f>
        <v>1903.9550399999998</v>
      </c>
    </row>
    <row r="85" spans="1:18" hidden="1">
      <c r="A85" t="s">
        <v>125</v>
      </c>
      <c r="B85" t="s">
        <v>61</v>
      </c>
      <c r="C85" t="str">
        <f>SUBSTITUTE(Table1[[#This Row],[Fuel]],", ",",")</f>
        <v>bioenergy: paper mill wastes</v>
      </c>
      <c r="D85" t="s">
        <v>61</v>
      </c>
      <c r="G85">
        <v>30</v>
      </c>
      <c r="H85" t="s">
        <v>27</v>
      </c>
      <c r="I85">
        <v>2022</v>
      </c>
      <c r="J85" t="s">
        <v>21</v>
      </c>
      <c r="K85">
        <v>31.736899999999999</v>
      </c>
      <c r="L85">
        <v>118.48950000000001</v>
      </c>
      <c r="M85" t="s">
        <v>102</v>
      </c>
      <c r="N85" s="2">
        <f>Table1[[#This Row],[Capacity (MW)]]*8760*0.72*10^-6</f>
        <v>0.189216</v>
      </c>
      <c r="O85" s="2" cm="1">
        <f t="array" ref="O85">AVERAGE(VLOOKUP(_xlfn.TEXTSPLIT(Table1[[#This Row],[Fuel (no space after comma)]], ","), FuelList_Final_EF!$A$2:$B$32, 2, FALSE))</f>
        <v>100.47443331576173</v>
      </c>
      <c r="P85" s="2">
        <f>(16112*Table1[[#This Row],[Generation (TWh)]]*10^9)/10^6</f>
        <v>3048648.1919999998</v>
      </c>
      <c r="Q85" s="2">
        <f>Table1[[#This Row],[Emission Factor (kg CO2/ mmBtu)]]*Table1[[#This Row],[Fuel Consumption (mmBtu)]]*10^3</f>
        <v>306311199470.32153</v>
      </c>
      <c r="R85" s="2">
        <f>(Table1[[#This Row],[CO2 Emissions (g CO2)]])/(Table1[[#This Row],[Generation (TWh)]]*10^9)</f>
        <v>1618.8440695835529</v>
      </c>
    </row>
    <row r="86" spans="1:18" hidden="1">
      <c r="A86" t="s">
        <v>117</v>
      </c>
      <c r="B86" t="s">
        <v>105</v>
      </c>
      <c r="C86" t="str">
        <f>SUBSTITUTE(Table1[[#This Row],[Fuel]],", ",",")</f>
        <v>bioenergy: agricultural waste (solids),bioenergy: wood &amp; other biomass (solids)</v>
      </c>
      <c r="D86" t="s">
        <v>46</v>
      </c>
      <c r="E86" t="s">
        <v>25</v>
      </c>
      <c r="G86">
        <v>30</v>
      </c>
      <c r="H86" t="s">
        <v>27</v>
      </c>
      <c r="I86">
        <v>2015</v>
      </c>
      <c r="J86" t="s">
        <v>21</v>
      </c>
      <c r="K86">
        <v>33.271700000000003</v>
      </c>
      <c r="L86">
        <v>116.508</v>
      </c>
      <c r="M86" t="s">
        <v>102</v>
      </c>
      <c r="N86" s="2">
        <f>Table1[[#This Row],[Capacity (MW)]]*8760*0.72*10^-6</f>
        <v>0.189216</v>
      </c>
      <c r="O86" s="2" cm="1">
        <f t="array" ref="O86">AVERAGE(VLOOKUP(_xlfn.TEXTSPLIT(Table1[[#This Row],[Fuel (no space after comma)]], ","), FuelList_Final_EF!$A$2:$B$32, 2, FALSE))</f>
        <v>105.985</v>
      </c>
      <c r="P86" s="2">
        <f>(16112*Table1[[#This Row],[Generation (TWh)]]*10^9)/10^6</f>
        <v>3048648.1919999998</v>
      </c>
      <c r="Q86" s="2">
        <f>Table1[[#This Row],[Emission Factor (kg CO2/ mmBtu)]]*Table1[[#This Row],[Fuel Consumption (mmBtu)]]*10^3</f>
        <v>323110978629.12</v>
      </c>
      <c r="R86" s="2">
        <f>(Table1[[#This Row],[CO2 Emissions (g CO2)]])/(Table1[[#This Row],[Generation (TWh)]]*10^9)</f>
        <v>1707.63032</v>
      </c>
    </row>
    <row r="87" spans="1:18" hidden="1">
      <c r="A87" t="s">
        <v>104</v>
      </c>
      <c r="B87" t="s">
        <v>105</v>
      </c>
      <c r="C87" t="str">
        <f>SUBSTITUTE(Table1[[#This Row],[Fuel]],", ",",")</f>
        <v>bioenergy: agricultural waste (solids),bioenergy: wood &amp; other biomass (solids)</v>
      </c>
      <c r="D87" t="s">
        <v>46</v>
      </c>
      <c r="E87" t="s">
        <v>25</v>
      </c>
      <c r="G87">
        <v>30</v>
      </c>
      <c r="H87" t="s">
        <v>27</v>
      </c>
      <c r="I87">
        <v>2019</v>
      </c>
      <c r="J87" t="s">
        <v>21</v>
      </c>
      <c r="K87">
        <v>32.858199999999997</v>
      </c>
      <c r="L87">
        <v>118.0843</v>
      </c>
      <c r="M87" t="s">
        <v>102</v>
      </c>
      <c r="N87" s="2">
        <f>Table1[[#This Row],[Capacity (MW)]]*8760*0.72*10^-6</f>
        <v>0.189216</v>
      </c>
      <c r="O87" s="2" cm="1">
        <f t="array" ref="O87">AVERAGE(VLOOKUP(_xlfn.TEXTSPLIT(Table1[[#This Row],[Fuel (no space after comma)]], ","), FuelList_Final_EF!$A$2:$B$32, 2, FALSE))</f>
        <v>105.985</v>
      </c>
      <c r="P87" s="2">
        <f>(16112*Table1[[#This Row],[Generation (TWh)]]*10^9)/10^6</f>
        <v>3048648.1919999998</v>
      </c>
      <c r="Q87" s="2">
        <f>Table1[[#This Row],[Emission Factor (kg CO2/ mmBtu)]]*Table1[[#This Row],[Fuel Consumption (mmBtu)]]*10^3</f>
        <v>323110978629.12</v>
      </c>
      <c r="R87" s="2">
        <f>(Table1[[#This Row],[CO2 Emissions (g CO2)]])/(Table1[[#This Row],[Generation (TWh)]]*10^9)</f>
        <v>1707.63032</v>
      </c>
    </row>
    <row r="88" spans="1:18" hidden="1">
      <c r="A88" t="s">
        <v>118</v>
      </c>
      <c r="B88" t="s">
        <v>105</v>
      </c>
      <c r="C88" t="str">
        <f>SUBSTITUTE(Table1[[#This Row],[Fuel]],", ",",")</f>
        <v>bioenergy: agricultural waste (solids),bioenergy: wood &amp; other biomass (solids)</v>
      </c>
      <c r="D88" t="s">
        <v>46</v>
      </c>
      <c r="E88" t="s">
        <v>25</v>
      </c>
      <c r="G88">
        <v>30</v>
      </c>
      <c r="H88" t="s">
        <v>27</v>
      </c>
      <c r="I88">
        <v>2012</v>
      </c>
      <c r="J88" t="s">
        <v>21</v>
      </c>
      <c r="K88">
        <v>30.918600000000001</v>
      </c>
      <c r="L88">
        <v>118.2692</v>
      </c>
      <c r="M88" t="s">
        <v>102</v>
      </c>
      <c r="N88" s="2">
        <f>Table1[[#This Row],[Capacity (MW)]]*8760*0.72*10^-6</f>
        <v>0.189216</v>
      </c>
      <c r="O88" s="2" cm="1">
        <f t="array" ref="O88">AVERAGE(VLOOKUP(_xlfn.TEXTSPLIT(Table1[[#This Row],[Fuel (no space after comma)]], ","), FuelList_Final_EF!$A$2:$B$32, 2, FALSE))</f>
        <v>105.985</v>
      </c>
      <c r="P88" s="2">
        <f>(16112*Table1[[#This Row],[Generation (TWh)]]*10^9)/10^6</f>
        <v>3048648.1919999998</v>
      </c>
      <c r="Q88" s="2">
        <f>Table1[[#This Row],[Emission Factor (kg CO2/ mmBtu)]]*Table1[[#This Row],[Fuel Consumption (mmBtu)]]*10^3</f>
        <v>323110978629.12</v>
      </c>
      <c r="R88" s="2">
        <f>(Table1[[#This Row],[CO2 Emissions (g CO2)]])/(Table1[[#This Row],[Generation (TWh)]]*10^9)</f>
        <v>1707.63032</v>
      </c>
    </row>
    <row r="89" spans="1:18" hidden="1">
      <c r="A89" t="s">
        <v>111</v>
      </c>
      <c r="B89" t="s">
        <v>46</v>
      </c>
      <c r="C89" t="str">
        <f>SUBSTITUTE(Table1[[#This Row],[Fuel]],", ",",")</f>
        <v>bioenergy: agricultural waste (solids)</v>
      </c>
      <c r="D89" t="s">
        <v>46</v>
      </c>
      <c r="G89">
        <v>30</v>
      </c>
      <c r="H89" t="s">
        <v>27</v>
      </c>
      <c r="I89">
        <v>2017</v>
      </c>
      <c r="J89" t="s">
        <v>21</v>
      </c>
      <c r="K89">
        <v>32.452399999999997</v>
      </c>
      <c r="L89">
        <v>118.292</v>
      </c>
      <c r="M89" t="s">
        <v>102</v>
      </c>
      <c r="N89" s="2">
        <f>Table1[[#This Row],[Capacity (MW)]]*8760*0.72*10^-6</f>
        <v>0.189216</v>
      </c>
      <c r="O89" s="2" cm="1">
        <f t="array" ref="O89">AVERAGE(VLOOKUP(_xlfn.TEXTSPLIT(Table1[[#This Row],[Fuel (no space after comma)]], ","), FuelList_Final_EF!$A$2:$B$32, 2, FALSE))</f>
        <v>118.17</v>
      </c>
      <c r="P89" s="2">
        <f>(16112*Table1[[#This Row],[Generation (TWh)]]*10^9)/10^6</f>
        <v>3048648.1919999998</v>
      </c>
      <c r="Q89" s="2">
        <f>Table1[[#This Row],[Emission Factor (kg CO2/ mmBtu)]]*Table1[[#This Row],[Fuel Consumption (mmBtu)]]*10^3</f>
        <v>360258756848.63995</v>
      </c>
      <c r="R89" s="2">
        <f>(Table1[[#This Row],[CO2 Emissions (g CO2)]])/(Table1[[#This Row],[Generation (TWh)]]*10^9)</f>
        <v>1903.9550399999998</v>
      </c>
    </row>
    <row r="90" spans="1:18" hidden="1">
      <c r="A90" t="s">
        <v>118</v>
      </c>
      <c r="B90" t="s">
        <v>105</v>
      </c>
      <c r="C90" t="str">
        <f>SUBSTITUTE(Table1[[#This Row],[Fuel]],", ",",")</f>
        <v>bioenergy: agricultural waste (solids),bioenergy: wood &amp; other biomass (solids)</v>
      </c>
      <c r="D90" t="s">
        <v>46</v>
      </c>
      <c r="E90" t="s">
        <v>25</v>
      </c>
      <c r="G90">
        <v>30</v>
      </c>
      <c r="H90" t="s">
        <v>27</v>
      </c>
      <c r="I90">
        <v>2018</v>
      </c>
      <c r="J90" t="s">
        <v>21</v>
      </c>
      <c r="K90">
        <v>30.696999999999999</v>
      </c>
      <c r="L90">
        <v>118.92489999999999</v>
      </c>
      <c r="M90" t="s">
        <v>102</v>
      </c>
      <c r="N90" s="2">
        <f>Table1[[#This Row],[Capacity (MW)]]*8760*0.72*10^-6</f>
        <v>0.189216</v>
      </c>
      <c r="O90" s="2" cm="1">
        <f t="array" ref="O90">AVERAGE(VLOOKUP(_xlfn.TEXTSPLIT(Table1[[#This Row],[Fuel (no space after comma)]], ","), FuelList_Final_EF!$A$2:$B$32, 2, FALSE))</f>
        <v>105.985</v>
      </c>
      <c r="P90" s="2">
        <f>(16112*Table1[[#This Row],[Generation (TWh)]]*10^9)/10^6</f>
        <v>3048648.1919999998</v>
      </c>
      <c r="Q90" s="2">
        <f>Table1[[#This Row],[Emission Factor (kg CO2/ mmBtu)]]*Table1[[#This Row],[Fuel Consumption (mmBtu)]]*10^3</f>
        <v>323110978629.12</v>
      </c>
      <c r="R90" s="2">
        <f>(Table1[[#This Row],[CO2 Emissions (g CO2)]])/(Table1[[#This Row],[Generation (TWh)]]*10^9)</f>
        <v>1707.63032</v>
      </c>
    </row>
    <row r="91" spans="1:18">
      <c r="A91" t="s">
        <v>126</v>
      </c>
      <c r="B91" t="s">
        <v>46</v>
      </c>
      <c r="C91" t="str">
        <f>SUBSTITUTE(Table1[[#This Row],[Fuel]],", ",",")</f>
        <v>bioenergy: agricultural waste (solids)</v>
      </c>
      <c r="D91" t="s">
        <v>46</v>
      </c>
      <c r="G91">
        <v>30</v>
      </c>
      <c r="H91" t="s">
        <v>53</v>
      </c>
      <c r="I91" t="s">
        <v>21</v>
      </c>
      <c r="J91" t="s">
        <v>21</v>
      </c>
      <c r="K91">
        <v>30.703900000000001</v>
      </c>
      <c r="L91">
        <v>118.8798</v>
      </c>
      <c r="M91" t="s">
        <v>102</v>
      </c>
      <c r="N91" s="2">
        <f>Table1[[#This Row],[Capacity (MW)]]*8760*0.72*10^-6</f>
        <v>0.189216</v>
      </c>
      <c r="O91" s="2" cm="1">
        <f t="array" ref="O91">AVERAGE(VLOOKUP(_xlfn.TEXTSPLIT(Table1[[#This Row],[Fuel (no space after comma)]], ","), FuelList_Final_EF!$A$2:$B$32, 2, FALSE))</f>
        <v>118.17</v>
      </c>
      <c r="P91" s="2">
        <f>(16112*Table1[[#This Row],[Generation (TWh)]]*10^9)/10^6</f>
        <v>3048648.1919999998</v>
      </c>
      <c r="Q91" s="2">
        <f>Table1[[#This Row],[Emission Factor (kg CO2/ mmBtu)]]*Table1[[#This Row],[Fuel Consumption (mmBtu)]]*10^3</f>
        <v>360258756848.63995</v>
      </c>
      <c r="R91" s="2">
        <f>(Table1[[#This Row],[CO2 Emissions (g CO2)]])/(Table1[[#This Row],[Generation (TWh)]]*10^9)</f>
        <v>1903.9550399999998</v>
      </c>
    </row>
    <row r="92" spans="1:18" hidden="1">
      <c r="A92" t="s">
        <v>117</v>
      </c>
      <c r="B92" t="s">
        <v>46</v>
      </c>
      <c r="C92" t="str">
        <f>SUBSTITUTE(Table1[[#This Row],[Fuel]],", ",",")</f>
        <v>bioenergy: agricultural waste (solids)</v>
      </c>
      <c r="D92" t="s">
        <v>46</v>
      </c>
      <c r="G92">
        <v>30</v>
      </c>
      <c r="H92" t="s">
        <v>27</v>
      </c>
      <c r="I92">
        <v>2013</v>
      </c>
      <c r="J92" t="s">
        <v>21</v>
      </c>
      <c r="K92">
        <v>32.492800000000003</v>
      </c>
      <c r="L92">
        <v>116.7235</v>
      </c>
      <c r="M92" t="s">
        <v>102</v>
      </c>
      <c r="N92" s="2">
        <f>Table1[[#This Row],[Capacity (MW)]]*8760*0.72*10^-6</f>
        <v>0.189216</v>
      </c>
      <c r="O92" s="2" cm="1">
        <f t="array" ref="O92">AVERAGE(VLOOKUP(_xlfn.TEXTSPLIT(Table1[[#This Row],[Fuel (no space after comma)]], ","), FuelList_Final_EF!$A$2:$B$32, 2, FALSE))</f>
        <v>118.17</v>
      </c>
      <c r="P92" s="2">
        <f>(16112*Table1[[#This Row],[Generation (TWh)]]*10^9)/10^6</f>
        <v>3048648.1919999998</v>
      </c>
      <c r="Q92" s="2">
        <f>Table1[[#This Row],[Emission Factor (kg CO2/ mmBtu)]]*Table1[[#This Row],[Fuel Consumption (mmBtu)]]*10^3</f>
        <v>360258756848.63995</v>
      </c>
      <c r="R92" s="2">
        <f>(Table1[[#This Row],[CO2 Emissions (g CO2)]])/(Table1[[#This Row],[Generation (TWh)]]*10^9)</f>
        <v>1903.9550399999998</v>
      </c>
    </row>
    <row r="93" spans="1:18" hidden="1">
      <c r="A93" t="s">
        <v>127</v>
      </c>
      <c r="B93" t="s">
        <v>105</v>
      </c>
      <c r="C93" t="str">
        <f>SUBSTITUTE(Table1[[#This Row],[Fuel]],", ",",")</f>
        <v>bioenergy: agricultural waste (solids),bioenergy: wood &amp; other biomass (solids)</v>
      </c>
      <c r="D93" t="s">
        <v>46</v>
      </c>
      <c r="E93" t="s">
        <v>25</v>
      </c>
      <c r="G93">
        <v>40</v>
      </c>
      <c r="H93" t="s">
        <v>27</v>
      </c>
      <c r="I93">
        <v>2020</v>
      </c>
      <c r="J93" t="s">
        <v>21</v>
      </c>
      <c r="K93">
        <v>33.568399999999997</v>
      </c>
      <c r="L93">
        <v>117.8978</v>
      </c>
      <c r="M93" t="s">
        <v>102</v>
      </c>
      <c r="N93" s="2">
        <f>Table1[[#This Row],[Capacity (MW)]]*8760*0.72*10^-6</f>
        <v>0.25228800000000001</v>
      </c>
      <c r="O93" s="2" cm="1">
        <f t="array" ref="O93">AVERAGE(VLOOKUP(_xlfn.TEXTSPLIT(Table1[[#This Row],[Fuel (no space after comma)]], ","), FuelList_Final_EF!$A$2:$B$32, 2, FALSE))</f>
        <v>105.985</v>
      </c>
      <c r="P93" s="2">
        <f>(16112*Table1[[#This Row],[Generation (TWh)]]*10^9)/10^6</f>
        <v>4064864.2560000005</v>
      </c>
      <c r="Q93" s="2">
        <f>Table1[[#This Row],[Emission Factor (kg CO2/ mmBtu)]]*Table1[[#This Row],[Fuel Consumption (mmBtu)]]*10^3</f>
        <v>430814638172.16003</v>
      </c>
      <c r="R93" s="2">
        <f>(Table1[[#This Row],[CO2 Emissions (g CO2)]])/(Table1[[#This Row],[Generation (TWh)]]*10^9)</f>
        <v>1707.6303200000002</v>
      </c>
    </row>
    <row r="94" spans="1:18" hidden="1">
      <c r="A94" t="s">
        <v>128</v>
      </c>
      <c r="B94" t="s">
        <v>105</v>
      </c>
      <c r="C94" t="str">
        <f>SUBSTITUTE(Table1[[#This Row],[Fuel]],", ",",")</f>
        <v>bioenergy: agricultural waste (solids),bioenergy: wood &amp; other biomass (solids)</v>
      </c>
      <c r="D94" t="s">
        <v>46</v>
      </c>
      <c r="E94" t="s">
        <v>25</v>
      </c>
      <c r="G94">
        <v>26.7</v>
      </c>
      <c r="H94" t="s">
        <v>27</v>
      </c>
      <c r="I94">
        <v>2020</v>
      </c>
      <c r="J94" t="s">
        <v>21</v>
      </c>
      <c r="K94">
        <v>33.530099999999997</v>
      </c>
      <c r="L94">
        <v>116.8807</v>
      </c>
      <c r="M94" t="s">
        <v>102</v>
      </c>
      <c r="N94" s="2">
        <f>Table1[[#This Row],[Capacity (MW)]]*8760*0.72*10^-6</f>
        <v>0.16840223999999998</v>
      </c>
      <c r="O94" s="2" cm="1">
        <f t="array" ref="O94">AVERAGE(VLOOKUP(_xlfn.TEXTSPLIT(Table1[[#This Row],[Fuel (no space after comma)]], ","), FuelList_Final_EF!$A$2:$B$32, 2, FALSE))</f>
        <v>105.985</v>
      </c>
      <c r="P94" s="2">
        <f>(16112*Table1[[#This Row],[Generation (TWh)]]*10^9)/10^6</f>
        <v>2713296.8908799998</v>
      </c>
      <c r="Q94" s="2">
        <f>Table1[[#This Row],[Emission Factor (kg CO2/ mmBtu)]]*Table1[[#This Row],[Fuel Consumption (mmBtu)]]*10^3</f>
        <v>287568770979.91681</v>
      </c>
      <c r="R94" s="2">
        <f>(Table1[[#This Row],[CO2 Emissions (g CO2)]])/(Table1[[#This Row],[Generation (TWh)]]*10^9)</f>
        <v>1707.6303200000004</v>
      </c>
    </row>
    <row r="95" spans="1:18" hidden="1">
      <c r="A95" t="s">
        <v>54</v>
      </c>
      <c r="B95" t="s">
        <v>105</v>
      </c>
      <c r="C95" t="str">
        <f>SUBSTITUTE(Table1[[#This Row],[Fuel]],", ",",")</f>
        <v>bioenergy: agricultural waste (solids),bioenergy: wood &amp; other biomass (solids)</v>
      </c>
      <c r="D95" t="s">
        <v>46</v>
      </c>
      <c r="E95" t="s">
        <v>25</v>
      </c>
      <c r="G95">
        <v>0.3</v>
      </c>
      <c r="H95" t="s">
        <v>27</v>
      </c>
      <c r="I95">
        <v>2020</v>
      </c>
      <c r="J95" t="s">
        <v>21</v>
      </c>
      <c r="K95">
        <v>33.530099999999997</v>
      </c>
      <c r="L95">
        <v>116.8807</v>
      </c>
      <c r="M95" t="s">
        <v>102</v>
      </c>
      <c r="N95" s="2">
        <f>Table1[[#This Row],[Capacity (MW)]]*8760*0.72*10^-6</f>
        <v>1.8921599999999997E-3</v>
      </c>
      <c r="O95" s="2" cm="1">
        <f t="array" ref="O95">AVERAGE(VLOOKUP(_xlfn.TEXTSPLIT(Table1[[#This Row],[Fuel (no space after comma)]], ","), FuelList_Final_EF!$A$2:$B$32, 2, FALSE))</f>
        <v>105.985</v>
      </c>
      <c r="P95" s="2">
        <f>(16112*Table1[[#This Row],[Generation (TWh)]]*10^9)/10^6</f>
        <v>30486.481919999995</v>
      </c>
      <c r="Q95" s="2">
        <f>Table1[[#This Row],[Emission Factor (kg CO2/ mmBtu)]]*Table1[[#This Row],[Fuel Consumption (mmBtu)]]*10^3</f>
        <v>3231109786.2911992</v>
      </c>
      <c r="R95" s="2">
        <f>(Table1[[#This Row],[CO2 Emissions (g CO2)]])/(Table1[[#This Row],[Generation (TWh)]]*10^9)</f>
        <v>1707.6303199999998</v>
      </c>
    </row>
    <row r="96" spans="1:18" hidden="1">
      <c r="A96" t="s">
        <v>129</v>
      </c>
      <c r="B96" t="s">
        <v>105</v>
      </c>
      <c r="C96" t="str">
        <f>SUBSTITUTE(Table1[[#This Row],[Fuel]],", ",",")</f>
        <v>bioenergy: agricultural waste (solids),bioenergy: wood &amp; other biomass (solids)</v>
      </c>
      <c r="D96" t="s">
        <v>46</v>
      </c>
      <c r="E96" t="s">
        <v>25</v>
      </c>
      <c r="G96">
        <v>2.7</v>
      </c>
      <c r="H96" t="s">
        <v>27</v>
      </c>
      <c r="I96">
        <v>2020</v>
      </c>
      <c r="J96" t="s">
        <v>21</v>
      </c>
      <c r="K96">
        <v>33.530099999999997</v>
      </c>
      <c r="L96">
        <v>116.8807</v>
      </c>
      <c r="M96" t="s">
        <v>102</v>
      </c>
      <c r="N96" s="2">
        <f>Table1[[#This Row],[Capacity (MW)]]*8760*0.72*10^-6</f>
        <v>1.7029439999999996E-2</v>
      </c>
      <c r="O96" s="2" cm="1">
        <f t="array" ref="O96">AVERAGE(VLOOKUP(_xlfn.TEXTSPLIT(Table1[[#This Row],[Fuel (no space after comma)]], ","), FuelList_Final_EF!$A$2:$B$32, 2, FALSE))</f>
        <v>105.985</v>
      </c>
      <c r="P96" s="2">
        <f>(16112*Table1[[#This Row],[Generation (TWh)]]*10^9)/10^6</f>
        <v>274378.33727999992</v>
      </c>
      <c r="Q96" s="2">
        <f>Table1[[#This Row],[Emission Factor (kg CO2/ mmBtu)]]*Table1[[#This Row],[Fuel Consumption (mmBtu)]]*10^3</f>
        <v>29079988076.620792</v>
      </c>
      <c r="R96" s="2">
        <f>(Table1[[#This Row],[CO2 Emissions (g CO2)]])/(Table1[[#This Row],[Generation (TWh)]]*10^9)</f>
        <v>1707.63032</v>
      </c>
    </row>
    <row r="97" spans="1:18" hidden="1">
      <c r="A97" t="s">
        <v>130</v>
      </c>
      <c r="B97" t="s">
        <v>46</v>
      </c>
      <c r="C97" t="str">
        <f>SUBSTITUTE(Table1[[#This Row],[Fuel]],", ",",")</f>
        <v>bioenergy: agricultural waste (solids)</v>
      </c>
      <c r="D97" t="s">
        <v>46</v>
      </c>
      <c r="G97">
        <v>30</v>
      </c>
      <c r="H97" t="s">
        <v>27</v>
      </c>
      <c r="I97">
        <v>2018</v>
      </c>
      <c r="J97" t="s">
        <v>21</v>
      </c>
      <c r="K97">
        <v>33.8416</v>
      </c>
      <c r="L97">
        <v>116.7081</v>
      </c>
      <c r="M97" t="s">
        <v>102</v>
      </c>
      <c r="N97" s="2">
        <f>Table1[[#This Row],[Capacity (MW)]]*8760*0.72*10^-6</f>
        <v>0.189216</v>
      </c>
      <c r="O97" s="2" cm="1">
        <f t="array" ref="O97">AVERAGE(VLOOKUP(_xlfn.TEXTSPLIT(Table1[[#This Row],[Fuel (no space after comma)]], ","), FuelList_Final_EF!$A$2:$B$32, 2, FALSE))</f>
        <v>118.17</v>
      </c>
      <c r="P97" s="2">
        <f>(16112*Table1[[#This Row],[Generation (TWh)]]*10^9)/10^6</f>
        <v>3048648.1919999998</v>
      </c>
      <c r="Q97" s="2">
        <f>Table1[[#This Row],[Emission Factor (kg CO2/ mmBtu)]]*Table1[[#This Row],[Fuel Consumption (mmBtu)]]*10^3</f>
        <v>360258756848.63995</v>
      </c>
      <c r="R97" s="2">
        <f>(Table1[[#This Row],[CO2 Emissions (g CO2)]])/(Table1[[#This Row],[Generation (TWh)]]*10^9)</f>
        <v>1903.9550399999998</v>
      </c>
    </row>
    <row r="98" spans="1:18" hidden="1">
      <c r="A98" t="s">
        <v>125</v>
      </c>
      <c r="B98" t="s">
        <v>46</v>
      </c>
      <c r="C98" t="str">
        <f>SUBSTITUTE(Table1[[#This Row],[Fuel]],", ",",")</f>
        <v>bioenergy: agricultural waste (solids)</v>
      </c>
      <c r="D98" t="s">
        <v>46</v>
      </c>
      <c r="G98">
        <v>30</v>
      </c>
      <c r="H98" t="s">
        <v>53</v>
      </c>
      <c r="I98">
        <v>2024</v>
      </c>
      <c r="J98" t="s">
        <v>21</v>
      </c>
      <c r="K98">
        <v>33.681399999999996</v>
      </c>
      <c r="L98">
        <v>117.2694</v>
      </c>
      <c r="M98" t="s">
        <v>102</v>
      </c>
      <c r="N98" s="2">
        <f>Table1[[#This Row],[Capacity (MW)]]*8760*0.72*10^-6</f>
        <v>0.189216</v>
      </c>
      <c r="O98" s="2" cm="1">
        <f t="array" ref="O98">AVERAGE(VLOOKUP(_xlfn.TEXTSPLIT(Table1[[#This Row],[Fuel (no space after comma)]], ","), FuelList_Final_EF!$A$2:$B$32, 2, FALSE))</f>
        <v>118.17</v>
      </c>
      <c r="P98" s="2">
        <f>(16112*Table1[[#This Row],[Generation (TWh)]]*10^9)/10^6</f>
        <v>3048648.1919999998</v>
      </c>
      <c r="Q98" s="2">
        <f>Table1[[#This Row],[Emission Factor (kg CO2/ mmBtu)]]*Table1[[#This Row],[Fuel Consumption (mmBtu)]]*10^3</f>
        <v>360258756848.63995</v>
      </c>
      <c r="R98" s="2">
        <f>(Table1[[#This Row],[CO2 Emissions (g CO2)]])/(Table1[[#This Row],[Generation (TWh)]]*10^9)</f>
        <v>1903.9550399999998</v>
      </c>
    </row>
    <row r="99" spans="1:18" hidden="1">
      <c r="A99" t="s">
        <v>125</v>
      </c>
      <c r="B99" t="s">
        <v>46</v>
      </c>
      <c r="C99" t="str">
        <f>SUBSTITUTE(Table1[[#This Row],[Fuel]],", ",",")</f>
        <v>bioenergy: agricultural waste (solids)</v>
      </c>
      <c r="D99" t="s">
        <v>46</v>
      </c>
      <c r="G99">
        <v>30</v>
      </c>
      <c r="H99" t="s">
        <v>53</v>
      </c>
      <c r="I99">
        <v>2024</v>
      </c>
      <c r="J99" t="s">
        <v>21</v>
      </c>
      <c r="K99">
        <v>33.681399999999996</v>
      </c>
      <c r="L99">
        <v>117.2694</v>
      </c>
      <c r="M99" t="s">
        <v>102</v>
      </c>
      <c r="N99" s="2">
        <f>Table1[[#This Row],[Capacity (MW)]]*8760*0.72*10^-6</f>
        <v>0.189216</v>
      </c>
      <c r="O99" s="2" cm="1">
        <f t="array" ref="O99">AVERAGE(VLOOKUP(_xlfn.TEXTSPLIT(Table1[[#This Row],[Fuel (no space after comma)]], ","), FuelList_Final_EF!$A$2:$B$32, 2, FALSE))</f>
        <v>118.17</v>
      </c>
      <c r="P99" s="2">
        <f>(16112*Table1[[#This Row],[Generation (TWh)]]*10^9)/10^6</f>
        <v>3048648.1919999998</v>
      </c>
      <c r="Q99" s="2">
        <f>Table1[[#This Row],[Emission Factor (kg CO2/ mmBtu)]]*Table1[[#This Row],[Fuel Consumption (mmBtu)]]*10^3</f>
        <v>360258756848.63995</v>
      </c>
      <c r="R99" s="2">
        <f>(Table1[[#This Row],[CO2 Emissions (g CO2)]])/(Table1[[#This Row],[Generation (TWh)]]*10^9)</f>
        <v>1903.9550399999998</v>
      </c>
    </row>
    <row r="100" spans="1:18" hidden="1">
      <c r="A100" t="s">
        <v>109</v>
      </c>
      <c r="B100" t="s">
        <v>105</v>
      </c>
      <c r="C100" t="str">
        <f>SUBSTITUTE(Table1[[#This Row],[Fuel]],", ",",")</f>
        <v>bioenergy: agricultural waste (solids),bioenergy: wood &amp; other biomass (solids)</v>
      </c>
      <c r="D100" t="s">
        <v>46</v>
      </c>
      <c r="E100" t="s">
        <v>25</v>
      </c>
      <c r="G100">
        <v>30</v>
      </c>
      <c r="H100" t="s">
        <v>27</v>
      </c>
      <c r="I100">
        <v>2020</v>
      </c>
      <c r="J100" t="s">
        <v>21</v>
      </c>
      <c r="K100">
        <v>33.570500000000003</v>
      </c>
      <c r="L100">
        <v>117.0746</v>
      </c>
      <c r="M100" t="s">
        <v>102</v>
      </c>
      <c r="N100" s="2">
        <f>Table1[[#This Row],[Capacity (MW)]]*8760*0.72*10^-6</f>
        <v>0.189216</v>
      </c>
      <c r="O100" s="2" cm="1">
        <f t="array" ref="O100">AVERAGE(VLOOKUP(_xlfn.TEXTSPLIT(Table1[[#This Row],[Fuel (no space after comma)]], ","), FuelList_Final_EF!$A$2:$B$32, 2, FALSE))</f>
        <v>105.985</v>
      </c>
      <c r="P100" s="2">
        <f>(16112*Table1[[#This Row],[Generation (TWh)]]*10^9)/10^6</f>
        <v>3048648.1919999998</v>
      </c>
      <c r="Q100" s="2">
        <f>Table1[[#This Row],[Emission Factor (kg CO2/ mmBtu)]]*Table1[[#This Row],[Fuel Consumption (mmBtu)]]*10^3</f>
        <v>323110978629.12</v>
      </c>
      <c r="R100" s="2">
        <f>(Table1[[#This Row],[CO2 Emissions (g CO2)]])/(Table1[[#This Row],[Generation (TWh)]]*10^9)</f>
        <v>1707.63032</v>
      </c>
    </row>
    <row r="101" spans="1:18">
      <c r="A101" t="s">
        <v>131</v>
      </c>
      <c r="B101" t="s">
        <v>46</v>
      </c>
      <c r="C101" t="str">
        <f>SUBSTITUTE(Table1[[#This Row],[Fuel]],", ",",")</f>
        <v>bioenergy: agricultural waste (solids)</v>
      </c>
      <c r="D101" t="s">
        <v>46</v>
      </c>
      <c r="G101">
        <v>30</v>
      </c>
      <c r="H101" t="s">
        <v>20</v>
      </c>
      <c r="I101" t="s">
        <v>21</v>
      </c>
      <c r="J101" t="s">
        <v>21</v>
      </c>
      <c r="K101">
        <v>33.756599999999999</v>
      </c>
      <c r="L101">
        <v>117.1153</v>
      </c>
      <c r="M101" t="s">
        <v>102</v>
      </c>
      <c r="N101" s="2">
        <f>Table1[[#This Row],[Capacity (MW)]]*8760*0.72*10^-6</f>
        <v>0.189216</v>
      </c>
      <c r="O101" s="2" cm="1">
        <f t="array" ref="O101">AVERAGE(VLOOKUP(_xlfn.TEXTSPLIT(Table1[[#This Row],[Fuel (no space after comma)]], ","), FuelList_Final_EF!$A$2:$B$32, 2, FALSE))</f>
        <v>118.17</v>
      </c>
      <c r="P101" s="2">
        <f>(16112*Table1[[#This Row],[Generation (TWh)]]*10^9)/10^6</f>
        <v>3048648.1919999998</v>
      </c>
      <c r="Q101" s="2">
        <f>Table1[[#This Row],[Emission Factor (kg CO2/ mmBtu)]]*Table1[[#This Row],[Fuel Consumption (mmBtu)]]*10^3</f>
        <v>360258756848.63995</v>
      </c>
      <c r="R101" s="2">
        <f>(Table1[[#This Row],[CO2 Emissions (g CO2)]])/(Table1[[#This Row],[Generation (TWh)]]*10^9)</f>
        <v>1903.9550399999998</v>
      </c>
    </row>
    <row r="102" spans="1:18" hidden="1">
      <c r="A102" t="s">
        <v>128</v>
      </c>
      <c r="B102" t="s">
        <v>46</v>
      </c>
      <c r="C102" t="str">
        <f>SUBSTITUTE(Table1[[#This Row],[Fuel]],", ",",")</f>
        <v>bioenergy: agricultural waste (solids)</v>
      </c>
      <c r="D102" t="s">
        <v>46</v>
      </c>
      <c r="G102">
        <v>27</v>
      </c>
      <c r="H102" t="s">
        <v>27</v>
      </c>
      <c r="I102">
        <v>2018</v>
      </c>
      <c r="J102" t="s">
        <v>21</v>
      </c>
      <c r="K102">
        <v>32.727499999999999</v>
      </c>
      <c r="L102">
        <v>119.0283</v>
      </c>
      <c r="M102" t="s">
        <v>102</v>
      </c>
      <c r="N102" s="2">
        <f>Table1[[#This Row],[Capacity (MW)]]*8760*0.72*10^-6</f>
        <v>0.17029439999999998</v>
      </c>
      <c r="O102" s="2" cm="1">
        <f t="array" ref="O102">AVERAGE(VLOOKUP(_xlfn.TEXTSPLIT(Table1[[#This Row],[Fuel (no space after comma)]], ","), FuelList_Final_EF!$A$2:$B$32, 2, FALSE))</f>
        <v>118.17</v>
      </c>
      <c r="P102" s="2">
        <f>(16112*Table1[[#This Row],[Generation (TWh)]]*10^9)/10^6</f>
        <v>2743783.3727999995</v>
      </c>
      <c r="Q102" s="2">
        <f>Table1[[#This Row],[Emission Factor (kg CO2/ mmBtu)]]*Table1[[#This Row],[Fuel Consumption (mmBtu)]]*10^3</f>
        <v>324232881163.776</v>
      </c>
      <c r="R102" s="2">
        <f>(Table1[[#This Row],[CO2 Emissions (g CO2)]])/(Table1[[#This Row],[Generation (TWh)]]*10^9)</f>
        <v>1903.9550400000003</v>
      </c>
    </row>
    <row r="103" spans="1:18" hidden="1">
      <c r="A103" t="s">
        <v>108</v>
      </c>
      <c r="B103" t="s">
        <v>46</v>
      </c>
      <c r="C103" t="str">
        <f>SUBSTITUTE(Table1[[#This Row],[Fuel]],", ",",")</f>
        <v>bioenergy: agricultural waste (solids)</v>
      </c>
      <c r="D103" t="s">
        <v>46</v>
      </c>
      <c r="G103">
        <v>0.3</v>
      </c>
      <c r="H103" t="s">
        <v>27</v>
      </c>
      <c r="I103">
        <v>2018</v>
      </c>
      <c r="J103" t="s">
        <v>21</v>
      </c>
      <c r="K103">
        <v>32.727499999999999</v>
      </c>
      <c r="L103">
        <v>119.0283</v>
      </c>
      <c r="M103" t="s">
        <v>102</v>
      </c>
      <c r="N103" s="2">
        <f>Table1[[#This Row],[Capacity (MW)]]*8760*0.72*10^-6</f>
        <v>1.8921599999999997E-3</v>
      </c>
      <c r="O103" s="2" cm="1">
        <f t="array" ref="O103">AVERAGE(VLOOKUP(_xlfn.TEXTSPLIT(Table1[[#This Row],[Fuel (no space after comma)]], ","), FuelList_Final_EF!$A$2:$B$32, 2, FALSE))</f>
        <v>118.17</v>
      </c>
      <c r="P103" s="2">
        <f>(16112*Table1[[#This Row],[Generation (TWh)]]*10^9)/10^6</f>
        <v>30486.481919999995</v>
      </c>
      <c r="Q103" s="2">
        <f>Table1[[#This Row],[Emission Factor (kg CO2/ mmBtu)]]*Table1[[#This Row],[Fuel Consumption (mmBtu)]]*10^3</f>
        <v>3602587568.4863997</v>
      </c>
      <c r="R103" s="2">
        <f>(Table1[[#This Row],[CO2 Emissions (g CO2)]])/(Table1[[#This Row],[Generation (TWh)]]*10^9)</f>
        <v>1903.9550400000001</v>
      </c>
    </row>
    <row r="104" spans="1:18" hidden="1">
      <c r="A104" t="s">
        <v>54</v>
      </c>
      <c r="B104" t="s">
        <v>46</v>
      </c>
      <c r="C104" t="str">
        <f>SUBSTITUTE(Table1[[#This Row],[Fuel]],", ",",")</f>
        <v>bioenergy: agricultural waste (solids)</v>
      </c>
      <c r="D104" t="s">
        <v>46</v>
      </c>
      <c r="G104">
        <v>2.7</v>
      </c>
      <c r="H104" t="s">
        <v>27</v>
      </c>
      <c r="I104">
        <v>2018</v>
      </c>
      <c r="J104" t="s">
        <v>21</v>
      </c>
      <c r="K104">
        <v>32.727499999999999</v>
      </c>
      <c r="L104">
        <v>119.0283</v>
      </c>
      <c r="M104" t="s">
        <v>102</v>
      </c>
      <c r="N104" s="2">
        <f>Table1[[#This Row],[Capacity (MW)]]*8760*0.72*10^-6</f>
        <v>1.7029439999999996E-2</v>
      </c>
      <c r="O104" s="2" cm="1">
        <f t="array" ref="O104">AVERAGE(VLOOKUP(_xlfn.TEXTSPLIT(Table1[[#This Row],[Fuel (no space after comma)]], ","), FuelList_Final_EF!$A$2:$B$32, 2, FALSE))</f>
        <v>118.17</v>
      </c>
      <c r="P104" s="2">
        <f>(16112*Table1[[#This Row],[Generation (TWh)]]*10^9)/10^6</f>
        <v>274378.33727999992</v>
      </c>
      <c r="Q104" s="2">
        <f>Table1[[#This Row],[Emission Factor (kg CO2/ mmBtu)]]*Table1[[#This Row],[Fuel Consumption (mmBtu)]]*10^3</f>
        <v>32423288116.377594</v>
      </c>
      <c r="R104" s="2">
        <f>(Table1[[#This Row],[CO2 Emissions (g CO2)]])/(Table1[[#This Row],[Generation (TWh)]]*10^9)</f>
        <v>1903.9550400000001</v>
      </c>
    </row>
    <row r="105" spans="1:18" hidden="1">
      <c r="A105" t="s">
        <v>132</v>
      </c>
      <c r="B105" t="s">
        <v>19</v>
      </c>
      <c r="C105" t="str">
        <f>SUBSTITUTE(Table1[[#This Row],[Fuel]],", ",",")</f>
        <v>bioenergy: refuse (municipal and industrial wastes)</v>
      </c>
      <c r="D105" t="s">
        <v>19</v>
      </c>
      <c r="G105">
        <v>38</v>
      </c>
      <c r="H105" t="s">
        <v>27</v>
      </c>
      <c r="I105">
        <v>2021</v>
      </c>
      <c r="J105" t="s">
        <v>21</v>
      </c>
      <c r="K105">
        <v>32.7331</v>
      </c>
      <c r="L105">
        <v>118.7906</v>
      </c>
      <c r="M105" t="s">
        <v>102</v>
      </c>
      <c r="N105" s="2">
        <f>Table1[[#This Row],[Capacity (MW)]]*8760*0.72*10^-6</f>
        <v>0.23967359999999996</v>
      </c>
      <c r="O105" s="2" cm="1">
        <f t="array" ref="O105">AVERAGE(VLOOKUP(_xlfn.TEXTSPLIT(Table1[[#This Row],[Fuel (no space after comma)]], ","), FuelList_Final_EF!$A$2:$B$32, 2, FALSE))</f>
        <v>105.42962572482868</v>
      </c>
      <c r="P105" s="2">
        <f>(16112*Table1[[#This Row],[Generation (TWh)]]*10^9)/10^6</f>
        <v>3861621.0431999997</v>
      </c>
      <c r="Q105" s="2">
        <f>Table1[[#This Row],[Emission Factor (kg CO2/ mmBtu)]]*Table1[[#This Row],[Fuel Consumption (mmBtu)]]*10^3</f>
        <v>407129261275.69849</v>
      </c>
      <c r="R105" s="2">
        <f>(Table1[[#This Row],[CO2 Emissions (g CO2)]])/(Table1[[#This Row],[Generation (TWh)]]*10^9)</f>
        <v>1698.6821296784399</v>
      </c>
    </row>
    <row r="106" spans="1:18" hidden="1">
      <c r="A106" t="s">
        <v>111</v>
      </c>
      <c r="B106" t="s">
        <v>46</v>
      </c>
      <c r="C106" t="str">
        <f>SUBSTITUTE(Table1[[#This Row],[Fuel]],", ",",")</f>
        <v>bioenergy: agricultural waste (solids)</v>
      </c>
      <c r="D106" t="s">
        <v>46</v>
      </c>
      <c r="G106">
        <v>30</v>
      </c>
      <c r="H106" t="s">
        <v>27</v>
      </c>
      <c r="I106">
        <v>2017</v>
      </c>
      <c r="J106" t="s">
        <v>21</v>
      </c>
      <c r="K106">
        <v>34.105600000000003</v>
      </c>
      <c r="L106">
        <v>116.88630000000001</v>
      </c>
      <c r="M106" t="s">
        <v>102</v>
      </c>
      <c r="N106" s="2">
        <f>Table1[[#This Row],[Capacity (MW)]]*8760*0.72*10^-6</f>
        <v>0.189216</v>
      </c>
      <c r="O106" s="2" cm="1">
        <f t="array" ref="O106">AVERAGE(VLOOKUP(_xlfn.TEXTSPLIT(Table1[[#This Row],[Fuel (no space after comma)]], ","), FuelList_Final_EF!$A$2:$B$32, 2, FALSE))</f>
        <v>118.17</v>
      </c>
      <c r="P106" s="2">
        <f>(16112*Table1[[#This Row],[Generation (TWh)]]*10^9)/10^6</f>
        <v>3048648.1919999998</v>
      </c>
      <c r="Q106" s="2">
        <f>Table1[[#This Row],[Emission Factor (kg CO2/ mmBtu)]]*Table1[[#This Row],[Fuel Consumption (mmBtu)]]*10^3</f>
        <v>360258756848.63995</v>
      </c>
      <c r="R106" s="2">
        <f>(Table1[[#This Row],[CO2 Emissions (g CO2)]])/(Table1[[#This Row],[Generation (TWh)]]*10^9)</f>
        <v>1903.9550399999998</v>
      </c>
    </row>
    <row r="107" spans="1:18" hidden="1">
      <c r="A107" t="s">
        <v>111</v>
      </c>
      <c r="B107" t="s">
        <v>105</v>
      </c>
      <c r="C107" t="str">
        <f>SUBSTITUTE(Table1[[#This Row],[Fuel]],", ",",")</f>
        <v>bioenergy: agricultural waste (solids),bioenergy: wood &amp; other biomass (solids)</v>
      </c>
      <c r="D107" t="s">
        <v>46</v>
      </c>
      <c r="E107" t="s">
        <v>25</v>
      </c>
      <c r="G107">
        <v>30</v>
      </c>
      <c r="H107" t="s">
        <v>27</v>
      </c>
      <c r="I107">
        <v>2018</v>
      </c>
      <c r="J107" t="s">
        <v>21</v>
      </c>
      <c r="K107">
        <v>31.884</v>
      </c>
      <c r="L107">
        <v>115.93689999999999</v>
      </c>
      <c r="M107" t="s">
        <v>102</v>
      </c>
      <c r="N107" s="2">
        <f>Table1[[#This Row],[Capacity (MW)]]*8760*0.72*10^-6</f>
        <v>0.189216</v>
      </c>
      <c r="O107" s="2" cm="1">
        <f t="array" ref="O107">AVERAGE(VLOOKUP(_xlfn.TEXTSPLIT(Table1[[#This Row],[Fuel (no space after comma)]], ","), FuelList_Final_EF!$A$2:$B$32, 2, FALSE))</f>
        <v>105.985</v>
      </c>
      <c r="P107" s="2">
        <f>(16112*Table1[[#This Row],[Generation (TWh)]]*10^9)/10^6</f>
        <v>3048648.1919999998</v>
      </c>
      <c r="Q107" s="2">
        <f>Table1[[#This Row],[Emission Factor (kg CO2/ mmBtu)]]*Table1[[#This Row],[Fuel Consumption (mmBtu)]]*10^3</f>
        <v>323110978629.12</v>
      </c>
      <c r="R107" s="2">
        <f>(Table1[[#This Row],[CO2 Emissions (g CO2)]])/(Table1[[#This Row],[Generation (TWh)]]*10^9)</f>
        <v>1707.63032</v>
      </c>
    </row>
    <row r="108" spans="1:18">
      <c r="A108" t="s">
        <v>111</v>
      </c>
      <c r="B108" t="s">
        <v>46</v>
      </c>
      <c r="C108" t="str">
        <f>SUBSTITUTE(Table1[[#This Row],[Fuel]],", ",",")</f>
        <v>bioenergy: agricultural waste (solids)</v>
      </c>
      <c r="D108" t="s">
        <v>46</v>
      </c>
      <c r="G108">
        <v>30</v>
      </c>
      <c r="H108" t="s">
        <v>53</v>
      </c>
      <c r="I108" t="s">
        <v>21</v>
      </c>
      <c r="J108" t="s">
        <v>21</v>
      </c>
      <c r="K108">
        <v>31.8551</v>
      </c>
      <c r="L108">
        <v>115.91070000000001</v>
      </c>
      <c r="M108" t="s">
        <v>102</v>
      </c>
      <c r="N108" s="2">
        <f>Table1[[#This Row],[Capacity (MW)]]*8760*0.72*10^-6</f>
        <v>0.189216</v>
      </c>
      <c r="O108" s="2" cm="1">
        <f t="array" ref="O108">AVERAGE(VLOOKUP(_xlfn.TEXTSPLIT(Table1[[#This Row],[Fuel (no space after comma)]], ","), FuelList_Final_EF!$A$2:$B$32, 2, FALSE))</f>
        <v>118.17</v>
      </c>
      <c r="P108" s="2">
        <f>(16112*Table1[[#This Row],[Generation (TWh)]]*10^9)/10^6</f>
        <v>3048648.1919999998</v>
      </c>
      <c r="Q108" s="2">
        <f>Table1[[#This Row],[Emission Factor (kg CO2/ mmBtu)]]*Table1[[#This Row],[Fuel Consumption (mmBtu)]]*10^3</f>
        <v>360258756848.63995</v>
      </c>
      <c r="R108" s="2">
        <f>(Table1[[#This Row],[CO2 Emissions (g CO2)]])/(Table1[[#This Row],[Generation (TWh)]]*10^9)</f>
        <v>1903.9550399999998</v>
      </c>
    </row>
    <row r="109" spans="1:18" hidden="1">
      <c r="A109" t="s">
        <v>112</v>
      </c>
      <c r="B109" t="s">
        <v>105</v>
      </c>
      <c r="C109" t="str">
        <f>SUBSTITUTE(Table1[[#This Row],[Fuel]],", ",",")</f>
        <v>bioenergy: agricultural waste (solids),bioenergy: wood &amp; other biomass (solids)</v>
      </c>
      <c r="D109" t="s">
        <v>46</v>
      </c>
      <c r="E109" t="s">
        <v>25</v>
      </c>
      <c r="G109">
        <v>30</v>
      </c>
      <c r="H109" t="s">
        <v>27</v>
      </c>
      <c r="I109">
        <v>2019</v>
      </c>
      <c r="J109" t="s">
        <v>21</v>
      </c>
      <c r="K109">
        <v>32.729700000000001</v>
      </c>
      <c r="L109">
        <v>116.27</v>
      </c>
      <c r="M109" t="s">
        <v>102</v>
      </c>
      <c r="N109" s="2">
        <f>Table1[[#This Row],[Capacity (MW)]]*8760*0.72*10^-6</f>
        <v>0.189216</v>
      </c>
      <c r="O109" s="2" cm="1">
        <f t="array" ref="O109">AVERAGE(VLOOKUP(_xlfn.TEXTSPLIT(Table1[[#This Row],[Fuel (no space after comma)]], ","), FuelList_Final_EF!$A$2:$B$32, 2, FALSE))</f>
        <v>105.985</v>
      </c>
      <c r="P109" s="2">
        <f>(16112*Table1[[#This Row],[Generation (TWh)]]*10^9)/10^6</f>
        <v>3048648.1919999998</v>
      </c>
      <c r="Q109" s="2">
        <f>Table1[[#This Row],[Emission Factor (kg CO2/ mmBtu)]]*Table1[[#This Row],[Fuel Consumption (mmBtu)]]*10^3</f>
        <v>323110978629.12</v>
      </c>
      <c r="R109" s="2">
        <f>(Table1[[#This Row],[CO2 Emissions (g CO2)]])/(Table1[[#This Row],[Generation (TWh)]]*10^9)</f>
        <v>1707.63032</v>
      </c>
    </row>
    <row r="110" spans="1:18" hidden="1">
      <c r="A110" t="s">
        <v>111</v>
      </c>
      <c r="B110" t="s">
        <v>43</v>
      </c>
      <c r="C110" t="str">
        <f>SUBSTITUTE(Table1[[#This Row],[Fuel]],", ",",")</f>
        <v>bioenergy: agricultural waste (biogas)</v>
      </c>
      <c r="D110" t="s">
        <v>43</v>
      </c>
      <c r="G110">
        <v>30</v>
      </c>
      <c r="H110" t="s">
        <v>27</v>
      </c>
      <c r="I110">
        <v>2018</v>
      </c>
      <c r="J110" t="s">
        <v>21</v>
      </c>
      <c r="K110">
        <v>31.808199999999999</v>
      </c>
      <c r="L110">
        <v>116.4235</v>
      </c>
      <c r="M110" t="s">
        <v>102</v>
      </c>
      <c r="N110" s="2">
        <f>Table1[[#This Row],[Capacity (MW)]]*8760*0.72*10^-6</f>
        <v>0.189216</v>
      </c>
      <c r="O110" s="2" cm="1">
        <f t="array" ref="O110">AVERAGE(VLOOKUP(_xlfn.TEXTSPLIT(Table1[[#This Row],[Fuel (no space after comma)]], ","), FuelList_Final_EF!$A$2:$B$32, 2, FALSE))</f>
        <v>52.07</v>
      </c>
      <c r="P110" s="2">
        <f>(16112*Table1[[#This Row],[Generation (TWh)]]*10^9)/10^6</f>
        <v>3048648.1919999998</v>
      </c>
      <c r="Q110" s="2">
        <f>Table1[[#This Row],[Emission Factor (kg CO2/ mmBtu)]]*Table1[[#This Row],[Fuel Consumption (mmBtu)]]*10^3</f>
        <v>158743111357.44</v>
      </c>
      <c r="R110" s="2">
        <f>(Table1[[#This Row],[CO2 Emissions (g CO2)]])/(Table1[[#This Row],[Generation (TWh)]]*10^9)</f>
        <v>838.95184000000006</v>
      </c>
    </row>
    <row r="111" spans="1:18">
      <c r="A111" t="s">
        <v>133</v>
      </c>
      <c r="B111" t="s">
        <v>134</v>
      </c>
      <c r="C111" t="str">
        <f>SUBSTITUTE(Table1[[#This Row],[Fuel]],", ",",")</f>
        <v>bioenergy: unknown,fossil gas: natural gas</v>
      </c>
      <c r="D111" t="s">
        <v>96</v>
      </c>
      <c r="E111" t="s">
        <v>69</v>
      </c>
      <c r="G111">
        <v>161</v>
      </c>
      <c r="H111" t="s">
        <v>27</v>
      </c>
      <c r="I111" t="s">
        <v>21</v>
      </c>
      <c r="J111" t="s">
        <v>21</v>
      </c>
      <c r="K111">
        <v>60.68694</v>
      </c>
      <c r="L111">
        <v>26.816590000000001</v>
      </c>
      <c r="M111" t="s">
        <v>28</v>
      </c>
      <c r="N111" s="2">
        <f>Table1[[#This Row],[Capacity (MW)]]*8760*0.72*10^-6</f>
        <v>1.0154592</v>
      </c>
      <c r="O111" s="2" cm="1">
        <f t="array" ref="O111">AVERAGE(VLOOKUP(_xlfn.TEXTSPLIT(Table1[[#This Row],[Fuel (no space after comma)]], ","), FuelList_Final_EF!$A$2:$B$32, 2, FALSE))</f>
        <v>62.922803008799328</v>
      </c>
      <c r="P111" s="2">
        <f>(16112*Table1[[#This Row],[Generation (TWh)]]*10^9)/10^6</f>
        <v>16361078.6304</v>
      </c>
      <c r="Q111" s="2">
        <f>Table1[[#This Row],[Emission Factor (kg CO2/ mmBtu)]]*Table1[[#This Row],[Fuel Consumption (mmBtu)]]*10^3</f>
        <v>1029484927672.1355</v>
      </c>
      <c r="R111" s="2">
        <f>(Table1[[#This Row],[CO2 Emissions (g CO2)]])/(Table1[[#This Row],[Generation (TWh)]]*10^9)</f>
        <v>1013.8122020777747</v>
      </c>
    </row>
    <row r="112" spans="1:18" hidden="1">
      <c r="A112" t="s">
        <v>135</v>
      </c>
      <c r="B112" t="s">
        <v>61</v>
      </c>
      <c r="C112" t="str">
        <f>SUBSTITUTE(Table1[[#This Row],[Fuel]],", ",",")</f>
        <v>bioenergy: paper mill wastes</v>
      </c>
      <c r="D112" t="s">
        <v>61</v>
      </c>
      <c r="G112">
        <v>210</v>
      </c>
      <c r="H112" t="s">
        <v>27</v>
      </c>
      <c r="I112">
        <v>2002</v>
      </c>
      <c r="J112" t="s">
        <v>21</v>
      </c>
      <c r="K112">
        <v>-19.843</v>
      </c>
      <c r="L112">
        <v>-40.0747</v>
      </c>
      <c r="M112" t="s">
        <v>49</v>
      </c>
      <c r="N112" s="2">
        <f>Table1[[#This Row],[Capacity (MW)]]*8760*0.72*10^-6</f>
        <v>1.3245119999999999</v>
      </c>
      <c r="O112" s="2" cm="1">
        <f t="array" ref="O112">AVERAGE(VLOOKUP(_xlfn.TEXTSPLIT(Table1[[#This Row],[Fuel (no space after comma)]], ","), FuelList_Final_EF!$A$2:$B$32, 2, FALSE))</f>
        <v>100.47443331576173</v>
      </c>
      <c r="P112" s="2">
        <f>(16112*Table1[[#This Row],[Generation (TWh)]]*10^9)/10^6</f>
        <v>21340537.344000001</v>
      </c>
      <c r="Q112" s="2">
        <f>Table1[[#This Row],[Emission Factor (kg CO2/ mmBtu)]]*Table1[[#This Row],[Fuel Consumption (mmBtu)]]*10^3</f>
        <v>2144178396292.251</v>
      </c>
      <c r="R112" s="2">
        <f>(Table1[[#This Row],[CO2 Emissions (g CO2)]])/(Table1[[#This Row],[Generation (TWh)]]*10^9)</f>
        <v>1618.8440695835529</v>
      </c>
    </row>
    <row r="113" spans="1:18" hidden="1">
      <c r="A113" t="s">
        <v>136</v>
      </c>
      <c r="B113" t="s">
        <v>25</v>
      </c>
      <c r="C113" t="str">
        <f>SUBSTITUTE(Table1[[#This Row],[Fuel]],", ",",")</f>
        <v>bioenergy: wood &amp; other biomass (solids)</v>
      </c>
      <c r="D113" t="s">
        <v>25</v>
      </c>
      <c r="G113">
        <v>63</v>
      </c>
      <c r="H113" t="s">
        <v>27</v>
      </c>
      <c r="I113">
        <v>2012</v>
      </c>
      <c r="J113" t="s">
        <v>21</v>
      </c>
      <c r="K113">
        <v>-37.2074</v>
      </c>
      <c r="L113">
        <v>-73.227500000000006</v>
      </c>
      <c r="M113" t="s">
        <v>98</v>
      </c>
      <c r="N113" s="2">
        <f>Table1[[#This Row],[Capacity (MW)]]*8760*0.72*10^-6</f>
        <v>0.39735359999999997</v>
      </c>
      <c r="O113" s="2" cm="1">
        <f t="array" ref="O113">AVERAGE(VLOOKUP(_xlfn.TEXTSPLIT(Table1[[#This Row],[Fuel (no space after comma)]], ","), FuelList_Final_EF!$A$2:$B$32, 2, FALSE))</f>
        <v>93.8</v>
      </c>
      <c r="P113" s="2">
        <f>(16112*Table1[[#This Row],[Generation (TWh)]]*10^9)/10^6</f>
        <v>6402161.2031999994</v>
      </c>
      <c r="Q113" s="2">
        <f>Table1[[#This Row],[Emission Factor (kg CO2/ mmBtu)]]*Table1[[#This Row],[Fuel Consumption (mmBtu)]]*10^3</f>
        <v>600522720860.15991</v>
      </c>
      <c r="R113" s="2">
        <f>(Table1[[#This Row],[CO2 Emissions (g CO2)]])/(Table1[[#This Row],[Generation (TWh)]]*10^9)</f>
        <v>1511.3055999999997</v>
      </c>
    </row>
    <row r="114" spans="1:18" hidden="1">
      <c r="A114" t="s">
        <v>136</v>
      </c>
      <c r="B114" t="s">
        <v>25</v>
      </c>
      <c r="C114" t="str">
        <f>SUBSTITUTE(Table1[[#This Row],[Fuel]],", ",",")</f>
        <v>bioenergy: wood &amp; other biomass (solids)</v>
      </c>
      <c r="D114" t="s">
        <v>25</v>
      </c>
      <c r="G114">
        <v>64</v>
      </c>
      <c r="H114" t="s">
        <v>27</v>
      </c>
      <c r="I114">
        <v>1996</v>
      </c>
      <c r="J114" t="s">
        <v>21</v>
      </c>
      <c r="K114">
        <v>-37.2074</v>
      </c>
      <c r="L114">
        <v>-73.227500000000006</v>
      </c>
      <c r="M114" t="s">
        <v>98</v>
      </c>
      <c r="N114" s="2">
        <f>Table1[[#This Row],[Capacity (MW)]]*8760*0.72*10^-6</f>
        <v>0.40366079999999999</v>
      </c>
      <c r="O114" s="2" cm="1">
        <f t="array" ref="O114">AVERAGE(VLOOKUP(_xlfn.TEXTSPLIT(Table1[[#This Row],[Fuel (no space after comma)]], ","), FuelList_Final_EF!$A$2:$B$32, 2, FALSE))</f>
        <v>93.8</v>
      </c>
      <c r="P114" s="2">
        <f>(16112*Table1[[#This Row],[Generation (TWh)]]*10^9)/10^6</f>
        <v>6503782.8095999993</v>
      </c>
      <c r="Q114" s="2">
        <f>Table1[[#This Row],[Emission Factor (kg CO2/ mmBtu)]]*Table1[[#This Row],[Fuel Consumption (mmBtu)]]*10^3</f>
        <v>610054827540.47986</v>
      </c>
      <c r="R114" s="2">
        <f>(Table1[[#This Row],[CO2 Emissions (g CO2)]])/(Table1[[#This Row],[Generation (TWh)]]*10^9)</f>
        <v>1511.3055999999997</v>
      </c>
    </row>
    <row r="115" spans="1:18">
      <c r="A115" t="s">
        <v>137</v>
      </c>
      <c r="B115" t="s">
        <v>19</v>
      </c>
      <c r="C115" t="str">
        <f>SUBSTITUTE(Table1[[#This Row],[Fuel]],", ",",")</f>
        <v>bioenergy: refuse (municipal and industrial wastes)</v>
      </c>
      <c r="D115" t="s">
        <v>19</v>
      </c>
      <c r="G115">
        <v>79</v>
      </c>
      <c r="H115" t="s">
        <v>138</v>
      </c>
      <c r="I115" t="s">
        <v>21</v>
      </c>
      <c r="J115" t="s">
        <v>21</v>
      </c>
      <c r="K115">
        <v>18.4621</v>
      </c>
      <c r="L115">
        <v>-66.702299999999994</v>
      </c>
      <c r="M115" t="s">
        <v>139</v>
      </c>
      <c r="N115" s="2">
        <f>Table1[[#This Row],[Capacity (MW)]]*8760*0.72*10^-6</f>
        <v>0.49826879999999996</v>
      </c>
      <c r="O115" s="2" cm="1">
        <f t="array" ref="O115">AVERAGE(VLOOKUP(_xlfn.TEXTSPLIT(Table1[[#This Row],[Fuel (no space after comma)]], ","), FuelList_Final_EF!$A$2:$B$32, 2, FALSE))</f>
        <v>105.42962572482868</v>
      </c>
      <c r="P115" s="2">
        <f>(16112*Table1[[#This Row],[Generation (TWh)]]*10^9)/10^6</f>
        <v>8028106.9056000002</v>
      </c>
      <c r="Q115" s="2">
        <f>Table1[[#This Row],[Emission Factor (kg CO2/ mmBtu)]]*Table1[[#This Row],[Fuel Consumption (mmBtu)]]*10^3</f>
        <v>846400306336.32056</v>
      </c>
      <c r="R115" s="2">
        <f>(Table1[[#This Row],[CO2 Emissions (g CO2)]])/(Table1[[#This Row],[Generation (TWh)]]*10^9)</f>
        <v>1698.6821296784399</v>
      </c>
    </row>
    <row r="116" spans="1:18" hidden="1">
      <c r="A116" t="s">
        <v>140</v>
      </c>
      <c r="B116" t="s">
        <v>141</v>
      </c>
      <c r="C116" t="str">
        <f>SUBSTITUTE(Table1[[#This Row],[Fuel]],", ",",")</f>
        <v>bioenergy: refuse (municipal and industrial wastes),bioenergy: wood &amp; other biomass (solids)</v>
      </c>
      <c r="D116" t="s">
        <v>19</v>
      </c>
      <c r="E116" t="s">
        <v>25</v>
      </c>
      <c r="G116">
        <v>51</v>
      </c>
      <c r="H116" t="s">
        <v>27</v>
      </c>
      <c r="I116">
        <v>2014</v>
      </c>
      <c r="J116" t="s">
        <v>21</v>
      </c>
      <c r="K116">
        <v>59.58849</v>
      </c>
      <c r="L116">
        <v>16.513860999999999</v>
      </c>
      <c r="M116" t="s">
        <v>34</v>
      </c>
      <c r="N116" s="2">
        <f>Table1[[#This Row],[Capacity (MW)]]*8760*0.72*10^-6</f>
        <v>0.32166719999999999</v>
      </c>
      <c r="O116" s="2" cm="1">
        <f t="array" ref="O116">AVERAGE(VLOOKUP(_xlfn.TEXTSPLIT(Table1[[#This Row],[Fuel (no space after comma)]], ","), FuelList_Final_EF!$A$2:$B$32, 2, FALSE))</f>
        <v>99.61481286241434</v>
      </c>
      <c r="P116" s="2">
        <f>(16112*Table1[[#This Row],[Generation (TWh)]]*10^9)/10^6</f>
        <v>5182701.9264000002</v>
      </c>
      <c r="Q116" s="2">
        <f>Table1[[#This Row],[Emission Factor (kg CO2/ mmBtu)]]*Table1[[#This Row],[Fuel Consumption (mmBtu)]]*10^3</f>
        <v>516273882520.01031</v>
      </c>
      <c r="R116" s="2">
        <f>(Table1[[#This Row],[CO2 Emissions (g CO2)]])/(Table1[[#This Row],[Generation (TWh)]]*10^9)</f>
        <v>1604.9938648392199</v>
      </c>
    </row>
    <row r="117" spans="1:18" hidden="1">
      <c r="A117" t="s">
        <v>140</v>
      </c>
      <c r="B117" t="s">
        <v>25</v>
      </c>
      <c r="C117" t="str">
        <f>SUBSTITUTE(Table1[[#This Row],[Fuel]],", ",",")</f>
        <v>bioenergy: wood &amp; other biomass (solids)</v>
      </c>
      <c r="D117" t="s">
        <v>25</v>
      </c>
      <c r="G117">
        <v>55</v>
      </c>
      <c r="H117" t="s">
        <v>27</v>
      </c>
      <c r="I117">
        <v>2019</v>
      </c>
      <c r="J117" t="s">
        <v>21</v>
      </c>
      <c r="K117">
        <v>59.58849</v>
      </c>
      <c r="L117">
        <v>16.513860999999999</v>
      </c>
      <c r="M117" t="s">
        <v>34</v>
      </c>
      <c r="N117" s="2">
        <f>Table1[[#This Row],[Capacity (MW)]]*8760*0.72*10^-6</f>
        <v>0.34689599999999998</v>
      </c>
      <c r="O117" s="2" cm="1">
        <f t="array" ref="O117">AVERAGE(VLOOKUP(_xlfn.TEXTSPLIT(Table1[[#This Row],[Fuel (no space after comma)]], ","), FuelList_Final_EF!$A$2:$B$32, 2, FALSE))</f>
        <v>93.8</v>
      </c>
      <c r="P117" s="2">
        <f>(16112*Table1[[#This Row],[Generation (TWh)]]*10^9)/10^6</f>
        <v>5589188.352</v>
      </c>
      <c r="Q117" s="2">
        <f>Table1[[#This Row],[Emission Factor (kg CO2/ mmBtu)]]*Table1[[#This Row],[Fuel Consumption (mmBtu)]]*10^3</f>
        <v>524265867417.59998</v>
      </c>
      <c r="R117" s="2">
        <f>(Table1[[#This Row],[CO2 Emissions (g CO2)]])/(Table1[[#This Row],[Generation (TWh)]]*10^9)</f>
        <v>1511.3055999999999</v>
      </c>
    </row>
    <row r="118" spans="1:18" hidden="1">
      <c r="A118" t="s">
        <v>140</v>
      </c>
      <c r="B118" t="s">
        <v>142</v>
      </c>
      <c r="C118" t="str">
        <f>SUBSTITUTE(Table1[[#This Row],[Fuel]],", ",",")</f>
        <v>bioenergy: wood &amp; other biomass (solids),fossil liquids: heavy fuel oil</v>
      </c>
      <c r="D118" t="s">
        <v>25</v>
      </c>
      <c r="E118" t="s">
        <v>143</v>
      </c>
      <c r="G118">
        <v>250</v>
      </c>
      <c r="H118" t="s">
        <v>27</v>
      </c>
      <c r="I118">
        <v>1974</v>
      </c>
      <c r="J118" t="s">
        <v>21</v>
      </c>
      <c r="K118">
        <v>59.58849</v>
      </c>
      <c r="L118">
        <v>16.513860999999999</v>
      </c>
      <c r="M118" t="s">
        <v>34</v>
      </c>
      <c r="N118" s="2">
        <f>Table1[[#This Row],[Capacity (MW)]]*8760*0.72*10^-6</f>
        <v>1.5768</v>
      </c>
      <c r="O118" s="2" cm="1">
        <f t="array" ref="O118">AVERAGE(VLOOKUP(_xlfn.TEXTSPLIT(Table1[[#This Row],[Fuel (no space after comma)]], ","), FuelList_Final_EF!$A$2:$B$32, 2, FALSE))</f>
        <v>87.701265155508693</v>
      </c>
      <c r="P118" s="2">
        <f>(16112*Table1[[#This Row],[Generation (TWh)]]*10^9)/10^6</f>
        <v>25405401.600000001</v>
      </c>
      <c r="Q118" s="2">
        <f>Table1[[#This Row],[Emission Factor (kg CO2/ mmBtu)]]*Table1[[#This Row],[Fuel Consumption (mmBtu)]]*10^3</f>
        <v>2228085862103.7852</v>
      </c>
      <c r="R118" s="2">
        <f>(Table1[[#This Row],[CO2 Emissions (g CO2)]])/(Table1[[#This Row],[Generation (TWh)]]*10^9)</f>
        <v>1413.0427841855562</v>
      </c>
    </row>
    <row r="119" spans="1:18" hidden="1">
      <c r="A119" t="s">
        <v>144</v>
      </c>
      <c r="B119" t="s">
        <v>145</v>
      </c>
      <c r="C119" t="str">
        <f>SUBSTITUTE(Table1[[#This Row],[Fuel]],", ",",")</f>
        <v>bioenergy: paper mill wastes,bioenergy: wood &amp; other biomass (solids),fossil gas: natural gas</v>
      </c>
      <c r="D119" t="s">
        <v>61</v>
      </c>
      <c r="E119" t="s">
        <v>25</v>
      </c>
      <c r="F119" t="s">
        <v>69</v>
      </c>
      <c r="G119">
        <v>38</v>
      </c>
      <c r="H119" t="s">
        <v>27</v>
      </c>
      <c r="I119">
        <v>1991</v>
      </c>
      <c r="J119" t="s">
        <v>21</v>
      </c>
      <c r="K119">
        <v>33.6417</v>
      </c>
      <c r="L119">
        <v>-94.1083</v>
      </c>
      <c r="M119" t="s">
        <v>62</v>
      </c>
      <c r="N119" s="2">
        <f>Table1[[#This Row],[Capacity (MW)]]*8760*0.72*10^-6</f>
        <v>0.23967359999999996</v>
      </c>
      <c r="O119" s="2" cm="1">
        <f t="array" ref="O119">AVERAGE(VLOOKUP(_xlfn.TEXTSPLIT(Table1[[#This Row],[Fuel (no space after comma)]], ","), FuelList_Final_EF!$A$2:$B$32, 2, FALSE))</f>
        <v>82.444811105253905</v>
      </c>
      <c r="P119" s="2">
        <f>(16112*Table1[[#This Row],[Generation (TWh)]]*10^9)/10^6</f>
        <v>3861621.0431999997</v>
      </c>
      <c r="Q119" s="2">
        <f>Table1[[#This Row],[Emission Factor (kg CO2/ mmBtu)]]*Table1[[#This Row],[Fuel Consumption (mmBtu)]]*10^3</f>
        <v>318370617466.69751</v>
      </c>
      <c r="R119" s="2">
        <f>(Table1[[#This Row],[CO2 Emissions (g CO2)]])/(Table1[[#This Row],[Generation (TWh)]]*10^9)</f>
        <v>1328.3507965278509</v>
      </c>
    </row>
    <row r="120" spans="1:18" hidden="1">
      <c r="A120" t="s">
        <v>144</v>
      </c>
      <c r="B120" t="s">
        <v>145</v>
      </c>
      <c r="C120" t="str">
        <f>SUBSTITUTE(Table1[[#This Row],[Fuel]],", ",",")</f>
        <v>bioenergy: paper mill wastes,bioenergy: wood &amp; other biomass (solids),fossil gas: natural gas</v>
      </c>
      <c r="D120" t="s">
        <v>61</v>
      </c>
      <c r="E120" t="s">
        <v>25</v>
      </c>
      <c r="F120" t="s">
        <v>69</v>
      </c>
      <c r="G120">
        <v>45</v>
      </c>
      <c r="H120" t="s">
        <v>27</v>
      </c>
      <c r="I120">
        <v>1991</v>
      </c>
      <c r="J120" t="s">
        <v>21</v>
      </c>
      <c r="K120">
        <v>33.6417</v>
      </c>
      <c r="L120">
        <v>-94.1083</v>
      </c>
      <c r="M120" t="s">
        <v>62</v>
      </c>
      <c r="N120" s="2">
        <f>Table1[[#This Row],[Capacity (MW)]]*8760*0.72*10^-6</f>
        <v>0.28382399999999997</v>
      </c>
      <c r="O120" s="2" cm="1">
        <f t="array" ref="O120">AVERAGE(VLOOKUP(_xlfn.TEXTSPLIT(Table1[[#This Row],[Fuel (no space after comma)]], ","), FuelList_Final_EF!$A$2:$B$32, 2, FALSE))</f>
        <v>82.444811105253905</v>
      </c>
      <c r="P120" s="2">
        <f>(16112*Table1[[#This Row],[Generation (TWh)]]*10^9)/10^6</f>
        <v>4572972.2879999988</v>
      </c>
      <c r="Q120" s="2">
        <f>Table1[[#This Row],[Emission Factor (kg CO2/ mmBtu)]]*Table1[[#This Row],[Fuel Consumption (mmBtu)]]*10^3</f>
        <v>377017836473.72064</v>
      </c>
      <c r="R120" s="2">
        <f>(Table1[[#This Row],[CO2 Emissions (g CO2)]])/(Table1[[#This Row],[Generation (TWh)]]*10^9)</f>
        <v>1328.3507965278509</v>
      </c>
    </row>
    <row r="121" spans="1:18" hidden="1">
      <c r="A121" t="s">
        <v>144</v>
      </c>
      <c r="B121" t="s">
        <v>145</v>
      </c>
      <c r="C121" t="str">
        <f>SUBSTITUTE(Table1[[#This Row],[Fuel]],", ",",")</f>
        <v>bioenergy: paper mill wastes,bioenergy: wood &amp; other biomass (solids),fossil gas: natural gas</v>
      </c>
      <c r="D121" t="s">
        <v>61</v>
      </c>
      <c r="E121" t="s">
        <v>25</v>
      </c>
      <c r="F121" t="s">
        <v>69</v>
      </c>
      <c r="G121">
        <v>47</v>
      </c>
      <c r="H121" t="s">
        <v>27</v>
      </c>
      <c r="I121">
        <v>1979</v>
      </c>
      <c r="J121" t="s">
        <v>21</v>
      </c>
      <c r="K121">
        <v>33.6417</v>
      </c>
      <c r="L121">
        <v>-94.1083</v>
      </c>
      <c r="M121" t="s">
        <v>62</v>
      </c>
      <c r="N121" s="2">
        <f>Table1[[#This Row],[Capacity (MW)]]*8760*0.72*10^-6</f>
        <v>0.29643839999999994</v>
      </c>
      <c r="O121" s="2" cm="1">
        <f t="array" ref="O121">AVERAGE(VLOOKUP(_xlfn.TEXTSPLIT(Table1[[#This Row],[Fuel (no space after comma)]], ","), FuelList_Final_EF!$A$2:$B$32, 2, FALSE))</f>
        <v>82.444811105253905</v>
      </c>
      <c r="P121" s="2">
        <f>(16112*Table1[[#This Row],[Generation (TWh)]]*10^9)/10^6</f>
        <v>4776215.5007999986</v>
      </c>
      <c r="Q121" s="2">
        <f>Table1[[#This Row],[Emission Factor (kg CO2/ mmBtu)]]*Table1[[#This Row],[Fuel Consumption (mmBtu)]]*10^3</f>
        <v>393774184761.44159</v>
      </c>
      <c r="R121" s="2">
        <f>(Table1[[#This Row],[CO2 Emissions (g CO2)]])/(Table1[[#This Row],[Generation (TWh)]]*10^9)</f>
        <v>1328.3507965278509</v>
      </c>
    </row>
    <row r="122" spans="1:18" hidden="1">
      <c r="A122" t="s">
        <v>146</v>
      </c>
      <c r="B122" t="s">
        <v>61</v>
      </c>
      <c r="C122" t="str">
        <f>SUBSTITUTE(Table1[[#This Row],[Fuel]],", ",",")</f>
        <v>bioenergy: paper mill wastes</v>
      </c>
      <c r="D122" t="s">
        <v>61</v>
      </c>
      <c r="G122">
        <v>97</v>
      </c>
      <c r="H122" t="s">
        <v>27</v>
      </c>
      <c r="I122">
        <v>2023</v>
      </c>
      <c r="J122" t="s">
        <v>21</v>
      </c>
      <c r="K122">
        <v>35.374797000000001</v>
      </c>
      <c r="L122">
        <v>119.50857000000001</v>
      </c>
      <c r="M122" t="s">
        <v>102</v>
      </c>
      <c r="N122" s="2">
        <f>Table1[[#This Row],[Capacity (MW)]]*8760*0.72*10^-6</f>
        <v>0.61179839999999996</v>
      </c>
      <c r="O122" s="2" cm="1">
        <f t="array" ref="O122">AVERAGE(VLOOKUP(_xlfn.TEXTSPLIT(Table1[[#This Row],[Fuel (no space after comma)]], ","), FuelList_Final_EF!$A$2:$B$32, 2, FALSE))</f>
        <v>100.47443331576173</v>
      </c>
      <c r="P122" s="2">
        <f>(16112*Table1[[#This Row],[Generation (TWh)]]*10^9)/10^6</f>
        <v>9857295.8208000008</v>
      </c>
      <c r="Q122" s="2">
        <f>Table1[[#This Row],[Emission Factor (kg CO2/ mmBtu)]]*Table1[[#This Row],[Fuel Consumption (mmBtu)]]*10^3</f>
        <v>990406211620.70642</v>
      </c>
      <c r="R122" s="2">
        <f>(Table1[[#This Row],[CO2 Emissions (g CO2)]])/(Table1[[#This Row],[Generation (TWh)]]*10^9)</f>
        <v>1618.8440695835529</v>
      </c>
    </row>
    <row r="123" spans="1:18" hidden="1">
      <c r="A123" t="s">
        <v>147</v>
      </c>
      <c r="B123" t="s">
        <v>46</v>
      </c>
      <c r="C123" t="str">
        <f>SUBSTITUTE(Table1[[#This Row],[Fuel]],", ",",")</f>
        <v>bioenergy: agricultural waste (solids)</v>
      </c>
      <c r="D123" t="s">
        <v>46</v>
      </c>
      <c r="G123">
        <v>40</v>
      </c>
      <c r="H123" t="s">
        <v>27</v>
      </c>
      <c r="I123">
        <v>1994</v>
      </c>
      <c r="J123" t="s">
        <v>21</v>
      </c>
      <c r="K123">
        <v>28.706</v>
      </c>
      <c r="L123">
        <v>78.544600000000003</v>
      </c>
      <c r="M123" t="s">
        <v>66</v>
      </c>
      <c r="N123" s="2">
        <f>Table1[[#This Row],[Capacity (MW)]]*8760*0.72*10^-6</f>
        <v>0.25228800000000001</v>
      </c>
      <c r="O123" s="2" cm="1">
        <f t="array" ref="O123">AVERAGE(VLOOKUP(_xlfn.TEXTSPLIT(Table1[[#This Row],[Fuel (no space after comma)]], ","), FuelList_Final_EF!$A$2:$B$32, 2, FALSE))</f>
        <v>118.17</v>
      </c>
      <c r="P123" s="2">
        <f>(16112*Table1[[#This Row],[Generation (TWh)]]*10^9)/10^6</f>
        <v>4064864.2560000005</v>
      </c>
      <c r="Q123" s="2">
        <f>Table1[[#This Row],[Emission Factor (kg CO2/ mmBtu)]]*Table1[[#This Row],[Fuel Consumption (mmBtu)]]*10^3</f>
        <v>480345009131.52008</v>
      </c>
      <c r="R123" s="2">
        <f>(Table1[[#This Row],[CO2 Emissions (g CO2)]])/(Table1[[#This Row],[Generation (TWh)]]*10^9)</f>
        <v>1903.9550400000003</v>
      </c>
    </row>
    <row r="124" spans="1:18" hidden="1">
      <c r="A124" t="s">
        <v>148</v>
      </c>
      <c r="B124" t="s">
        <v>25</v>
      </c>
      <c r="C124" t="str">
        <f>SUBSTITUTE(Table1[[#This Row],[Fuel]],", ",",")</f>
        <v>bioenergy: wood &amp; other biomass (solids)</v>
      </c>
      <c r="D124" t="s">
        <v>25</v>
      </c>
      <c r="G124">
        <v>30</v>
      </c>
      <c r="H124" t="s">
        <v>27</v>
      </c>
      <c r="I124">
        <v>2019</v>
      </c>
      <c r="J124" t="s">
        <v>21</v>
      </c>
      <c r="K124">
        <v>55.661527999999997</v>
      </c>
      <c r="L124">
        <v>11.080892</v>
      </c>
      <c r="M124" t="s">
        <v>83</v>
      </c>
      <c r="N124" s="2">
        <f>Table1[[#This Row],[Capacity (MW)]]*8760*0.72*10^-6</f>
        <v>0.189216</v>
      </c>
      <c r="O124" s="2" cm="1">
        <f t="array" ref="O124">AVERAGE(VLOOKUP(_xlfn.TEXTSPLIT(Table1[[#This Row],[Fuel (no space after comma)]], ","), FuelList_Final_EF!$A$2:$B$32, 2, FALSE))</f>
        <v>93.8</v>
      </c>
      <c r="P124" s="2">
        <f>(16112*Table1[[#This Row],[Generation (TWh)]]*10^9)/10^6</f>
        <v>3048648.1919999998</v>
      </c>
      <c r="Q124" s="2">
        <f>Table1[[#This Row],[Emission Factor (kg CO2/ mmBtu)]]*Table1[[#This Row],[Fuel Consumption (mmBtu)]]*10^3</f>
        <v>285963200409.59998</v>
      </c>
      <c r="R124" s="2">
        <f>(Table1[[#This Row],[CO2 Emissions (g CO2)]])/(Table1[[#This Row],[Generation (TWh)]]*10^9)</f>
        <v>1511.3055999999999</v>
      </c>
    </row>
    <row r="125" spans="1:18">
      <c r="A125" t="s">
        <v>149</v>
      </c>
      <c r="B125" t="s">
        <v>46</v>
      </c>
      <c r="C125" t="str">
        <f>SUBSTITUTE(Table1[[#This Row],[Fuel]],", ",",")</f>
        <v>bioenergy: agricultural waste (solids)</v>
      </c>
      <c r="D125" t="s">
        <v>46</v>
      </c>
      <c r="G125">
        <v>40</v>
      </c>
      <c r="H125" t="s">
        <v>53</v>
      </c>
      <c r="I125" t="s">
        <v>21</v>
      </c>
      <c r="J125" t="s">
        <v>21</v>
      </c>
      <c r="K125">
        <v>-17.947800000000001</v>
      </c>
      <c r="L125">
        <v>-49.854399999999998</v>
      </c>
      <c r="M125" t="s">
        <v>49</v>
      </c>
      <c r="N125" s="2">
        <f>Table1[[#This Row],[Capacity (MW)]]*8760*0.72*10^-6</f>
        <v>0.25228800000000001</v>
      </c>
      <c r="O125" s="2" cm="1">
        <f t="array" ref="O125">AVERAGE(VLOOKUP(_xlfn.TEXTSPLIT(Table1[[#This Row],[Fuel (no space after comma)]], ","), FuelList_Final_EF!$A$2:$B$32, 2, FALSE))</f>
        <v>118.17</v>
      </c>
      <c r="P125" s="2">
        <f>(16112*Table1[[#This Row],[Generation (TWh)]]*10^9)/10^6</f>
        <v>4064864.2560000005</v>
      </c>
      <c r="Q125" s="2">
        <f>Table1[[#This Row],[Emission Factor (kg CO2/ mmBtu)]]*Table1[[#This Row],[Fuel Consumption (mmBtu)]]*10^3</f>
        <v>480345009131.52008</v>
      </c>
      <c r="R125" s="2">
        <f>(Table1[[#This Row],[CO2 Emissions (g CO2)]])/(Table1[[#This Row],[Generation (TWh)]]*10^9)</f>
        <v>1903.9550400000003</v>
      </c>
    </row>
    <row r="126" spans="1:18" hidden="1">
      <c r="A126" t="s">
        <v>150</v>
      </c>
      <c r="B126" t="s">
        <v>25</v>
      </c>
      <c r="C126" t="str">
        <f>SUBSTITUTE(Table1[[#This Row],[Fuel]],", ",",")</f>
        <v>bioenergy: wood &amp; other biomass (solids)</v>
      </c>
      <c r="D126" t="s">
        <v>25</v>
      </c>
      <c r="G126">
        <v>60</v>
      </c>
      <c r="H126" t="s">
        <v>53</v>
      </c>
      <c r="I126">
        <v>2025</v>
      </c>
      <c r="J126" t="s">
        <v>21</v>
      </c>
      <c r="K126">
        <v>7.7542</v>
      </c>
      <c r="L126">
        <v>-0.98440000000000005</v>
      </c>
      <c r="M126" t="s">
        <v>151</v>
      </c>
      <c r="N126" s="2">
        <f>Table1[[#This Row],[Capacity (MW)]]*8760*0.72*10^-6</f>
        <v>0.37843199999999999</v>
      </c>
      <c r="O126" s="2" cm="1">
        <f t="array" ref="O126">AVERAGE(VLOOKUP(_xlfn.TEXTSPLIT(Table1[[#This Row],[Fuel (no space after comma)]], ","), FuelList_Final_EF!$A$2:$B$32, 2, FALSE))</f>
        <v>93.8</v>
      </c>
      <c r="P126" s="2">
        <f>(16112*Table1[[#This Row],[Generation (TWh)]]*10^9)/10^6</f>
        <v>6097296.3839999996</v>
      </c>
      <c r="Q126" s="2">
        <f>Table1[[#This Row],[Emission Factor (kg CO2/ mmBtu)]]*Table1[[#This Row],[Fuel Consumption (mmBtu)]]*10^3</f>
        <v>571926400819.19995</v>
      </c>
      <c r="R126" s="2">
        <f>(Table1[[#This Row],[CO2 Emissions (g CO2)]])/(Table1[[#This Row],[Generation (TWh)]]*10^9)</f>
        <v>1511.3055999999999</v>
      </c>
    </row>
    <row r="127" spans="1:18" hidden="1">
      <c r="A127" t="s">
        <v>152</v>
      </c>
      <c r="B127" t="s">
        <v>25</v>
      </c>
      <c r="C127" t="str">
        <f>SUBSTITUTE(Table1[[#This Row],[Fuel]],", ",",")</f>
        <v>bioenergy: wood &amp; other biomass (solids)</v>
      </c>
      <c r="D127" t="s">
        <v>25</v>
      </c>
      <c r="G127">
        <v>205</v>
      </c>
      <c r="H127" t="s">
        <v>27</v>
      </c>
      <c r="I127">
        <v>1985</v>
      </c>
      <c r="J127" t="s">
        <v>21</v>
      </c>
      <c r="K127">
        <v>48.838088999999997</v>
      </c>
      <c r="L127">
        <v>-91.570572999999996</v>
      </c>
      <c r="M127" t="s">
        <v>79</v>
      </c>
      <c r="N127" s="2">
        <f>Table1[[#This Row],[Capacity (MW)]]*8760*0.72*10^-6</f>
        <v>1.2929759999999999</v>
      </c>
      <c r="O127" s="2" cm="1">
        <f t="array" ref="O127">AVERAGE(VLOOKUP(_xlfn.TEXTSPLIT(Table1[[#This Row],[Fuel (no space after comma)]], ","), FuelList_Final_EF!$A$2:$B$32, 2, FALSE))</f>
        <v>93.8</v>
      </c>
      <c r="P127" s="2">
        <f>(16112*Table1[[#This Row],[Generation (TWh)]]*10^9)/10^6</f>
        <v>20832429.311999999</v>
      </c>
      <c r="Q127" s="2">
        <f>Table1[[#This Row],[Emission Factor (kg CO2/ mmBtu)]]*Table1[[#This Row],[Fuel Consumption (mmBtu)]]*10^3</f>
        <v>1954081869465.5999</v>
      </c>
      <c r="R127" s="2">
        <f>(Table1[[#This Row],[CO2 Emissions (g CO2)]])/(Table1[[#This Row],[Generation (TWh)]]*10^9)</f>
        <v>1511.3055999999999</v>
      </c>
    </row>
    <row r="128" spans="1:18" hidden="1">
      <c r="A128" t="s">
        <v>153</v>
      </c>
      <c r="B128" t="s">
        <v>19</v>
      </c>
      <c r="C128" t="str">
        <f>SUBSTITUTE(Table1[[#This Row],[Fuel]],", ",",")</f>
        <v>bioenergy: refuse (municipal and industrial wastes)</v>
      </c>
      <c r="D128" t="s">
        <v>19</v>
      </c>
      <c r="G128">
        <v>76</v>
      </c>
      <c r="H128" t="s">
        <v>27</v>
      </c>
      <c r="I128">
        <v>1997</v>
      </c>
      <c r="J128" t="s">
        <v>21</v>
      </c>
      <c r="K128">
        <v>48.403799999999997</v>
      </c>
      <c r="L128">
        <v>10.933199999999999</v>
      </c>
      <c r="M128" t="s">
        <v>154</v>
      </c>
      <c r="N128" s="2">
        <f>Table1[[#This Row],[Capacity (MW)]]*8760*0.72*10^-6</f>
        <v>0.47934719999999992</v>
      </c>
      <c r="O128" s="2" cm="1">
        <f t="array" ref="O128">AVERAGE(VLOOKUP(_xlfn.TEXTSPLIT(Table1[[#This Row],[Fuel (no space after comma)]], ","), FuelList_Final_EF!$A$2:$B$32, 2, FALSE))</f>
        <v>105.42962572482868</v>
      </c>
      <c r="P128" s="2">
        <f>(16112*Table1[[#This Row],[Generation (TWh)]]*10^9)/10^6</f>
        <v>7723242.0863999994</v>
      </c>
      <c r="Q128" s="2">
        <f>Table1[[#This Row],[Emission Factor (kg CO2/ mmBtu)]]*Table1[[#This Row],[Fuel Consumption (mmBtu)]]*10^3</f>
        <v>814258522551.39697</v>
      </c>
      <c r="R128" s="2">
        <f>(Table1[[#This Row],[CO2 Emissions (g CO2)]])/(Table1[[#This Row],[Generation (TWh)]]*10^9)</f>
        <v>1698.6821296784399</v>
      </c>
    </row>
    <row r="129" spans="1:18" hidden="1">
      <c r="A129" t="s">
        <v>148</v>
      </c>
      <c r="B129" t="s">
        <v>155</v>
      </c>
      <c r="C129" t="str">
        <f>SUBSTITUTE(Table1[[#This Row],[Fuel]],", ",",")</f>
        <v>bioenergy: wood &amp; other biomass (solids),coal: unknown,fossil gas: natural gas</v>
      </c>
      <c r="D129" t="s">
        <v>25</v>
      </c>
      <c r="E129" t="s">
        <v>65</v>
      </c>
      <c r="F129" t="s">
        <v>69</v>
      </c>
      <c r="G129">
        <v>250</v>
      </c>
      <c r="H129" t="s">
        <v>27</v>
      </c>
      <c r="I129">
        <v>1990</v>
      </c>
      <c r="J129" t="s">
        <v>21</v>
      </c>
      <c r="K129">
        <v>55.602159999999998</v>
      </c>
      <c r="L129">
        <v>12.479063999999999</v>
      </c>
      <c r="M129" t="s">
        <v>83</v>
      </c>
      <c r="N129" s="2">
        <f>Table1[[#This Row],[Capacity (MW)]]*8760*0.72*10^-6</f>
        <v>1.5768</v>
      </c>
      <c r="O129" s="2" cm="1">
        <f t="array" ref="O129">AVERAGE(VLOOKUP(_xlfn.TEXTSPLIT(Table1[[#This Row],[Fuel (no space after comma)]], ","), FuelList_Final_EF!$A$2:$B$32, 2, FALSE))</f>
        <v>82.655670356703567</v>
      </c>
      <c r="P129" s="2">
        <f>(16112*Table1[[#This Row],[Generation (TWh)]]*10^9)/10^6</f>
        <v>25405401.600000001</v>
      </c>
      <c r="Q129" s="2">
        <f>Table1[[#This Row],[Emission Factor (kg CO2/ mmBtu)]]*Table1[[#This Row],[Fuel Consumption (mmBtu)]]*10^3</f>
        <v>2099900499929.2695</v>
      </c>
      <c r="R129" s="2">
        <f>(Table1[[#This Row],[CO2 Emissions (g CO2)]])/(Table1[[#This Row],[Generation (TWh)]]*10^9)</f>
        <v>1331.748160787208</v>
      </c>
    </row>
    <row r="130" spans="1:18" hidden="1">
      <c r="A130" t="s">
        <v>148</v>
      </c>
      <c r="B130" t="s">
        <v>155</v>
      </c>
      <c r="C130" t="str">
        <f>SUBSTITUTE(Table1[[#This Row],[Fuel]],", ",",")</f>
        <v>bioenergy: wood &amp; other biomass (solids),coal: unknown,fossil gas: natural gas</v>
      </c>
      <c r="D130" t="s">
        <v>25</v>
      </c>
      <c r="E130" t="s">
        <v>65</v>
      </c>
      <c r="F130" t="s">
        <v>69</v>
      </c>
      <c r="G130">
        <v>585</v>
      </c>
      <c r="H130" t="s">
        <v>27</v>
      </c>
      <c r="I130">
        <v>2002</v>
      </c>
      <c r="J130" t="s">
        <v>21</v>
      </c>
      <c r="K130">
        <v>55.602159999999998</v>
      </c>
      <c r="L130">
        <v>12.479063999999999</v>
      </c>
      <c r="M130" t="s">
        <v>83</v>
      </c>
      <c r="N130" s="2">
        <f>Table1[[#This Row],[Capacity (MW)]]*8760*0.72*10^-6</f>
        <v>3.6897119999999997</v>
      </c>
      <c r="O130" s="2" cm="1">
        <f t="array" ref="O130">AVERAGE(VLOOKUP(_xlfn.TEXTSPLIT(Table1[[#This Row],[Fuel (no space after comma)]], ","), FuelList_Final_EF!$A$2:$B$32, 2, FALSE))</f>
        <v>82.655670356703567</v>
      </c>
      <c r="P130" s="2">
        <f>(16112*Table1[[#This Row],[Generation (TWh)]]*10^9)/10^6</f>
        <v>59448639.743999995</v>
      </c>
      <c r="Q130" s="2">
        <f>Table1[[#This Row],[Emission Factor (kg CO2/ mmBtu)]]*Table1[[#This Row],[Fuel Consumption (mmBtu)]]*10^3</f>
        <v>4913767169834.4902</v>
      </c>
      <c r="R130" s="2">
        <f>(Table1[[#This Row],[CO2 Emissions (g CO2)]])/(Table1[[#This Row],[Generation (TWh)]]*10^9)</f>
        <v>1331.748160787208</v>
      </c>
    </row>
    <row r="131" spans="1:18" hidden="1">
      <c r="A131" t="s">
        <v>148</v>
      </c>
      <c r="B131" t="s">
        <v>156</v>
      </c>
      <c r="C131" t="str">
        <f>SUBSTITUTE(Table1[[#This Row],[Fuel]],", ",",")</f>
        <v>bioenergy: agricultural waste (solids),fossil gas: natural gas,fossil liquids: heavy fuel oil</v>
      </c>
      <c r="D131" t="s">
        <v>46</v>
      </c>
      <c r="E131" t="s">
        <v>69</v>
      </c>
      <c r="F131" t="s">
        <v>143</v>
      </c>
      <c r="G131">
        <v>585</v>
      </c>
      <c r="H131" t="s">
        <v>27</v>
      </c>
      <c r="I131">
        <v>2001</v>
      </c>
      <c r="J131" t="s">
        <v>21</v>
      </c>
      <c r="K131">
        <v>55.602159999999998</v>
      </c>
      <c r="L131">
        <v>12.479063999999999</v>
      </c>
      <c r="M131" t="s">
        <v>83</v>
      </c>
      <c r="N131" s="2">
        <f>Table1[[#This Row],[Capacity (MW)]]*8760*0.72*10^-6</f>
        <v>3.6897119999999997</v>
      </c>
      <c r="O131" s="2" cm="1">
        <f t="array" ref="O131">AVERAGE(VLOOKUP(_xlfn.TEXTSPLIT(Table1[[#This Row],[Fuel (no space after comma)]], ","), FuelList_Final_EF!$A$2:$B$32, 2, FALSE))</f>
        <v>84.277510103672469</v>
      </c>
      <c r="P131" s="2">
        <f>(16112*Table1[[#This Row],[Generation (TWh)]]*10^9)/10^6</f>
        <v>59448639.743999995</v>
      </c>
      <c r="Q131" s="2">
        <f>Table1[[#This Row],[Emission Factor (kg CO2/ mmBtu)]]*Table1[[#This Row],[Fuel Consumption (mmBtu)]]*10^3</f>
        <v>5010183336674.5439</v>
      </c>
      <c r="R131" s="2">
        <f>(Table1[[#This Row],[CO2 Emissions (g CO2)]])/(Table1[[#This Row],[Generation (TWh)]]*10^9)</f>
        <v>1357.8792427903709</v>
      </c>
    </row>
    <row r="132" spans="1:18" hidden="1">
      <c r="A132" t="s">
        <v>21</v>
      </c>
      <c r="B132" t="s">
        <v>19</v>
      </c>
      <c r="C132" t="str">
        <f>SUBSTITUTE(Table1[[#This Row],[Fuel]],", ",",")</f>
        <v>bioenergy: refuse (municipal and industrial wastes)</v>
      </c>
      <c r="D132" t="s">
        <v>19</v>
      </c>
      <c r="G132">
        <v>56</v>
      </c>
      <c r="H132" t="s">
        <v>27</v>
      </c>
      <c r="I132">
        <v>1998</v>
      </c>
      <c r="J132" t="s">
        <v>21</v>
      </c>
      <c r="K132">
        <v>51.005099999999999</v>
      </c>
      <c r="L132">
        <v>6.9488000000000003</v>
      </c>
      <c r="M132" t="s">
        <v>154</v>
      </c>
      <c r="N132" s="2">
        <f>Table1[[#This Row],[Capacity (MW)]]*8760*0.72*10^-6</f>
        <v>0.35320319999999999</v>
      </c>
      <c r="O132" s="2" cm="1">
        <f t="array" ref="O132">AVERAGE(VLOOKUP(_xlfn.TEXTSPLIT(Table1[[#This Row],[Fuel (no space after comma)]], ","), FuelList_Final_EF!$A$2:$B$32, 2, FALSE))</f>
        <v>105.42962572482868</v>
      </c>
      <c r="P132" s="2">
        <f>(16112*Table1[[#This Row],[Generation (TWh)]]*10^9)/10^6</f>
        <v>5690809.9583999999</v>
      </c>
      <c r="Q132" s="2">
        <f>Table1[[#This Row],[Emission Factor (kg CO2/ mmBtu)]]*Table1[[#This Row],[Fuel Consumption (mmBtu)]]*10^3</f>
        <v>599979963985.23987</v>
      </c>
      <c r="R132" s="2">
        <f>(Table1[[#This Row],[CO2 Emissions (g CO2)]])/(Table1[[#This Row],[Generation (TWh)]]*10^9)</f>
        <v>1698.6821296784397</v>
      </c>
    </row>
    <row r="133" spans="1:18" hidden="1">
      <c r="A133" t="s">
        <v>157</v>
      </c>
      <c r="B133" t="s">
        <v>19</v>
      </c>
      <c r="C133" t="str">
        <f>SUBSTITUTE(Table1[[#This Row],[Fuel]],", ",",")</f>
        <v>bioenergy: refuse (municipal and industrial wastes)</v>
      </c>
      <c r="D133" t="s">
        <v>19</v>
      </c>
      <c r="G133">
        <v>34</v>
      </c>
      <c r="H133" t="s">
        <v>27</v>
      </c>
      <c r="I133">
        <v>2021</v>
      </c>
      <c r="J133" t="s">
        <v>21</v>
      </c>
      <c r="K133">
        <v>51.532899999999998</v>
      </c>
      <c r="L133">
        <v>-2.6686999999999999</v>
      </c>
      <c r="M133" t="s">
        <v>22</v>
      </c>
      <c r="N133" s="2">
        <f>Table1[[#This Row],[Capacity (MW)]]*8760*0.72*10^-6</f>
        <v>0.21444479999999999</v>
      </c>
      <c r="O133" s="2" cm="1">
        <f t="array" ref="O133">AVERAGE(VLOOKUP(_xlfn.TEXTSPLIT(Table1[[#This Row],[Fuel (no space after comma)]], ","), FuelList_Final_EF!$A$2:$B$32, 2, FALSE))</f>
        <v>105.42962572482868</v>
      </c>
      <c r="P133" s="2">
        <f>(16112*Table1[[#This Row],[Generation (TWh)]]*10^9)/10^6</f>
        <v>3455134.6175999995</v>
      </c>
      <c r="Q133" s="2">
        <f>Table1[[#This Row],[Emission Factor (kg CO2/ mmBtu)]]*Table1[[#This Row],[Fuel Consumption (mmBtu)]]*10^3</f>
        <v>364273549562.46704</v>
      </c>
      <c r="R133" s="2">
        <f>(Table1[[#This Row],[CO2 Emissions (g CO2)]])/(Table1[[#This Row],[Generation (TWh)]]*10^9)</f>
        <v>1698.6821296784397</v>
      </c>
    </row>
    <row r="134" spans="1:18" hidden="1">
      <c r="A134" t="s">
        <v>158</v>
      </c>
      <c r="B134" t="s">
        <v>19</v>
      </c>
      <c r="C134" t="str">
        <f>SUBSTITUTE(Table1[[#This Row],[Fuel]],", ",",")</f>
        <v>bioenergy: refuse (municipal and industrial wastes)</v>
      </c>
      <c r="D134" t="s">
        <v>19</v>
      </c>
      <c r="G134">
        <v>31</v>
      </c>
      <c r="H134" t="s">
        <v>27</v>
      </c>
      <c r="I134">
        <v>1975</v>
      </c>
      <c r="J134" t="s">
        <v>21</v>
      </c>
      <c r="K134">
        <v>51.972700000000003</v>
      </c>
      <c r="L134">
        <v>5.9987000000000004</v>
      </c>
      <c r="M134" t="s">
        <v>39</v>
      </c>
      <c r="N134" s="2">
        <f>Table1[[#This Row],[Capacity (MW)]]*8760*0.72*10^-6</f>
        <v>0.19552319999999998</v>
      </c>
      <c r="O134" s="2" cm="1">
        <f t="array" ref="O134">AVERAGE(VLOOKUP(_xlfn.TEXTSPLIT(Table1[[#This Row],[Fuel (no space after comma)]], ","), FuelList_Final_EF!$A$2:$B$32, 2, FALSE))</f>
        <v>105.42962572482868</v>
      </c>
      <c r="P134" s="2">
        <f>(16112*Table1[[#This Row],[Generation (TWh)]]*10^9)/10^6</f>
        <v>3150269.7983999997</v>
      </c>
      <c r="Q134" s="2">
        <f>Table1[[#This Row],[Emission Factor (kg CO2/ mmBtu)]]*Table1[[#This Row],[Fuel Consumption (mmBtu)]]*10^3</f>
        <v>332131765777.54346</v>
      </c>
      <c r="R134" s="2">
        <f>(Table1[[#This Row],[CO2 Emissions (g CO2)]])/(Table1[[#This Row],[Generation (TWh)]]*10^9)</f>
        <v>1698.6821296784397</v>
      </c>
    </row>
    <row r="135" spans="1:18" hidden="1">
      <c r="A135" t="s">
        <v>158</v>
      </c>
      <c r="B135" t="s">
        <v>19</v>
      </c>
      <c r="C135" t="str">
        <f>SUBSTITUTE(Table1[[#This Row],[Fuel]],", ",",")</f>
        <v>bioenergy: refuse (municipal and industrial wastes)</v>
      </c>
      <c r="D135" t="s">
        <v>19</v>
      </c>
      <c r="G135">
        <v>100</v>
      </c>
      <c r="H135" t="s">
        <v>27</v>
      </c>
      <c r="I135">
        <v>1973</v>
      </c>
      <c r="J135" t="s">
        <v>21</v>
      </c>
      <c r="K135">
        <v>51.8977</v>
      </c>
      <c r="L135">
        <v>4.2781000000000002</v>
      </c>
      <c r="M135" t="s">
        <v>39</v>
      </c>
      <c r="N135" s="2">
        <f>Table1[[#This Row],[Capacity (MW)]]*8760*0.72*10^-6</f>
        <v>0.63071999999999995</v>
      </c>
      <c r="O135" s="2" cm="1">
        <f t="array" ref="O135">AVERAGE(VLOOKUP(_xlfn.TEXTSPLIT(Table1[[#This Row],[Fuel (no space after comma)]], ","), FuelList_Final_EF!$A$2:$B$32, 2, FALSE))</f>
        <v>105.42962572482868</v>
      </c>
      <c r="P135" s="2">
        <f>(16112*Table1[[#This Row],[Generation (TWh)]]*10^9)/10^6</f>
        <v>10162160.640000001</v>
      </c>
      <c r="Q135" s="2">
        <f>Table1[[#This Row],[Emission Factor (kg CO2/ mmBtu)]]*Table1[[#This Row],[Fuel Consumption (mmBtu)]]*10^3</f>
        <v>1071392792830.7855</v>
      </c>
      <c r="R135" s="2">
        <f>(Table1[[#This Row],[CO2 Emissions (g CO2)]])/(Table1[[#This Row],[Generation (TWh)]]*10^9)</f>
        <v>1698.6821296784397</v>
      </c>
    </row>
    <row r="136" spans="1:18" hidden="1">
      <c r="A136" t="s">
        <v>159</v>
      </c>
      <c r="B136" t="s">
        <v>46</v>
      </c>
      <c r="C136" t="str">
        <f>SUBSTITUTE(Table1[[#This Row],[Fuel]],", ",",")</f>
        <v>bioenergy: agricultural waste (solids)</v>
      </c>
      <c r="D136" t="s">
        <v>46</v>
      </c>
      <c r="G136">
        <v>31</v>
      </c>
      <c r="H136" t="s">
        <v>20</v>
      </c>
      <c r="I136">
        <v>2024</v>
      </c>
      <c r="J136" t="s">
        <v>21</v>
      </c>
      <c r="K136">
        <v>29.292300000000001</v>
      </c>
      <c r="L136">
        <v>71.508799999999994</v>
      </c>
      <c r="M136" t="s">
        <v>160</v>
      </c>
      <c r="N136" s="2">
        <f>Table1[[#This Row],[Capacity (MW)]]*8760*0.72*10^-6</f>
        <v>0.19552319999999998</v>
      </c>
      <c r="O136" s="2" cm="1">
        <f t="array" ref="O136">AVERAGE(VLOOKUP(_xlfn.TEXTSPLIT(Table1[[#This Row],[Fuel (no space after comma)]], ","), FuelList_Final_EF!$A$2:$B$32, 2, FALSE))</f>
        <v>118.17</v>
      </c>
      <c r="P136" s="2">
        <f>(16112*Table1[[#This Row],[Generation (TWh)]]*10^9)/10^6</f>
        <v>3150269.7983999997</v>
      </c>
      <c r="Q136" s="2">
        <f>Table1[[#This Row],[Emission Factor (kg CO2/ mmBtu)]]*Table1[[#This Row],[Fuel Consumption (mmBtu)]]*10^3</f>
        <v>372267382076.92798</v>
      </c>
      <c r="R136" s="2">
        <f>(Table1[[#This Row],[CO2 Emissions (g CO2)]])/(Table1[[#This Row],[Generation (TWh)]]*10^9)</f>
        <v>1903.9550400000003</v>
      </c>
    </row>
    <row r="137" spans="1:18" hidden="1">
      <c r="A137" t="s">
        <v>161</v>
      </c>
      <c r="B137" t="s">
        <v>61</v>
      </c>
      <c r="C137" t="str">
        <f>SUBSTITUTE(Table1[[#This Row],[Fuel]],", ",",")</f>
        <v>bioenergy: paper mill wastes</v>
      </c>
      <c r="D137" t="s">
        <v>61</v>
      </c>
      <c r="G137">
        <v>109</v>
      </c>
      <c r="H137" t="s">
        <v>27</v>
      </c>
      <c r="I137">
        <v>2000</v>
      </c>
      <c r="J137" t="s">
        <v>21</v>
      </c>
      <c r="K137">
        <v>-12.6431</v>
      </c>
      <c r="L137">
        <v>-38.337200000000003</v>
      </c>
      <c r="M137" t="s">
        <v>49</v>
      </c>
      <c r="N137" s="2">
        <f>Table1[[#This Row],[Capacity (MW)]]*8760*0.72*10^-6</f>
        <v>0.6874847999999999</v>
      </c>
      <c r="O137" s="2" cm="1">
        <f t="array" ref="O137">AVERAGE(VLOOKUP(_xlfn.TEXTSPLIT(Table1[[#This Row],[Fuel (no space after comma)]], ","), FuelList_Final_EF!$A$2:$B$32, 2, FALSE))</f>
        <v>100.47443331576173</v>
      </c>
      <c r="P137" s="2">
        <f>(16112*Table1[[#This Row],[Generation (TWh)]]*10^9)/10^6</f>
        <v>11076755.097599998</v>
      </c>
      <c r="Q137" s="2">
        <f>Table1[[#This Row],[Emission Factor (kg CO2/ mmBtu)]]*Table1[[#This Row],[Fuel Consumption (mmBtu)]]*10^3</f>
        <v>1112930691408.8347</v>
      </c>
      <c r="R137" s="2">
        <f>(Table1[[#This Row],[CO2 Emissions (g CO2)]])/(Table1[[#This Row],[Generation (TWh)]]*10^9)</f>
        <v>1618.8440695835529</v>
      </c>
    </row>
    <row r="138" spans="1:18" hidden="1">
      <c r="A138" t="s">
        <v>162</v>
      </c>
      <c r="B138" t="s">
        <v>46</v>
      </c>
      <c r="C138" t="str">
        <f>SUBSTITUTE(Table1[[#This Row],[Fuel]],", ",",")</f>
        <v>bioenergy: agricultural waste (solids)</v>
      </c>
      <c r="D138" t="s">
        <v>46</v>
      </c>
      <c r="G138">
        <v>40</v>
      </c>
      <c r="H138" t="s">
        <v>27</v>
      </c>
      <c r="I138">
        <v>2011</v>
      </c>
      <c r="J138" t="s">
        <v>21</v>
      </c>
      <c r="K138">
        <v>-6.4161000000000001</v>
      </c>
      <c r="L138">
        <v>-35.055700000000002</v>
      </c>
      <c r="M138" t="s">
        <v>49</v>
      </c>
      <c r="N138" s="2">
        <f>Table1[[#This Row],[Capacity (MW)]]*8760*0.72*10^-6</f>
        <v>0.25228800000000001</v>
      </c>
      <c r="O138" s="2" cm="1">
        <f t="array" ref="O138">AVERAGE(VLOOKUP(_xlfn.TEXTSPLIT(Table1[[#This Row],[Fuel (no space after comma)]], ","), FuelList_Final_EF!$A$2:$B$32, 2, FALSE))</f>
        <v>118.17</v>
      </c>
      <c r="P138" s="2">
        <f>(16112*Table1[[#This Row],[Generation (TWh)]]*10^9)/10^6</f>
        <v>4064864.2560000005</v>
      </c>
      <c r="Q138" s="2">
        <f>Table1[[#This Row],[Emission Factor (kg CO2/ mmBtu)]]*Table1[[#This Row],[Fuel Consumption (mmBtu)]]*10^3</f>
        <v>480345009131.52008</v>
      </c>
      <c r="R138" s="2">
        <f>(Table1[[#This Row],[CO2 Emissions (g CO2)]])/(Table1[[#This Row],[Generation (TWh)]]*10^9)</f>
        <v>1903.9550400000003</v>
      </c>
    </row>
    <row r="139" spans="1:18" hidden="1">
      <c r="A139" t="s">
        <v>163</v>
      </c>
      <c r="B139" t="s">
        <v>164</v>
      </c>
      <c r="C139" t="str">
        <f>SUBSTITUTE(Table1[[#This Row],[Fuel]],", ",",")</f>
        <v>bioenergy: wood &amp; other biomass (solids),coal: subbituminous</v>
      </c>
      <c r="D139" t="s">
        <v>25</v>
      </c>
      <c r="E139" t="s">
        <v>165</v>
      </c>
      <c r="G139">
        <v>30</v>
      </c>
      <c r="H139" t="s">
        <v>27</v>
      </c>
      <c r="I139">
        <v>1957</v>
      </c>
      <c r="J139">
        <v>2030</v>
      </c>
      <c r="K139">
        <v>47.095599999999997</v>
      </c>
      <c r="L139">
        <v>17.558444000000001</v>
      </c>
      <c r="M139" t="s">
        <v>166</v>
      </c>
      <c r="N139" s="2">
        <f>Table1[[#This Row],[Capacity (MW)]]*8760*0.72*10^-6</f>
        <v>0.189216</v>
      </c>
      <c r="O139" s="2" cm="1">
        <f t="array" ref="O139">AVERAGE(VLOOKUP(_xlfn.TEXTSPLIT(Table1[[#This Row],[Fuel (no space after comma)]], ","), FuelList_Final_EF!$A$2:$B$32, 2, FALSE))</f>
        <v>97.55893516078018</v>
      </c>
      <c r="P139" s="2">
        <f>(16112*Table1[[#This Row],[Generation (TWh)]]*10^9)/10^6</f>
        <v>3048648.1919999998</v>
      </c>
      <c r="Q139" s="2">
        <f>Table1[[#This Row],[Emission Factor (kg CO2/ mmBtu)]]*Table1[[#This Row],[Fuel Consumption (mmBtu)]]*10^3</f>
        <v>297422871291.35767</v>
      </c>
      <c r="R139" s="2">
        <f>(Table1[[#This Row],[CO2 Emissions (g CO2)]])/(Table1[[#This Row],[Generation (TWh)]]*10^9)</f>
        <v>1571.8695633104899</v>
      </c>
    </row>
    <row r="140" spans="1:18" hidden="1">
      <c r="A140" t="s">
        <v>163</v>
      </c>
      <c r="B140" t="s">
        <v>167</v>
      </c>
      <c r="C140" t="str">
        <f>SUBSTITUTE(Table1[[#This Row],[Fuel]],", ",",")</f>
        <v>bioenergy: wood &amp; other biomass (solids),bioenergy: refuse (municipal and industrial wastes),coal: unknown</v>
      </c>
      <c r="D140" t="s">
        <v>25</v>
      </c>
      <c r="E140" t="s">
        <v>19</v>
      </c>
      <c r="F140" t="s">
        <v>65</v>
      </c>
      <c r="G140">
        <v>30</v>
      </c>
      <c r="H140" t="s">
        <v>27</v>
      </c>
      <c r="I140">
        <v>1992</v>
      </c>
      <c r="J140" t="s">
        <v>21</v>
      </c>
      <c r="K140">
        <v>47.095599999999997</v>
      </c>
      <c r="L140">
        <v>17.558444000000001</v>
      </c>
      <c r="M140" t="s">
        <v>166</v>
      </c>
      <c r="N140" s="2">
        <f>Table1[[#This Row],[Capacity (MW)]]*8760*0.72*10^-6</f>
        <v>0.189216</v>
      </c>
      <c r="O140" s="2" cm="1">
        <f t="array" ref="O140">AVERAGE(VLOOKUP(_xlfn.TEXTSPLIT(Table1[[#This Row],[Fuel (no space after comma)]], ","), FuelList_Final_EF!$A$2:$B$32, 2, FALSE))</f>
        <v>100.1122122649798</v>
      </c>
      <c r="P140" s="2">
        <f>(16112*Table1[[#This Row],[Generation (TWh)]]*10^9)/10^6</f>
        <v>3048648.1919999998</v>
      </c>
      <c r="Q140" s="2">
        <f>Table1[[#This Row],[Emission Factor (kg CO2/ mmBtu)]]*Table1[[#This Row],[Fuel Consumption (mmBtu)]]*10^3</f>
        <v>305206914918.75085</v>
      </c>
      <c r="R140" s="2">
        <f>(Table1[[#This Row],[CO2 Emissions (g CO2)]])/(Table1[[#This Row],[Generation (TWh)]]*10^9)</f>
        <v>1613.0079640133542</v>
      </c>
    </row>
    <row r="141" spans="1:18" hidden="1">
      <c r="A141" t="s">
        <v>163</v>
      </c>
      <c r="B141" t="s">
        <v>164</v>
      </c>
      <c r="C141" t="str">
        <f>SUBSTITUTE(Table1[[#This Row],[Fuel]],", ",",")</f>
        <v>bioenergy: wood &amp; other biomass (solids),coal: subbituminous</v>
      </c>
      <c r="D141" t="s">
        <v>25</v>
      </c>
      <c r="E141" t="s">
        <v>165</v>
      </c>
      <c r="G141">
        <v>30</v>
      </c>
      <c r="H141" t="s">
        <v>27</v>
      </c>
      <c r="I141">
        <v>1957</v>
      </c>
      <c r="J141">
        <v>2030</v>
      </c>
      <c r="K141">
        <v>47.095599999999997</v>
      </c>
      <c r="L141">
        <v>17.558444000000001</v>
      </c>
      <c r="M141" t="s">
        <v>166</v>
      </c>
      <c r="N141" s="2">
        <f>Table1[[#This Row],[Capacity (MW)]]*8760*0.72*10^-6</f>
        <v>0.189216</v>
      </c>
      <c r="O141" s="2" cm="1">
        <f t="array" ref="O141">AVERAGE(VLOOKUP(_xlfn.TEXTSPLIT(Table1[[#This Row],[Fuel (no space after comma)]], ","), FuelList_Final_EF!$A$2:$B$32, 2, FALSE))</f>
        <v>97.55893516078018</v>
      </c>
      <c r="P141" s="2">
        <f>(16112*Table1[[#This Row],[Generation (TWh)]]*10^9)/10^6</f>
        <v>3048648.1919999998</v>
      </c>
      <c r="Q141" s="2">
        <f>Table1[[#This Row],[Emission Factor (kg CO2/ mmBtu)]]*Table1[[#This Row],[Fuel Consumption (mmBtu)]]*10^3</f>
        <v>297422871291.35767</v>
      </c>
      <c r="R141" s="2">
        <f>(Table1[[#This Row],[CO2 Emissions (g CO2)]])/(Table1[[#This Row],[Generation (TWh)]]*10^9)</f>
        <v>1571.8695633104899</v>
      </c>
    </row>
    <row r="142" spans="1:18" hidden="1">
      <c r="A142" t="s">
        <v>163</v>
      </c>
      <c r="B142" t="s">
        <v>167</v>
      </c>
      <c r="C142" t="str">
        <f>SUBSTITUTE(Table1[[#This Row],[Fuel]],", ",",")</f>
        <v>bioenergy: wood &amp; other biomass (solids),bioenergy: refuse (municipal and industrial wastes),coal: unknown</v>
      </c>
      <c r="D142" t="s">
        <v>25</v>
      </c>
      <c r="E142" t="s">
        <v>19</v>
      </c>
      <c r="F142" t="s">
        <v>65</v>
      </c>
      <c r="G142">
        <v>30</v>
      </c>
      <c r="H142" t="s">
        <v>27</v>
      </c>
      <c r="I142">
        <v>1992</v>
      </c>
      <c r="J142" t="s">
        <v>21</v>
      </c>
      <c r="K142">
        <v>47.095599999999997</v>
      </c>
      <c r="L142">
        <v>17.558444000000001</v>
      </c>
      <c r="M142" t="s">
        <v>166</v>
      </c>
      <c r="N142" s="2">
        <f>Table1[[#This Row],[Capacity (MW)]]*8760*0.72*10^-6</f>
        <v>0.189216</v>
      </c>
      <c r="O142" s="2" cm="1">
        <f t="array" ref="O142">AVERAGE(VLOOKUP(_xlfn.TEXTSPLIT(Table1[[#This Row],[Fuel (no space after comma)]], ","), FuelList_Final_EF!$A$2:$B$32, 2, FALSE))</f>
        <v>100.1122122649798</v>
      </c>
      <c r="P142" s="2">
        <f>(16112*Table1[[#This Row],[Generation (TWh)]]*10^9)/10^6</f>
        <v>3048648.1919999998</v>
      </c>
      <c r="Q142" s="2">
        <f>Table1[[#This Row],[Emission Factor (kg CO2/ mmBtu)]]*Table1[[#This Row],[Fuel Consumption (mmBtu)]]*10^3</f>
        <v>305206914918.75085</v>
      </c>
      <c r="R142" s="2">
        <f>(Table1[[#This Row],[CO2 Emissions (g CO2)]])/(Table1[[#This Row],[Generation (TWh)]]*10^9)</f>
        <v>1613.0079640133542</v>
      </c>
    </row>
    <row r="143" spans="1:18" hidden="1">
      <c r="A143" t="s">
        <v>168</v>
      </c>
      <c r="B143" t="s">
        <v>19</v>
      </c>
      <c r="C143" t="str">
        <f>SUBSTITUTE(Table1[[#This Row],[Fuel]],", ",",")</f>
        <v>bioenergy: refuse (municipal and industrial wastes)</v>
      </c>
      <c r="D143" t="s">
        <v>19</v>
      </c>
      <c r="G143">
        <v>37</v>
      </c>
      <c r="H143" t="s">
        <v>27</v>
      </c>
      <c r="I143">
        <v>2012</v>
      </c>
      <c r="J143" t="s">
        <v>21</v>
      </c>
      <c r="K143">
        <v>40.462499999999999</v>
      </c>
      <c r="L143">
        <v>49.898899999999998</v>
      </c>
      <c r="M143" t="s">
        <v>169</v>
      </c>
      <c r="N143" s="2">
        <f>Table1[[#This Row],[Capacity (MW)]]*8760*0.72*10^-6</f>
        <v>0.23336639999999997</v>
      </c>
      <c r="O143" s="2" cm="1">
        <f t="array" ref="O143">AVERAGE(VLOOKUP(_xlfn.TEXTSPLIT(Table1[[#This Row],[Fuel (no space after comma)]], ","), FuelList_Final_EF!$A$2:$B$32, 2, FALSE))</f>
        <v>105.42962572482868</v>
      </c>
      <c r="P143" s="2">
        <f>(16112*Table1[[#This Row],[Generation (TWh)]]*10^9)/10^6</f>
        <v>3759999.4367999998</v>
      </c>
      <c r="Q143" s="2">
        <f>Table1[[#This Row],[Emission Factor (kg CO2/ mmBtu)]]*Table1[[#This Row],[Fuel Consumption (mmBtu)]]*10^3</f>
        <v>396415333347.39056</v>
      </c>
      <c r="R143" s="2">
        <f>(Table1[[#This Row],[CO2 Emissions (g CO2)]])/(Table1[[#This Row],[Generation (TWh)]]*10^9)</f>
        <v>1698.6821296784397</v>
      </c>
    </row>
    <row r="144" spans="1:18" hidden="1">
      <c r="A144" t="s">
        <v>162</v>
      </c>
      <c r="B144" t="s">
        <v>46</v>
      </c>
      <c r="C144" t="str">
        <f>SUBSTITUTE(Table1[[#This Row],[Fuel]],", ",",")</f>
        <v>bioenergy: agricultural waste (solids)</v>
      </c>
      <c r="D144" t="s">
        <v>46</v>
      </c>
      <c r="G144">
        <v>45</v>
      </c>
      <c r="H144" t="s">
        <v>27</v>
      </c>
      <c r="I144">
        <v>2010</v>
      </c>
      <c r="J144" t="s">
        <v>21</v>
      </c>
      <c r="K144">
        <v>-21.987500000000001</v>
      </c>
      <c r="L144">
        <v>-47.450099999999999</v>
      </c>
      <c r="M144" t="s">
        <v>49</v>
      </c>
      <c r="N144" s="2">
        <f>Table1[[#This Row],[Capacity (MW)]]*8760*0.72*10^-6</f>
        <v>0.28382399999999997</v>
      </c>
      <c r="O144" s="2" cm="1">
        <f t="array" ref="O144">AVERAGE(VLOOKUP(_xlfn.TEXTSPLIT(Table1[[#This Row],[Fuel (no space after comma)]], ","), FuelList_Final_EF!$A$2:$B$32, 2, FALSE))</f>
        <v>118.17</v>
      </c>
      <c r="P144" s="2">
        <f>(16112*Table1[[#This Row],[Generation (TWh)]]*10^9)/10^6</f>
        <v>4572972.2879999988</v>
      </c>
      <c r="Q144" s="2">
        <f>Table1[[#This Row],[Emission Factor (kg CO2/ mmBtu)]]*Table1[[#This Row],[Fuel Consumption (mmBtu)]]*10^3</f>
        <v>540388135272.95984</v>
      </c>
      <c r="R144" s="2">
        <f>(Table1[[#This Row],[CO2 Emissions (g CO2)]])/(Table1[[#This Row],[Generation (TWh)]]*10^9)</f>
        <v>1903.9550399999998</v>
      </c>
    </row>
    <row r="145" spans="1:18" hidden="1">
      <c r="A145" t="s">
        <v>170</v>
      </c>
      <c r="B145" t="s">
        <v>19</v>
      </c>
      <c r="C145" t="str">
        <f>SUBSTITUTE(Table1[[#This Row],[Fuel]],", ",",")</f>
        <v>bioenergy: refuse (municipal and industrial wastes)</v>
      </c>
      <c r="D145" t="s">
        <v>19</v>
      </c>
      <c r="G145">
        <v>41</v>
      </c>
      <c r="H145" t="s">
        <v>27</v>
      </c>
      <c r="I145">
        <v>1990</v>
      </c>
      <c r="J145" t="s">
        <v>21</v>
      </c>
      <c r="K145">
        <v>25.135899999999999</v>
      </c>
      <c r="L145">
        <v>121.3687</v>
      </c>
      <c r="M145" t="s">
        <v>171</v>
      </c>
      <c r="N145" s="2">
        <f>Table1[[#This Row],[Capacity (MW)]]*8760*0.72*10^-6</f>
        <v>0.25859519999999997</v>
      </c>
      <c r="O145" s="2" cm="1">
        <f t="array" ref="O145">AVERAGE(VLOOKUP(_xlfn.TEXTSPLIT(Table1[[#This Row],[Fuel (no space after comma)]], ","), FuelList_Final_EF!$A$2:$B$32, 2, FALSE))</f>
        <v>105.42962572482868</v>
      </c>
      <c r="P145" s="2">
        <f>(16112*Table1[[#This Row],[Generation (TWh)]]*10^9)/10^6</f>
        <v>4166485.8624</v>
      </c>
      <c r="Q145" s="2">
        <f>Table1[[#This Row],[Emission Factor (kg CO2/ mmBtu)]]*Table1[[#This Row],[Fuel Consumption (mmBtu)]]*10^3</f>
        <v>439271045060.62201</v>
      </c>
      <c r="R145" s="2">
        <f>(Table1[[#This Row],[CO2 Emissions (g CO2)]])/(Table1[[#This Row],[Generation (TWh)]]*10^9)</f>
        <v>1698.6821296784397</v>
      </c>
    </row>
    <row r="146" spans="1:18">
      <c r="A146" t="s">
        <v>21</v>
      </c>
      <c r="B146" t="s">
        <v>19</v>
      </c>
      <c r="C146" t="str">
        <f>SUBSTITUTE(Table1[[#This Row],[Fuel]],", ",",")</f>
        <v>bioenergy: refuse (municipal and industrial wastes)</v>
      </c>
      <c r="D146" t="s">
        <v>19</v>
      </c>
      <c r="G146">
        <v>40</v>
      </c>
      <c r="H146" t="s">
        <v>172</v>
      </c>
      <c r="I146" t="s">
        <v>21</v>
      </c>
      <c r="J146" t="s">
        <v>21</v>
      </c>
      <c r="K146">
        <v>12.599</v>
      </c>
      <c r="L146">
        <v>-8.0009999999999994</v>
      </c>
      <c r="M146" t="s">
        <v>173</v>
      </c>
      <c r="N146" s="2">
        <f>Table1[[#This Row],[Capacity (MW)]]*8760*0.72*10^-6</f>
        <v>0.25228800000000001</v>
      </c>
      <c r="O146" s="2" cm="1">
        <f t="array" ref="O146">AVERAGE(VLOOKUP(_xlfn.TEXTSPLIT(Table1[[#This Row],[Fuel (no space after comma)]], ","), FuelList_Final_EF!$A$2:$B$32, 2, FALSE))</f>
        <v>105.42962572482868</v>
      </c>
      <c r="P146" s="2">
        <f>(16112*Table1[[#This Row],[Generation (TWh)]]*10^9)/10^6</f>
        <v>4064864.2560000005</v>
      </c>
      <c r="Q146" s="2">
        <f>Table1[[#This Row],[Emission Factor (kg CO2/ mmBtu)]]*Table1[[#This Row],[Fuel Consumption (mmBtu)]]*10^3</f>
        <v>428557117132.31427</v>
      </c>
      <c r="R146" s="2">
        <f>(Table1[[#This Row],[CO2 Emissions (g CO2)]])/(Table1[[#This Row],[Generation (TWh)]]*10^9)</f>
        <v>1698.6821296784401</v>
      </c>
    </row>
    <row r="147" spans="1:18" hidden="1">
      <c r="A147" t="s">
        <v>174</v>
      </c>
      <c r="B147" t="s">
        <v>46</v>
      </c>
      <c r="C147" t="str">
        <f>SUBSTITUTE(Table1[[#This Row],[Fuel]],", ",",")</f>
        <v>bioenergy: agricultural waste (solids)</v>
      </c>
      <c r="D147" t="s">
        <v>46</v>
      </c>
      <c r="G147">
        <v>30</v>
      </c>
      <c r="H147" t="s">
        <v>27</v>
      </c>
      <c r="I147">
        <v>2014</v>
      </c>
      <c r="J147" t="s">
        <v>21</v>
      </c>
      <c r="K147">
        <v>-20.0871</v>
      </c>
      <c r="L147">
        <v>-46.039900000000003</v>
      </c>
      <c r="M147" t="s">
        <v>49</v>
      </c>
      <c r="N147" s="2">
        <f>Table1[[#This Row],[Capacity (MW)]]*8760*0.72*10^-6</f>
        <v>0.189216</v>
      </c>
      <c r="O147" s="2" cm="1">
        <f t="array" ref="O147">AVERAGE(VLOOKUP(_xlfn.TEXTSPLIT(Table1[[#This Row],[Fuel (no space after comma)]], ","), FuelList_Final_EF!$A$2:$B$32, 2, FALSE))</f>
        <v>118.17</v>
      </c>
      <c r="P147" s="2">
        <f>(16112*Table1[[#This Row],[Generation (TWh)]]*10^9)/10^6</f>
        <v>3048648.1919999998</v>
      </c>
      <c r="Q147" s="2">
        <f>Table1[[#This Row],[Emission Factor (kg CO2/ mmBtu)]]*Table1[[#This Row],[Fuel Consumption (mmBtu)]]*10^3</f>
        <v>360258756848.63995</v>
      </c>
      <c r="R147" s="2">
        <f>(Table1[[#This Row],[CO2 Emissions (g CO2)]])/(Table1[[#This Row],[Generation (TWh)]]*10^9)</f>
        <v>1903.9550399999998</v>
      </c>
    </row>
    <row r="148" spans="1:18" hidden="1">
      <c r="A148" t="s">
        <v>175</v>
      </c>
      <c r="B148" t="s">
        <v>19</v>
      </c>
      <c r="C148" t="str">
        <f>SUBSTITUTE(Table1[[#This Row],[Fuel]],", ",",")</f>
        <v>bioenergy: refuse (municipal and industrial wastes)</v>
      </c>
      <c r="D148" t="s">
        <v>19</v>
      </c>
      <c r="G148">
        <v>160</v>
      </c>
      <c r="H148" t="s">
        <v>20</v>
      </c>
      <c r="I148">
        <v>2025</v>
      </c>
      <c r="J148" t="s">
        <v>21</v>
      </c>
      <c r="K148">
        <v>23.6889</v>
      </c>
      <c r="L148">
        <v>57.888100000000001</v>
      </c>
      <c r="M148" t="s">
        <v>176</v>
      </c>
      <c r="N148" s="2">
        <f>Table1[[#This Row],[Capacity (MW)]]*8760*0.72*10^-6</f>
        <v>1.009152</v>
      </c>
      <c r="O148" s="2" cm="1">
        <f t="array" ref="O148">AVERAGE(VLOOKUP(_xlfn.TEXTSPLIT(Table1[[#This Row],[Fuel (no space after comma)]], ","), FuelList_Final_EF!$A$2:$B$32, 2, FALSE))</f>
        <v>105.42962572482868</v>
      </c>
      <c r="P148" s="2">
        <f>(16112*Table1[[#This Row],[Generation (TWh)]]*10^9)/10^6</f>
        <v>16259457.024000002</v>
      </c>
      <c r="Q148" s="2">
        <f>Table1[[#This Row],[Emission Factor (kg CO2/ mmBtu)]]*Table1[[#This Row],[Fuel Consumption (mmBtu)]]*10^3</f>
        <v>1714228468529.2571</v>
      </c>
      <c r="R148" s="2">
        <f>(Table1[[#This Row],[CO2 Emissions (g CO2)]])/(Table1[[#This Row],[Generation (TWh)]]*10^9)</f>
        <v>1698.6821296784401</v>
      </c>
    </row>
    <row r="149" spans="1:18" hidden="1">
      <c r="A149" t="s">
        <v>177</v>
      </c>
      <c r="B149" t="s">
        <v>46</v>
      </c>
      <c r="C149" t="str">
        <f>SUBSTITUTE(Table1[[#This Row],[Fuel]],", ",",")</f>
        <v>bioenergy: agricultural waste (solids)</v>
      </c>
      <c r="D149" t="s">
        <v>46</v>
      </c>
      <c r="G149">
        <v>33</v>
      </c>
      <c r="H149" t="s">
        <v>27</v>
      </c>
      <c r="I149">
        <v>2010</v>
      </c>
      <c r="J149" t="s">
        <v>21</v>
      </c>
      <c r="K149">
        <v>-22.477900000000002</v>
      </c>
      <c r="L149">
        <v>-48.531999999999996</v>
      </c>
      <c r="M149" t="s">
        <v>49</v>
      </c>
      <c r="N149" s="2">
        <f>Table1[[#This Row],[Capacity (MW)]]*8760*0.72*10^-6</f>
        <v>0.20813760000000001</v>
      </c>
      <c r="O149" s="2" cm="1">
        <f t="array" ref="O149">AVERAGE(VLOOKUP(_xlfn.TEXTSPLIT(Table1[[#This Row],[Fuel (no space after comma)]], ","), FuelList_Final_EF!$A$2:$B$32, 2, FALSE))</f>
        <v>118.17</v>
      </c>
      <c r="P149" s="2">
        <f>(16112*Table1[[#This Row],[Generation (TWh)]]*10^9)/10^6</f>
        <v>3353513.0112000001</v>
      </c>
      <c r="Q149" s="2">
        <f>Table1[[#This Row],[Emission Factor (kg CO2/ mmBtu)]]*Table1[[#This Row],[Fuel Consumption (mmBtu)]]*10^3</f>
        <v>396284632533.50403</v>
      </c>
      <c r="R149" s="2">
        <f>(Table1[[#This Row],[CO2 Emissions (g CO2)]])/(Table1[[#This Row],[Generation (TWh)]]*10^9)</f>
        <v>1903.9550400000001</v>
      </c>
    </row>
    <row r="150" spans="1:18" hidden="1">
      <c r="A150" t="s">
        <v>177</v>
      </c>
      <c r="B150" t="s">
        <v>46</v>
      </c>
      <c r="C150" t="str">
        <f>SUBSTITUTE(Table1[[#This Row],[Fuel]],", ",",")</f>
        <v>bioenergy: agricultural waste (solids)</v>
      </c>
      <c r="D150" t="s">
        <v>46</v>
      </c>
      <c r="G150">
        <v>33</v>
      </c>
      <c r="H150" t="s">
        <v>27</v>
      </c>
      <c r="I150">
        <v>2010</v>
      </c>
      <c r="J150" t="s">
        <v>21</v>
      </c>
      <c r="K150">
        <v>-22.477900000000002</v>
      </c>
      <c r="L150">
        <v>-48.531999999999996</v>
      </c>
      <c r="M150" t="s">
        <v>49</v>
      </c>
      <c r="N150" s="2">
        <f>Table1[[#This Row],[Capacity (MW)]]*8760*0.72*10^-6</f>
        <v>0.20813760000000001</v>
      </c>
      <c r="O150" s="2" cm="1">
        <f t="array" ref="O150">AVERAGE(VLOOKUP(_xlfn.TEXTSPLIT(Table1[[#This Row],[Fuel (no space after comma)]], ","), FuelList_Final_EF!$A$2:$B$32, 2, FALSE))</f>
        <v>118.17</v>
      </c>
      <c r="P150" s="2">
        <f>(16112*Table1[[#This Row],[Generation (TWh)]]*10^9)/10^6</f>
        <v>3353513.0112000001</v>
      </c>
      <c r="Q150" s="2">
        <f>Table1[[#This Row],[Emission Factor (kg CO2/ mmBtu)]]*Table1[[#This Row],[Fuel Consumption (mmBtu)]]*10^3</f>
        <v>396284632533.50403</v>
      </c>
      <c r="R150" s="2">
        <f>(Table1[[#This Row],[CO2 Emissions (g CO2)]])/(Table1[[#This Row],[Generation (TWh)]]*10^9)</f>
        <v>1903.9550400000001</v>
      </c>
    </row>
    <row r="151" spans="1:18" hidden="1">
      <c r="A151" t="s">
        <v>177</v>
      </c>
      <c r="B151" t="s">
        <v>46</v>
      </c>
      <c r="C151" t="str">
        <f>SUBSTITUTE(Table1[[#This Row],[Fuel]],", ",",")</f>
        <v>bioenergy: agricultural waste (solids)</v>
      </c>
      <c r="D151" t="s">
        <v>46</v>
      </c>
      <c r="G151">
        <v>35</v>
      </c>
      <c r="H151" t="s">
        <v>27</v>
      </c>
      <c r="I151">
        <v>2010</v>
      </c>
      <c r="J151" t="s">
        <v>21</v>
      </c>
      <c r="K151">
        <v>-22.477900000000002</v>
      </c>
      <c r="L151">
        <v>-48.531999999999996</v>
      </c>
      <c r="M151" t="s">
        <v>49</v>
      </c>
      <c r="N151" s="2">
        <f>Table1[[#This Row],[Capacity (MW)]]*8760*0.72*10^-6</f>
        <v>0.220752</v>
      </c>
      <c r="O151" s="2" cm="1">
        <f t="array" ref="O151">AVERAGE(VLOOKUP(_xlfn.TEXTSPLIT(Table1[[#This Row],[Fuel (no space after comma)]], ","), FuelList_Final_EF!$A$2:$B$32, 2, FALSE))</f>
        <v>118.17</v>
      </c>
      <c r="P151" s="2">
        <f>(16112*Table1[[#This Row],[Generation (TWh)]]*10^9)/10^6</f>
        <v>3556756.2239999999</v>
      </c>
      <c r="Q151" s="2">
        <f>Table1[[#This Row],[Emission Factor (kg CO2/ mmBtu)]]*Table1[[#This Row],[Fuel Consumption (mmBtu)]]*10^3</f>
        <v>420301882990.08002</v>
      </c>
      <c r="R151" s="2">
        <f>(Table1[[#This Row],[CO2 Emissions (g CO2)]])/(Table1[[#This Row],[Generation (TWh)]]*10^9)</f>
        <v>1903.9550400000001</v>
      </c>
    </row>
    <row r="152" spans="1:18" hidden="1">
      <c r="A152" t="s">
        <v>177</v>
      </c>
      <c r="B152" t="s">
        <v>46</v>
      </c>
      <c r="C152" t="str">
        <f>SUBSTITUTE(Table1[[#This Row],[Fuel]],", ",",")</f>
        <v>bioenergy: agricultural waste (solids)</v>
      </c>
      <c r="D152" t="s">
        <v>46</v>
      </c>
      <c r="G152">
        <v>35</v>
      </c>
      <c r="H152" t="s">
        <v>27</v>
      </c>
      <c r="I152">
        <v>2010</v>
      </c>
      <c r="J152" t="s">
        <v>21</v>
      </c>
      <c r="K152">
        <v>-22.477900000000002</v>
      </c>
      <c r="L152">
        <v>-48.531999999999996</v>
      </c>
      <c r="M152" t="s">
        <v>49</v>
      </c>
      <c r="N152" s="2">
        <f>Table1[[#This Row],[Capacity (MW)]]*8760*0.72*10^-6</f>
        <v>0.220752</v>
      </c>
      <c r="O152" s="2" cm="1">
        <f t="array" ref="O152">AVERAGE(VLOOKUP(_xlfn.TEXTSPLIT(Table1[[#This Row],[Fuel (no space after comma)]], ","), FuelList_Final_EF!$A$2:$B$32, 2, FALSE))</f>
        <v>118.17</v>
      </c>
      <c r="P152" s="2">
        <f>(16112*Table1[[#This Row],[Generation (TWh)]]*10^9)/10^6</f>
        <v>3556756.2239999999</v>
      </c>
      <c r="Q152" s="2">
        <f>Table1[[#This Row],[Emission Factor (kg CO2/ mmBtu)]]*Table1[[#This Row],[Fuel Consumption (mmBtu)]]*10^3</f>
        <v>420301882990.08002</v>
      </c>
      <c r="R152" s="2">
        <f>(Table1[[#This Row],[CO2 Emissions (g CO2)]])/(Table1[[#This Row],[Generation (TWh)]]*10^9)</f>
        <v>1903.9550400000001</v>
      </c>
    </row>
    <row r="153" spans="1:18" hidden="1">
      <c r="A153" t="s">
        <v>178</v>
      </c>
      <c r="B153" t="s">
        <v>46</v>
      </c>
      <c r="C153" t="str">
        <f>SUBSTITUTE(Table1[[#This Row],[Fuel]],", ",",")</f>
        <v>bioenergy: agricultural waste (solids)</v>
      </c>
      <c r="D153" t="s">
        <v>46</v>
      </c>
      <c r="G153">
        <v>80</v>
      </c>
      <c r="H153" t="s">
        <v>27</v>
      </c>
      <c r="I153">
        <v>2024</v>
      </c>
      <c r="J153" t="s">
        <v>21</v>
      </c>
      <c r="K153">
        <v>-22.629100000000001</v>
      </c>
      <c r="L153">
        <v>-48.802100000000003</v>
      </c>
      <c r="M153" t="s">
        <v>49</v>
      </c>
      <c r="N153" s="2">
        <f>Table1[[#This Row],[Capacity (MW)]]*8760*0.72*10^-6</f>
        <v>0.50457600000000002</v>
      </c>
      <c r="O153" s="2" cm="1">
        <f t="array" ref="O153">AVERAGE(VLOOKUP(_xlfn.TEXTSPLIT(Table1[[#This Row],[Fuel (no space after comma)]], ","), FuelList_Final_EF!$A$2:$B$32, 2, FALSE))</f>
        <v>118.17</v>
      </c>
      <c r="P153" s="2">
        <f>(16112*Table1[[#This Row],[Generation (TWh)]]*10^9)/10^6</f>
        <v>8129728.512000001</v>
      </c>
      <c r="Q153" s="2">
        <f>Table1[[#This Row],[Emission Factor (kg CO2/ mmBtu)]]*Table1[[#This Row],[Fuel Consumption (mmBtu)]]*10^3</f>
        <v>960690018263.04016</v>
      </c>
      <c r="R153" s="2">
        <f>(Table1[[#This Row],[CO2 Emissions (g CO2)]])/(Table1[[#This Row],[Generation (TWh)]]*10^9)</f>
        <v>1903.9550400000003</v>
      </c>
    </row>
    <row r="154" spans="1:18" hidden="1">
      <c r="A154" t="s">
        <v>178</v>
      </c>
      <c r="B154" t="s">
        <v>46</v>
      </c>
      <c r="C154" t="str">
        <f>SUBSTITUTE(Table1[[#This Row],[Fuel]],", ",",")</f>
        <v>bioenergy: agricultural waste (solids)</v>
      </c>
      <c r="D154" t="s">
        <v>46</v>
      </c>
      <c r="G154">
        <v>63</v>
      </c>
      <c r="H154" t="s">
        <v>27</v>
      </c>
      <c r="I154">
        <v>2003</v>
      </c>
      <c r="J154" t="s">
        <v>21</v>
      </c>
      <c r="K154">
        <v>-22.625299999999999</v>
      </c>
      <c r="L154">
        <v>-48.756799999999998</v>
      </c>
      <c r="M154" t="s">
        <v>49</v>
      </c>
      <c r="N154" s="2">
        <f>Table1[[#This Row],[Capacity (MW)]]*8760*0.72*10^-6</f>
        <v>0.39735359999999997</v>
      </c>
      <c r="O154" s="2" cm="1">
        <f t="array" ref="O154">AVERAGE(VLOOKUP(_xlfn.TEXTSPLIT(Table1[[#This Row],[Fuel (no space after comma)]], ","), FuelList_Final_EF!$A$2:$B$32, 2, FALSE))</f>
        <v>118.17</v>
      </c>
      <c r="P154" s="2">
        <f>(16112*Table1[[#This Row],[Generation (TWh)]]*10^9)/10^6</f>
        <v>6402161.2031999994</v>
      </c>
      <c r="Q154" s="2">
        <f>Table1[[#This Row],[Emission Factor (kg CO2/ mmBtu)]]*Table1[[#This Row],[Fuel Consumption (mmBtu)]]*10^3</f>
        <v>756543389382.14392</v>
      </c>
      <c r="R154" s="2">
        <f>(Table1[[#This Row],[CO2 Emissions (g CO2)]])/(Table1[[#This Row],[Generation (TWh)]]*10^9)</f>
        <v>1903.9550399999998</v>
      </c>
    </row>
    <row r="155" spans="1:18" hidden="1">
      <c r="A155" t="s">
        <v>179</v>
      </c>
      <c r="B155" t="s">
        <v>46</v>
      </c>
      <c r="C155" t="str">
        <f>SUBSTITUTE(Table1[[#This Row],[Fuel]],", ",",")</f>
        <v>bioenergy: agricultural waste (solids)</v>
      </c>
      <c r="D155" t="s">
        <v>46</v>
      </c>
      <c r="G155">
        <v>30</v>
      </c>
      <c r="H155" t="s">
        <v>27</v>
      </c>
      <c r="I155">
        <v>2002</v>
      </c>
      <c r="J155" t="s">
        <v>21</v>
      </c>
      <c r="K155">
        <v>-15.032999999999999</v>
      </c>
      <c r="L155">
        <v>-57.210500000000003</v>
      </c>
      <c r="M155" t="s">
        <v>49</v>
      </c>
      <c r="N155" s="2">
        <f>Table1[[#This Row],[Capacity (MW)]]*8760*0.72*10^-6</f>
        <v>0.189216</v>
      </c>
      <c r="O155" s="2" cm="1">
        <f t="array" ref="O155">AVERAGE(VLOOKUP(_xlfn.TEXTSPLIT(Table1[[#This Row],[Fuel (no space after comma)]], ","), FuelList_Final_EF!$A$2:$B$32, 2, FALSE))</f>
        <v>118.17</v>
      </c>
      <c r="P155" s="2">
        <f>(16112*Table1[[#This Row],[Generation (TWh)]]*10^9)/10^6</f>
        <v>3048648.1919999998</v>
      </c>
      <c r="Q155" s="2">
        <f>Table1[[#This Row],[Emission Factor (kg CO2/ mmBtu)]]*Table1[[#This Row],[Fuel Consumption (mmBtu)]]*10^3</f>
        <v>360258756848.63995</v>
      </c>
      <c r="R155" s="2">
        <f>(Table1[[#This Row],[CO2 Emissions (g CO2)]])/(Table1[[#This Row],[Generation (TWh)]]*10^9)</f>
        <v>1903.9550399999998</v>
      </c>
    </row>
    <row r="156" spans="1:18">
      <c r="A156" t="s">
        <v>180</v>
      </c>
      <c r="B156" t="s">
        <v>19</v>
      </c>
      <c r="C156" t="str">
        <f>SUBSTITUTE(Table1[[#This Row],[Fuel]],", ",",")</f>
        <v>bioenergy: refuse (municipal and industrial wastes)</v>
      </c>
      <c r="D156" t="s">
        <v>19</v>
      </c>
      <c r="G156">
        <v>100</v>
      </c>
      <c r="H156" t="s">
        <v>172</v>
      </c>
      <c r="I156" t="s">
        <v>21</v>
      </c>
      <c r="J156" t="s">
        <v>21</v>
      </c>
      <c r="K156">
        <v>14.6685</v>
      </c>
      <c r="L156">
        <v>120.5</v>
      </c>
      <c r="M156" t="s">
        <v>72</v>
      </c>
      <c r="N156" s="2">
        <f>Table1[[#This Row],[Capacity (MW)]]*8760*0.72*10^-6</f>
        <v>0.63071999999999995</v>
      </c>
      <c r="O156" s="2" cm="1">
        <f t="array" ref="O156">AVERAGE(VLOOKUP(_xlfn.TEXTSPLIT(Table1[[#This Row],[Fuel (no space after comma)]], ","), FuelList_Final_EF!$A$2:$B$32, 2, FALSE))</f>
        <v>105.42962572482868</v>
      </c>
      <c r="P156" s="2">
        <f>(16112*Table1[[#This Row],[Generation (TWh)]]*10^9)/10^6</f>
        <v>10162160.640000001</v>
      </c>
      <c r="Q156" s="2">
        <f>Table1[[#This Row],[Emission Factor (kg CO2/ mmBtu)]]*Table1[[#This Row],[Fuel Consumption (mmBtu)]]*10^3</f>
        <v>1071392792830.7855</v>
      </c>
      <c r="R156" s="2">
        <f>(Table1[[#This Row],[CO2 Emissions (g CO2)]])/(Table1[[#This Row],[Generation (TWh)]]*10^9)</f>
        <v>1698.6821296784397</v>
      </c>
    </row>
    <row r="157" spans="1:18" hidden="1">
      <c r="A157" t="s">
        <v>181</v>
      </c>
      <c r="B157" t="s">
        <v>182</v>
      </c>
      <c r="C157" t="str">
        <f>SUBSTITUTE(Table1[[#This Row],[Fuel]],", ",",")</f>
        <v>bioenergy: biodiesel,bioenergy: agricultural waste (solids)</v>
      </c>
      <c r="D157" t="s">
        <v>36</v>
      </c>
      <c r="E157" t="s">
        <v>46</v>
      </c>
      <c r="G157">
        <v>57</v>
      </c>
      <c r="H157" t="s">
        <v>53</v>
      </c>
      <c r="I157">
        <v>2027</v>
      </c>
      <c r="J157" t="s">
        <v>21</v>
      </c>
      <c r="K157">
        <v>2.9658000000000002</v>
      </c>
      <c r="L157">
        <v>-60.697400000000002</v>
      </c>
      <c r="M157" t="s">
        <v>49</v>
      </c>
      <c r="N157" s="2">
        <f>Table1[[#This Row],[Capacity (MW)]]*8760*0.72*10^-6</f>
        <v>0.35951039999999995</v>
      </c>
      <c r="O157" s="2" cm="1">
        <f t="array" ref="O157">AVERAGE(VLOOKUP(_xlfn.TEXTSPLIT(Table1[[#This Row],[Fuel (no space after comma)]], ","), FuelList_Final_EF!$A$2:$B$32, 2, FALSE))</f>
        <v>96.004999999999995</v>
      </c>
      <c r="P157" s="2">
        <f>(16112*Table1[[#This Row],[Generation (TWh)]]*10^9)/10^6</f>
        <v>5792431.5647999989</v>
      </c>
      <c r="Q157" s="2">
        <f>Table1[[#This Row],[Emission Factor (kg CO2/ mmBtu)]]*Table1[[#This Row],[Fuel Consumption (mmBtu)]]*10^3</f>
        <v>556102392378.6239</v>
      </c>
      <c r="R157" s="2">
        <f>(Table1[[#This Row],[CO2 Emissions (g CO2)]])/(Table1[[#This Row],[Generation (TWh)]]*10^9)</f>
        <v>1546.8325600000001</v>
      </c>
    </row>
    <row r="158" spans="1:18" hidden="1">
      <c r="A158" t="s">
        <v>183</v>
      </c>
      <c r="B158" t="s">
        <v>25</v>
      </c>
      <c r="C158" t="str">
        <f>SUBSTITUTE(Table1[[#This Row],[Fuel]],", ",",")</f>
        <v>bioenergy: wood &amp; other biomass (solids)</v>
      </c>
      <c r="D158" t="s">
        <v>25</v>
      </c>
      <c r="G158">
        <v>32</v>
      </c>
      <c r="H158" t="s">
        <v>27</v>
      </c>
      <c r="I158">
        <v>2003</v>
      </c>
      <c r="J158" t="s">
        <v>21</v>
      </c>
      <c r="K158">
        <v>55.071199999999997</v>
      </c>
      <c r="L158">
        <v>-118.6896</v>
      </c>
      <c r="M158" t="s">
        <v>79</v>
      </c>
      <c r="N158" s="2">
        <f>Table1[[#This Row],[Capacity (MW)]]*8760*0.72*10^-6</f>
        <v>0.20183039999999999</v>
      </c>
      <c r="O158" s="2" cm="1">
        <f t="array" ref="O158">AVERAGE(VLOOKUP(_xlfn.TEXTSPLIT(Table1[[#This Row],[Fuel (no space after comma)]], ","), FuelList_Final_EF!$A$2:$B$32, 2, FALSE))</f>
        <v>93.8</v>
      </c>
      <c r="P158" s="2">
        <f>(16112*Table1[[#This Row],[Generation (TWh)]]*10^9)/10^6</f>
        <v>3251891.4047999997</v>
      </c>
      <c r="Q158" s="2">
        <f>Table1[[#This Row],[Emission Factor (kg CO2/ mmBtu)]]*Table1[[#This Row],[Fuel Consumption (mmBtu)]]*10^3</f>
        <v>305027413770.23993</v>
      </c>
      <c r="R158" s="2">
        <f>(Table1[[#This Row],[CO2 Emissions (g CO2)]])/(Table1[[#This Row],[Generation (TWh)]]*10^9)</f>
        <v>1511.3055999999997</v>
      </c>
    </row>
    <row r="159" spans="1:18" hidden="1">
      <c r="A159" t="s">
        <v>21</v>
      </c>
      <c r="B159" t="s">
        <v>61</v>
      </c>
      <c r="C159" t="str">
        <f>SUBSTITUTE(Table1[[#This Row],[Fuel]],", ",",")</f>
        <v>bioenergy: paper mill wastes</v>
      </c>
      <c r="D159" t="s">
        <v>61</v>
      </c>
      <c r="G159">
        <v>100</v>
      </c>
      <c r="H159" t="s">
        <v>27</v>
      </c>
      <c r="I159">
        <v>2016</v>
      </c>
      <c r="J159" t="s">
        <v>21</v>
      </c>
      <c r="K159">
        <v>21.538620000000002</v>
      </c>
      <c r="L159">
        <v>109.53468100000001</v>
      </c>
      <c r="M159" t="s">
        <v>102</v>
      </c>
      <c r="N159" s="2">
        <f>Table1[[#This Row],[Capacity (MW)]]*8760*0.72*10^-6</f>
        <v>0.63071999999999995</v>
      </c>
      <c r="O159" s="2" cm="1">
        <f t="array" ref="O159">AVERAGE(VLOOKUP(_xlfn.TEXTSPLIT(Table1[[#This Row],[Fuel (no space after comma)]], ","), FuelList_Final_EF!$A$2:$B$32, 2, FALSE))</f>
        <v>100.47443331576173</v>
      </c>
      <c r="P159" s="2">
        <f>(16112*Table1[[#This Row],[Generation (TWh)]]*10^9)/10^6</f>
        <v>10162160.640000001</v>
      </c>
      <c r="Q159" s="2">
        <f>Table1[[#This Row],[Emission Factor (kg CO2/ mmBtu)]]*Table1[[#This Row],[Fuel Consumption (mmBtu)]]*10^3</f>
        <v>1021037331567.7386</v>
      </c>
      <c r="R159" s="2">
        <f>(Table1[[#This Row],[CO2 Emissions (g CO2)]])/(Table1[[#This Row],[Generation (TWh)]]*10^9)</f>
        <v>1618.8440695835532</v>
      </c>
    </row>
    <row r="160" spans="1:18" hidden="1">
      <c r="A160" t="s">
        <v>184</v>
      </c>
      <c r="B160" t="s">
        <v>19</v>
      </c>
      <c r="C160" t="str">
        <f>SUBSTITUTE(Table1[[#This Row],[Fuel]],", ",",")</f>
        <v>bioenergy: refuse (municipal and industrial wastes)</v>
      </c>
      <c r="D160" t="s">
        <v>19</v>
      </c>
      <c r="G160">
        <v>11.25</v>
      </c>
      <c r="H160" t="s">
        <v>27</v>
      </c>
      <c r="I160">
        <v>2023</v>
      </c>
      <c r="J160" t="s">
        <v>21</v>
      </c>
      <c r="K160">
        <v>39.628599999999999</v>
      </c>
      <c r="L160">
        <v>116.5181</v>
      </c>
      <c r="M160" t="s">
        <v>102</v>
      </c>
      <c r="N160" s="2">
        <f>Table1[[#This Row],[Capacity (MW)]]*8760*0.72*10^-6</f>
        <v>7.0955999999999991E-2</v>
      </c>
      <c r="O160" s="2" cm="1">
        <f t="array" ref="O160">AVERAGE(VLOOKUP(_xlfn.TEXTSPLIT(Table1[[#This Row],[Fuel (no space after comma)]], ","), FuelList_Final_EF!$A$2:$B$32, 2, FALSE))</f>
        <v>105.42962572482868</v>
      </c>
      <c r="P160" s="2">
        <f>(16112*Table1[[#This Row],[Generation (TWh)]]*10^9)/10^6</f>
        <v>1143243.0719999997</v>
      </c>
      <c r="Q160" s="2">
        <f>Table1[[#This Row],[Emission Factor (kg CO2/ mmBtu)]]*Table1[[#This Row],[Fuel Consumption (mmBtu)]]*10^3</f>
        <v>120531689193.46333</v>
      </c>
      <c r="R160" s="2">
        <f>(Table1[[#This Row],[CO2 Emissions (g CO2)]])/(Table1[[#This Row],[Generation (TWh)]]*10^9)</f>
        <v>1698.6821296784397</v>
      </c>
    </row>
    <row r="161" spans="1:18" hidden="1">
      <c r="A161" t="s">
        <v>185</v>
      </c>
      <c r="B161" t="s">
        <v>19</v>
      </c>
      <c r="C161" t="str">
        <f>SUBSTITUTE(Table1[[#This Row],[Fuel]],", ",",")</f>
        <v>bioenergy: refuse (municipal and industrial wastes)</v>
      </c>
      <c r="D161" t="s">
        <v>19</v>
      </c>
      <c r="G161">
        <v>33.75</v>
      </c>
      <c r="H161" t="s">
        <v>27</v>
      </c>
      <c r="I161">
        <v>2023</v>
      </c>
      <c r="J161" t="s">
        <v>21</v>
      </c>
      <c r="K161">
        <v>39.628599999999999</v>
      </c>
      <c r="L161">
        <v>116.5181</v>
      </c>
      <c r="M161" t="s">
        <v>102</v>
      </c>
      <c r="N161" s="2">
        <f>Table1[[#This Row],[Capacity (MW)]]*8760*0.72*10^-6</f>
        <v>0.212868</v>
      </c>
      <c r="O161" s="2" cm="1">
        <f t="array" ref="O161">AVERAGE(VLOOKUP(_xlfn.TEXTSPLIT(Table1[[#This Row],[Fuel (no space after comma)]], ","), FuelList_Final_EF!$A$2:$B$32, 2, FALSE))</f>
        <v>105.42962572482868</v>
      </c>
      <c r="P161" s="2">
        <f>(16112*Table1[[#This Row],[Generation (TWh)]]*10^9)/10^6</f>
        <v>3429729.216</v>
      </c>
      <c r="Q161" s="2">
        <f>Table1[[#This Row],[Emission Factor (kg CO2/ mmBtu)]]*Table1[[#This Row],[Fuel Consumption (mmBtu)]]*10^3</f>
        <v>361595067580.39008</v>
      </c>
      <c r="R161" s="2">
        <f>(Table1[[#This Row],[CO2 Emissions (g CO2)]])/(Table1[[#This Row],[Generation (TWh)]]*10^9)</f>
        <v>1698.6821296784397</v>
      </c>
    </row>
    <row r="162" spans="1:18" hidden="1">
      <c r="A162" t="s">
        <v>185</v>
      </c>
      <c r="B162" t="s">
        <v>19</v>
      </c>
      <c r="C162" t="str">
        <f>SUBSTITUTE(Table1[[#This Row],[Fuel]],", ",",")</f>
        <v>bioenergy: refuse (municipal and industrial wastes)</v>
      </c>
      <c r="D162" t="s">
        <v>19</v>
      </c>
      <c r="G162">
        <v>33.75</v>
      </c>
      <c r="H162" t="s">
        <v>27</v>
      </c>
      <c r="I162">
        <v>2023</v>
      </c>
      <c r="J162" t="s">
        <v>21</v>
      </c>
      <c r="K162">
        <v>39.628599999999999</v>
      </c>
      <c r="L162">
        <v>116.5181</v>
      </c>
      <c r="M162" t="s">
        <v>102</v>
      </c>
      <c r="N162" s="2">
        <f>Table1[[#This Row],[Capacity (MW)]]*8760*0.72*10^-6</f>
        <v>0.212868</v>
      </c>
      <c r="O162" s="2" cm="1">
        <f t="array" ref="O162">AVERAGE(VLOOKUP(_xlfn.TEXTSPLIT(Table1[[#This Row],[Fuel (no space after comma)]], ","), FuelList_Final_EF!$A$2:$B$32, 2, FALSE))</f>
        <v>105.42962572482868</v>
      </c>
      <c r="P162" s="2">
        <f>(16112*Table1[[#This Row],[Generation (TWh)]]*10^9)/10^6</f>
        <v>3429729.216</v>
      </c>
      <c r="Q162" s="2">
        <f>Table1[[#This Row],[Emission Factor (kg CO2/ mmBtu)]]*Table1[[#This Row],[Fuel Consumption (mmBtu)]]*10^3</f>
        <v>361595067580.39008</v>
      </c>
      <c r="R162" s="2">
        <f>(Table1[[#This Row],[CO2 Emissions (g CO2)]])/(Table1[[#This Row],[Generation (TWh)]]*10^9)</f>
        <v>1698.6821296784397</v>
      </c>
    </row>
    <row r="163" spans="1:18" hidden="1">
      <c r="A163" t="s">
        <v>184</v>
      </c>
      <c r="B163" t="s">
        <v>19</v>
      </c>
      <c r="C163" t="str">
        <f>SUBSTITUTE(Table1[[#This Row],[Fuel]],", ",",")</f>
        <v>bioenergy: refuse (municipal and industrial wastes)</v>
      </c>
      <c r="D163" t="s">
        <v>19</v>
      </c>
      <c r="G163">
        <v>11.25</v>
      </c>
      <c r="H163" t="s">
        <v>27</v>
      </c>
      <c r="I163">
        <v>2023</v>
      </c>
      <c r="J163" t="s">
        <v>21</v>
      </c>
      <c r="K163">
        <v>39.628599999999999</v>
      </c>
      <c r="L163">
        <v>116.5181</v>
      </c>
      <c r="M163" t="s">
        <v>102</v>
      </c>
      <c r="N163" s="2">
        <f>Table1[[#This Row],[Capacity (MW)]]*8760*0.72*10^-6</f>
        <v>7.0955999999999991E-2</v>
      </c>
      <c r="O163" s="2" cm="1">
        <f t="array" ref="O163">AVERAGE(VLOOKUP(_xlfn.TEXTSPLIT(Table1[[#This Row],[Fuel (no space after comma)]], ","), FuelList_Final_EF!$A$2:$B$32, 2, FALSE))</f>
        <v>105.42962572482868</v>
      </c>
      <c r="P163" s="2">
        <f>(16112*Table1[[#This Row],[Generation (TWh)]]*10^9)/10^6</f>
        <v>1143243.0719999997</v>
      </c>
      <c r="Q163" s="2">
        <f>Table1[[#This Row],[Emission Factor (kg CO2/ mmBtu)]]*Table1[[#This Row],[Fuel Consumption (mmBtu)]]*10^3</f>
        <v>120531689193.46333</v>
      </c>
      <c r="R163" s="2">
        <f>(Table1[[#This Row],[CO2 Emissions (g CO2)]])/(Table1[[#This Row],[Generation (TWh)]]*10^9)</f>
        <v>1698.6821296784397</v>
      </c>
    </row>
    <row r="164" spans="1:18" hidden="1">
      <c r="A164" t="s">
        <v>184</v>
      </c>
      <c r="B164" t="s">
        <v>19</v>
      </c>
      <c r="C164" t="str">
        <f>SUBSTITUTE(Table1[[#This Row],[Fuel]],", ",",")</f>
        <v>bioenergy: refuse (municipal and industrial wastes)</v>
      </c>
      <c r="D164" t="s">
        <v>19</v>
      </c>
      <c r="G164">
        <v>11.25</v>
      </c>
      <c r="H164" t="s">
        <v>27</v>
      </c>
      <c r="I164">
        <v>2023</v>
      </c>
      <c r="J164" t="s">
        <v>21</v>
      </c>
      <c r="K164">
        <v>39.628599999999999</v>
      </c>
      <c r="L164">
        <v>116.5181</v>
      </c>
      <c r="M164" t="s">
        <v>102</v>
      </c>
      <c r="N164" s="2">
        <f>Table1[[#This Row],[Capacity (MW)]]*8760*0.72*10^-6</f>
        <v>7.0955999999999991E-2</v>
      </c>
      <c r="O164" s="2" cm="1">
        <f t="array" ref="O164">AVERAGE(VLOOKUP(_xlfn.TEXTSPLIT(Table1[[#This Row],[Fuel (no space after comma)]], ","), FuelList_Final_EF!$A$2:$B$32, 2, FALSE))</f>
        <v>105.42962572482868</v>
      </c>
      <c r="P164" s="2">
        <f>(16112*Table1[[#This Row],[Generation (TWh)]]*10^9)/10^6</f>
        <v>1143243.0719999997</v>
      </c>
      <c r="Q164" s="2">
        <f>Table1[[#This Row],[Emission Factor (kg CO2/ mmBtu)]]*Table1[[#This Row],[Fuel Consumption (mmBtu)]]*10^3</f>
        <v>120531689193.46333</v>
      </c>
      <c r="R164" s="2">
        <f>(Table1[[#This Row],[CO2 Emissions (g CO2)]])/(Table1[[#This Row],[Generation (TWh)]]*10^9)</f>
        <v>1698.6821296784397</v>
      </c>
    </row>
    <row r="165" spans="1:18" hidden="1">
      <c r="A165" t="s">
        <v>185</v>
      </c>
      <c r="B165" t="s">
        <v>19</v>
      </c>
      <c r="C165" t="str">
        <f>SUBSTITUTE(Table1[[#This Row],[Fuel]],", ",",")</f>
        <v>bioenergy: refuse (municipal and industrial wastes)</v>
      </c>
      <c r="D165" t="s">
        <v>19</v>
      </c>
      <c r="G165">
        <v>33.75</v>
      </c>
      <c r="H165" t="s">
        <v>27</v>
      </c>
      <c r="I165">
        <v>2023</v>
      </c>
      <c r="J165" t="s">
        <v>21</v>
      </c>
      <c r="K165">
        <v>39.628599999999999</v>
      </c>
      <c r="L165">
        <v>116.5181</v>
      </c>
      <c r="M165" t="s">
        <v>102</v>
      </c>
      <c r="N165" s="2">
        <f>Table1[[#This Row],[Capacity (MW)]]*8760*0.72*10^-6</f>
        <v>0.212868</v>
      </c>
      <c r="O165" s="2" cm="1">
        <f t="array" ref="O165">AVERAGE(VLOOKUP(_xlfn.TEXTSPLIT(Table1[[#This Row],[Fuel (no space after comma)]], ","), FuelList_Final_EF!$A$2:$B$32, 2, FALSE))</f>
        <v>105.42962572482868</v>
      </c>
      <c r="P165" s="2">
        <f>(16112*Table1[[#This Row],[Generation (TWh)]]*10^9)/10^6</f>
        <v>3429729.216</v>
      </c>
      <c r="Q165" s="2">
        <f>Table1[[#This Row],[Emission Factor (kg CO2/ mmBtu)]]*Table1[[#This Row],[Fuel Consumption (mmBtu)]]*10^3</f>
        <v>361595067580.39008</v>
      </c>
      <c r="R165" s="2">
        <f>(Table1[[#This Row],[CO2 Emissions (g CO2)]])/(Table1[[#This Row],[Generation (TWh)]]*10^9)</f>
        <v>1698.6821296784397</v>
      </c>
    </row>
    <row r="166" spans="1:18" hidden="1">
      <c r="A166" t="s">
        <v>185</v>
      </c>
      <c r="B166" t="s">
        <v>19</v>
      </c>
      <c r="C166" t="str">
        <f>SUBSTITUTE(Table1[[#This Row],[Fuel]],", ",",")</f>
        <v>bioenergy: refuse (municipal and industrial wastes)</v>
      </c>
      <c r="D166" t="s">
        <v>19</v>
      </c>
      <c r="G166">
        <v>7.1999999999999993</v>
      </c>
      <c r="H166" t="s">
        <v>27</v>
      </c>
      <c r="I166">
        <v>2019</v>
      </c>
      <c r="J166" t="s">
        <v>21</v>
      </c>
      <c r="K166">
        <v>40.1616</v>
      </c>
      <c r="L166">
        <v>116.34399999999999</v>
      </c>
      <c r="M166" t="s">
        <v>102</v>
      </c>
      <c r="N166" s="2">
        <f>Table1[[#This Row],[Capacity (MW)]]*8760*0.72*10^-6</f>
        <v>4.5411839999999995E-2</v>
      </c>
      <c r="O166" s="2" cm="1">
        <f t="array" ref="O166">AVERAGE(VLOOKUP(_xlfn.TEXTSPLIT(Table1[[#This Row],[Fuel (no space after comma)]], ","), FuelList_Final_EF!$A$2:$B$32, 2, FALSE))</f>
        <v>105.42962572482868</v>
      </c>
      <c r="P166" s="2">
        <f>(16112*Table1[[#This Row],[Generation (TWh)]]*10^9)/10^6</f>
        <v>731675.56608000002</v>
      </c>
      <c r="Q166" s="2">
        <f>Table1[[#This Row],[Emission Factor (kg CO2/ mmBtu)]]*Table1[[#This Row],[Fuel Consumption (mmBtu)]]*10^3</f>
        <v>77140281083.816559</v>
      </c>
      <c r="R166" s="2">
        <f>(Table1[[#This Row],[CO2 Emissions (g CO2)]])/(Table1[[#This Row],[Generation (TWh)]]*10^9)</f>
        <v>1698.6821296784401</v>
      </c>
    </row>
    <row r="167" spans="1:18" hidden="1">
      <c r="A167" t="s">
        <v>186</v>
      </c>
      <c r="B167" t="s">
        <v>19</v>
      </c>
      <c r="C167" t="str">
        <f>SUBSTITUTE(Table1[[#This Row],[Fuel]],", ",",")</f>
        <v>bioenergy: refuse (municipal and industrial wastes)</v>
      </c>
      <c r="D167" t="s">
        <v>19</v>
      </c>
      <c r="G167">
        <v>15.6</v>
      </c>
      <c r="H167" t="s">
        <v>27</v>
      </c>
      <c r="I167">
        <v>2019</v>
      </c>
      <c r="J167" t="s">
        <v>21</v>
      </c>
      <c r="K167">
        <v>40.1616</v>
      </c>
      <c r="L167">
        <v>116.34399999999999</v>
      </c>
      <c r="M167" t="s">
        <v>102</v>
      </c>
      <c r="N167" s="2">
        <f>Table1[[#This Row],[Capacity (MW)]]*8760*0.72*10^-6</f>
        <v>9.8392319999999991E-2</v>
      </c>
      <c r="O167" s="2" cm="1">
        <f t="array" ref="O167">AVERAGE(VLOOKUP(_xlfn.TEXTSPLIT(Table1[[#This Row],[Fuel (no space after comma)]], ","), FuelList_Final_EF!$A$2:$B$32, 2, FALSE))</f>
        <v>105.42962572482868</v>
      </c>
      <c r="P167" s="2">
        <f>(16112*Table1[[#This Row],[Generation (TWh)]]*10^9)/10^6</f>
        <v>1585297.05984</v>
      </c>
      <c r="Q167" s="2">
        <f>Table1[[#This Row],[Emission Factor (kg CO2/ mmBtu)]]*Table1[[#This Row],[Fuel Consumption (mmBtu)]]*10^3</f>
        <v>167137275681.60254</v>
      </c>
      <c r="R167" s="2">
        <f>(Table1[[#This Row],[CO2 Emissions (g CO2)]])/(Table1[[#This Row],[Generation (TWh)]]*10^9)</f>
        <v>1698.6821296784399</v>
      </c>
    </row>
    <row r="168" spans="1:18" hidden="1">
      <c r="A168" t="s">
        <v>187</v>
      </c>
      <c r="B168" t="s">
        <v>19</v>
      </c>
      <c r="C168" t="str">
        <f>SUBSTITUTE(Table1[[#This Row],[Fuel]],", ",",")</f>
        <v>bioenergy: refuse (municipal and industrial wastes)</v>
      </c>
      <c r="D168" t="s">
        <v>19</v>
      </c>
      <c r="G168">
        <v>7.1999999999999993</v>
      </c>
      <c r="H168" t="s">
        <v>27</v>
      </c>
      <c r="I168">
        <v>2019</v>
      </c>
      <c r="J168" t="s">
        <v>21</v>
      </c>
      <c r="K168">
        <v>40.1616</v>
      </c>
      <c r="L168">
        <v>116.34399999999999</v>
      </c>
      <c r="M168" t="s">
        <v>102</v>
      </c>
      <c r="N168" s="2">
        <f>Table1[[#This Row],[Capacity (MW)]]*8760*0.72*10^-6</f>
        <v>4.5411839999999995E-2</v>
      </c>
      <c r="O168" s="2" cm="1">
        <f t="array" ref="O168">AVERAGE(VLOOKUP(_xlfn.TEXTSPLIT(Table1[[#This Row],[Fuel (no space after comma)]], ","), FuelList_Final_EF!$A$2:$B$32, 2, FALSE))</f>
        <v>105.42962572482868</v>
      </c>
      <c r="P168" s="2">
        <f>(16112*Table1[[#This Row],[Generation (TWh)]]*10^9)/10^6</f>
        <v>731675.56608000002</v>
      </c>
      <c r="Q168" s="2">
        <f>Table1[[#This Row],[Emission Factor (kg CO2/ mmBtu)]]*Table1[[#This Row],[Fuel Consumption (mmBtu)]]*10^3</f>
        <v>77140281083.816559</v>
      </c>
      <c r="R168" s="2">
        <f>(Table1[[#This Row],[CO2 Emissions (g CO2)]])/(Table1[[#This Row],[Generation (TWh)]]*10^9)</f>
        <v>1698.6821296784401</v>
      </c>
    </row>
    <row r="169" spans="1:18" hidden="1">
      <c r="A169" t="s">
        <v>186</v>
      </c>
      <c r="B169" t="s">
        <v>19</v>
      </c>
      <c r="C169" t="str">
        <f>SUBSTITUTE(Table1[[#This Row],[Fuel]],", ",",")</f>
        <v>bioenergy: refuse (municipal and industrial wastes)</v>
      </c>
      <c r="D169" t="s">
        <v>19</v>
      </c>
      <c r="G169">
        <v>15.6</v>
      </c>
      <c r="H169" t="s">
        <v>27</v>
      </c>
      <c r="I169">
        <v>2019</v>
      </c>
      <c r="J169" t="s">
        <v>21</v>
      </c>
      <c r="K169">
        <v>40.1616</v>
      </c>
      <c r="L169">
        <v>116.34399999999999</v>
      </c>
      <c r="M169" t="s">
        <v>102</v>
      </c>
      <c r="N169" s="2">
        <f>Table1[[#This Row],[Capacity (MW)]]*8760*0.72*10^-6</f>
        <v>9.8392319999999991E-2</v>
      </c>
      <c r="O169" s="2" cm="1">
        <f t="array" ref="O169">AVERAGE(VLOOKUP(_xlfn.TEXTSPLIT(Table1[[#This Row],[Fuel (no space after comma)]], ","), FuelList_Final_EF!$A$2:$B$32, 2, FALSE))</f>
        <v>105.42962572482868</v>
      </c>
      <c r="P169" s="2">
        <f>(16112*Table1[[#This Row],[Generation (TWh)]]*10^9)/10^6</f>
        <v>1585297.05984</v>
      </c>
      <c r="Q169" s="2">
        <f>Table1[[#This Row],[Emission Factor (kg CO2/ mmBtu)]]*Table1[[#This Row],[Fuel Consumption (mmBtu)]]*10^3</f>
        <v>167137275681.60254</v>
      </c>
      <c r="R169" s="2">
        <f>(Table1[[#This Row],[CO2 Emissions (g CO2)]])/(Table1[[#This Row],[Generation (TWh)]]*10^9)</f>
        <v>1698.6821296784399</v>
      </c>
    </row>
    <row r="170" spans="1:18" hidden="1">
      <c r="A170" t="s">
        <v>187</v>
      </c>
      <c r="B170" t="s">
        <v>19</v>
      </c>
      <c r="C170" t="str">
        <f>SUBSTITUTE(Table1[[#This Row],[Fuel]],", ",",")</f>
        <v>bioenergy: refuse (municipal and industrial wastes)</v>
      </c>
      <c r="D170" t="s">
        <v>19</v>
      </c>
      <c r="G170">
        <v>7.1999999999999993</v>
      </c>
      <c r="H170" t="s">
        <v>27</v>
      </c>
      <c r="I170">
        <v>2019</v>
      </c>
      <c r="J170" t="s">
        <v>21</v>
      </c>
      <c r="K170">
        <v>40.1616</v>
      </c>
      <c r="L170">
        <v>116.34399999999999</v>
      </c>
      <c r="M170" t="s">
        <v>102</v>
      </c>
      <c r="N170" s="2">
        <f>Table1[[#This Row],[Capacity (MW)]]*8760*0.72*10^-6</f>
        <v>4.5411839999999995E-2</v>
      </c>
      <c r="O170" s="2" cm="1">
        <f t="array" ref="O170">AVERAGE(VLOOKUP(_xlfn.TEXTSPLIT(Table1[[#This Row],[Fuel (no space after comma)]], ","), FuelList_Final_EF!$A$2:$B$32, 2, FALSE))</f>
        <v>105.42962572482868</v>
      </c>
      <c r="P170" s="2">
        <f>(16112*Table1[[#This Row],[Generation (TWh)]]*10^9)/10^6</f>
        <v>731675.56608000002</v>
      </c>
      <c r="Q170" s="2">
        <f>Table1[[#This Row],[Emission Factor (kg CO2/ mmBtu)]]*Table1[[#This Row],[Fuel Consumption (mmBtu)]]*10^3</f>
        <v>77140281083.816559</v>
      </c>
      <c r="R170" s="2">
        <f>(Table1[[#This Row],[CO2 Emissions (g CO2)]])/(Table1[[#This Row],[Generation (TWh)]]*10^9)</f>
        <v>1698.6821296784401</v>
      </c>
    </row>
    <row r="171" spans="1:18" hidden="1">
      <c r="A171" t="s">
        <v>185</v>
      </c>
      <c r="B171" t="s">
        <v>19</v>
      </c>
      <c r="C171" t="str">
        <f>SUBSTITUTE(Table1[[#This Row],[Fuel]],", ",",")</f>
        <v>bioenergy: refuse (municipal and industrial wastes)</v>
      </c>
      <c r="D171" t="s">
        <v>19</v>
      </c>
      <c r="G171">
        <v>7.1999999999999993</v>
      </c>
      <c r="H171" t="s">
        <v>27</v>
      </c>
      <c r="I171">
        <v>2019</v>
      </c>
      <c r="J171" t="s">
        <v>21</v>
      </c>
      <c r="K171">
        <v>40.1616</v>
      </c>
      <c r="L171">
        <v>116.34399999999999</v>
      </c>
      <c r="M171" t="s">
        <v>102</v>
      </c>
      <c r="N171" s="2">
        <f>Table1[[#This Row],[Capacity (MW)]]*8760*0.72*10^-6</f>
        <v>4.5411839999999995E-2</v>
      </c>
      <c r="O171" s="2" cm="1">
        <f t="array" ref="O171">AVERAGE(VLOOKUP(_xlfn.TEXTSPLIT(Table1[[#This Row],[Fuel (no space after comma)]], ","), FuelList_Final_EF!$A$2:$B$32, 2, FALSE))</f>
        <v>105.42962572482868</v>
      </c>
      <c r="P171" s="2">
        <f>(16112*Table1[[#This Row],[Generation (TWh)]]*10^9)/10^6</f>
        <v>731675.56608000002</v>
      </c>
      <c r="Q171" s="2">
        <f>Table1[[#This Row],[Emission Factor (kg CO2/ mmBtu)]]*Table1[[#This Row],[Fuel Consumption (mmBtu)]]*10^3</f>
        <v>77140281083.816559</v>
      </c>
      <c r="R171" s="2">
        <f>(Table1[[#This Row],[CO2 Emissions (g CO2)]])/(Table1[[#This Row],[Generation (TWh)]]*10^9)</f>
        <v>1698.6821296784401</v>
      </c>
    </row>
    <row r="172" spans="1:18">
      <c r="A172" t="s">
        <v>188</v>
      </c>
      <c r="B172" t="s">
        <v>19</v>
      </c>
      <c r="C172" t="str">
        <f>SUBSTITUTE(Table1[[#This Row],[Fuel]],", ",",")</f>
        <v>bioenergy: refuse (municipal and industrial wastes)</v>
      </c>
      <c r="D172" t="s">
        <v>19</v>
      </c>
      <c r="G172">
        <v>40</v>
      </c>
      <c r="H172" t="s">
        <v>97</v>
      </c>
      <c r="I172" t="s">
        <v>21</v>
      </c>
      <c r="J172" t="s">
        <v>21</v>
      </c>
      <c r="K172">
        <v>39.946930999999999</v>
      </c>
      <c r="L172">
        <v>116.614655</v>
      </c>
      <c r="M172" t="s">
        <v>102</v>
      </c>
      <c r="N172" s="2">
        <f>Table1[[#This Row],[Capacity (MW)]]*8760*0.72*10^-6</f>
        <v>0.25228800000000001</v>
      </c>
      <c r="O172" s="2" cm="1">
        <f t="array" ref="O172">AVERAGE(VLOOKUP(_xlfn.TEXTSPLIT(Table1[[#This Row],[Fuel (no space after comma)]], ","), FuelList_Final_EF!$A$2:$B$32, 2, FALSE))</f>
        <v>105.42962572482868</v>
      </c>
      <c r="P172" s="2">
        <f>(16112*Table1[[#This Row],[Generation (TWh)]]*10^9)/10^6</f>
        <v>4064864.2560000005</v>
      </c>
      <c r="Q172" s="2">
        <f>Table1[[#This Row],[Emission Factor (kg CO2/ mmBtu)]]*Table1[[#This Row],[Fuel Consumption (mmBtu)]]*10^3</f>
        <v>428557117132.31427</v>
      </c>
      <c r="R172" s="2">
        <f>(Table1[[#This Row],[CO2 Emissions (g CO2)]])/(Table1[[#This Row],[Generation (TWh)]]*10^9)</f>
        <v>1698.6821296784401</v>
      </c>
    </row>
    <row r="173" spans="1:18">
      <c r="A173" t="s">
        <v>188</v>
      </c>
      <c r="B173" t="s">
        <v>19</v>
      </c>
      <c r="C173" t="str">
        <f>SUBSTITUTE(Table1[[#This Row],[Fuel]],", ",",")</f>
        <v>bioenergy: refuse (municipal and industrial wastes)</v>
      </c>
      <c r="D173" t="s">
        <v>19</v>
      </c>
      <c r="G173">
        <v>40</v>
      </c>
      <c r="H173" t="s">
        <v>97</v>
      </c>
      <c r="I173" t="s">
        <v>21</v>
      </c>
      <c r="J173" t="s">
        <v>21</v>
      </c>
      <c r="K173">
        <v>39.946930999999999</v>
      </c>
      <c r="L173">
        <v>116.614655</v>
      </c>
      <c r="M173" t="s">
        <v>102</v>
      </c>
      <c r="N173" s="2">
        <f>Table1[[#This Row],[Capacity (MW)]]*8760*0.72*10^-6</f>
        <v>0.25228800000000001</v>
      </c>
      <c r="O173" s="2" cm="1">
        <f t="array" ref="O173">AVERAGE(VLOOKUP(_xlfn.TEXTSPLIT(Table1[[#This Row],[Fuel (no space after comma)]], ","), FuelList_Final_EF!$A$2:$B$32, 2, FALSE))</f>
        <v>105.42962572482868</v>
      </c>
      <c r="P173" s="2">
        <f>(16112*Table1[[#This Row],[Generation (TWh)]]*10^9)/10^6</f>
        <v>4064864.2560000005</v>
      </c>
      <c r="Q173" s="2">
        <f>Table1[[#This Row],[Emission Factor (kg CO2/ mmBtu)]]*Table1[[#This Row],[Fuel Consumption (mmBtu)]]*10^3</f>
        <v>428557117132.31427</v>
      </c>
      <c r="R173" s="2">
        <f>(Table1[[#This Row],[CO2 Emissions (g CO2)]])/(Table1[[#This Row],[Generation (TWh)]]*10^9)</f>
        <v>1698.6821296784401</v>
      </c>
    </row>
    <row r="174" spans="1:18">
      <c r="A174" t="s">
        <v>189</v>
      </c>
      <c r="B174" t="s">
        <v>19</v>
      </c>
      <c r="C174" t="str">
        <f>SUBSTITUTE(Table1[[#This Row],[Fuel]],", ",",")</f>
        <v>bioenergy: refuse (municipal and industrial wastes)</v>
      </c>
      <c r="D174" t="s">
        <v>19</v>
      </c>
      <c r="G174">
        <v>40</v>
      </c>
      <c r="H174" t="s">
        <v>20</v>
      </c>
      <c r="I174" t="s">
        <v>21</v>
      </c>
      <c r="J174" t="s">
        <v>21</v>
      </c>
      <c r="K174">
        <v>39.805500000000002</v>
      </c>
      <c r="L174">
        <v>116.2629</v>
      </c>
      <c r="M174" t="s">
        <v>102</v>
      </c>
      <c r="N174" s="2">
        <f>Table1[[#This Row],[Capacity (MW)]]*8760*0.72*10^-6</f>
        <v>0.25228800000000001</v>
      </c>
      <c r="O174" s="2" cm="1">
        <f t="array" ref="O174">AVERAGE(VLOOKUP(_xlfn.TEXTSPLIT(Table1[[#This Row],[Fuel (no space after comma)]], ","), FuelList_Final_EF!$A$2:$B$32, 2, FALSE))</f>
        <v>105.42962572482868</v>
      </c>
      <c r="P174" s="2">
        <f>(16112*Table1[[#This Row],[Generation (TWh)]]*10^9)/10^6</f>
        <v>4064864.2560000005</v>
      </c>
      <c r="Q174" s="2">
        <f>Table1[[#This Row],[Emission Factor (kg CO2/ mmBtu)]]*Table1[[#This Row],[Fuel Consumption (mmBtu)]]*10^3</f>
        <v>428557117132.31427</v>
      </c>
      <c r="R174" s="2">
        <f>(Table1[[#This Row],[CO2 Emissions (g CO2)]])/(Table1[[#This Row],[Generation (TWh)]]*10^9)</f>
        <v>1698.6821296784401</v>
      </c>
    </row>
    <row r="175" spans="1:18">
      <c r="A175" t="s">
        <v>189</v>
      </c>
      <c r="B175" t="s">
        <v>19</v>
      </c>
      <c r="C175" t="str">
        <f>SUBSTITUTE(Table1[[#This Row],[Fuel]],", ",",")</f>
        <v>bioenergy: refuse (municipal and industrial wastes)</v>
      </c>
      <c r="D175" t="s">
        <v>19</v>
      </c>
      <c r="G175">
        <v>40</v>
      </c>
      <c r="H175" t="s">
        <v>20</v>
      </c>
      <c r="I175" t="s">
        <v>21</v>
      </c>
      <c r="J175" t="s">
        <v>21</v>
      </c>
      <c r="K175">
        <v>39.805500000000002</v>
      </c>
      <c r="L175">
        <v>116.2629</v>
      </c>
      <c r="M175" t="s">
        <v>102</v>
      </c>
      <c r="N175" s="2">
        <f>Table1[[#This Row],[Capacity (MW)]]*8760*0.72*10^-6</f>
        <v>0.25228800000000001</v>
      </c>
      <c r="O175" s="2" cm="1">
        <f t="array" ref="O175">AVERAGE(VLOOKUP(_xlfn.TEXTSPLIT(Table1[[#This Row],[Fuel (no space after comma)]], ","), FuelList_Final_EF!$A$2:$B$32, 2, FALSE))</f>
        <v>105.42962572482868</v>
      </c>
      <c r="P175" s="2">
        <f>(16112*Table1[[#This Row],[Generation (TWh)]]*10^9)/10^6</f>
        <v>4064864.2560000005</v>
      </c>
      <c r="Q175" s="2">
        <f>Table1[[#This Row],[Emission Factor (kg CO2/ mmBtu)]]*Table1[[#This Row],[Fuel Consumption (mmBtu)]]*10^3</f>
        <v>428557117132.31427</v>
      </c>
      <c r="R175" s="2">
        <f>(Table1[[#This Row],[CO2 Emissions (g CO2)]])/(Table1[[#This Row],[Generation (TWh)]]*10^9)</f>
        <v>1698.6821296784401</v>
      </c>
    </row>
    <row r="176" spans="1:18" hidden="1">
      <c r="A176" t="s">
        <v>190</v>
      </c>
      <c r="B176" t="s">
        <v>19</v>
      </c>
      <c r="C176" t="str">
        <f>SUBSTITUTE(Table1[[#This Row],[Fuel]],", ",",")</f>
        <v>bioenergy: refuse (municipal and industrial wastes)</v>
      </c>
      <c r="D176" t="s">
        <v>19</v>
      </c>
      <c r="G176">
        <v>30</v>
      </c>
      <c r="H176" t="s">
        <v>27</v>
      </c>
      <c r="I176">
        <v>2014</v>
      </c>
      <c r="J176" t="s">
        <v>21</v>
      </c>
      <c r="K176">
        <v>39.850299999999997</v>
      </c>
      <c r="L176">
        <v>116.04040000000001</v>
      </c>
      <c r="M176" t="s">
        <v>102</v>
      </c>
      <c r="N176" s="2">
        <f>Table1[[#This Row],[Capacity (MW)]]*8760*0.72*10^-6</f>
        <v>0.189216</v>
      </c>
      <c r="O176" s="2" cm="1">
        <f t="array" ref="O176">AVERAGE(VLOOKUP(_xlfn.TEXTSPLIT(Table1[[#This Row],[Fuel (no space after comma)]], ","), FuelList_Final_EF!$A$2:$B$32, 2, FALSE))</f>
        <v>105.42962572482868</v>
      </c>
      <c r="P176" s="2">
        <f>(16112*Table1[[#This Row],[Generation (TWh)]]*10^9)/10^6</f>
        <v>3048648.1919999998</v>
      </c>
      <c r="Q176" s="2">
        <f>Table1[[#This Row],[Emission Factor (kg CO2/ mmBtu)]]*Table1[[#This Row],[Fuel Consumption (mmBtu)]]*10^3</f>
        <v>321417837849.23566</v>
      </c>
      <c r="R176" s="2">
        <f>(Table1[[#This Row],[CO2 Emissions (g CO2)]])/(Table1[[#This Row],[Generation (TWh)]]*10^9)</f>
        <v>1698.6821296784397</v>
      </c>
    </row>
    <row r="177" spans="1:18" hidden="1">
      <c r="A177" t="s">
        <v>190</v>
      </c>
      <c r="B177" t="s">
        <v>19</v>
      </c>
      <c r="C177" t="str">
        <f>SUBSTITUTE(Table1[[#This Row],[Fuel]],", ",",")</f>
        <v>bioenergy: refuse (municipal and industrial wastes)</v>
      </c>
      <c r="D177" t="s">
        <v>19</v>
      </c>
      <c r="G177">
        <v>30</v>
      </c>
      <c r="H177" t="s">
        <v>27</v>
      </c>
      <c r="I177">
        <v>2014</v>
      </c>
      <c r="J177" t="s">
        <v>21</v>
      </c>
      <c r="K177">
        <v>39.850299999999997</v>
      </c>
      <c r="L177">
        <v>116.04040000000001</v>
      </c>
      <c r="M177" t="s">
        <v>102</v>
      </c>
      <c r="N177" s="2">
        <f>Table1[[#This Row],[Capacity (MW)]]*8760*0.72*10^-6</f>
        <v>0.189216</v>
      </c>
      <c r="O177" s="2" cm="1">
        <f t="array" ref="O177">AVERAGE(VLOOKUP(_xlfn.TEXTSPLIT(Table1[[#This Row],[Fuel (no space after comma)]], ","), FuelList_Final_EF!$A$2:$B$32, 2, FALSE))</f>
        <v>105.42962572482868</v>
      </c>
      <c r="P177" s="2">
        <f>(16112*Table1[[#This Row],[Generation (TWh)]]*10^9)/10^6</f>
        <v>3048648.1919999998</v>
      </c>
      <c r="Q177" s="2">
        <f>Table1[[#This Row],[Emission Factor (kg CO2/ mmBtu)]]*Table1[[#This Row],[Fuel Consumption (mmBtu)]]*10^3</f>
        <v>321417837849.23566</v>
      </c>
      <c r="R177" s="2">
        <f>(Table1[[#This Row],[CO2 Emissions (g CO2)]])/(Table1[[#This Row],[Generation (TWh)]]*10^9)</f>
        <v>1698.6821296784397</v>
      </c>
    </row>
    <row r="178" spans="1:18">
      <c r="A178" t="s">
        <v>191</v>
      </c>
      <c r="B178" t="s">
        <v>19</v>
      </c>
      <c r="C178" t="str">
        <f>SUBSTITUTE(Table1[[#This Row],[Fuel]],", ",",")</f>
        <v>bioenergy: refuse (municipal and industrial wastes)</v>
      </c>
      <c r="D178" t="s">
        <v>19</v>
      </c>
      <c r="G178">
        <v>30</v>
      </c>
      <c r="H178" t="s">
        <v>20</v>
      </c>
      <c r="I178" t="s">
        <v>21</v>
      </c>
      <c r="J178" t="s">
        <v>21</v>
      </c>
      <c r="K178">
        <v>39.849899999999998</v>
      </c>
      <c r="L178">
        <v>116.0402</v>
      </c>
      <c r="M178" t="s">
        <v>102</v>
      </c>
      <c r="N178" s="2">
        <f>Table1[[#This Row],[Capacity (MW)]]*8760*0.72*10^-6</f>
        <v>0.189216</v>
      </c>
      <c r="O178" s="2" cm="1">
        <f t="array" ref="O178">AVERAGE(VLOOKUP(_xlfn.TEXTSPLIT(Table1[[#This Row],[Fuel (no space after comma)]], ","), FuelList_Final_EF!$A$2:$B$32, 2, FALSE))</f>
        <v>105.42962572482868</v>
      </c>
      <c r="P178" s="2">
        <f>(16112*Table1[[#This Row],[Generation (TWh)]]*10^9)/10^6</f>
        <v>3048648.1919999998</v>
      </c>
      <c r="Q178" s="2">
        <f>Table1[[#This Row],[Emission Factor (kg CO2/ mmBtu)]]*Table1[[#This Row],[Fuel Consumption (mmBtu)]]*10^3</f>
        <v>321417837849.23566</v>
      </c>
      <c r="R178" s="2">
        <f>(Table1[[#This Row],[CO2 Emissions (g CO2)]])/(Table1[[#This Row],[Generation (TWh)]]*10^9)</f>
        <v>1698.6821296784397</v>
      </c>
    </row>
    <row r="179" spans="1:18">
      <c r="A179" t="s">
        <v>191</v>
      </c>
      <c r="B179" t="s">
        <v>19</v>
      </c>
      <c r="C179" t="str">
        <f>SUBSTITUTE(Table1[[#This Row],[Fuel]],", ",",")</f>
        <v>bioenergy: refuse (municipal and industrial wastes)</v>
      </c>
      <c r="D179" t="s">
        <v>19</v>
      </c>
      <c r="G179">
        <v>30</v>
      </c>
      <c r="H179" t="s">
        <v>20</v>
      </c>
      <c r="I179" t="s">
        <v>21</v>
      </c>
      <c r="J179" t="s">
        <v>21</v>
      </c>
      <c r="K179">
        <v>39.849899999999998</v>
      </c>
      <c r="L179">
        <v>116.0402</v>
      </c>
      <c r="M179" t="s">
        <v>102</v>
      </c>
      <c r="N179" s="2">
        <f>Table1[[#This Row],[Capacity (MW)]]*8760*0.72*10^-6</f>
        <v>0.189216</v>
      </c>
      <c r="O179" s="2" cm="1">
        <f t="array" ref="O179">AVERAGE(VLOOKUP(_xlfn.TEXTSPLIT(Table1[[#This Row],[Fuel (no space after comma)]], ","), FuelList_Final_EF!$A$2:$B$32, 2, FALSE))</f>
        <v>105.42962572482868</v>
      </c>
      <c r="P179" s="2">
        <f>(16112*Table1[[#This Row],[Generation (TWh)]]*10^9)/10^6</f>
        <v>3048648.1919999998</v>
      </c>
      <c r="Q179" s="2">
        <f>Table1[[#This Row],[Emission Factor (kg CO2/ mmBtu)]]*Table1[[#This Row],[Fuel Consumption (mmBtu)]]*10^3</f>
        <v>321417837849.23566</v>
      </c>
      <c r="R179" s="2">
        <f>(Table1[[#This Row],[CO2 Emissions (g CO2)]])/(Table1[[#This Row],[Generation (TWh)]]*10^9)</f>
        <v>1698.6821296784397</v>
      </c>
    </row>
    <row r="180" spans="1:18">
      <c r="A180" t="s">
        <v>192</v>
      </c>
      <c r="B180" t="s">
        <v>19</v>
      </c>
      <c r="C180" t="str">
        <f>SUBSTITUTE(Table1[[#This Row],[Fuel]],", ",",")</f>
        <v>bioenergy: refuse (municipal and industrial wastes)</v>
      </c>
      <c r="D180" t="s">
        <v>19</v>
      </c>
      <c r="G180">
        <v>40</v>
      </c>
      <c r="H180" t="s">
        <v>53</v>
      </c>
      <c r="I180" t="s">
        <v>21</v>
      </c>
      <c r="J180" t="s">
        <v>21</v>
      </c>
      <c r="K180">
        <v>39.662100000000002</v>
      </c>
      <c r="L180">
        <v>116.75700000000001</v>
      </c>
      <c r="M180" t="s">
        <v>102</v>
      </c>
      <c r="N180" s="2">
        <f>Table1[[#This Row],[Capacity (MW)]]*8760*0.72*10^-6</f>
        <v>0.25228800000000001</v>
      </c>
      <c r="O180" s="2" cm="1">
        <f t="array" ref="O180">AVERAGE(VLOOKUP(_xlfn.TEXTSPLIT(Table1[[#This Row],[Fuel (no space after comma)]], ","), FuelList_Final_EF!$A$2:$B$32, 2, FALSE))</f>
        <v>105.42962572482868</v>
      </c>
      <c r="P180" s="2">
        <f>(16112*Table1[[#This Row],[Generation (TWh)]]*10^9)/10^6</f>
        <v>4064864.2560000005</v>
      </c>
      <c r="Q180" s="2">
        <f>Table1[[#This Row],[Emission Factor (kg CO2/ mmBtu)]]*Table1[[#This Row],[Fuel Consumption (mmBtu)]]*10^3</f>
        <v>428557117132.31427</v>
      </c>
      <c r="R180" s="2">
        <f>(Table1[[#This Row],[CO2 Emissions (g CO2)]])/(Table1[[#This Row],[Generation (TWh)]]*10^9)</f>
        <v>1698.6821296784401</v>
      </c>
    </row>
    <row r="181" spans="1:18" hidden="1">
      <c r="A181" t="s">
        <v>193</v>
      </c>
      <c r="B181" t="s">
        <v>19</v>
      </c>
      <c r="C181" t="str">
        <f>SUBSTITUTE(Table1[[#This Row],[Fuel]],", ",",")</f>
        <v>bioenergy: refuse (municipal and industrial wastes)</v>
      </c>
      <c r="D181" t="s">
        <v>19</v>
      </c>
      <c r="G181">
        <v>48</v>
      </c>
      <c r="H181" t="s">
        <v>27</v>
      </c>
      <c r="I181">
        <v>1984</v>
      </c>
      <c r="J181" t="s">
        <v>21</v>
      </c>
      <c r="K181">
        <v>25.1083</v>
      </c>
      <c r="L181">
        <v>121.5003</v>
      </c>
      <c r="M181" t="s">
        <v>171</v>
      </c>
      <c r="N181" s="2">
        <f>Table1[[#This Row],[Capacity (MW)]]*8760*0.72*10^-6</f>
        <v>0.30274559999999995</v>
      </c>
      <c r="O181" s="2" cm="1">
        <f t="array" ref="O181">AVERAGE(VLOOKUP(_xlfn.TEXTSPLIT(Table1[[#This Row],[Fuel (no space after comma)]], ","), FuelList_Final_EF!$A$2:$B$32, 2, FALSE))</f>
        <v>105.42962572482868</v>
      </c>
      <c r="P181" s="2">
        <f>(16112*Table1[[#This Row],[Generation (TWh)]]*10^9)/10^6</f>
        <v>4877837.1071999986</v>
      </c>
      <c r="Q181" s="2">
        <f>Table1[[#This Row],[Emission Factor (kg CO2/ mmBtu)]]*Table1[[#This Row],[Fuel Consumption (mmBtu)]]*10^3</f>
        <v>514268540558.77692</v>
      </c>
      <c r="R181" s="2">
        <f>(Table1[[#This Row],[CO2 Emissions (g CO2)]])/(Table1[[#This Row],[Generation (TWh)]]*10^9)</f>
        <v>1698.6821296784397</v>
      </c>
    </row>
    <row r="182" spans="1:18" hidden="1">
      <c r="A182" t="s">
        <v>194</v>
      </c>
      <c r="B182" t="s">
        <v>46</v>
      </c>
      <c r="C182" t="str">
        <f>SUBSTITUTE(Table1[[#This Row],[Fuel]],", ",",")</f>
        <v>bioenergy: agricultural waste (solids)</v>
      </c>
      <c r="D182" t="s">
        <v>46</v>
      </c>
      <c r="G182">
        <v>53</v>
      </c>
      <c r="H182" t="s">
        <v>27</v>
      </c>
      <c r="I182">
        <v>2013</v>
      </c>
      <c r="J182" t="s">
        <v>21</v>
      </c>
      <c r="K182">
        <v>-9.9163999999999994</v>
      </c>
      <c r="L182">
        <v>-36.334000000000003</v>
      </c>
      <c r="M182" t="s">
        <v>49</v>
      </c>
      <c r="N182" s="2">
        <f>Table1[[#This Row],[Capacity (MW)]]*8760*0.72*10^-6</f>
        <v>0.33428159999999996</v>
      </c>
      <c r="O182" s="2" cm="1">
        <f t="array" ref="O182">AVERAGE(VLOOKUP(_xlfn.TEXTSPLIT(Table1[[#This Row],[Fuel (no space after comma)]], ","), FuelList_Final_EF!$A$2:$B$32, 2, FALSE))</f>
        <v>118.17</v>
      </c>
      <c r="P182" s="2">
        <f>(16112*Table1[[#This Row],[Generation (TWh)]]*10^9)/10^6</f>
        <v>5385945.1391999992</v>
      </c>
      <c r="Q182" s="2">
        <f>Table1[[#This Row],[Emission Factor (kg CO2/ mmBtu)]]*Table1[[#This Row],[Fuel Consumption (mmBtu)]]*10^3</f>
        <v>636457137099.26392</v>
      </c>
      <c r="R182" s="2">
        <f>(Table1[[#This Row],[CO2 Emissions (g CO2)]])/(Table1[[#This Row],[Generation (TWh)]]*10^9)</f>
        <v>1903.9550400000001</v>
      </c>
    </row>
    <row r="183" spans="1:18" hidden="1">
      <c r="A183" t="s">
        <v>195</v>
      </c>
      <c r="B183" t="s">
        <v>25</v>
      </c>
      <c r="C183" t="str">
        <f>SUBSTITUTE(Table1[[#This Row],[Fuel]],", ",",")</f>
        <v>bioenergy: wood &amp; other biomass (solids)</v>
      </c>
      <c r="D183" t="s">
        <v>25</v>
      </c>
      <c r="G183">
        <v>55</v>
      </c>
      <c r="H183" t="s">
        <v>27</v>
      </c>
      <c r="I183">
        <v>1978</v>
      </c>
      <c r="J183" t="s">
        <v>21</v>
      </c>
      <c r="K183">
        <v>53.147964999999999</v>
      </c>
      <c r="L183">
        <v>23.169649</v>
      </c>
      <c r="M183" t="s">
        <v>196</v>
      </c>
      <c r="N183" s="2">
        <f>Table1[[#This Row],[Capacity (MW)]]*8760*0.72*10^-6</f>
        <v>0.34689599999999998</v>
      </c>
      <c r="O183" s="2" cm="1">
        <f t="array" ref="O183">AVERAGE(VLOOKUP(_xlfn.TEXTSPLIT(Table1[[#This Row],[Fuel (no space after comma)]], ","), FuelList_Final_EF!$A$2:$B$32, 2, FALSE))</f>
        <v>93.8</v>
      </c>
      <c r="P183" s="2">
        <f>(16112*Table1[[#This Row],[Generation (TWh)]]*10^9)/10^6</f>
        <v>5589188.352</v>
      </c>
      <c r="Q183" s="2">
        <f>Table1[[#This Row],[Emission Factor (kg CO2/ mmBtu)]]*Table1[[#This Row],[Fuel Consumption (mmBtu)]]*10^3</f>
        <v>524265867417.59998</v>
      </c>
      <c r="R183" s="2">
        <f>(Table1[[#This Row],[CO2 Emissions (g CO2)]])/(Table1[[#This Row],[Generation (TWh)]]*10^9)</f>
        <v>1511.3055999999999</v>
      </c>
    </row>
    <row r="184" spans="1:18" hidden="1">
      <c r="A184" t="s">
        <v>197</v>
      </c>
      <c r="B184" t="s">
        <v>46</v>
      </c>
      <c r="C184" t="str">
        <f>SUBSTITUTE(Table1[[#This Row],[Fuel]],", ",",")</f>
        <v>bioenergy: agricultural waste (solids)</v>
      </c>
      <c r="D184" t="s">
        <v>46</v>
      </c>
      <c r="G184">
        <v>50</v>
      </c>
      <c r="H184" t="s">
        <v>27</v>
      </c>
      <c r="I184">
        <v>2013</v>
      </c>
      <c r="J184" t="s">
        <v>21</v>
      </c>
      <c r="K184">
        <v>-18.441099999999999</v>
      </c>
      <c r="L184">
        <v>-49.190100000000001</v>
      </c>
      <c r="M184" t="s">
        <v>49</v>
      </c>
      <c r="N184" s="2">
        <f>Table1[[#This Row],[Capacity (MW)]]*8760*0.72*10^-6</f>
        <v>0.31535999999999997</v>
      </c>
      <c r="O184" s="2" cm="1">
        <f t="array" ref="O184">AVERAGE(VLOOKUP(_xlfn.TEXTSPLIT(Table1[[#This Row],[Fuel (no space after comma)]], ","), FuelList_Final_EF!$A$2:$B$32, 2, FALSE))</f>
        <v>118.17</v>
      </c>
      <c r="P184" s="2">
        <f>(16112*Table1[[#This Row],[Generation (TWh)]]*10^9)/10^6</f>
        <v>5081080.32</v>
      </c>
      <c r="Q184" s="2">
        <f>Table1[[#This Row],[Emission Factor (kg CO2/ mmBtu)]]*Table1[[#This Row],[Fuel Consumption (mmBtu)]]*10^3</f>
        <v>600431261414.40015</v>
      </c>
      <c r="R184" s="2">
        <f>(Table1[[#This Row],[CO2 Emissions (g CO2)]])/(Table1[[#This Row],[Generation (TWh)]]*10^9)</f>
        <v>1903.9550400000005</v>
      </c>
    </row>
    <row r="185" spans="1:18" hidden="1">
      <c r="A185" t="s">
        <v>198</v>
      </c>
      <c r="B185" t="s">
        <v>46</v>
      </c>
      <c r="C185" t="str">
        <f>SUBSTITUTE(Table1[[#This Row],[Fuel]],", ",",")</f>
        <v>bioenergy: agricultural waste (solids)</v>
      </c>
      <c r="D185" t="s">
        <v>46</v>
      </c>
      <c r="G185">
        <v>50</v>
      </c>
      <c r="H185" t="s">
        <v>27</v>
      </c>
      <c r="I185">
        <v>2013</v>
      </c>
      <c r="J185" t="s">
        <v>21</v>
      </c>
      <c r="K185">
        <v>-23.270800000000001</v>
      </c>
      <c r="L185">
        <v>-52.4876</v>
      </c>
      <c r="M185" t="s">
        <v>49</v>
      </c>
      <c r="N185" s="2">
        <f>Table1[[#This Row],[Capacity (MW)]]*8760*0.72*10^-6</f>
        <v>0.31535999999999997</v>
      </c>
      <c r="O185" s="2" cm="1">
        <f t="array" ref="O185">AVERAGE(VLOOKUP(_xlfn.TEXTSPLIT(Table1[[#This Row],[Fuel (no space after comma)]], ","), FuelList_Final_EF!$A$2:$B$32, 2, FALSE))</f>
        <v>118.17</v>
      </c>
      <c r="P185" s="2">
        <f>(16112*Table1[[#This Row],[Generation (TWh)]]*10^9)/10^6</f>
        <v>5081080.32</v>
      </c>
      <c r="Q185" s="2">
        <f>Table1[[#This Row],[Emission Factor (kg CO2/ mmBtu)]]*Table1[[#This Row],[Fuel Consumption (mmBtu)]]*10^3</f>
        <v>600431261414.40015</v>
      </c>
      <c r="R185" s="2">
        <f>(Table1[[#This Row],[CO2 Emissions (g CO2)]])/(Table1[[#This Row],[Generation (TWh)]]*10^9)</f>
        <v>1903.9550400000005</v>
      </c>
    </row>
    <row r="186" spans="1:18" hidden="1">
      <c r="A186" t="s">
        <v>199</v>
      </c>
      <c r="B186" t="s">
        <v>105</v>
      </c>
      <c r="C186" t="str">
        <f>SUBSTITUTE(Table1[[#This Row],[Fuel]],", ",",")</f>
        <v>bioenergy: agricultural waste (solids),bioenergy: wood &amp; other biomass (solids)</v>
      </c>
      <c r="D186" t="s">
        <v>46</v>
      </c>
      <c r="E186" t="s">
        <v>25</v>
      </c>
      <c r="G186">
        <v>100</v>
      </c>
      <c r="H186" t="s">
        <v>27</v>
      </c>
      <c r="I186">
        <v>2014</v>
      </c>
      <c r="J186" t="s">
        <v>21</v>
      </c>
      <c r="K186">
        <v>-9.5806000000000004</v>
      </c>
      <c r="L186">
        <v>15.7225</v>
      </c>
      <c r="M186" t="s">
        <v>200</v>
      </c>
      <c r="N186" s="2">
        <f>Table1[[#This Row],[Capacity (MW)]]*8760*0.72*10^-6</f>
        <v>0.63071999999999995</v>
      </c>
      <c r="O186" s="2" cm="1">
        <f t="array" ref="O186">AVERAGE(VLOOKUP(_xlfn.TEXTSPLIT(Table1[[#This Row],[Fuel (no space after comma)]], ","), FuelList_Final_EF!$A$2:$B$32, 2, FALSE))</f>
        <v>105.985</v>
      </c>
      <c r="P186" s="2">
        <f>(16112*Table1[[#This Row],[Generation (TWh)]]*10^9)/10^6</f>
        <v>10162160.640000001</v>
      </c>
      <c r="Q186" s="2">
        <f>Table1[[#This Row],[Emission Factor (kg CO2/ mmBtu)]]*Table1[[#This Row],[Fuel Consumption (mmBtu)]]*10^3</f>
        <v>1077036595430.4001</v>
      </c>
      <c r="R186" s="2">
        <f>(Table1[[#This Row],[CO2 Emissions (g CO2)]])/(Table1[[#This Row],[Generation (TWh)]]*10^9)</f>
        <v>1707.6303200000002</v>
      </c>
    </row>
    <row r="187" spans="1:18" hidden="1">
      <c r="A187" t="s">
        <v>201</v>
      </c>
      <c r="B187" t="s">
        <v>46</v>
      </c>
      <c r="C187" t="str">
        <f>SUBSTITUTE(Table1[[#This Row],[Fuel]],", ",",")</f>
        <v>bioenergy: agricultural waste (solids)</v>
      </c>
      <c r="D187" t="s">
        <v>46</v>
      </c>
      <c r="G187">
        <v>55</v>
      </c>
      <c r="H187" t="s">
        <v>27</v>
      </c>
      <c r="I187">
        <v>2011</v>
      </c>
      <c r="J187" t="s">
        <v>21</v>
      </c>
      <c r="K187">
        <v>-17.062200000000001</v>
      </c>
      <c r="L187">
        <v>-46.183599999999998</v>
      </c>
      <c r="M187" t="s">
        <v>49</v>
      </c>
      <c r="N187" s="2">
        <f>Table1[[#This Row],[Capacity (MW)]]*8760*0.72*10^-6</f>
        <v>0.34689599999999998</v>
      </c>
      <c r="O187" s="2" cm="1">
        <f t="array" ref="O187">AVERAGE(VLOOKUP(_xlfn.TEXTSPLIT(Table1[[#This Row],[Fuel (no space after comma)]], ","), FuelList_Final_EF!$A$2:$B$32, 2, FALSE))</f>
        <v>118.17</v>
      </c>
      <c r="P187" s="2">
        <f>(16112*Table1[[#This Row],[Generation (TWh)]]*10^9)/10^6</f>
        <v>5589188.352</v>
      </c>
      <c r="Q187" s="2">
        <f>Table1[[#This Row],[Emission Factor (kg CO2/ mmBtu)]]*Table1[[#This Row],[Fuel Consumption (mmBtu)]]*10^3</f>
        <v>660474387555.83997</v>
      </c>
      <c r="R187" s="2">
        <f>(Table1[[#This Row],[CO2 Emissions (g CO2)]])/(Table1[[#This Row],[Generation (TWh)]]*10^9)</f>
        <v>1903.9550399999998</v>
      </c>
    </row>
    <row r="188" spans="1:18">
      <c r="A188" t="s">
        <v>202</v>
      </c>
      <c r="B188" t="s">
        <v>46</v>
      </c>
      <c r="C188" t="str">
        <f>SUBSTITUTE(Table1[[#This Row],[Fuel]],", ",",")</f>
        <v>bioenergy: agricultural waste (solids)</v>
      </c>
      <c r="D188" t="s">
        <v>46</v>
      </c>
      <c r="G188">
        <v>45</v>
      </c>
      <c r="H188" t="s">
        <v>20</v>
      </c>
      <c r="I188" t="s">
        <v>21</v>
      </c>
      <c r="J188" t="s">
        <v>21</v>
      </c>
      <c r="K188">
        <v>-21.8307</v>
      </c>
      <c r="L188">
        <v>-47.750999999999998</v>
      </c>
      <c r="M188" t="s">
        <v>49</v>
      </c>
      <c r="N188" s="2">
        <f>Table1[[#This Row],[Capacity (MW)]]*8760*0.72*10^-6</f>
        <v>0.28382399999999997</v>
      </c>
      <c r="O188" s="2" cm="1">
        <f t="array" ref="O188">AVERAGE(VLOOKUP(_xlfn.TEXTSPLIT(Table1[[#This Row],[Fuel (no space after comma)]], ","), FuelList_Final_EF!$A$2:$B$32, 2, FALSE))</f>
        <v>118.17</v>
      </c>
      <c r="P188" s="2">
        <f>(16112*Table1[[#This Row],[Generation (TWh)]]*10^9)/10^6</f>
        <v>4572972.2879999988</v>
      </c>
      <c r="Q188" s="2">
        <f>Table1[[#This Row],[Emission Factor (kg CO2/ mmBtu)]]*Table1[[#This Row],[Fuel Consumption (mmBtu)]]*10^3</f>
        <v>540388135272.95984</v>
      </c>
      <c r="R188" s="2">
        <f>(Table1[[#This Row],[CO2 Emissions (g CO2)]])/(Table1[[#This Row],[Generation (TWh)]]*10^9)</f>
        <v>1903.9550399999998</v>
      </c>
    </row>
    <row r="189" spans="1:18">
      <c r="A189" t="s">
        <v>203</v>
      </c>
      <c r="B189" t="s">
        <v>46</v>
      </c>
      <c r="C189" t="str">
        <f>SUBSTITUTE(Table1[[#This Row],[Fuel]],", ",",")</f>
        <v>bioenergy: agricultural waste (solids)</v>
      </c>
      <c r="D189" t="s">
        <v>46</v>
      </c>
      <c r="G189">
        <v>40</v>
      </c>
      <c r="H189" t="s">
        <v>20</v>
      </c>
      <c r="I189" t="s">
        <v>21</v>
      </c>
      <c r="J189" t="s">
        <v>21</v>
      </c>
      <c r="K189">
        <v>-21.599699999999999</v>
      </c>
      <c r="L189">
        <v>-49.539700000000003</v>
      </c>
      <c r="M189" t="s">
        <v>49</v>
      </c>
      <c r="N189" s="2">
        <f>Table1[[#This Row],[Capacity (MW)]]*8760*0.72*10^-6</f>
        <v>0.25228800000000001</v>
      </c>
      <c r="O189" s="2" cm="1">
        <f t="array" ref="O189">AVERAGE(VLOOKUP(_xlfn.TEXTSPLIT(Table1[[#This Row],[Fuel (no space after comma)]], ","), FuelList_Final_EF!$A$2:$B$32, 2, FALSE))</f>
        <v>118.17</v>
      </c>
      <c r="P189" s="2">
        <f>(16112*Table1[[#This Row],[Generation (TWh)]]*10^9)/10^6</f>
        <v>4064864.2560000005</v>
      </c>
      <c r="Q189" s="2">
        <f>Table1[[#This Row],[Emission Factor (kg CO2/ mmBtu)]]*Table1[[#This Row],[Fuel Consumption (mmBtu)]]*10^3</f>
        <v>480345009131.52008</v>
      </c>
      <c r="R189" s="2">
        <f>(Table1[[#This Row],[CO2 Emissions (g CO2)]])/(Table1[[#This Row],[Generation (TWh)]]*10^9)</f>
        <v>1903.9550400000003</v>
      </c>
    </row>
    <row r="190" spans="1:18">
      <c r="A190" t="s">
        <v>204</v>
      </c>
      <c r="B190" t="s">
        <v>46</v>
      </c>
      <c r="C190" t="str">
        <f>SUBSTITUTE(Table1[[#This Row],[Fuel]],", ",",")</f>
        <v>bioenergy: agricultural waste (solids)</v>
      </c>
      <c r="D190" t="s">
        <v>46</v>
      </c>
      <c r="G190">
        <v>70</v>
      </c>
      <c r="H190" t="s">
        <v>97</v>
      </c>
      <c r="I190" t="s">
        <v>21</v>
      </c>
      <c r="J190" t="s">
        <v>21</v>
      </c>
      <c r="K190">
        <v>-21.343399999999999</v>
      </c>
      <c r="L190">
        <v>-47.1541</v>
      </c>
      <c r="M190" t="s">
        <v>49</v>
      </c>
      <c r="N190" s="2">
        <f>Table1[[#This Row],[Capacity (MW)]]*8760*0.72*10^-6</f>
        <v>0.44150400000000001</v>
      </c>
      <c r="O190" s="2" cm="1">
        <f t="array" ref="O190">AVERAGE(VLOOKUP(_xlfn.TEXTSPLIT(Table1[[#This Row],[Fuel (no space after comma)]], ","), FuelList_Final_EF!$A$2:$B$32, 2, FALSE))</f>
        <v>118.17</v>
      </c>
      <c r="P190" s="2">
        <f>(16112*Table1[[#This Row],[Generation (TWh)]]*10^9)/10^6</f>
        <v>7113512.4479999999</v>
      </c>
      <c r="Q190" s="2">
        <f>Table1[[#This Row],[Emission Factor (kg CO2/ mmBtu)]]*Table1[[#This Row],[Fuel Consumption (mmBtu)]]*10^3</f>
        <v>840603765980.16003</v>
      </c>
      <c r="R190" s="2">
        <f>(Table1[[#This Row],[CO2 Emissions (g CO2)]])/(Table1[[#This Row],[Generation (TWh)]]*10^9)</f>
        <v>1903.9550400000001</v>
      </c>
    </row>
    <row r="191" spans="1:18" hidden="1">
      <c r="A191" t="s">
        <v>204</v>
      </c>
      <c r="B191" t="s">
        <v>46</v>
      </c>
      <c r="C191" t="str">
        <f>SUBSTITUTE(Table1[[#This Row],[Fuel]],", ",",")</f>
        <v>bioenergy: agricultural waste (solids)</v>
      </c>
      <c r="D191" t="s">
        <v>46</v>
      </c>
      <c r="G191">
        <v>45</v>
      </c>
      <c r="H191" t="s">
        <v>27</v>
      </c>
      <c r="I191">
        <v>2020</v>
      </c>
      <c r="J191" t="s">
        <v>21</v>
      </c>
      <c r="K191">
        <v>-21.3432</v>
      </c>
      <c r="L191">
        <v>-47.155900000000003</v>
      </c>
      <c r="M191" t="s">
        <v>49</v>
      </c>
      <c r="N191" s="2">
        <f>Table1[[#This Row],[Capacity (MW)]]*8760*0.72*10^-6</f>
        <v>0.28382399999999997</v>
      </c>
      <c r="O191" s="2" cm="1">
        <f t="array" ref="O191">AVERAGE(VLOOKUP(_xlfn.TEXTSPLIT(Table1[[#This Row],[Fuel (no space after comma)]], ","), FuelList_Final_EF!$A$2:$B$32, 2, FALSE))</f>
        <v>118.17</v>
      </c>
      <c r="P191" s="2">
        <f>(16112*Table1[[#This Row],[Generation (TWh)]]*10^9)/10^6</f>
        <v>4572972.2879999988</v>
      </c>
      <c r="Q191" s="2">
        <f>Table1[[#This Row],[Emission Factor (kg CO2/ mmBtu)]]*Table1[[#This Row],[Fuel Consumption (mmBtu)]]*10^3</f>
        <v>540388135272.95984</v>
      </c>
      <c r="R191" s="2">
        <f>(Table1[[#This Row],[CO2 Emissions (g CO2)]])/(Table1[[#This Row],[Generation (TWh)]]*10^9)</f>
        <v>1903.9550399999998</v>
      </c>
    </row>
    <row r="192" spans="1:18">
      <c r="A192" t="s">
        <v>205</v>
      </c>
      <c r="B192" t="s">
        <v>68</v>
      </c>
      <c r="C192" t="str">
        <f>SUBSTITUTE(Table1[[#This Row],[Fuel]],", ",",")</f>
        <v>bioenergy: wood &amp; other biomass (solids),fossil gas: natural gas</v>
      </c>
      <c r="D192" t="s">
        <v>25</v>
      </c>
      <c r="E192" t="s">
        <v>69</v>
      </c>
      <c r="G192">
        <v>30</v>
      </c>
      <c r="H192" t="s">
        <v>27</v>
      </c>
      <c r="I192" t="s">
        <v>21</v>
      </c>
      <c r="J192" t="s">
        <v>21</v>
      </c>
      <c r="K192">
        <v>47.663800000000002</v>
      </c>
      <c r="L192">
        <v>26.266200000000001</v>
      </c>
      <c r="M192" t="s">
        <v>206</v>
      </c>
      <c r="N192" s="2">
        <f>Table1[[#This Row],[Capacity (MW)]]*8760*0.72*10^-6</f>
        <v>0.189216</v>
      </c>
      <c r="O192" s="2" cm="1">
        <f t="array" ref="O192">AVERAGE(VLOOKUP(_xlfn.TEXTSPLIT(Table1[[#This Row],[Fuel (no space after comma)]], ","), FuelList_Final_EF!$A$2:$B$32, 2, FALSE))</f>
        <v>73.430000000000007</v>
      </c>
      <c r="P192" s="2">
        <f>(16112*Table1[[#This Row],[Generation (TWh)]]*10^9)/10^6</f>
        <v>3048648.1919999998</v>
      </c>
      <c r="Q192" s="2">
        <f>Table1[[#This Row],[Emission Factor (kg CO2/ mmBtu)]]*Table1[[#This Row],[Fuel Consumption (mmBtu)]]*10^3</f>
        <v>223862236738.56003</v>
      </c>
      <c r="R192" s="2">
        <f>(Table1[[#This Row],[CO2 Emissions (g CO2)]])/(Table1[[#This Row],[Generation (TWh)]]*10^9)</f>
        <v>1183.1041600000001</v>
      </c>
    </row>
    <row r="193" spans="1:18" hidden="1">
      <c r="A193" t="s">
        <v>207</v>
      </c>
      <c r="B193" t="s">
        <v>46</v>
      </c>
      <c r="C193" t="str">
        <f>SUBSTITUTE(Table1[[#This Row],[Fuel]],", ",",")</f>
        <v>bioenergy: agricultural waste (solids)</v>
      </c>
      <c r="D193" t="s">
        <v>46</v>
      </c>
      <c r="G193">
        <v>62</v>
      </c>
      <c r="H193" t="s">
        <v>27</v>
      </c>
      <c r="I193">
        <v>2014</v>
      </c>
      <c r="J193" t="s">
        <v>21</v>
      </c>
      <c r="K193">
        <v>-9.7769999999999992</v>
      </c>
      <c r="L193">
        <v>-36.0854</v>
      </c>
      <c r="M193" t="s">
        <v>49</v>
      </c>
      <c r="N193" s="2">
        <f>Table1[[#This Row],[Capacity (MW)]]*8760*0.72*10^-6</f>
        <v>0.39104639999999996</v>
      </c>
      <c r="O193" s="2" cm="1">
        <f t="array" ref="O193">AVERAGE(VLOOKUP(_xlfn.TEXTSPLIT(Table1[[#This Row],[Fuel (no space after comma)]], ","), FuelList_Final_EF!$A$2:$B$32, 2, FALSE))</f>
        <v>118.17</v>
      </c>
      <c r="P193" s="2">
        <f>(16112*Table1[[#This Row],[Generation (TWh)]]*10^9)/10^6</f>
        <v>6300539.5967999995</v>
      </c>
      <c r="Q193" s="2">
        <f>Table1[[#This Row],[Emission Factor (kg CO2/ mmBtu)]]*Table1[[#This Row],[Fuel Consumption (mmBtu)]]*10^3</f>
        <v>744534764153.85596</v>
      </c>
      <c r="R193" s="2">
        <f>(Table1[[#This Row],[CO2 Emissions (g CO2)]])/(Table1[[#This Row],[Generation (TWh)]]*10^9)</f>
        <v>1903.9550400000003</v>
      </c>
    </row>
    <row r="194" spans="1:18" hidden="1">
      <c r="A194" t="s">
        <v>208</v>
      </c>
      <c r="B194" t="s">
        <v>46</v>
      </c>
      <c r="C194" t="str">
        <f>SUBSTITUTE(Table1[[#This Row],[Fuel]],", ",",")</f>
        <v>bioenergy: agricultural waste (solids)</v>
      </c>
      <c r="D194" t="s">
        <v>46</v>
      </c>
      <c r="G194">
        <v>44</v>
      </c>
      <c r="H194" t="s">
        <v>27</v>
      </c>
      <c r="I194">
        <v>2010</v>
      </c>
      <c r="J194" t="s">
        <v>21</v>
      </c>
      <c r="K194">
        <v>-21.676300000000001</v>
      </c>
      <c r="L194">
        <v>-49.780700000000003</v>
      </c>
      <c r="M194" t="s">
        <v>49</v>
      </c>
      <c r="N194" s="2">
        <f>Table1[[#This Row],[Capacity (MW)]]*8760*0.72*10^-6</f>
        <v>0.27751679999999995</v>
      </c>
      <c r="O194" s="2" cm="1">
        <f t="array" ref="O194">AVERAGE(VLOOKUP(_xlfn.TEXTSPLIT(Table1[[#This Row],[Fuel (no space after comma)]], ","), FuelList_Final_EF!$A$2:$B$32, 2, FALSE))</f>
        <v>118.17</v>
      </c>
      <c r="P194" s="2">
        <f>(16112*Table1[[#This Row],[Generation (TWh)]]*10^9)/10^6</f>
        <v>4471350.6815999988</v>
      </c>
      <c r="Q194" s="2">
        <f>Table1[[#This Row],[Emission Factor (kg CO2/ mmBtu)]]*Table1[[#This Row],[Fuel Consumption (mmBtu)]]*10^3</f>
        <v>528379510044.67188</v>
      </c>
      <c r="R194" s="2">
        <f>(Table1[[#This Row],[CO2 Emissions (g CO2)]])/(Table1[[#This Row],[Generation (TWh)]]*10^9)</f>
        <v>1903.9550400000001</v>
      </c>
    </row>
    <row r="195" spans="1:18" hidden="1">
      <c r="A195" t="s">
        <v>209</v>
      </c>
      <c r="B195" t="s">
        <v>210</v>
      </c>
      <c r="C195" t="str">
        <f>SUBSTITUTE(Table1[[#This Row],[Fuel]],", ",",")</f>
        <v>bioenergy: wood &amp; other biomass (solids),bioenergy: agricultural waste (solids)</v>
      </c>
      <c r="D195" t="s">
        <v>25</v>
      </c>
      <c r="E195" t="s">
        <v>46</v>
      </c>
      <c r="G195">
        <v>46</v>
      </c>
      <c r="H195" t="s">
        <v>27</v>
      </c>
      <c r="I195">
        <v>2003</v>
      </c>
      <c r="J195" t="s">
        <v>21</v>
      </c>
      <c r="K195">
        <v>39.262999999999998</v>
      </c>
      <c r="L195">
        <v>17.0517</v>
      </c>
      <c r="M195" t="s">
        <v>37</v>
      </c>
      <c r="N195" s="2">
        <f>Table1[[#This Row],[Capacity (MW)]]*8760*0.72*10^-6</f>
        <v>0.29013119999999998</v>
      </c>
      <c r="O195" s="2" cm="1">
        <f t="array" ref="O195">AVERAGE(VLOOKUP(_xlfn.TEXTSPLIT(Table1[[#This Row],[Fuel (no space after comma)]], ","), FuelList_Final_EF!$A$2:$B$32, 2, FALSE))</f>
        <v>105.985</v>
      </c>
      <c r="P195" s="2">
        <f>(16112*Table1[[#This Row],[Generation (TWh)]]*10^9)/10^6</f>
        <v>4674593.8943999996</v>
      </c>
      <c r="Q195" s="2">
        <f>Table1[[#This Row],[Emission Factor (kg CO2/ mmBtu)]]*Table1[[#This Row],[Fuel Consumption (mmBtu)]]*10^3</f>
        <v>495436833897.98395</v>
      </c>
      <c r="R195" s="2">
        <f>(Table1[[#This Row],[CO2 Emissions (g CO2)]])/(Table1[[#This Row],[Generation (TWh)]]*10^9)</f>
        <v>1707.6303199999998</v>
      </c>
    </row>
    <row r="196" spans="1:18" hidden="1">
      <c r="A196" t="s">
        <v>211</v>
      </c>
      <c r="B196" t="s">
        <v>36</v>
      </c>
      <c r="C196" t="str">
        <f>SUBSTITUTE(Table1[[#This Row],[Fuel]],", ",",")</f>
        <v>bioenergy: biodiesel</v>
      </c>
      <c r="D196" t="s">
        <v>36</v>
      </c>
      <c r="G196">
        <v>37</v>
      </c>
      <c r="H196" t="s">
        <v>27</v>
      </c>
      <c r="I196">
        <v>2009</v>
      </c>
      <c r="J196" t="s">
        <v>21</v>
      </c>
      <c r="K196">
        <v>40.239400000000003</v>
      </c>
      <c r="L196">
        <v>9.0197000000000003</v>
      </c>
      <c r="M196" t="s">
        <v>37</v>
      </c>
      <c r="N196" s="2">
        <f>Table1[[#This Row],[Capacity (MW)]]*8760*0.72*10^-6</f>
        <v>0.23336639999999997</v>
      </c>
      <c r="O196" s="2" cm="1">
        <f t="array" ref="O196">AVERAGE(VLOOKUP(_xlfn.TEXTSPLIT(Table1[[#This Row],[Fuel (no space after comma)]], ","), FuelList_Final_EF!$A$2:$B$32, 2, FALSE))</f>
        <v>73.84</v>
      </c>
      <c r="P196" s="2">
        <f>(16112*Table1[[#This Row],[Generation (TWh)]]*10^9)/10^6</f>
        <v>3759999.4367999998</v>
      </c>
      <c r="Q196" s="2">
        <f>Table1[[#This Row],[Emission Factor (kg CO2/ mmBtu)]]*Table1[[#This Row],[Fuel Consumption (mmBtu)]]*10^3</f>
        <v>277638358413.31201</v>
      </c>
      <c r="R196" s="2">
        <f>(Table1[[#This Row],[CO2 Emissions (g CO2)]])/(Table1[[#This Row],[Generation (TWh)]]*10^9)</f>
        <v>1189.7100800000003</v>
      </c>
    </row>
    <row r="197" spans="1:18" hidden="1">
      <c r="A197" t="s">
        <v>212</v>
      </c>
      <c r="B197" t="s">
        <v>46</v>
      </c>
      <c r="C197" t="str">
        <f>SUBSTITUTE(Table1[[#This Row],[Fuel]],", ",",")</f>
        <v>bioenergy: agricultural waste (solids)</v>
      </c>
      <c r="D197" t="s">
        <v>46</v>
      </c>
      <c r="G197">
        <v>48</v>
      </c>
      <c r="H197" t="s">
        <v>27</v>
      </c>
      <c r="I197">
        <v>2019</v>
      </c>
      <c r="J197" t="s">
        <v>21</v>
      </c>
      <c r="K197">
        <v>10.200100000000001</v>
      </c>
      <c r="L197">
        <v>122.8673</v>
      </c>
      <c r="M197" t="s">
        <v>72</v>
      </c>
      <c r="N197" s="2">
        <f>Table1[[#This Row],[Capacity (MW)]]*8760*0.72*10^-6</f>
        <v>0.30274559999999995</v>
      </c>
      <c r="O197" s="2" cm="1">
        <f t="array" ref="O197">AVERAGE(VLOOKUP(_xlfn.TEXTSPLIT(Table1[[#This Row],[Fuel (no space after comma)]], ","), FuelList_Final_EF!$A$2:$B$32, 2, FALSE))</f>
        <v>118.17</v>
      </c>
      <c r="P197" s="2">
        <f>(16112*Table1[[#This Row],[Generation (TWh)]]*10^9)/10^6</f>
        <v>4877837.1071999986</v>
      </c>
      <c r="Q197" s="2">
        <f>Table1[[#This Row],[Emission Factor (kg CO2/ mmBtu)]]*Table1[[#This Row],[Fuel Consumption (mmBtu)]]*10^3</f>
        <v>576414010957.82385</v>
      </c>
      <c r="R197" s="2">
        <f>(Table1[[#This Row],[CO2 Emissions (g CO2)]])/(Table1[[#This Row],[Generation (TWh)]]*10^9)</f>
        <v>1903.9550399999998</v>
      </c>
    </row>
    <row r="198" spans="1:18">
      <c r="A198" t="s">
        <v>213</v>
      </c>
      <c r="B198" t="s">
        <v>25</v>
      </c>
      <c r="C198" t="str">
        <f>SUBSTITUTE(Table1[[#This Row],[Fuel]],", ",",")</f>
        <v>bioenergy: wood &amp; other biomass (solids)</v>
      </c>
      <c r="D198" t="s">
        <v>25</v>
      </c>
      <c r="G198">
        <v>50</v>
      </c>
      <c r="H198" t="s">
        <v>20</v>
      </c>
      <c r="I198" t="s">
        <v>21</v>
      </c>
      <c r="J198" t="s">
        <v>21</v>
      </c>
      <c r="K198">
        <v>8.2095000000000002</v>
      </c>
      <c r="L198">
        <v>126.2852</v>
      </c>
      <c r="M198" t="s">
        <v>72</v>
      </c>
      <c r="N198" s="2">
        <f>Table1[[#This Row],[Capacity (MW)]]*8760*0.72*10^-6</f>
        <v>0.31535999999999997</v>
      </c>
      <c r="O198" s="2" cm="1">
        <f t="array" ref="O198">AVERAGE(VLOOKUP(_xlfn.TEXTSPLIT(Table1[[#This Row],[Fuel (no space after comma)]], ","), FuelList_Final_EF!$A$2:$B$32, 2, FALSE))</f>
        <v>93.8</v>
      </c>
      <c r="P198" s="2">
        <f>(16112*Table1[[#This Row],[Generation (TWh)]]*10^9)/10^6</f>
        <v>5081080.32</v>
      </c>
      <c r="Q198" s="2">
        <f>Table1[[#This Row],[Emission Factor (kg CO2/ mmBtu)]]*Table1[[#This Row],[Fuel Consumption (mmBtu)]]*10^3</f>
        <v>476605334016.00006</v>
      </c>
      <c r="R198" s="2">
        <f>(Table1[[#This Row],[CO2 Emissions (g CO2)]])/(Table1[[#This Row],[Generation (TWh)]]*10^9)</f>
        <v>1511.3056000000001</v>
      </c>
    </row>
    <row r="199" spans="1:18" hidden="1">
      <c r="A199" t="s">
        <v>214</v>
      </c>
      <c r="B199" t="s">
        <v>215</v>
      </c>
      <c r="C199" t="str">
        <f>SUBSTITUTE(Table1[[#This Row],[Fuel]],", ",",")</f>
        <v>bioenergy: wood &amp; other biomass (solids),other: other,fossil liquids: unknown</v>
      </c>
      <c r="D199" t="s">
        <v>25</v>
      </c>
      <c r="E199" t="s">
        <v>216</v>
      </c>
      <c r="F199" t="s">
        <v>217</v>
      </c>
      <c r="G199">
        <v>56</v>
      </c>
      <c r="H199" t="s">
        <v>27</v>
      </c>
      <c r="I199">
        <v>1989</v>
      </c>
      <c r="J199" t="s">
        <v>21</v>
      </c>
      <c r="K199">
        <v>44.036717000000003</v>
      </c>
      <c r="L199">
        <v>-75.771528000000004</v>
      </c>
      <c r="M199" t="s">
        <v>62</v>
      </c>
      <c r="N199" s="2">
        <f>Table1[[#This Row],[Capacity (MW)]]*8760*0.72*10^-6</f>
        <v>0.35320319999999999</v>
      </c>
      <c r="O199" s="2" cm="1">
        <f t="array" ref="O199">AVERAGE(VLOOKUP(_xlfn.TEXTSPLIT(Table1[[#This Row],[Fuel (no space after comma)]], ","), FuelList_Final_EF!$A$2:$B$32, 2, FALSE))</f>
        <v>88.206594022090769</v>
      </c>
      <c r="P199" s="2">
        <f>(16112*Table1[[#This Row],[Generation (TWh)]]*10^9)/10^6</f>
        <v>5690809.9583999999</v>
      </c>
      <c r="Q199" s="2">
        <f>Table1[[#This Row],[Emission Factor (kg CO2/ mmBtu)]]*Table1[[#This Row],[Fuel Consumption (mmBtu)]]*10^3</f>
        <v>501966963657.46002</v>
      </c>
      <c r="R199" s="2">
        <f>(Table1[[#This Row],[CO2 Emissions (g CO2)]])/(Table1[[#This Row],[Generation (TWh)]]*10^9)</f>
        <v>1421.1846428839265</v>
      </c>
    </row>
    <row r="200" spans="1:18">
      <c r="A200" t="s">
        <v>218</v>
      </c>
      <c r="B200" t="s">
        <v>25</v>
      </c>
      <c r="C200" t="str">
        <f>SUBSTITUTE(Table1[[#This Row],[Fuel]],", ",",")</f>
        <v>bioenergy: wood &amp; other biomass (solids)</v>
      </c>
      <c r="D200" t="s">
        <v>25</v>
      </c>
      <c r="G200">
        <v>30</v>
      </c>
      <c r="H200" t="s">
        <v>27</v>
      </c>
      <c r="I200">
        <v>1921</v>
      </c>
      <c r="J200" t="s">
        <v>21</v>
      </c>
      <c r="K200">
        <v>53.420400000000001</v>
      </c>
      <c r="L200">
        <v>-1.4007000000000001</v>
      </c>
      <c r="M200" t="s">
        <v>22</v>
      </c>
      <c r="N200" s="2">
        <f>Table1[[#This Row],[Capacity (MW)]]*8760*0.72*10^-6</f>
        <v>0.189216</v>
      </c>
      <c r="O200" s="2" cm="1">
        <f t="array" ref="O200">AVERAGE(VLOOKUP(_xlfn.TEXTSPLIT(Table1[[#This Row],[Fuel (no space after comma)]], ","), FuelList_Final_EF!$A$2:$B$32, 2, FALSE))</f>
        <v>93.8</v>
      </c>
      <c r="P200" s="2">
        <f>(16112*Table1[[#This Row],[Generation (TWh)]]*10^9)/10^6</f>
        <v>3048648.1919999998</v>
      </c>
      <c r="Q200" s="2">
        <f>Table1[[#This Row],[Emission Factor (kg CO2/ mmBtu)]]*Table1[[#This Row],[Fuel Consumption (mmBtu)]]*10^3</f>
        <v>285963200409.59998</v>
      </c>
      <c r="R200" s="2">
        <f>(Table1[[#This Row],[CO2 Emissions (g CO2)]])/(Table1[[#This Row],[Generation (TWh)]]*10^9)</f>
        <v>1511.3055999999999</v>
      </c>
    </row>
    <row r="201" spans="1:18">
      <c r="A201" t="s">
        <v>219</v>
      </c>
      <c r="B201" t="s">
        <v>19</v>
      </c>
      <c r="C201" t="str">
        <f>SUBSTITUTE(Table1[[#This Row],[Fuel]],", ",",")</f>
        <v>bioenergy: refuse (municipal and industrial wastes)</v>
      </c>
      <c r="D201" t="s">
        <v>19</v>
      </c>
      <c r="G201">
        <v>50</v>
      </c>
      <c r="H201" t="s">
        <v>172</v>
      </c>
      <c r="I201" t="s">
        <v>21</v>
      </c>
      <c r="J201" t="s">
        <v>21</v>
      </c>
      <c r="K201">
        <v>-15.775499999999999</v>
      </c>
      <c r="L201">
        <v>35.040199999999999</v>
      </c>
      <c r="M201" t="s">
        <v>220</v>
      </c>
      <c r="N201" s="2">
        <f>Table1[[#This Row],[Capacity (MW)]]*8760*0.72*10^-6</f>
        <v>0.31535999999999997</v>
      </c>
      <c r="O201" s="2" cm="1">
        <f t="array" ref="O201">AVERAGE(VLOOKUP(_xlfn.TEXTSPLIT(Table1[[#This Row],[Fuel (no space after comma)]], ","), FuelList_Final_EF!$A$2:$B$32, 2, FALSE))</f>
        <v>105.42962572482868</v>
      </c>
      <c r="P201" s="2">
        <f>(16112*Table1[[#This Row],[Generation (TWh)]]*10^9)/10^6</f>
        <v>5081080.32</v>
      </c>
      <c r="Q201" s="2">
        <f>Table1[[#This Row],[Emission Factor (kg CO2/ mmBtu)]]*Table1[[#This Row],[Fuel Consumption (mmBtu)]]*10^3</f>
        <v>535696396415.39276</v>
      </c>
      <c r="R201" s="2">
        <f>(Table1[[#This Row],[CO2 Emissions (g CO2)]])/(Table1[[#This Row],[Generation (TWh)]]*10^9)</f>
        <v>1698.6821296784397</v>
      </c>
    </row>
    <row r="202" spans="1:18" hidden="1">
      <c r="A202" t="s">
        <v>221</v>
      </c>
      <c r="B202" t="s">
        <v>43</v>
      </c>
      <c r="C202" t="str">
        <f>SUBSTITUTE(Table1[[#This Row],[Fuel]],", ",",")</f>
        <v>bioenergy: agricultural waste (biogas)</v>
      </c>
      <c r="D202" t="s">
        <v>43</v>
      </c>
      <c r="G202">
        <v>36</v>
      </c>
      <c r="H202" t="s">
        <v>27</v>
      </c>
      <c r="I202">
        <v>2008</v>
      </c>
      <c r="J202" t="s">
        <v>21</v>
      </c>
      <c r="K202">
        <v>51.685499999999998</v>
      </c>
      <c r="L202">
        <v>4.5831999999999997</v>
      </c>
      <c r="M202" t="s">
        <v>39</v>
      </c>
      <c r="N202" s="2">
        <f>Table1[[#This Row],[Capacity (MW)]]*8760*0.72*10^-6</f>
        <v>0.22705919999999996</v>
      </c>
      <c r="O202" s="2" cm="1">
        <f t="array" ref="O202">AVERAGE(VLOOKUP(_xlfn.TEXTSPLIT(Table1[[#This Row],[Fuel (no space after comma)]], ","), FuelList_Final_EF!$A$2:$B$32, 2, FALSE))</f>
        <v>52.07</v>
      </c>
      <c r="P202" s="2">
        <f>(16112*Table1[[#This Row],[Generation (TWh)]]*10^9)/10^6</f>
        <v>3658377.8303999994</v>
      </c>
      <c r="Q202" s="2">
        <f>Table1[[#This Row],[Emission Factor (kg CO2/ mmBtu)]]*Table1[[#This Row],[Fuel Consumption (mmBtu)]]*10^3</f>
        <v>190491733628.92798</v>
      </c>
      <c r="R202" s="2">
        <f>(Table1[[#This Row],[CO2 Emissions (g CO2)]])/(Table1[[#This Row],[Generation (TWh)]]*10^9)</f>
        <v>838.95184000000006</v>
      </c>
    </row>
    <row r="203" spans="1:18" hidden="1">
      <c r="A203" t="s">
        <v>222</v>
      </c>
      <c r="B203" t="s">
        <v>46</v>
      </c>
      <c r="C203" t="str">
        <f>SUBSTITUTE(Table1[[#This Row],[Fuel]],", ",",")</f>
        <v>bioenergy: agricultural waste (solids)</v>
      </c>
      <c r="D203" t="s">
        <v>46</v>
      </c>
      <c r="G203">
        <v>57</v>
      </c>
      <c r="H203" t="s">
        <v>27</v>
      </c>
      <c r="I203">
        <v>2022</v>
      </c>
      <c r="J203" t="s">
        <v>21</v>
      </c>
      <c r="K203">
        <v>-19.923400000000001</v>
      </c>
      <c r="L203">
        <v>-49.156399999999998</v>
      </c>
      <c r="M203" t="s">
        <v>49</v>
      </c>
      <c r="N203" s="2">
        <f>Table1[[#This Row],[Capacity (MW)]]*8760*0.72*10^-6</f>
        <v>0.35951039999999995</v>
      </c>
      <c r="O203" s="2" cm="1">
        <f t="array" ref="O203">AVERAGE(VLOOKUP(_xlfn.TEXTSPLIT(Table1[[#This Row],[Fuel (no space after comma)]], ","), FuelList_Final_EF!$A$2:$B$32, 2, FALSE))</f>
        <v>118.17</v>
      </c>
      <c r="P203" s="2">
        <f>(16112*Table1[[#This Row],[Generation (TWh)]]*10^9)/10^6</f>
        <v>5792431.5647999989</v>
      </c>
      <c r="Q203" s="2">
        <f>Table1[[#This Row],[Emission Factor (kg CO2/ mmBtu)]]*Table1[[#This Row],[Fuel Consumption (mmBtu)]]*10^3</f>
        <v>684491638012.41589</v>
      </c>
      <c r="R203" s="2">
        <f>(Table1[[#This Row],[CO2 Emissions (g CO2)]])/(Table1[[#This Row],[Generation (TWh)]]*10^9)</f>
        <v>1903.9550400000001</v>
      </c>
    </row>
    <row r="204" spans="1:18" hidden="1">
      <c r="A204" t="s">
        <v>223</v>
      </c>
      <c r="B204" t="s">
        <v>46</v>
      </c>
      <c r="C204" t="str">
        <f>SUBSTITUTE(Table1[[#This Row],[Fuel]],", ",",")</f>
        <v>bioenergy: agricultural waste (solids)</v>
      </c>
      <c r="D204" t="s">
        <v>46</v>
      </c>
      <c r="G204">
        <v>3</v>
      </c>
      <c r="H204" t="s">
        <v>27</v>
      </c>
      <c r="I204">
        <v>2022</v>
      </c>
      <c r="J204" t="s">
        <v>21</v>
      </c>
      <c r="K204">
        <v>-19.923400000000001</v>
      </c>
      <c r="L204">
        <v>-49.156399999999998</v>
      </c>
      <c r="M204" t="s">
        <v>49</v>
      </c>
      <c r="N204" s="2">
        <f>Table1[[#This Row],[Capacity (MW)]]*8760*0.72*10^-6</f>
        <v>1.8921599999999997E-2</v>
      </c>
      <c r="O204" s="2" cm="1">
        <f t="array" ref="O204">AVERAGE(VLOOKUP(_xlfn.TEXTSPLIT(Table1[[#This Row],[Fuel (no space after comma)]], ","), FuelList_Final_EF!$A$2:$B$32, 2, FALSE))</f>
        <v>118.17</v>
      </c>
      <c r="P204" s="2">
        <f>(16112*Table1[[#This Row],[Generation (TWh)]]*10^9)/10^6</f>
        <v>304864.81919999991</v>
      </c>
      <c r="Q204" s="2">
        <f>Table1[[#This Row],[Emission Factor (kg CO2/ mmBtu)]]*Table1[[#This Row],[Fuel Consumption (mmBtu)]]*10^3</f>
        <v>36025875684.863991</v>
      </c>
      <c r="R204" s="2">
        <f>(Table1[[#This Row],[CO2 Emissions (g CO2)]])/(Table1[[#This Row],[Generation (TWh)]]*10^9)</f>
        <v>1903.9550399999998</v>
      </c>
    </row>
    <row r="205" spans="1:18" hidden="1">
      <c r="A205" t="s">
        <v>224</v>
      </c>
      <c r="B205" t="s">
        <v>46</v>
      </c>
      <c r="C205" t="str">
        <f>SUBSTITUTE(Table1[[#This Row],[Fuel]],", ",",")</f>
        <v>bioenergy: agricultural waste (solids)</v>
      </c>
      <c r="D205" t="s">
        <v>46</v>
      </c>
      <c r="G205">
        <v>40</v>
      </c>
      <c r="H205" t="s">
        <v>27</v>
      </c>
      <c r="I205">
        <v>2008</v>
      </c>
      <c r="J205" t="s">
        <v>21</v>
      </c>
      <c r="K205">
        <v>-18.546199999999999</v>
      </c>
      <c r="L205">
        <v>-50.434800000000003</v>
      </c>
      <c r="M205" t="s">
        <v>49</v>
      </c>
      <c r="N205" s="2">
        <f>Table1[[#This Row],[Capacity (MW)]]*8760*0.72*10^-6</f>
        <v>0.25228800000000001</v>
      </c>
      <c r="O205" s="2" cm="1">
        <f t="array" ref="O205">AVERAGE(VLOOKUP(_xlfn.TEXTSPLIT(Table1[[#This Row],[Fuel (no space after comma)]], ","), FuelList_Final_EF!$A$2:$B$32, 2, FALSE))</f>
        <v>118.17</v>
      </c>
      <c r="P205" s="2">
        <f>(16112*Table1[[#This Row],[Generation (TWh)]]*10^9)/10^6</f>
        <v>4064864.2560000005</v>
      </c>
      <c r="Q205" s="2">
        <f>Table1[[#This Row],[Emission Factor (kg CO2/ mmBtu)]]*Table1[[#This Row],[Fuel Consumption (mmBtu)]]*10^3</f>
        <v>480345009131.52008</v>
      </c>
      <c r="R205" s="2">
        <f>(Table1[[#This Row],[CO2 Emissions (g CO2)]])/(Table1[[#This Row],[Generation (TWh)]]*10^9)</f>
        <v>1903.9550400000003</v>
      </c>
    </row>
    <row r="206" spans="1:18" hidden="1">
      <c r="A206" t="s">
        <v>225</v>
      </c>
      <c r="B206" t="s">
        <v>226</v>
      </c>
      <c r="C206" t="str">
        <f>SUBSTITUTE(Table1[[#This Row],[Fuel]],", ",",")</f>
        <v>bioenergy: paper mill wastes,bioenergy: wood &amp; other biomass (solids),fossil liquids: unknown</v>
      </c>
      <c r="D206" t="s">
        <v>61</v>
      </c>
      <c r="E206" t="s">
        <v>25</v>
      </c>
      <c r="F206" t="s">
        <v>217</v>
      </c>
      <c r="G206">
        <v>37</v>
      </c>
      <c r="H206" t="s">
        <v>27</v>
      </c>
      <c r="I206">
        <v>1999</v>
      </c>
      <c r="J206" t="s">
        <v>21</v>
      </c>
      <c r="K206">
        <v>30.781099999999999</v>
      </c>
      <c r="L206">
        <v>-89.857500000000002</v>
      </c>
      <c r="M206" t="s">
        <v>62</v>
      </c>
      <c r="N206" s="2">
        <f>Table1[[#This Row],[Capacity (MW)]]*8760*0.72*10^-6</f>
        <v>0.23336639999999997</v>
      </c>
      <c r="O206" s="2" cm="1">
        <f t="array" ref="O206">AVERAGE(VLOOKUP(_xlfn.TEXTSPLIT(Table1[[#This Row],[Fuel (no space after comma)]], ","), FuelList_Final_EF!$A$2:$B$32, 2, FALSE))</f>
        <v>93.041405127344674</v>
      </c>
      <c r="P206" s="2">
        <f>(16112*Table1[[#This Row],[Generation (TWh)]]*10^9)/10^6</f>
        <v>3759999.4367999998</v>
      </c>
      <c r="Q206" s="2">
        <f>Table1[[#This Row],[Emission Factor (kg CO2/ mmBtu)]]*Table1[[#This Row],[Fuel Consumption (mmBtu)]]*10^3</f>
        <v>349835630877.89661</v>
      </c>
      <c r="R206" s="2">
        <f>(Table1[[#This Row],[CO2 Emissions (g CO2)]])/(Table1[[#This Row],[Generation (TWh)]]*10^9)</f>
        <v>1499.0831194117775</v>
      </c>
    </row>
    <row r="207" spans="1:18" hidden="1">
      <c r="A207" t="s">
        <v>225</v>
      </c>
      <c r="B207" t="s">
        <v>226</v>
      </c>
      <c r="C207" t="str">
        <f>SUBSTITUTE(Table1[[#This Row],[Fuel]],", ",",")</f>
        <v>bioenergy: paper mill wastes,bioenergy: wood &amp; other biomass (solids),fossil liquids: unknown</v>
      </c>
      <c r="D207" t="s">
        <v>61</v>
      </c>
      <c r="E207" t="s">
        <v>25</v>
      </c>
      <c r="F207" t="s">
        <v>217</v>
      </c>
      <c r="G207">
        <v>38</v>
      </c>
      <c r="H207" t="s">
        <v>27</v>
      </c>
      <c r="I207">
        <v>1979</v>
      </c>
      <c r="J207" t="s">
        <v>21</v>
      </c>
      <c r="K207">
        <v>30.781099999999999</v>
      </c>
      <c r="L207">
        <v>-89.857500000000002</v>
      </c>
      <c r="M207" t="s">
        <v>62</v>
      </c>
      <c r="N207" s="2">
        <f>Table1[[#This Row],[Capacity (MW)]]*8760*0.72*10^-6</f>
        <v>0.23967359999999996</v>
      </c>
      <c r="O207" s="2" cm="1">
        <f t="array" ref="O207">AVERAGE(VLOOKUP(_xlfn.TEXTSPLIT(Table1[[#This Row],[Fuel (no space after comma)]], ","), FuelList_Final_EF!$A$2:$B$32, 2, FALSE))</f>
        <v>93.041405127344674</v>
      </c>
      <c r="P207" s="2">
        <f>(16112*Table1[[#This Row],[Generation (TWh)]]*10^9)/10^6</f>
        <v>3861621.0431999997</v>
      </c>
      <c r="Q207" s="2">
        <f>Table1[[#This Row],[Emission Factor (kg CO2/ mmBtu)]]*Table1[[#This Row],[Fuel Consumption (mmBtu)]]*10^3</f>
        <v>359290647928.65057</v>
      </c>
      <c r="R207" s="2">
        <f>(Table1[[#This Row],[CO2 Emissions (g CO2)]])/(Table1[[#This Row],[Generation (TWh)]]*10^9)</f>
        <v>1499.0831194117775</v>
      </c>
    </row>
    <row r="208" spans="1:18" hidden="1">
      <c r="A208" t="s">
        <v>227</v>
      </c>
      <c r="B208" t="s">
        <v>105</v>
      </c>
      <c r="C208" t="str">
        <f>SUBSTITUTE(Table1[[#This Row],[Fuel]],", ",",")</f>
        <v>bioenergy: agricultural waste (solids),bioenergy: wood &amp; other biomass (solids)</v>
      </c>
      <c r="D208" t="s">
        <v>46</v>
      </c>
      <c r="E208" t="s">
        <v>25</v>
      </c>
      <c r="G208">
        <v>30</v>
      </c>
      <c r="H208" t="s">
        <v>27</v>
      </c>
      <c r="I208">
        <v>2023</v>
      </c>
      <c r="J208" t="s">
        <v>21</v>
      </c>
      <c r="K208">
        <v>-20.913830999999998</v>
      </c>
      <c r="L208">
        <v>55.636347999999998</v>
      </c>
      <c r="M208" t="s">
        <v>228</v>
      </c>
      <c r="N208" s="2">
        <f>Table1[[#This Row],[Capacity (MW)]]*8760*0.72*10^-6</f>
        <v>0.189216</v>
      </c>
      <c r="O208" s="2" cm="1">
        <f t="array" ref="O208">AVERAGE(VLOOKUP(_xlfn.TEXTSPLIT(Table1[[#This Row],[Fuel (no space after comma)]], ","), FuelList_Final_EF!$A$2:$B$32, 2, FALSE))</f>
        <v>105.985</v>
      </c>
      <c r="P208" s="2">
        <f>(16112*Table1[[#This Row],[Generation (TWh)]]*10^9)/10^6</f>
        <v>3048648.1919999998</v>
      </c>
      <c r="Q208" s="2">
        <f>Table1[[#This Row],[Emission Factor (kg CO2/ mmBtu)]]*Table1[[#This Row],[Fuel Consumption (mmBtu)]]*10^3</f>
        <v>323110978629.12</v>
      </c>
      <c r="R208" s="2">
        <f>(Table1[[#This Row],[CO2 Emissions (g CO2)]])/(Table1[[#This Row],[Generation (TWh)]]*10^9)</f>
        <v>1707.63032</v>
      </c>
    </row>
    <row r="209" spans="1:18" hidden="1">
      <c r="A209" t="s">
        <v>227</v>
      </c>
      <c r="B209" t="s">
        <v>105</v>
      </c>
      <c r="C209" t="str">
        <f>SUBSTITUTE(Table1[[#This Row],[Fuel]],", ",",")</f>
        <v>bioenergy: agricultural waste (solids),bioenergy: wood &amp; other biomass (solids)</v>
      </c>
      <c r="D209" t="s">
        <v>46</v>
      </c>
      <c r="E209" t="s">
        <v>25</v>
      </c>
      <c r="G209">
        <v>30</v>
      </c>
      <c r="H209" t="s">
        <v>27</v>
      </c>
      <c r="I209">
        <v>2023</v>
      </c>
      <c r="J209" t="s">
        <v>21</v>
      </c>
      <c r="K209">
        <v>-20.913830999999998</v>
      </c>
      <c r="L209">
        <v>55.636347999999998</v>
      </c>
      <c r="M209" t="s">
        <v>228</v>
      </c>
      <c r="N209" s="2">
        <f>Table1[[#This Row],[Capacity (MW)]]*8760*0.72*10^-6</f>
        <v>0.189216</v>
      </c>
      <c r="O209" s="2" cm="1">
        <f t="array" ref="O209">AVERAGE(VLOOKUP(_xlfn.TEXTSPLIT(Table1[[#This Row],[Fuel (no space after comma)]], ","), FuelList_Final_EF!$A$2:$B$32, 2, FALSE))</f>
        <v>105.985</v>
      </c>
      <c r="P209" s="2">
        <f>(16112*Table1[[#This Row],[Generation (TWh)]]*10^9)/10^6</f>
        <v>3048648.1919999998</v>
      </c>
      <c r="Q209" s="2">
        <f>Table1[[#This Row],[Emission Factor (kg CO2/ mmBtu)]]*Table1[[#This Row],[Fuel Consumption (mmBtu)]]*10^3</f>
        <v>323110978629.12</v>
      </c>
      <c r="R209" s="2">
        <f>(Table1[[#This Row],[CO2 Emissions (g CO2)]])/(Table1[[#This Row],[Generation (TWh)]]*10^9)</f>
        <v>1707.63032</v>
      </c>
    </row>
    <row r="210" spans="1:18" hidden="1">
      <c r="A210" t="s">
        <v>229</v>
      </c>
      <c r="B210" t="s">
        <v>25</v>
      </c>
      <c r="C210" t="str">
        <f>SUBSTITUTE(Table1[[#This Row],[Fuel]],", ",",")</f>
        <v>bioenergy: wood &amp; other biomass (solids)</v>
      </c>
      <c r="D210" t="s">
        <v>25</v>
      </c>
      <c r="G210">
        <v>90</v>
      </c>
      <c r="H210" t="s">
        <v>27</v>
      </c>
      <c r="I210">
        <v>2013</v>
      </c>
      <c r="J210" t="s">
        <v>21</v>
      </c>
      <c r="K210">
        <v>60.6815</v>
      </c>
      <c r="L210">
        <v>17.2697</v>
      </c>
      <c r="M210" t="s">
        <v>34</v>
      </c>
      <c r="N210" s="2">
        <f>Table1[[#This Row],[Capacity (MW)]]*8760*0.72*10^-6</f>
        <v>0.56764799999999993</v>
      </c>
      <c r="O210" s="2" cm="1">
        <f t="array" ref="O210">AVERAGE(VLOOKUP(_xlfn.TEXTSPLIT(Table1[[#This Row],[Fuel (no space after comma)]], ","), FuelList_Final_EF!$A$2:$B$32, 2, FALSE))</f>
        <v>93.8</v>
      </c>
      <c r="P210" s="2">
        <f>(16112*Table1[[#This Row],[Generation (TWh)]]*10^9)/10^6</f>
        <v>9145944.5759999976</v>
      </c>
      <c r="Q210" s="2">
        <f>Table1[[#This Row],[Emission Factor (kg CO2/ mmBtu)]]*Table1[[#This Row],[Fuel Consumption (mmBtu)]]*10^3</f>
        <v>857889601228.79968</v>
      </c>
      <c r="R210" s="2">
        <f>(Table1[[#This Row],[CO2 Emissions (g CO2)]])/(Table1[[#This Row],[Generation (TWh)]]*10^9)</f>
        <v>1511.3055999999997</v>
      </c>
    </row>
    <row r="211" spans="1:18" hidden="1">
      <c r="A211" t="s">
        <v>177</v>
      </c>
      <c r="B211" t="s">
        <v>46</v>
      </c>
      <c r="C211" t="str">
        <f>SUBSTITUTE(Table1[[#This Row],[Fuel]],", ",",")</f>
        <v>bioenergy: agricultural waste (solids)</v>
      </c>
      <c r="D211" t="s">
        <v>46</v>
      </c>
      <c r="G211">
        <v>33</v>
      </c>
      <c r="H211" t="s">
        <v>27</v>
      </c>
      <c r="I211">
        <v>2010</v>
      </c>
      <c r="J211" t="s">
        <v>21</v>
      </c>
      <c r="K211">
        <v>-21.413799999999998</v>
      </c>
      <c r="L211">
        <v>-48.278599999999997</v>
      </c>
      <c r="M211" t="s">
        <v>49</v>
      </c>
      <c r="N211" s="2">
        <f>Table1[[#This Row],[Capacity (MW)]]*8760*0.72*10^-6</f>
        <v>0.20813760000000001</v>
      </c>
      <c r="O211" s="2" cm="1">
        <f t="array" ref="O211">AVERAGE(VLOOKUP(_xlfn.TEXTSPLIT(Table1[[#This Row],[Fuel (no space after comma)]], ","), FuelList_Final_EF!$A$2:$B$32, 2, FALSE))</f>
        <v>118.17</v>
      </c>
      <c r="P211" s="2">
        <f>(16112*Table1[[#This Row],[Generation (TWh)]]*10^9)/10^6</f>
        <v>3353513.0112000001</v>
      </c>
      <c r="Q211" s="2">
        <f>Table1[[#This Row],[Emission Factor (kg CO2/ mmBtu)]]*Table1[[#This Row],[Fuel Consumption (mmBtu)]]*10^3</f>
        <v>396284632533.50403</v>
      </c>
      <c r="R211" s="2">
        <f>(Table1[[#This Row],[CO2 Emissions (g CO2)]])/(Table1[[#This Row],[Generation (TWh)]]*10^9)</f>
        <v>1903.9550400000001</v>
      </c>
    </row>
    <row r="212" spans="1:18" hidden="1">
      <c r="A212" t="s">
        <v>177</v>
      </c>
      <c r="B212" t="s">
        <v>46</v>
      </c>
      <c r="C212" t="str">
        <f>SUBSTITUTE(Table1[[#This Row],[Fuel]],", ",",")</f>
        <v>bioenergy: agricultural waste (solids)</v>
      </c>
      <c r="D212" t="s">
        <v>46</v>
      </c>
      <c r="G212">
        <v>33</v>
      </c>
      <c r="H212" t="s">
        <v>27</v>
      </c>
      <c r="I212">
        <v>2010</v>
      </c>
      <c r="J212" t="s">
        <v>21</v>
      </c>
      <c r="K212">
        <v>-21.413799999999998</v>
      </c>
      <c r="L212">
        <v>-48.278599999999997</v>
      </c>
      <c r="M212" t="s">
        <v>49</v>
      </c>
      <c r="N212" s="2">
        <f>Table1[[#This Row],[Capacity (MW)]]*8760*0.72*10^-6</f>
        <v>0.20813760000000001</v>
      </c>
      <c r="O212" s="2" cm="1">
        <f t="array" ref="O212">AVERAGE(VLOOKUP(_xlfn.TEXTSPLIT(Table1[[#This Row],[Fuel (no space after comma)]], ","), FuelList_Final_EF!$A$2:$B$32, 2, FALSE))</f>
        <v>118.17</v>
      </c>
      <c r="P212" s="2">
        <f>(16112*Table1[[#This Row],[Generation (TWh)]]*10^9)/10^6</f>
        <v>3353513.0112000001</v>
      </c>
      <c r="Q212" s="2">
        <f>Table1[[#This Row],[Emission Factor (kg CO2/ mmBtu)]]*Table1[[#This Row],[Fuel Consumption (mmBtu)]]*10^3</f>
        <v>396284632533.50403</v>
      </c>
      <c r="R212" s="2">
        <f>(Table1[[#This Row],[CO2 Emissions (g CO2)]])/(Table1[[#This Row],[Generation (TWh)]]*10^9)</f>
        <v>1903.9550400000001</v>
      </c>
    </row>
    <row r="213" spans="1:18" hidden="1">
      <c r="A213" t="s">
        <v>177</v>
      </c>
      <c r="B213" t="s">
        <v>46</v>
      </c>
      <c r="C213" t="str">
        <f>SUBSTITUTE(Table1[[#This Row],[Fuel]],", ",",")</f>
        <v>bioenergy: agricultural waste (solids)</v>
      </c>
      <c r="D213" t="s">
        <v>46</v>
      </c>
      <c r="G213">
        <v>45</v>
      </c>
      <c r="H213" t="s">
        <v>27</v>
      </c>
      <c r="I213">
        <v>2010</v>
      </c>
      <c r="J213" t="s">
        <v>21</v>
      </c>
      <c r="K213">
        <v>-21.413799999999998</v>
      </c>
      <c r="L213">
        <v>-48.278599999999997</v>
      </c>
      <c r="M213" t="s">
        <v>49</v>
      </c>
      <c r="N213" s="2">
        <f>Table1[[#This Row],[Capacity (MW)]]*8760*0.72*10^-6</f>
        <v>0.28382399999999997</v>
      </c>
      <c r="O213" s="2" cm="1">
        <f t="array" ref="O213">AVERAGE(VLOOKUP(_xlfn.TEXTSPLIT(Table1[[#This Row],[Fuel (no space after comma)]], ","), FuelList_Final_EF!$A$2:$B$32, 2, FALSE))</f>
        <v>118.17</v>
      </c>
      <c r="P213" s="2">
        <f>(16112*Table1[[#This Row],[Generation (TWh)]]*10^9)/10^6</f>
        <v>4572972.2879999988</v>
      </c>
      <c r="Q213" s="2">
        <f>Table1[[#This Row],[Emission Factor (kg CO2/ mmBtu)]]*Table1[[#This Row],[Fuel Consumption (mmBtu)]]*10^3</f>
        <v>540388135272.95984</v>
      </c>
      <c r="R213" s="2">
        <f>(Table1[[#This Row],[CO2 Emissions (g CO2)]])/(Table1[[#This Row],[Generation (TWh)]]*10^9)</f>
        <v>1903.9550399999998</v>
      </c>
    </row>
    <row r="214" spans="1:18" hidden="1">
      <c r="A214" t="s">
        <v>161</v>
      </c>
      <c r="B214" t="s">
        <v>61</v>
      </c>
      <c r="C214" t="str">
        <f>SUBSTITUTE(Table1[[#This Row],[Fuel]],", ",",")</f>
        <v>bioenergy: paper mill wastes</v>
      </c>
      <c r="D214" t="s">
        <v>61</v>
      </c>
      <c r="G214">
        <v>140</v>
      </c>
      <c r="H214" t="s">
        <v>27</v>
      </c>
      <c r="I214">
        <v>2021</v>
      </c>
      <c r="J214" t="s">
        <v>21</v>
      </c>
      <c r="K214">
        <v>-22.541399999999999</v>
      </c>
      <c r="L214">
        <v>-48.814999999999998</v>
      </c>
      <c r="M214" t="s">
        <v>49</v>
      </c>
      <c r="N214" s="2">
        <f>Table1[[#This Row],[Capacity (MW)]]*8760*0.72*10^-6</f>
        <v>0.88300800000000002</v>
      </c>
      <c r="O214" s="2" cm="1">
        <f t="array" ref="O214">AVERAGE(VLOOKUP(_xlfn.TEXTSPLIT(Table1[[#This Row],[Fuel (no space after comma)]], ","), FuelList_Final_EF!$A$2:$B$32, 2, FALSE))</f>
        <v>100.47443331576173</v>
      </c>
      <c r="P214" s="2">
        <f>(16112*Table1[[#This Row],[Generation (TWh)]]*10^9)/10^6</f>
        <v>14227024.896</v>
      </c>
      <c r="Q214" s="2">
        <f>Table1[[#This Row],[Emission Factor (kg CO2/ mmBtu)]]*Table1[[#This Row],[Fuel Consumption (mmBtu)]]*10^3</f>
        <v>1429452264194.834</v>
      </c>
      <c r="R214" s="2">
        <f>(Table1[[#This Row],[CO2 Emissions (g CO2)]])/(Table1[[#This Row],[Generation (TWh)]]*10^9)</f>
        <v>1618.8440695835529</v>
      </c>
    </row>
    <row r="215" spans="1:18" hidden="1">
      <c r="A215" t="s">
        <v>161</v>
      </c>
      <c r="B215" t="s">
        <v>61</v>
      </c>
      <c r="C215" t="str">
        <f>SUBSTITUTE(Table1[[#This Row],[Fuel]],", ",",")</f>
        <v>bioenergy: paper mill wastes</v>
      </c>
      <c r="D215" t="s">
        <v>61</v>
      </c>
      <c r="G215">
        <v>140</v>
      </c>
      <c r="H215" t="s">
        <v>27</v>
      </c>
      <c r="I215">
        <v>2021</v>
      </c>
      <c r="J215" t="s">
        <v>21</v>
      </c>
      <c r="K215">
        <v>-22.541399999999999</v>
      </c>
      <c r="L215">
        <v>-48.814999999999998</v>
      </c>
      <c r="M215" t="s">
        <v>49</v>
      </c>
      <c r="N215" s="2">
        <f>Table1[[#This Row],[Capacity (MW)]]*8760*0.72*10^-6</f>
        <v>0.88300800000000002</v>
      </c>
      <c r="O215" s="2" cm="1">
        <f t="array" ref="O215">AVERAGE(VLOOKUP(_xlfn.TEXTSPLIT(Table1[[#This Row],[Fuel (no space after comma)]], ","), FuelList_Final_EF!$A$2:$B$32, 2, FALSE))</f>
        <v>100.47443331576173</v>
      </c>
      <c r="P215" s="2">
        <f>(16112*Table1[[#This Row],[Generation (TWh)]]*10^9)/10^6</f>
        <v>14227024.896</v>
      </c>
      <c r="Q215" s="2">
        <f>Table1[[#This Row],[Emission Factor (kg CO2/ mmBtu)]]*Table1[[#This Row],[Fuel Consumption (mmBtu)]]*10^3</f>
        <v>1429452264194.834</v>
      </c>
      <c r="R215" s="2">
        <f>(Table1[[#This Row],[CO2 Emissions (g CO2)]])/(Table1[[#This Row],[Generation (TWh)]]*10^9)</f>
        <v>1618.8440695835529</v>
      </c>
    </row>
    <row r="216" spans="1:18" hidden="1">
      <c r="A216" t="s">
        <v>161</v>
      </c>
      <c r="B216" t="s">
        <v>61</v>
      </c>
      <c r="C216" t="str">
        <f>SUBSTITUTE(Table1[[#This Row],[Fuel]],", ",",")</f>
        <v>bioenergy: paper mill wastes</v>
      </c>
      <c r="D216" t="s">
        <v>61</v>
      </c>
      <c r="G216">
        <v>140</v>
      </c>
      <c r="H216" t="s">
        <v>27</v>
      </c>
      <c r="I216">
        <v>2021</v>
      </c>
      <c r="J216" t="s">
        <v>21</v>
      </c>
      <c r="K216">
        <v>-22.541399999999999</v>
      </c>
      <c r="L216">
        <v>-48.814999999999998</v>
      </c>
      <c r="M216" t="s">
        <v>49</v>
      </c>
      <c r="N216" s="2">
        <f>Table1[[#This Row],[Capacity (MW)]]*8760*0.72*10^-6</f>
        <v>0.88300800000000002</v>
      </c>
      <c r="O216" s="2" cm="1">
        <f t="array" ref="O216">AVERAGE(VLOOKUP(_xlfn.TEXTSPLIT(Table1[[#This Row],[Fuel (no space after comma)]], ","), FuelList_Final_EF!$A$2:$B$32, 2, FALSE))</f>
        <v>100.47443331576173</v>
      </c>
      <c r="P216" s="2">
        <f>(16112*Table1[[#This Row],[Generation (TWh)]]*10^9)/10^6</f>
        <v>14227024.896</v>
      </c>
      <c r="Q216" s="2">
        <f>Table1[[#This Row],[Emission Factor (kg CO2/ mmBtu)]]*Table1[[#This Row],[Fuel Consumption (mmBtu)]]*10^3</f>
        <v>1429452264194.834</v>
      </c>
      <c r="R216" s="2">
        <f>(Table1[[#This Row],[CO2 Emissions (g CO2)]])/(Table1[[#This Row],[Generation (TWh)]]*10^9)</f>
        <v>1618.8440695835529</v>
      </c>
    </row>
    <row r="217" spans="1:18" hidden="1">
      <c r="A217" t="s">
        <v>38</v>
      </c>
      <c r="B217" t="s">
        <v>19</v>
      </c>
      <c r="C217" t="str">
        <f>SUBSTITUTE(Table1[[#This Row],[Fuel]],", ",",")</f>
        <v>bioenergy: refuse (municipal and industrial wastes)</v>
      </c>
      <c r="D217" t="s">
        <v>19</v>
      </c>
      <c r="G217">
        <v>85</v>
      </c>
      <c r="H217" t="s">
        <v>27</v>
      </c>
      <c r="I217">
        <v>1998</v>
      </c>
      <c r="J217" t="s">
        <v>21</v>
      </c>
      <c r="K217">
        <v>45.511499999999998</v>
      </c>
      <c r="L217">
        <v>10.209899999999999</v>
      </c>
      <c r="M217" t="s">
        <v>37</v>
      </c>
      <c r="N217" s="2">
        <f>Table1[[#This Row],[Capacity (MW)]]*8760*0.72*10^-6</f>
        <v>0.53611199999999992</v>
      </c>
      <c r="O217" s="2" cm="1">
        <f t="array" ref="O217">AVERAGE(VLOOKUP(_xlfn.TEXTSPLIT(Table1[[#This Row],[Fuel (no space after comma)]], ","), FuelList_Final_EF!$A$2:$B$32, 2, FALSE))</f>
        <v>105.42962572482868</v>
      </c>
      <c r="P217" s="2">
        <f>(16112*Table1[[#This Row],[Generation (TWh)]]*10^9)/10^6</f>
        <v>8637836.5439999979</v>
      </c>
      <c r="Q217" s="2">
        <f>Table1[[#This Row],[Emission Factor (kg CO2/ mmBtu)]]*Table1[[#This Row],[Fuel Consumption (mmBtu)]]*10^3</f>
        <v>910683873906.16748</v>
      </c>
      <c r="R217" s="2">
        <f>(Table1[[#This Row],[CO2 Emissions (g CO2)]])/(Table1[[#This Row],[Generation (TWh)]]*10^9)</f>
        <v>1698.6821296784397</v>
      </c>
    </row>
    <row r="218" spans="1:18" hidden="1">
      <c r="A218" t="s">
        <v>230</v>
      </c>
      <c r="B218" t="s">
        <v>231</v>
      </c>
      <c r="C218" t="str">
        <f>SUBSTITUTE(Table1[[#This Row],[Fuel]],", ",",")</f>
        <v>bioenergy: paper mill wastes,fossil gas: natural gas</v>
      </c>
      <c r="D218" t="s">
        <v>61</v>
      </c>
      <c r="E218" t="s">
        <v>69</v>
      </c>
      <c r="G218">
        <v>75</v>
      </c>
      <c r="H218" t="s">
        <v>27</v>
      </c>
      <c r="I218">
        <v>2017</v>
      </c>
      <c r="J218" t="s">
        <v>21</v>
      </c>
      <c r="K218">
        <v>31.077000000000002</v>
      </c>
      <c r="L218">
        <v>-87.111599999999996</v>
      </c>
      <c r="M218" t="s">
        <v>62</v>
      </c>
      <c r="N218" s="2">
        <f>Table1[[#This Row],[Capacity (MW)]]*8760*0.72*10^-6</f>
        <v>0.47303999999999996</v>
      </c>
      <c r="O218" s="2" cm="1">
        <f t="array" ref="O218">AVERAGE(VLOOKUP(_xlfn.TEXTSPLIT(Table1[[#This Row],[Fuel (no space after comma)]], ","), FuelList_Final_EF!$A$2:$B$32, 2, FALSE))</f>
        <v>76.767216657880866</v>
      </c>
      <c r="P218" s="2">
        <f>(16112*Table1[[#This Row],[Generation (TWh)]]*10^9)/10^6</f>
        <v>7621620.4800000004</v>
      </c>
      <c r="Q218" s="2">
        <f>Table1[[#This Row],[Emission Factor (kg CO2/ mmBtu)]]*Table1[[#This Row],[Fuel Consumption (mmBtu)]]*10^3</f>
        <v>585090590672.302</v>
      </c>
      <c r="R218" s="2">
        <f>(Table1[[#This Row],[CO2 Emissions (g CO2)]])/(Table1[[#This Row],[Generation (TWh)]]*10^9)</f>
        <v>1236.8733947917767</v>
      </c>
    </row>
    <row r="219" spans="1:18" hidden="1">
      <c r="A219" t="s">
        <v>232</v>
      </c>
      <c r="B219" t="s">
        <v>210</v>
      </c>
      <c r="C219" t="str">
        <f>SUBSTITUTE(Table1[[#This Row],[Fuel]],", ",",")</f>
        <v>bioenergy: wood &amp; other biomass (solids),bioenergy: agricultural waste (solids)</v>
      </c>
      <c r="D219" t="s">
        <v>25</v>
      </c>
      <c r="E219" t="s">
        <v>46</v>
      </c>
      <c r="G219">
        <v>40</v>
      </c>
      <c r="H219" t="s">
        <v>27</v>
      </c>
      <c r="I219">
        <v>2016</v>
      </c>
      <c r="J219" t="s">
        <v>21</v>
      </c>
      <c r="K219">
        <v>53.542299999999997</v>
      </c>
      <c r="L219">
        <v>-0.50919999999999999</v>
      </c>
      <c r="M219" t="s">
        <v>22</v>
      </c>
      <c r="N219" s="2">
        <f>Table1[[#This Row],[Capacity (MW)]]*8760*0.72*10^-6</f>
        <v>0.25228800000000001</v>
      </c>
      <c r="O219" s="2" cm="1">
        <f t="array" ref="O219">AVERAGE(VLOOKUP(_xlfn.TEXTSPLIT(Table1[[#This Row],[Fuel (no space after comma)]], ","), FuelList_Final_EF!$A$2:$B$32, 2, FALSE))</f>
        <v>105.985</v>
      </c>
      <c r="P219" s="2">
        <f>(16112*Table1[[#This Row],[Generation (TWh)]]*10^9)/10^6</f>
        <v>4064864.2560000005</v>
      </c>
      <c r="Q219" s="2">
        <f>Table1[[#This Row],[Emission Factor (kg CO2/ mmBtu)]]*Table1[[#This Row],[Fuel Consumption (mmBtu)]]*10^3</f>
        <v>430814638172.16003</v>
      </c>
      <c r="R219" s="2">
        <f>(Table1[[#This Row],[CO2 Emissions (g CO2)]])/(Table1[[#This Row],[Generation (TWh)]]*10^9)</f>
        <v>1707.6303200000002</v>
      </c>
    </row>
    <row r="220" spans="1:18" hidden="1">
      <c r="A220" t="s">
        <v>233</v>
      </c>
      <c r="B220" t="s">
        <v>25</v>
      </c>
      <c r="C220" t="str">
        <f>SUBSTITUTE(Table1[[#This Row],[Fuel]],", ",",")</f>
        <v>bioenergy: wood &amp; other biomass (solids)</v>
      </c>
      <c r="D220" t="s">
        <v>25</v>
      </c>
      <c r="G220">
        <v>46</v>
      </c>
      <c r="H220" t="s">
        <v>27</v>
      </c>
      <c r="I220">
        <v>1997</v>
      </c>
      <c r="J220" t="s">
        <v>21</v>
      </c>
      <c r="K220">
        <v>59.609499999999997</v>
      </c>
      <c r="L220">
        <v>17.8629</v>
      </c>
      <c r="M220" t="s">
        <v>34</v>
      </c>
      <c r="N220" s="2">
        <f>Table1[[#This Row],[Capacity (MW)]]*8760*0.72*10^-6</f>
        <v>0.29013119999999998</v>
      </c>
      <c r="O220" s="2" cm="1">
        <f t="array" ref="O220">AVERAGE(VLOOKUP(_xlfn.TEXTSPLIT(Table1[[#This Row],[Fuel (no space after comma)]], ","), FuelList_Final_EF!$A$2:$B$32, 2, FALSE))</f>
        <v>93.8</v>
      </c>
      <c r="P220" s="2">
        <f>(16112*Table1[[#This Row],[Generation (TWh)]]*10^9)/10^6</f>
        <v>4674593.8943999996</v>
      </c>
      <c r="Q220" s="2">
        <f>Table1[[#This Row],[Emission Factor (kg CO2/ mmBtu)]]*Table1[[#This Row],[Fuel Consumption (mmBtu)]]*10^3</f>
        <v>438476907294.71991</v>
      </c>
      <c r="R220" s="2">
        <f>(Table1[[#This Row],[CO2 Emissions (g CO2)]])/(Table1[[#This Row],[Generation (TWh)]]*10^9)</f>
        <v>1511.3055999999997</v>
      </c>
    </row>
    <row r="221" spans="1:18" hidden="1">
      <c r="A221" t="s">
        <v>234</v>
      </c>
      <c r="B221" t="s">
        <v>105</v>
      </c>
      <c r="C221" t="str">
        <f>SUBSTITUTE(Table1[[#This Row],[Fuel]],", ",",")</f>
        <v>bioenergy: agricultural waste (solids),bioenergy: wood &amp; other biomass (solids)</v>
      </c>
      <c r="D221" t="s">
        <v>46</v>
      </c>
      <c r="E221" t="s">
        <v>25</v>
      </c>
      <c r="G221">
        <v>38</v>
      </c>
      <c r="H221" t="s">
        <v>27</v>
      </c>
      <c r="I221">
        <v>2007</v>
      </c>
      <c r="J221" t="s">
        <v>21</v>
      </c>
      <c r="K221">
        <v>-29.017499999999998</v>
      </c>
      <c r="L221">
        <v>153.44499999999999</v>
      </c>
      <c r="M221" t="s">
        <v>235</v>
      </c>
      <c r="N221" s="2">
        <f>Table1[[#This Row],[Capacity (MW)]]*8760*0.72*10^-6</f>
        <v>0.23967359999999996</v>
      </c>
      <c r="O221" s="2" cm="1">
        <f t="array" ref="O221">AVERAGE(VLOOKUP(_xlfn.TEXTSPLIT(Table1[[#This Row],[Fuel (no space after comma)]], ","), FuelList_Final_EF!$A$2:$B$32, 2, FALSE))</f>
        <v>105.985</v>
      </c>
      <c r="P221" s="2">
        <f>(16112*Table1[[#This Row],[Generation (TWh)]]*10^9)/10^6</f>
        <v>3861621.0431999997</v>
      </c>
      <c r="Q221" s="2">
        <f>Table1[[#This Row],[Emission Factor (kg CO2/ mmBtu)]]*Table1[[#This Row],[Fuel Consumption (mmBtu)]]*10^3</f>
        <v>409273906263.55194</v>
      </c>
      <c r="R221" s="2">
        <f>(Table1[[#This Row],[CO2 Emissions (g CO2)]])/(Table1[[#This Row],[Generation (TWh)]]*10^9)</f>
        <v>1707.63032</v>
      </c>
    </row>
    <row r="222" spans="1:18" hidden="1">
      <c r="A222" t="s">
        <v>236</v>
      </c>
      <c r="B222" t="s">
        <v>25</v>
      </c>
      <c r="C222" t="str">
        <f>SUBSTITUTE(Table1[[#This Row],[Fuel]],", ",",")</f>
        <v>bioenergy: wood &amp; other biomass (solids)</v>
      </c>
      <c r="D222" t="s">
        <v>25</v>
      </c>
      <c r="G222">
        <v>30</v>
      </c>
      <c r="H222" t="s">
        <v>27</v>
      </c>
      <c r="I222">
        <v>1995</v>
      </c>
      <c r="J222" t="s">
        <v>21</v>
      </c>
      <c r="K222">
        <v>44.058199999999999</v>
      </c>
      <c r="L222">
        <v>-64.692700000000002</v>
      </c>
      <c r="M222" t="s">
        <v>79</v>
      </c>
      <c r="N222" s="2">
        <f>Table1[[#This Row],[Capacity (MW)]]*8760*0.72*10^-6</f>
        <v>0.189216</v>
      </c>
      <c r="O222" s="2" cm="1">
        <f t="array" ref="O222">AVERAGE(VLOOKUP(_xlfn.TEXTSPLIT(Table1[[#This Row],[Fuel (no space after comma)]], ","), FuelList_Final_EF!$A$2:$B$32, 2, FALSE))</f>
        <v>93.8</v>
      </c>
      <c r="P222" s="2">
        <f>(16112*Table1[[#This Row],[Generation (TWh)]]*10^9)/10^6</f>
        <v>3048648.1919999998</v>
      </c>
      <c r="Q222" s="2">
        <f>Table1[[#This Row],[Emission Factor (kg CO2/ mmBtu)]]*Table1[[#This Row],[Fuel Consumption (mmBtu)]]*10^3</f>
        <v>285963200409.59998</v>
      </c>
      <c r="R222" s="2">
        <f>(Table1[[#This Row],[CO2 Emissions (g CO2)]])/(Table1[[#This Row],[Generation (TWh)]]*10^9)</f>
        <v>1511.3055999999999</v>
      </c>
    </row>
    <row r="223" spans="1:18" hidden="1">
      <c r="A223" t="s">
        <v>237</v>
      </c>
      <c r="B223" t="s">
        <v>46</v>
      </c>
      <c r="C223" t="str">
        <f>SUBSTITUTE(Table1[[#This Row],[Fuel]],", ",",")</f>
        <v>bioenergy: agricultural waste (solids)</v>
      </c>
      <c r="D223" t="s">
        <v>46</v>
      </c>
      <c r="G223">
        <v>35</v>
      </c>
      <c r="H223" t="s">
        <v>27</v>
      </c>
      <c r="I223">
        <v>2016</v>
      </c>
      <c r="J223" t="s">
        <v>21</v>
      </c>
      <c r="K223">
        <v>-22.3504</v>
      </c>
      <c r="L223">
        <v>-48.106000000000002</v>
      </c>
      <c r="M223" t="s">
        <v>49</v>
      </c>
      <c r="N223" s="2">
        <f>Table1[[#This Row],[Capacity (MW)]]*8760*0.72*10^-6</f>
        <v>0.220752</v>
      </c>
      <c r="O223" s="2" cm="1">
        <f t="array" ref="O223">AVERAGE(VLOOKUP(_xlfn.TEXTSPLIT(Table1[[#This Row],[Fuel (no space after comma)]], ","), FuelList_Final_EF!$A$2:$B$32, 2, FALSE))</f>
        <v>118.17</v>
      </c>
      <c r="P223" s="2">
        <f>(16112*Table1[[#This Row],[Generation (TWh)]]*10^9)/10^6</f>
        <v>3556756.2239999999</v>
      </c>
      <c r="Q223" s="2">
        <f>Table1[[#This Row],[Emission Factor (kg CO2/ mmBtu)]]*Table1[[#This Row],[Fuel Consumption (mmBtu)]]*10^3</f>
        <v>420301882990.08002</v>
      </c>
      <c r="R223" s="2">
        <f>(Table1[[#This Row],[CO2 Emissions (g CO2)]])/(Table1[[#This Row],[Generation (TWh)]]*10^9)</f>
        <v>1903.9550400000001</v>
      </c>
    </row>
    <row r="224" spans="1:18" hidden="1">
      <c r="A224" t="s">
        <v>237</v>
      </c>
      <c r="B224" t="s">
        <v>46</v>
      </c>
      <c r="C224" t="str">
        <f>SUBSTITUTE(Table1[[#This Row],[Fuel]],", ",",")</f>
        <v>bioenergy: agricultural waste (solids)</v>
      </c>
      <c r="D224" t="s">
        <v>46</v>
      </c>
      <c r="G224">
        <v>35</v>
      </c>
      <c r="H224" t="s">
        <v>27</v>
      </c>
      <c r="I224">
        <v>2013</v>
      </c>
      <c r="J224" t="s">
        <v>21</v>
      </c>
      <c r="K224">
        <v>-22.3504</v>
      </c>
      <c r="L224">
        <v>-48.106000000000002</v>
      </c>
      <c r="M224" t="s">
        <v>49</v>
      </c>
      <c r="N224" s="2">
        <f>Table1[[#This Row],[Capacity (MW)]]*8760*0.72*10^-6</f>
        <v>0.220752</v>
      </c>
      <c r="O224" s="2" cm="1">
        <f t="array" ref="O224">AVERAGE(VLOOKUP(_xlfn.TEXTSPLIT(Table1[[#This Row],[Fuel (no space after comma)]], ","), FuelList_Final_EF!$A$2:$B$32, 2, FALSE))</f>
        <v>118.17</v>
      </c>
      <c r="P224" s="2">
        <f>(16112*Table1[[#This Row],[Generation (TWh)]]*10^9)/10^6</f>
        <v>3556756.2239999999</v>
      </c>
      <c r="Q224" s="2">
        <f>Table1[[#This Row],[Emission Factor (kg CO2/ mmBtu)]]*Table1[[#This Row],[Fuel Consumption (mmBtu)]]*10^3</f>
        <v>420301882990.08002</v>
      </c>
      <c r="R224" s="2">
        <f>(Table1[[#This Row],[CO2 Emissions (g CO2)]])/(Table1[[#This Row],[Generation (TWh)]]*10^9)</f>
        <v>1903.9550400000001</v>
      </c>
    </row>
    <row r="225" spans="1:18" hidden="1">
      <c r="A225" t="s">
        <v>230</v>
      </c>
      <c r="B225" t="s">
        <v>145</v>
      </c>
      <c r="C225" t="str">
        <f>SUBSTITUTE(Table1[[#This Row],[Fuel]],", ",",")</f>
        <v>bioenergy: paper mill wastes,bioenergy: wood &amp; other biomass (solids),fossil gas: natural gas</v>
      </c>
      <c r="D225" t="s">
        <v>61</v>
      </c>
      <c r="E225" t="s">
        <v>25</v>
      </c>
      <c r="F225" t="s">
        <v>69</v>
      </c>
      <c r="G225">
        <v>50</v>
      </c>
      <c r="H225" t="s">
        <v>27</v>
      </c>
      <c r="I225">
        <v>1960</v>
      </c>
      <c r="J225" t="s">
        <v>21</v>
      </c>
      <c r="K225">
        <v>31.1754</v>
      </c>
      <c r="L225">
        <v>-81.521600000000007</v>
      </c>
      <c r="M225" t="s">
        <v>62</v>
      </c>
      <c r="N225" s="2">
        <f>Table1[[#This Row],[Capacity (MW)]]*8760*0.72*10^-6</f>
        <v>0.31535999999999997</v>
      </c>
      <c r="O225" s="2" cm="1">
        <f t="array" ref="O225">AVERAGE(VLOOKUP(_xlfn.TEXTSPLIT(Table1[[#This Row],[Fuel (no space after comma)]], ","), FuelList_Final_EF!$A$2:$B$32, 2, FALSE))</f>
        <v>82.444811105253905</v>
      </c>
      <c r="P225" s="2">
        <f>(16112*Table1[[#This Row],[Generation (TWh)]]*10^9)/10^6</f>
        <v>5081080.32</v>
      </c>
      <c r="Q225" s="2">
        <f>Table1[[#This Row],[Emission Factor (kg CO2/ mmBtu)]]*Table1[[#This Row],[Fuel Consumption (mmBtu)]]*10^3</f>
        <v>418908707193.02307</v>
      </c>
      <c r="R225" s="2">
        <f>(Table1[[#This Row],[CO2 Emissions (g CO2)]])/(Table1[[#This Row],[Generation (TWh)]]*10^9)</f>
        <v>1328.3507965278509</v>
      </c>
    </row>
    <row r="226" spans="1:18" hidden="1">
      <c r="A226" t="s">
        <v>238</v>
      </c>
      <c r="B226" t="s">
        <v>46</v>
      </c>
      <c r="C226" t="str">
        <f>SUBSTITUTE(Table1[[#This Row],[Fuel]],", ",",")</f>
        <v>bioenergy: agricultural waste (solids)</v>
      </c>
      <c r="D226" t="s">
        <v>46</v>
      </c>
      <c r="G226">
        <v>41</v>
      </c>
      <c r="H226" t="s">
        <v>27</v>
      </c>
      <c r="I226">
        <v>2015</v>
      </c>
      <c r="J226" t="s">
        <v>21</v>
      </c>
      <c r="K226">
        <v>31.130299999999998</v>
      </c>
      <c r="L226">
        <v>74.358500000000006</v>
      </c>
      <c r="M226" t="s">
        <v>160</v>
      </c>
      <c r="N226" s="2">
        <f>Table1[[#This Row],[Capacity (MW)]]*8760*0.72*10^-6</f>
        <v>0.25859519999999997</v>
      </c>
      <c r="O226" s="2" cm="1">
        <f t="array" ref="O226">AVERAGE(VLOOKUP(_xlfn.TEXTSPLIT(Table1[[#This Row],[Fuel (no space after comma)]], ","), FuelList_Final_EF!$A$2:$B$32, 2, FALSE))</f>
        <v>118.17</v>
      </c>
      <c r="P226" s="2">
        <f>(16112*Table1[[#This Row],[Generation (TWh)]]*10^9)/10^6</f>
        <v>4166485.8624</v>
      </c>
      <c r="Q226" s="2">
        <f>Table1[[#This Row],[Emission Factor (kg CO2/ mmBtu)]]*Table1[[#This Row],[Fuel Consumption (mmBtu)]]*10^3</f>
        <v>492353634359.80804</v>
      </c>
      <c r="R226" s="2">
        <f>(Table1[[#This Row],[CO2 Emissions (g CO2)]])/(Table1[[#This Row],[Generation (TWh)]]*10^9)</f>
        <v>1903.9550400000003</v>
      </c>
    </row>
    <row r="227" spans="1:18" hidden="1">
      <c r="A227" t="s">
        <v>239</v>
      </c>
      <c r="B227" t="s">
        <v>25</v>
      </c>
      <c r="C227" t="str">
        <f>SUBSTITUTE(Table1[[#This Row],[Fuel]],", ",",")</f>
        <v>bioenergy: wood &amp; other biomass (solids)</v>
      </c>
      <c r="D227" t="s">
        <v>25</v>
      </c>
      <c r="G227">
        <v>75</v>
      </c>
      <c r="H227" t="s">
        <v>27</v>
      </c>
      <c r="I227">
        <v>2013</v>
      </c>
      <c r="J227" t="s">
        <v>21</v>
      </c>
      <c r="K227">
        <v>44.471899999999998</v>
      </c>
      <c r="L227">
        <v>-71.175299999999993</v>
      </c>
      <c r="M227" t="s">
        <v>62</v>
      </c>
      <c r="N227" s="2">
        <f>Table1[[#This Row],[Capacity (MW)]]*8760*0.72*10^-6</f>
        <v>0.47303999999999996</v>
      </c>
      <c r="O227" s="2" cm="1">
        <f t="array" ref="O227">AVERAGE(VLOOKUP(_xlfn.TEXTSPLIT(Table1[[#This Row],[Fuel (no space after comma)]], ","), FuelList_Final_EF!$A$2:$B$32, 2, FALSE))</f>
        <v>93.8</v>
      </c>
      <c r="P227" s="2">
        <f>(16112*Table1[[#This Row],[Generation (TWh)]]*10^9)/10^6</f>
        <v>7621620.4800000004</v>
      </c>
      <c r="Q227" s="2">
        <f>Table1[[#This Row],[Emission Factor (kg CO2/ mmBtu)]]*Table1[[#This Row],[Fuel Consumption (mmBtu)]]*10^3</f>
        <v>714908001024</v>
      </c>
      <c r="R227" s="2">
        <f>(Table1[[#This Row],[CO2 Emissions (g CO2)]])/(Table1[[#This Row],[Generation (TWh)]]*10^9)</f>
        <v>1511.3056000000001</v>
      </c>
    </row>
    <row r="228" spans="1:18">
      <c r="A228" t="s">
        <v>240</v>
      </c>
      <c r="B228" t="s">
        <v>60</v>
      </c>
      <c r="C228" t="str">
        <f>SUBSTITUTE(Table1[[#This Row],[Fuel]],", ",",")</f>
        <v>bioenergy: paper mill wastes,bioenergy: wood &amp; other biomass (solids)</v>
      </c>
      <c r="D228" t="s">
        <v>61</v>
      </c>
      <c r="E228" t="s">
        <v>25</v>
      </c>
      <c r="G228">
        <v>35</v>
      </c>
      <c r="H228" t="s">
        <v>27</v>
      </c>
      <c r="I228" t="s">
        <v>21</v>
      </c>
      <c r="J228" t="s">
        <v>21</v>
      </c>
      <c r="K228">
        <v>49.5505</v>
      </c>
      <c r="L228">
        <v>5.5041000000000002</v>
      </c>
      <c r="M228" t="s">
        <v>241</v>
      </c>
      <c r="N228" s="2">
        <f>Table1[[#This Row],[Capacity (MW)]]*8760*0.72*10^-6</f>
        <v>0.220752</v>
      </c>
      <c r="O228" s="2" cm="1">
        <f t="array" ref="O228">AVERAGE(VLOOKUP(_xlfn.TEXTSPLIT(Table1[[#This Row],[Fuel (no space after comma)]], ","), FuelList_Final_EF!$A$2:$B$32, 2, FALSE))</f>
        <v>97.137216657880856</v>
      </c>
      <c r="P228" s="2">
        <f>(16112*Table1[[#This Row],[Generation (TWh)]]*10^9)/10^6</f>
        <v>3556756.2239999999</v>
      </c>
      <c r="Q228" s="2">
        <f>Table1[[#This Row],[Emission Factor (kg CO2/ mmBtu)]]*Table1[[#This Row],[Fuel Consumption (mmBtu)]]*10^3</f>
        <v>345493399929.95422</v>
      </c>
      <c r="R228" s="2">
        <f>(Table1[[#This Row],[CO2 Emissions (g CO2)]])/(Table1[[#This Row],[Generation (TWh)]]*10^9)</f>
        <v>1565.0748347917763</v>
      </c>
    </row>
    <row r="229" spans="1:18" hidden="1">
      <c r="A229" t="s">
        <v>242</v>
      </c>
      <c r="B229" t="s">
        <v>46</v>
      </c>
      <c r="C229" t="str">
        <f>SUBSTITUTE(Table1[[#This Row],[Fuel]],", ",",")</f>
        <v>bioenergy: agricultural waste (solids)</v>
      </c>
      <c r="D229" t="s">
        <v>46</v>
      </c>
      <c r="G229">
        <v>74</v>
      </c>
      <c r="H229" t="s">
        <v>27</v>
      </c>
      <c r="I229">
        <v>2011</v>
      </c>
      <c r="J229" t="s">
        <v>21</v>
      </c>
      <c r="K229">
        <v>-20.218699999999998</v>
      </c>
      <c r="L229">
        <v>-47.6539</v>
      </c>
      <c r="M229" t="s">
        <v>49</v>
      </c>
      <c r="N229" s="2">
        <f>Table1[[#This Row],[Capacity (MW)]]*8760*0.72*10^-6</f>
        <v>0.46673279999999995</v>
      </c>
      <c r="O229" s="2" cm="1">
        <f t="array" ref="O229">AVERAGE(VLOOKUP(_xlfn.TEXTSPLIT(Table1[[#This Row],[Fuel (no space after comma)]], ","), FuelList_Final_EF!$A$2:$B$32, 2, FALSE))</f>
        <v>118.17</v>
      </c>
      <c r="P229" s="2">
        <f>(16112*Table1[[#This Row],[Generation (TWh)]]*10^9)/10^6</f>
        <v>7519998.8735999996</v>
      </c>
      <c r="Q229" s="2">
        <f>Table1[[#This Row],[Emission Factor (kg CO2/ mmBtu)]]*Table1[[#This Row],[Fuel Consumption (mmBtu)]]*10^3</f>
        <v>888638266893.31201</v>
      </c>
      <c r="R229" s="2">
        <f>(Table1[[#This Row],[CO2 Emissions (g CO2)]])/(Table1[[#This Row],[Generation (TWh)]]*10^9)</f>
        <v>1903.9550400000003</v>
      </c>
    </row>
    <row r="230" spans="1:18" hidden="1">
      <c r="A230" t="s">
        <v>243</v>
      </c>
      <c r="B230" t="s">
        <v>25</v>
      </c>
      <c r="C230" t="str">
        <f>SUBSTITUTE(Table1[[#This Row],[Fuel]],", ",",")</f>
        <v>bioenergy: wood &amp; other biomass (solids)</v>
      </c>
      <c r="D230" t="s">
        <v>25</v>
      </c>
      <c r="G230">
        <v>75</v>
      </c>
      <c r="H230" t="s">
        <v>27</v>
      </c>
      <c r="I230">
        <v>2020</v>
      </c>
      <c r="J230" t="s">
        <v>21</v>
      </c>
      <c r="K230">
        <v>33.624200000000002</v>
      </c>
      <c r="L230">
        <v>131.12219999999999</v>
      </c>
      <c r="M230" t="s">
        <v>51</v>
      </c>
      <c r="N230" s="2">
        <f>Table1[[#This Row],[Capacity (MW)]]*8760*0.72*10^-6</f>
        <v>0.47303999999999996</v>
      </c>
      <c r="O230" s="2" cm="1">
        <f t="array" ref="O230">AVERAGE(VLOOKUP(_xlfn.TEXTSPLIT(Table1[[#This Row],[Fuel (no space after comma)]], ","), FuelList_Final_EF!$A$2:$B$32, 2, FALSE))</f>
        <v>93.8</v>
      </c>
      <c r="P230" s="2">
        <f>(16112*Table1[[#This Row],[Generation (TWh)]]*10^9)/10^6</f>
        <v>7621620.4800000004</v>
      </c>
      <c r="Q230" s="2">
        <f>Table1[[#This Row],[Emission Factor (kg CO2/ mmBtu)]]*Table1[[#This Row],[Fuel Consumption (mmBtu)]]*10^3</f>
        <v>714908001024</v>
      </c>
      <c r="R230" s="2">
        <f>(Table1[[#This Row],[CO2 Emissions (g CO2)]])/(Table1[[#This Row],[Generation (TWh)]]*10^9)</f>
        <v>1511.3056000000001</v>
      </c>
    </row>
    <row r="231" spans="1:18" hidden="1">
      <c r="A231" t="s">
        <v>244</v>
      </c>
      <c r="B231" t="s">
        <v>46</v>
      </c>
      <c r="C231" t="str">
        <f>SUBSTITUTE(Table1[[#This Row],[Fuel]],", ",",")</f>
        <v>bioenergy: agricultural waste (solids)</v>
      </c>
      <c r="D231" t="s">
        <v>46</v>
      </c>
      <c r="G231">
        <v>30</v>
      </c>
      <c r="H231" t="s">
        <v>27</v>
      </c>
      <c r="I231">
        <v>2018</v>
      </c>
      <c r="J231" t="s">
        <v>21</v>
      </c>
      <c r="K231">
        <v>-21.0991</v>
      </c>
      <c r="L231">
        <v>-51.408200000000001</v>
      </c>
      <c r="M231" t="s">
        <v>49</v>
      </c>
      <c r="N231" s="2">
        <f>Table1[[#This Row],[Capacity (MW)]]*8760*0.72*10^-6</f>
        <v>0.189216</v>
      </c>
      <c r="O231" s="2" cm="1">
        <f t="array" ref="O231">AVERAGE(VLOOKUP(_xlfn.TEXTSPLIT(Table1[[#This Row],[Fuel (no space after comma)]], ","), FuelList_Final_EF!$A$2:$B$32, 2, FALSE))</f>
        <v>118.17</v>
      </c>
      <c r="P231" s="2">
        <f>(16112*Table1[[#This Row],[Generation (TWh)]]*10^9)/10^6</f>
        <v>3048648.1919999998</v>
      </c>
      <c r="Q231" s="2">
        <f>Table1[[#This Row],[Emission Factor (kg CO2/ mmBtu)]]*Table1[[#This Row],[Fuel Consumption (mmBtu)]]*10^3</f>
        <v>360258756848.63995</v>
      </c>
      <c r="R231" s="2">
        <f>(Table1[[#This Row],[CO2 Emissions (g CO2)]])/(Table1[[#This Row],[Generation (TWh)]]*10^9)</f>
        <v>1903.9550399999998</v>
      </c>
    </row>
    <row r="232" spans="1:18" hidden="1">
      <c r="A232" t="s">
        <v>245</v>
      </c>
      <c r="B232" t="s">
        <v>46</v>
      </c>
      <c r="C232" t="str">
        <f>SUBSTITUTE(Table1[[#This Row],[Fuel]],", ",",")</f>
        <v>bioenergy: agricultural waste (solids)</v>
      </c>
      <c r="D232" t="s">
        <v>46</v>
      </c>
      <c r="G232">
        <v>114</v>
      </c>
      <c r="H232" t="s">
        <v>27</v>
      </c>
      <c r="I232">
        <v>2010</v>
      </c>
      <c r="J232" t="s">
        <v>21</v>
      </c>
      <c r="K232">
        <v>-22.610499999999998</v>
      </c>
      <c r="L232">
        <v>-54.684800000000003</v>
      </c>
      <c r="M232" t="s">
        <v>49</v>
      </c>
      <c r="N232" s="2">
        <f>Table1[[#This Row],[Capacity (MW)]]*8760*0.72*10^-6</f>
        <v>0.7190207999999999</v>
      </c>
      <c r="O232" s="2" cm="1">
        <f t="array" ref="O232">AVERAGE(VLOOKUP(_xlfn.TEXTSPLIT(Table1[[#This Row],[Fuel (no space after comma)]], ","), FuelList_Final_EF!$A$2:$B$32, 2, FALSE))</f>
        <v>118.17</v>
      </c>
      <c r="P232" s="2">
        <f>(16112*Table1[[#This Row],[Generation (TWh)]]*10^9)/10^6</f>
        <v>11584863.129599998</v>
      </c>
      <c r="Q232" s="2">
        <f>Table1[[#This Row],[Emission Factor (kg CO2/ mmBtu)]]*Table1[[#This Row],[Fuel Consumption (mmBtu)]]*10^3</f>
        <v>1368983276024.8318</v>
      </c>
      <c r="R232" s="2">
        <f>(Table1[[#This Row],[CO2 Emissions (g CO2)]])/(Table1[[#This Row],[Generation (TWh)]]*10^9)</f>
        <v>1903.9550400000001</v>
      </c>
    </row>
    <row r="233" spans="1:18" hidden="1">
      <c r="A233" t="s">
        <v>246</v>
      </c>
      <c r="B233" t="s">
        <v>46</v>
      </c>
      <c r="C233" t="str">
        <f>SUBSTITUTE(Table1[[#This Row],[Fuel]],", ",",")</f>
        <v>bioenergy: agricultural waste (solids)</v>
      </c>
      <c r="D233" t="s">
        <v>46</v>
      </c>
      <c r="G233">
        <v>40</v>
      </c>
      <c r="H233" t="s">
        <v>27</v>
      </c>
      <c r="I233">
        <v>2013</v>
      </c>
      <c r="J233" t="s">
        <v>21</v>
      </c>
      <c r="K233">
        <v>-18.494499999999999</v>
      </c>
      <c r="L233">
        <v>-49.644500000000001</v>
      </c>
      <c r="M233" t="s">
        <v>49</v>
      </c>
      <c r="N233" s="2">
        <f>Table1[[#This Row],[Capacity (MW)]]*8760*0.72*10^-6</f>
        <v>0.25228800000000001</v>
      </c>
      <c r="O233" s="2" cm="1">
        <f t="array" ref="O233">AVERAGE(VLOOKUP(_xlfn.TEXTSPLIT(Table1[[#This Row],[Fuel (no space after comma)]], ","), FuelList_Final_EF!$A$2:$B$32, 2, FALSE))</f>
        <v>118.17</v>
      </c>
      <c r="P233" s="2">
        <f>(16112*Table1[[#This Row],[Generation (TWh)]]*10^9)/10^6</f>
        <v>4064864.2560000005</v>
      </c>
      <c r="Q233" s="2">
        <f>Table1[[#This Row],[Emission Factor (kg CO2/ mmBtu)]]*Table1[[#This Row],[Fuel Consumption (mmBtu)]]*10^3</f>
        <v>480345009131.52008</v>
      </c>
      <c r="R233" s="2">
        <f>(Table1[[#This Row],[CO2 Emissions (g CO2)]])/(Table1[[#This Row],[Generation (TWh)]]*10^9)</f>
        <v>1903.9550400000003</v>
      </c>
    </row>
    <row r="234" spans="1:18" hidden="1">
      <c r="A234" t="s">
        <v>247</v>
      </c>
      <c r="B234" t="s">
        <v>46</v>
      </c>
      <c r="C234" t="str">
        <f>SUBSTITUTE(Table1[[#This Row],[Fuel]],", ",",")</f>
        <v>bioenergy: agricultural waste (solids)</v>
      </c>
      <c r="D234" t="s">
        <v>46</v>
      </c>
      <c r="G234">
        <v>30</v>
      </c>
      <c r="H234" t="s">
        <v>27</v>
      </c>
      <c r="I234">
        <v>2010</v>
      </c>
      <c r="J234" t="s">
        <v>21</v>
      </c>
      <c r="K234">
        <v>-18.601299999999998</v>
      </c>
      <c r="L234">
        <v>-51.191299999999998</v>
      </c>
      <c r="M234" t="s">
        <v>49</v>
      </c>
      <c r="N234" s="2">
        <f>Table1[[#This Row],[Capacity (MW)]]*8760*0.72*10^-6</f>
        <v>0.189216</v>
      </c>
      <c r="O234" s="2" cm="1">
        <f t="array" ref="O234">AVERAGE(VLOOKUP(_xlfn.TEXTSPLIT(Table1[[#This Row],[Fuel (no space after comma)]], ","), FuelList_Final_EF!$A$2:$B$32, 2, FALSE))</f>
        <v>118.17</v>
      </c>
      <c r="P234" s="2">
        <f>(16112*Table1[[#This Row],[Generation (TWh)]]*10^9)/10^6</f>
        <v>3048648.1919999998</v>
      </c>
      <c r="Q234" s="2">
        <f>Table1[[#This Row],[Emission Factor (kg CO2/ mmBtu)]]*Table1[[#This Row],[Fuel Consumption (mmBtu)]]*10^3</f>
        <v>360258756848.63995</v>
      </c>
      <c r="R234" s="2">
        <f>(Table1[[#This Row],[CO2 Emissions (g CO2)]])/(Table1[[#This Row],[Generation (TWh)]]*10^9)</f>
        <v>1903.9550399999998</v>
      </c>
    </row>
    <row r="235" spans="1:18" hidden="1">
      <c r="A235" t="s">
        <v>247</v>
      </c>
      <c r="B235" t="s">
        <v>46</v>
      </c>
      <c r="C235" t="str">
        <f>SUBSTITUTE(Table1[[#This Row],[Fuel]],", ",",")</f>
        <v>bioenergy: agricultural waste (solids)</v>
      </c>
      <c r="D235" t="s">
        <v>46</v>
      </c>
      <c r="G235">
        <v>50</v>
      </c>
      <c r="H235" t="s">
        <v>27</v>
      </c>
      <c r="I235">
        <v>2010</v>
      </c>
      <c r="J235" t="s">
        <v>21</v>
      </c>
      <c r="K235">
        <v>-18.601299999999998</v>
      </c>
      <c r="L235">
        <v>-51.191299999999998</v>
      </c>
      <c r="M235" t="s">
        <v>49</v>
      </c>
      <c r="N235" s="2">
        <f>Table1[[#This Row],[Capacity (MW)]]*8760*0.72*10^-6</f>
        <v>0.31535999999999997</v>
      </c>
      <c r="O235" s="2" cm="1">
        <f t="array" ref="O235">AVERAGE(VLOOKUP(_xlfn.TEXTSPLIT(Table1[[#This Row],[Fuel (no space after comma)]], ","), FuelList_Final_EF!$A$2:$B$32, 2, FALSE))</f>
        <v>118.17</v>
      </c>
      <c r="P235" s="2">
        <f>(16112*Table1[[#This Row],[Generation (TWh)]]*10^9)/10^6</f>
        <v>5081080.32</v>
      </c>
      <c r="Q235" s="2">
        <f>Table1[[#This Row],[Emission Factor (kg CO2/ mmBtu)]]*Table1[[#This Row],[Fuel Consumption (mmBtu)]]*10^3</f>
        <v>600431261414.40015</v>
      </c>
      <c r="R235" s="2">
        <f>(Table1[[#This Row],[CO2 Emissions (g CO2)]])/(Table1[[#This Row],[Generation (TWh)]]*10^9)</f>
        <v>1903.9550400000005</v>
      </c>
    </row>
    <row r="236" spans="1:18" hidden="1">
      <c r="A236" t="s">
        <v>247</v>
      </c>
      <c r="B236" t="s">
        <v>46</v>
      </c>
      <c r="C236" t="str">
        <f>SUBSTITUTE(Table1[[#This Row],[Fuel]],", ",",")</f>
        <v>bioenergy: agricultural waste (solids)</v>
      </c>
      <c r="D236" t="s">
        <v>46</v>
      </c>
      <c r="G236">
        <v>50</v>
      </c>
      <c r="H236" t="s">
        <v>27</v>
      </c>
      <c r="I236">
        <v>2010</v>
      </c>
      <c r="J236" t="s">
        <v>21</v>
      </c>
      <c r="K236">
        <v>-18.601299999999998</v>
      </c>
      <c r="L236">
        <v>-51.191299999999998</v>
      </c>
      <c r="M236" t="s">
        <v>49</v>
      </c>
      <c r="N236" s="2">
        <f>Table1[[#This Row],[Capacity (MW)]]*8760*0.72*10^-6</f>
        <v>0.31535999999999997</v>
      </c>
      <c r="O236" s="2" cm="1">
        <f t="array" ref="O236">AVERAGE(VLOOKUP(_xlfn.TEXTSPLIT(Table1[[#This Row],[Fuel (no space after comma)]], ","), FuelList_Final_EF!$A$2:$B$32, 2, FALSE))</f>
        <v>118.17</v>
      </c>
      <c r="P236" s="2">
        <f>(16112*Table1[[#This Row],[Generation (TWh)]]*10^9)/10^6</f>
        <v>5081080.32</v>
      </c>
      <c r="Q236" s="2">
        <f>Table1[[#This Row],[Emission Factor (kg CO2/ mmBtu)]]*Table1[[#This Row],[Fuel Consumption (mmBtu)]]*10^3</f>
        <v>600431261414.40015</v>
      </c>
      <c r="R236" s="2">
        <f>(Table1[[#This Row],[CO2 Emissions (g CO2)]])/(Table1[[#This Row],[Generation (TWh)]]*10^9)</f>
        <v>1903.9550400000005</v>
      </c>
    </row>
    <row r="237" spans="1:18" hidden="1">
      <c r="A237" t="s">
        <v>248</v>
      </c>
      <c r="B237" t="s">
        <v>25</v>
      </c>
      <c r="C237" t="str">
        <f>SUBSTITUTE(Table1[[#This Row],[Fuel]],", ",",")</f>
        <v>bioenergy: wood &amp; other biomass (solids)</v>
      </c>
      <c r="D237" t="s">
        <v>25</v>
      </c>
      <c r="G237">
        <v>44</v>
      </c>
      <c r="H237" t="s">
        <v>27</v>
      </c>
      <c r="I237">
        <v>2020</v>
      </c>
      <c r="J237" t="s">
        <v>21</v>
      </c>
      <c r="K237">
        <v>44.261699999999998</v>
      </c>
      <c r="L237">
        <v>-85.435199999999995</v>
      </c>
      <c r="M237" t="s">
        <v>62</v>
      </c>
      <c r="N237" s="2">
        <f>Table1[[#This Row],[Capacity (MW)]]*8760*0.72*10^-6</f>
        <v>0.27751679999999995</v>
      </c>
      <c r="O237" s="2" cm="1">
        <f t="array" ref="O237">AVERAGE(VLOOKUP(_xlfn.TEXTSPLIT(Table1[[#This Row],[Fuel (no space after comma)]], ","), FuelList_Final_EF!$A$2:$B$32, 2, FALSE))</f>
        <v>93.8</v>
      </c>
      <c r="P237" s="2">
        <f>(16112*Table1[[#This Row],[Generation (TWh)]]*10^9)/10^6</f>
        <v>4471350.6815999988</v>
      </c>
      <c r="Q237" s="2">
        <f>Table1[[#This Row],[Emission Factor (kg CO2/ mmBtu)]]*Table1[[#This Row],[Fuel Consumption (mmBtu)]]*10^3</f>
        <v>419412693934.0799</v>
      </c>
      <c r="R237" s="2">
        <f>(Table1[[#This Row],[CO2 Emissions (g CO2)]])/(Table1[[#This Row],[Generation (TWh)]]*10^9)</f>
        <v>1511.3055999999999</v>
      </c>
    </row>
    <row r="238" spans="1:18" hidden="1">
      <c r="A238" t="s">
        <v>21</v>
      </c>
      <c r="B238" t="s">
        <v>46</v>
      </c>
      <c r="C238" t="str">
        <f>SUBSTITUTE(Table1[[#This Row],[Fuel]],", ",",")</f>
        <v>bioenergy: agricultural waste (solids)</v>
      </c>
      <c r="D238" t="s">
        <v>46</v>
      </c>
      <c r="G238">
        <v>30</v>
      </c>
      <c r="H238" t="s">
        <v>27</v>
      </c>
      <c r="I238">
        <v>2005</v>
      </c>
      <c r="J238" t="s">
        <v>21</v>
      </c>
      <c r="K238">
        <v>15.40318426</v>
      </c>
      <c r="L238">
        <v>-88.002587259999999</v>
      </c>
      <c r="M238" t="s">
        <v>249</v>
      </c>
      <c r="N238" s="2">
        <f>Table1[[#This Row],[Capacity (MW)]]*8760*0.72*10^-6</f>
        <v>0.189216</v>
      </c>
      <c r="O238" s="2" cm="1">
        <f t="array" ref="O238">AVERAGE(VLOOKUP(_xlfn.TEXTSPLIT(Table1[[#This Row],[Fuel (no space after comma)]], ","), FuelList_Final_EF!$A$2:$B$32, 2, FALSE))</f>
        <v>118.17</v>
      </c>
      <c r="P238" s="2">
        <f>(16112*Table1[[#This Row],[Generation (TWh)]]*10^9)/10^6</f>
        <v>3048648.1919999998</v>
      </c>
      <c r="Q238" s="2">
        <f>Table1[[#This Row],[Emission Factor (kg CO2/ mmBtu)]]*Table1[[#This Row],[Fuel Consumption (mmBtu)]]*10^3</f>
        <v>360258756848.63995</v>
      </c>
      <c r="R238" s="2">
        <f>(Table1[[#This Row],[CO2 Emissions (g CO2)]])/(Table1[[#This Row],[Generation (TWh)]]*10^9)</f>
        <v>1903.9550399999998</v>
      </c>
    </row>
    <row r="239" spans="1:18" hidden="1">
      <c r="A239" t="s">
        <v>250</v>
      </c>
      <c r="B239" t="s">
        <v>251</v>
      </c>
      <c r="C239" t="str">
        <f>SUBSTITUTE(Table1[[#This Row],[Fuel]],", ",",")</f>
        <v>bioenergy: wood &amp; other biomass (solids),bioenergy: refuse (municipal and industrial wastes)</v>
      </c>
      <c r="D239" t="s">
        <v>25</v>
      </c>
      <c r="E239" t="s">
        <v>19</v>
      </c>
      <c r="G239">
        <v>35</v>
      </c>
      <c r="H239" t="s">
        <v>27</v>
      </c>
      <c r="I239">
        <v>2000</v>
      </c>
      <c r="J239" t="s">
        <v>21</v>
      </c>
      <c r="K239">
        <v>49.744</v>
      </c>
      <c r="L239">
        <v>-84.073599999999999</v>
      </c>
      <c r="M239" t="s">
        <v>79</v>
      </c>
      <c r="N239" s="2">
        <f>Table1[[#This Row],[Capacity (MW)]]*8760*0.72*10^-6</f>
        <v>0.220752</v>
      </c>
      <c r="O239" s="2" cm="1">
        <f t="array" ref="O239">AVERAGE(VLOOKUP(_xlfn.TEXTSPLIT(Table1[[#This Row],[Fuel (no space after comma)]], ","), FuelList_Final_EF!$A$2:$B$32, 2, FALSE))</f>
        <v>99.61481286241434</v>
      </c>
      <c r="P239" s="2">
        <f>(16112*Table1[[#This Row],[Generation (TWh)]]*10^9)/10^6</f>
        <v>3556756.2239999999</v>
      </c>
      <c r="Q239" s="2">
        <f>Table1[[#This Row],[Emission Factor (kg CO2/ mmBtu)]]*Table1[[#This Row],[Fuel Consumption (mmBtu)]]*10^3</f>
        <v>354305605650.98743</v>
      </c>
      <c r="R239" s="2">
        <f>(Table1[[#This Row],[CO2 Emissions (g CO2)]])/(Table1[[#This Row],[Generation (TWh)]]*10^9)</f>
        <v>1604.9938648392197</v>
      </c>
    </row>
    <row r="240" spans="1:18">
      <c r="A240" t="s">
        <v>252</v>
      </c>
      <c r="B240" t="s">
        <v>25</v>
      </c>
      <c r="C240" t="str">
        <f>SUBSTITUTE(Table1[[#This Row],[Fuel]],", ",",")</f>
        <v>bioenergy: wood &amp; other biomass (solids)</v>
      </c>
      <c r="D240" t="s">
        <v>25</v>
      </c>
      <c r="G240">
        <v>50</v>
      </c>
      <c r="H240" t="s">
        <v>20</v>
      </c>
      <c r="I240" t="s">
        <v>21</v>
      </c>
      <c r="J240" t="s">
        <v>21</v>
      </c>
      <c r="K240">
        <v>-29.206299999999999</v>
      </c>
      <c r="L240">
        <v>-50.239400000000003</v>
      </c>
      <c r="M240" t="s">
        <v>49</v>
      </c>
      <c r="N240" s="2">
        <f>Table1[[#This Row],[Capacity (MW)]]*8760*0.72*10^-6</f>
        <v>0.31535999999999997</v>
      </c>
      <c r="O240" s="2" cm="1">
        <f t="array" ref="O240">AVERAGE(VLOOKUP(_xlfn.TEXTSPLIT(Table1[[#This Row],[Fuel (no space after comma)]], ","), FuelList_Final_EF!$A$2:$B$32, 2, FALSE))</f>
        <v>93.8</v>
      </c>
      <c r="P240" s="2">
        <f>(16112*Table1[[#This Row],[Generation (TWh)]]*10^9)/10^6</f>
        <v>5081080.32</v>
      </c>
      <c r="Q240" s="2">
        <f>Table1[[#This Row],[Emission Factor (kg CO2/ mmBtu)]]*Table1[[#This Row],[Fuel Consumption (mmBtu)]]*10^3</f>
        <v>476605334016.00006</v>
      </c>
      <c r="R240" s="2">
        <f>(Table1[[#This Row],[CO2 Emissions (g CO2)]])/(Table1[[#This Row],[Generation (TWh)]]*10^9)</f>
        <v>1511.3056000000001</v>
      </c>
    </row>
    <row r="241" spans="1:18" hidden="1">
      <c r="A241" t="s">
        <v>253</v>
      </c>
      <c r="B241" t="s">
        <v>46</v>
      </c>
      <c r="C241" t="str">
        <f>SUBSTITUTE(Table1[[#This Row],[Fuel]],", ",",")</f>
        <v>bioenergy: agricultural waste (solids)</v>
      </c>
      <c r="D241" t="s">
        <v>46</v>
      </c>
      <c r="G241">
        <v>30</v>
      </c>
      <c r="H241" t="s">
        <v>27</v>
      </c>
      <c r="I241">
        <v>2002</v>
      </c>
      <c r="J241" t="s">
        <v>21</v>
      </c>
      <c r="K241">
        <v>-19.809100000000001</v>
      </c>
      <c r="L241">
        <v>-48.725499999999997</v>
      </c>
      <c r="M241" t="s">
        <v>49</v>
      </c>
      <c r="N241" s="2">
        <f>Table1[[#This Row],[Capacity (MW)]]*8760*0.72*10^-6</f>
        <v>0.189216</v>
      </c>
      <c r="O241" s="2" cm="1">
        <f t="array" ref="O241">AVERAGE(VLOOKUP(_xlfn.TEXTSPLIT(Table1[[#This Row],[Fuel (no space after comma)]], ","), FuelList_Final_EF!$A$2:$B$32, 2, FALSE))</f>
        <v>118.17</v>
      </c>
      <c r="P241" s="2">
        <f>(16112*Table1[[#This Row],[Generation (TWh)]]*10^9)/10^6</f>
        <v>3048648.1919999998</v>
      </c>
      <c r="Q241" s="2">
        <f>Table1[[#This Row],[Emission Factor (kg CO2/ mmBtu)]]*Table1[[#This Row],[Fuel Consumption (mmBtu)]]*10^3</f>
        <v>360258756848.63995</v>
      </c>
      <c r="R241" s="2">
        <f>(Table1[[#This Row],[CO2 Emissions (g CO2)]])/(Table1[[#This Row],[Generation (TWh)]]*10^9)</f>
        <v>1903.9550399999998</v>
      </c>
    </row>
    <row r="242" spans="1:18" hidden="1">
      <c r="A242" t="s">
        <v>254</v>
      </c>
      <c r="B242" t="s">
        <v>46</v>
      </c>
      <c r="C242" t="str">
        <f>SUBSTITUTE(Table1[[#This Row],[Fuel]],", ",",")</f>
        <v>bioenergy: agricultural waste (solids)</v>
      </c>
      <c r="D242" t="s">
        <v>46</v>
      </c>
      <c r="G242">
        <v>30</v>
      </c>
      <c r="H242" t="s">
        <v>27</v>
      </c>
      <c r="I242">
        <v>2006</v>
      </c>
      <c r="J242" t="s">
        <v>21</v>
      </c>
      <c r="K242">
        <v>-22.942699999999999</v>
      </c>
      <c r="L242">
        <v>-47.601999999999997</v>
      </c>
      <c r="M242" t="s">
        <v>49</v>
      </c>
      <c r="N242" s="2">
        <f>Table1[[#This Row],[Capacity (MW)]]*8760*0.72*10^-6</f>
        <v>0.189216</v>
      </c>
      <c r="O242" s="2" cm="1">
        <f t="array" ref="O242">AVERAGE(VLOOKUP(_xlfn.TEXTSPLIT(Table1[[#This Row],[Fuel (no space after comma)]], ","), FuelList_Final_EF!$A$2:$B$32, 2, FALSE))</f>
        <v>118.17</v>
      </c>
      <c r="P242" s="2">
        <f>(16112*Table1[[#This Row],[Generation (TWh)]]*10^9)/10^6</f>
        <v>3048648.1919999998</v>
      </c>
      <c r="Q242" s="2">
        <f>Table1[[#This Row],[Emission Factor (kg CO2/ mmBtu)]]*Table1[[#This Row],[Fuel Consumption (mmBtu)]]*10^3</f>
        <v>360258756848.63995</v>
      </c>
      <c r="R242" s="2">
        <f>(Table1[[#This Row],[CO2 Emissions (g CO2)]])/(Table1[[#This Row],[Generation (TWh)]]*10^9)</f>
        <v>1903.9550399999998</v>
      </c>
    </row>
    <row r="243" spans="1:18" hidden="1">
      <c r="A243" t="s">
        <v>255</v>
      </c>
      <c r="B243" t="s">
        <v>46</v>
      </c>
      <c r="C243" t="str">
        <f>SUBSTITUTE(Table1[[#This Row],[Fuel]],", ",",")</f>
        <v>bioenergy: agricultural waste (solids)</v>
      </c>
      <c r="D243" t="s">
        <v>46</v>
      </c>
      <c r="G243">
        <v>44</v>
      </c>
      <c r="H243" t="s">
        <v>27</v>
      </c>
      <c r="I243">
        <v>2012</v>
      </c>
      <c r="J243" t="s">
        <v>21</v>
      </c>
      <c r="K243">
        <v>-21.649100000000001</v>
      </c>
      <c r="L243">
        <v>-41.395699999999998</v>
      </c>
      <c r="M243" t="s">
        <v>49</v>
      </c>
      <c r="N243" s="2">
        <f>Table1[[#This Row],[Capacity (MW)]]*8760*0.72*10^-6</f>
        <v>0.27751679999999995</v>
      </c>
      <c r="O243" s="2" cm="1">
        <f t="array" ref="O243">AVERAGE(VLOOKUP(_xlfn.TEXTSPLIT(Table1[[#This Row],[Fuel (no space after comma)]], ","), FuelList_Final_EF!$A$2:$B$32, 2, FALSE))</f>
        <v>118.17</v>
      </c>
      <c r="P243" s="2">
        <f>(16112*Table1[[#This Row],[Generation (TWh)]]*10^9)/10^6</f>
        <v>4471350.6815999988</v>
      </c>
      <c r="Q243" s="2">
        <f>Table1[[#This Row],[Emission Factor (kg CO2/ mmBtu)]]*Table1[[#This Row],[Fuel Consumption (mmBtu)]]*10^3</f>
        <v>528379510044.67188</v>
      </c>
      <c r="R243" s="2">
        <f>(Table1[[#This Row],[CO2 Emissions (g CO2)]])/(Table1[[#This Row],[Generation (TWh)]]*10^9)</f>
        <v>1903.9550400000001</v>
      </c>
    </row>
    <row r="244" spans="1:18" hidden="1">
      <c r="A244" t="s">
        <v>256</v>
      </c>
      <c r="B244" t="s">
        <v>46</v>
      </c>
      <c r="C244" t="str">
        <f>SUBSTITUTE(Table1[[#This Row],[Fuel]],", ",",")</f>
        <v>bioenergy: agricultural waste (solids)</v>
      </c>
      <c r="D244" t="s">
        <v>46</v>
      </c>
      <c r="G244">
        <v>40</v>
      </c>
      <c r="H244" t="s">
        <v>20</v>
      </c>
      <c r="I244">
        <v>2029</v>
      </c>
      <c r="J244" t="s">
        <v>21</v>
      </c>
      <c r="K244">
        <v>-18.877700000000001</v>
      </c>
      <c r="L244">
        <v>-49.265999999999998</v>
      </c>
      <c r="M244" t="s">
        <v>49</v>
      </c>
      <c r="N244" s="2">
        <f>Table1[[#This Row],[Capacity (MW)]]*8760*0.72*10^-6</f>
        <v>0.25228800000000001</v>
      </c>
      <c r="O244" s="2" cm="1">
        <f t="array" ref="O244">AVERAGE(VLOOKUP(_xlfn.TEXTSPLIT(Table1[[#This Row],[Fuel (no space after comma)]], ","), FuelList_Final_EF!$A$2:$B$32, 2, FALSE))</f>
        <v>118.17</v>
      </c>
      <c r="P244" s="2">
        <f>(16112*Table1[[#This Row],[Generation (TWh)]]*10^9)/10^6</f>
        <v>4064864.2560000005</v>
      </c>
      <c r="Q244" s="2">
        <f>Table1[[#This Row],[Emission Factor (kg CO2/ mmBtu)]]*Table1[[#This Row],[Fuel Consumption (mmBtu)]]*10^3</f>
        <v>480345009131.52008</v>
      </c>
      <c r="R244" s="2">
        <f>(Table1[[#This Row],[CO2 Emissions (g CO2)]])/(Table1[[#This Row],[Generation (TWh)]]*10^9)</f>
        <v>1903.9550400000003</v>
      </c>
    </row>
    <row r="245" spans="1:18" hidden="1">
      <c r="A245" t="s">
        <v>157</v>
      </c>
      <c r="B245" t="s">
        <v>19</v>
      </c>
      <c r="C245" t="str">
        <f>SUBSTITUTE(Table1[[#This Row],[Fuel]],", ",",")</f>
        <v>bioenergy: refuse (municipal and industrial wastes)</v>
      </c>
      <c r="D245" t="s">
        <v>19</v>
      </c>
      <c r="G245">
        <v>30</v>
      </c>
      <c r="H245" t="s">
        <v>27</v>
      </c>
      <c r="I245">
        <v>2015</v>
      </c>
      <c r="J245" t="s">
        <v>21</v>
      </c>
      <c r="K245">
        <v>51.4711</v>
      </c>
      <c r="L245">
        <v>-3.1503999999999999</v>
      </c>
      <c r="M245" t="s">
        <v>22</v>
      </c>
      <c r="N245" s="2">
        <f>Table1[[#This Row],[Capacity (MW)]]*8760*0.72*10^-6</f>
        <v>0.189216</v>
      </c>
      <c r="O245" s="2" cm="1">
        <f t="array" ref="O245">AVERAGE(VLOOKUP(_xlfn.TEXTSPLIT(Table1[[#This Row],[Fuel (no space after comma)]], ","), FuelList_Final_EF!$A$2:$B$32, 2, FALSE))</f>
        <v>105.42962572482868</v>
      </c>
      <c r="P245" s="2">
        <f>(16112*Table1[[#This Row],[Generation (TWh)]]*10^9)/10^6</f>
        <v>3048648.1919999998</v>
      </c>
      <c r="Q245" s="2">
        <f>Table1[[#This Row],[Emission Factor (kg CO2/ mmBtu)]]*Table1[[#This Row],[Fuel Consumption (mmBtu)]]*10^3</f>
        <v>321417837849.23566</v>
      </c>
      <c r="R245" s="2">
        <f>(Table1[[#This Row],[CO2 Emissions (g CO2)]])/(Table1[[#This Row],[Generation (TWh)]]*10^9)</f>
        <v>1698.6821296784397</v>
      </c>
    </row>
    <row r="246" spans="1:18" hidden="1">
      <c r="A246" t="s">
        <v>257</v>
      </c>
      <c r="B246" t="s">
        <v>258</v>
      </c>
      <c r="C246" t="str">
        <f>SUBSTITUTE(Table1[[#This Row],[Fuel]],", ",",")</f>
        <v>bioenergy: wood &amp; other biomass (solids),bioenergy: paper mill wastes,fossil gas: unknown</v>
      </c>
      <c r="D246" t="s">
        <v>25</v>
      </c>
      <c r="E246" t="s">
        <v>61</v>
      </c>
      <c r="F246" t="s">
        <v>259</v>
      </c>
      <c r="G246">
        <v>16.5</v>
      </c>
      <c r="H246" t="s">
        <v>27</v>
      </c>
      <c r="I246">
        <v>1972</v>
      </c>
      <c r="J246" t="s">
        <v>21</v>
      </c>
      <c r="K246">
        <v>52.997</v>
      </c>
      <c r="L246">
        <v>-122.4853</v>
      </c>
      <c r="M246" t="s">
        <v>79</v>
      </c>
      <c r="N246" s="2">
        <f>Table1[[#This Row],[Capacity (MW)]]*8760*0.72*10^-6</f>
        <v>0.1040688</v>
      </c>
      <c r="O246" s="2" cm="1">
        <f t="array" ref="O246">AVERAGE(VLOOKUP(_xlfn.TEXTSPLIT(Table1[[#This Row],[Fuel (no space after comma)]], ","), FuelList_Final_EF!$A$2:$B$32, 2, FALSE))</f>
        <v>84.882447724477245</v>
      </c>
      <c r="P246" s="2">
        <f>(16112*Table1[[#This Row],[Generation (TWh)]]*10^9)/10^6</f>
        <v>1676756.5056</v>
      </c>
      <c r="Q246" s="2">
        <f>Table1[[#This Row],[Emission Factor (kg CO2/ mmBtu)]]*Table1[[#This Row],[Fuel Consumption (mmBtu)]]*10^3</f>
        <v>142327196433.26913</v>
      </c>
      <c r="R246" s="2">
        <f>(Table1[[#This Row],[CO2 Emissions (g CO2)]])/(Table1[[#This Row],[Generation (TWh)]]*10^9)</f>
        <v>1367.6259977367774</v>
      </c>
    </row>
    <row r="247" spans="1:18" hidden="1">
      <c r="A247" t="s">
        <v>260</v>
      </c>
      <c r="B247" t="s">
        <v>258</v>
      </c>
      <c r="C247" t="str">
        <f>SUBSTITUTE(Table1[[#This Row],[Fuel]],", ",",")</f>
        <v>bioenergy: wood &amp; other biomass (solids),bioenergy: paper mill wastes,fossil gas: unknown</v>
      </c>
      <c r="D247" t="s">
        <v>25</v>
      </c>
      <c r="E247" t="s">
        <v>61</v>
      </c>
      <c r="F247" t="s">
        <v>259</v>
      </c>
      <c r="G247">
        <v>16.5</v>
      </c>
      <c r="H247" t="s">
        <v>27</v>
      </c>
      <c r="I247">
        <v>1972</v>
      </c>
      <c r="J247" t="s">
        <v>21</v>
      </c>
      <c r="K247">
        <v>52.997</v>
      </c>
      <c r="L247">
        <v>-122.4853</v>
      </c>
      <c r="M247" t="s">
        <v>79</v>
      </c>
      <c r="N247" s="2">
        <f>Table1[[#This Row],[Capacity (MW)]]*8760*0.72*10^-6</f>
        <v>0.1040688</v>
      </c>
      <c r="O247" s="2" cm="1">
        <f t="array" ref="O247">AVERAGE(VLOOKUP(_xlfn.TEXTSPLIT(Table1[[#This Row],[Fuel (no space after comma)]], ","), FuelList_Final_EF!$A$2:$B$32, 2, FALSE))</f>
        <v>84.882447724477245</v>
      </c>
      <c r="P247" s="2">
        <f>(16112*Table1[[#This Row],[Generation (TWh)]]*10^9)/10^6</f>
        <v>1676756.5056</v>
      </c>
      <c r="Q247" s="2">
        <f>Table1[[#This Row],[Emission Factor (kg CO2/ mmBtu)]]*Table1[[#This Row],[Fuel Consumption (mmBtu)]]*10^3</f>
        <v>142327196433.26913</v>
      </c>
      <c r="R247" s="2">
        <f>(Table1[[#This Row],[CO2 Emissions (g CO2)]])/(Table1[[#This Row],[Generation (TWh)]]*10^9)</f>
        <v>1367.6259977367774</v>
      </c>
    </row>
    <row r="248" spans="1:18">
      <c r="A248" t="s">
        <v>21</v>
      </c>
      <c r="B248" t="s">
        <v>261</v>
      </c>
      <c r="C248" t="str">
        <f>SUBSTITUTE(Table1[[#This Row],[Fuel]],", ",",")</f>
        <v>bioenergy: wood &amp; other biomass (solids),bioenergy: paper mill wastes,fossil gas: natural gas</v>
      </c>
      <c r="D248" t="s">
        <v>25</v>
      </c>
      <c r="E248" t="s">
        <v>61</v>
      </c>
      <c r="F248" t="s">
        <v>69</v>
      </c>
      <c r="G248">
        <v>38</v>
      </c>
      <c r="H248" t="s">
        <v>27</v>
      </c>
      <c r="I248" t="s">
        <v>21</v>
      </c>
      <c r="J248" t="s">
        <v>21</v>
      </c>
      <c r="K248">
        <v>48.875700000000002</v>
      </c>
      <c r="L248">
        <v>-123.65</v>
      </c>
      <c r="M248" t="s">
        <v>79</v>
      </c>
      <c r="N248" s="2">
        <f>Table1[[#This Row],[Capacity (MW)]]*8760*0.72*10^-6</f>
        <v>0.23967359999999996</v>
      </c>
      <c r="O248" s="2" cm="1">
        <f t="array" ref="O248">AVERAGE(VLOOKUP(_xlfn.TEXTSPLIT(Table1[[#This Row],[Fuel (no space after comma)]], ","), FuelList_Final_EF!$A$2:$B$32, 2, FALSE))</f>
        <v>82.444811105253905</v>
      </c>
      <c r="P248" s="2">
        <f>(16112*Table1[[#This Row],[Generation (TWh)]]*10^9)/10^6</f>
        <v>3861621.0431999997</v>
      </c>
      <c r="Q248" s="2">
        <f>Table1[[#This Row],[Emission Factor (kg CO2/ mmBtu)]]*Table1[[#This Row],[Fuel Consumption (mmBtu)]]*10^3</f>
        <v>318370617466.69751</v>
      </c>
      <c r="R248" s="2">
        <f>(Table1[[#This Row],[CO2 Emissions (g CO2)]])/(Table1[[#This Row],[Generation (TWh)]]*10^9)</f>
        <v>1328.3507965278509</v>
      </c>
    </row>
    <row r="249" spans="1:18" hidden="1">
      <c r="A249" t="s">
        <v>262</v>
      </c>
      <c r="B249" t="s">
        <v>46</v>
      </c>
      <c r="C249" t="str">
        <f>SUBSTITUTE(Table1[[#This Row],[Fuel]],", ",",")</f>
        <v>bioenergy: agricultural waste (solids)</v>
      </c>
      <c r="D249" t="s">
        <v>46</v>
      </c>
      <c r="G249">
        <v>75</v>
      </c>
      <c r="H249" t="s">
        <v>27</v>
      </c>
      <c r="I249">
        <v>2001</v>
      </c>
      <c r="J249" t="s">
        <v>21</v>
      </c>
      <c r="K249">
        <v>-21.096599999999999</v>
      </c>
      <c r="L249">
        <v>-48.933500000000002</v>
      </c>
      <c r="M249" t="s">
        <v>49</v>
      </c>
      <c r="N249" s="2">
        <f>Table1[[#This Row],[Capacity (MW)]]*8760*0.72*10^-6</f>
        <v>0.47303999999999996</v>
      </c>
      <c r="O249" s="2" cm="1">
        <f t="array" ref="O249">AVERAGE(VLOOKUP(_xlfn.TEXTSPLIT(Table1[[#This Row],[Fuel (no space after comma)]], ","), FuelList_Final_EF!$A$2:$B$32, 2, FALSE))</f>
        <v>118.17</v>
      </c>
      <c r="P249" s="2">
        <f>(16112*Table1[[#This Row],[Generation (TWh)]]*10^9)/10^6</f>
        <v>7621620.4800000004</v>
      </c>
      <c r="Q249" s="2">
        <f>Table1[[#This Row],[Emission Factor (kg CO2/ mmBtu)]]*Table1[[#This Row],[Fuel Consumption (mmBtu)]]*10^3</f>
        <v>900646892121.59998</v>
      </c>
      <c r="R249" s="2">
        <f>(Table1[[#This Row],[CO2 Emissions (g CO2)]])/(Table1[[#This Row],[Generation (TWh)]]*10^9)</f>
        <v>1903.9550400000003</v>
      </c>
    </row>
    <row r="250" spans="1:18" hidden="1">
      <c r="A250" t="s">
        <v>230</v>
      </c>
      <c r="B250" t="s">
        <v>263</v>
      </c>
      <c r="C250" t="str">
        <f>SUBSTITUTE(Table1[[#This Row],[Fuel]],", ",",")</f>
        <v>bioenergy: paper mill wastes,bioenergy: wood &amp; other biomass (solids),coal: bituminous</v>
      </c>
      <c r="D250" t="s">
        <v>61</v>
      </c>
      <c r="E250" t="s">
        <v>25</v>
      </c>
      <c r="F250" t="s">
        <v>90</v>
      </c>
      <c r="G250">
        <v>50</v>
      </c>
      <c r="H250" t="s">
        <v>27</v>
      </c>
      <c r="I250">
        <v>1963</v>
      </c>
      <c r="J250" t="s">
        <v>21</v>
      </c>
      <c r="K250">
        <v>31.166</v>
      </c>
      <c r="L250">
        <v>-85.095100000000002</v>
      </c>
      <c r="M250" t="s">
        <v>62</v>
      </c>
      <c r="N250" s="2">
        <f>Table1[[#This Row],[Capacity (MW)]]*8760*0.72*10^-6</f>
        <v>0.31535999999999997</v>
      </c>
      <c r="O250" s="2" cm="1">
        <f t="array" ref="O250">AVERAGE(VLOOKUP(_xlfn.TEXTSPLIT(Table1[[#This Row],[Fuel (no space after comma)]], ","), FuelList_Final_EF!$A$2:$B$32, 2, FALSE))</f>
        <v>98.00361975048321</v>
      </c>
      <c r="P250" s="2">
        <f>(16112*Table1[[#This Row],[Generation (TWh)]]*10^9)/10^6</f>
        <v>5081080.32</v>
      </c>
      <c r="Q250" s="2">
        <f>Table1[[#This Row],[Emission Factor (kg CO2/ mmBtu)]]*Table1[[#This Row],[Fuel Consumption (mmBtu)]]*10^3</f>
        <v>497964263602.9436</v>
      </c>
      <c r="R250" s="2">
        <f>(Table1[[#This Row],[CO2 Emissions (g CO2)]])/(Table1[[#This Row],[Generation (TWh)]]*10^9)</f>
        <v>1579.0343214197856</v>
      </c>
    </row>
    <row r="251" spans="1:18" hidden="1">
      <c r="A251" t="s">
        <v>230</v>
      </c>
      <c r="B251" t="s">
        <v>263</v>
      </c>
      <c r="C251" t="str">
        <f>SUBSTITUTE(Table1[[#This Row],[Fuel]],", ",",")</f>
        <v>bioenergy: paper mill wastes,bioenergy: wood &amp; other biomass (solids),coal: bituminous</v>
      </c>
      <c r="D251" t="s">
        <v>61</v>
      </c>
      <c r="E251" t="s">
        <v>25</v>
      </c>
      <c r="F251" t="s">
        <v>90</v>
      </c>
      <c r="G251">
        <v>51</v>
      </c>
      <c r="H251" t="s">
        <v>27</v>
      </c>
      <c r="I251">
        <v>1965</v>
      </c>
      <c r="J251" t="s">
        <v>21</v>
      </c>
      <c r="K251">
        <v>31.166</v>
      </c>
      <c r="L251">
        <v>-85.095100000000002</v>
      </c>
      <c r="M251" t="s">
        <v>62</v>
      </c>
      <c r="N251" s="2">
        <f>Table1[[#This Row],[Capacity (MW)]]*8760*0.72*10^-6</f>
        <v>0.32166719999999999</v>
      </c>
      <c r="O251" s="2" cm="1">
        <f t="array" ref="O251">AVERAGE(VLOOKUP(_xlfn.TEXTSPLIT(Table1[[#This Row],[Fuel (no space after comma)]], ","), FuelList_Final_EF!$A$2:$B$32, 2, FALSE))</f>
        <v>98.00361975048321</v>
      </c>
      <c r="P251" s="2">
        <f>(16112*Table1[[#This Row],[Generation (TWh)]]*10^9)/10^6</f>
        <v>5182701.9264000002</v>
      </c>
      <c r="Q251" s="2">
        <f>Table1[[#This Row],[Emission Factor (kg CO2/ mmBtu)]]*Table1[[#This Row],[Fuel Consumption (mmBtu)]]*10^3</f>
        <v>507923548875.00244</v>
      </c>
      <c r="R251" s="2">
        <f>(Table1[[#This Row],[CO2 Emissions (g CO2)]])/(Table1[[#This Row],[Generation (TWh)]]*10^9)</f>
        <v>1579.0343214197856</v>
      </c>
    </row>
    <row r="252" spans="1:18" hidden="1">
      <c r="A252" t="s">
        <v>242</v>
      </c>
      <c r="B252" t="s">
        <v>46</v>
      </c>
      <c r="C252" t="str">
        <f>SUBSTITUTE(Table1[[#This Row],[Fuel]],", ",",")</f>
        <v>bioenergy: agricultural waste (solids)</v>
      </c>
      <c r="D252" t="s">
        <v>46</v>
      </c>
      <c r="G252">
        <v>35</v>
      </c>
      <c r="H252" t="s">
        <v>53</v>
      </c>
      <c r="I252">
        <v>2024</v>
      </c>
      <c r="J252" t="s">
        <v>21</v>
      </c>
      <c r="K252">
        <v>-19.401499999999999</v>
      </c>
      <c r="L252">
        <v>-51.3247</v>
      </c>
      <c r="M252" t="s">
        <v>49</v>
      </c>
      <c r="N252" s="2">
        <f>Table1[[#This Row],[Capacity (MW)]]*8760*0.72*10^-6</f>
        <v>0.220752</v>
      </c>
      <c r="O252" s="2" cm="1">
        <f t="array" ref="O252">AVERAGE(VLOOKUP(_xlfn.TEXTSPLIT(Table1[[#This Row],[Fuel (no space after comma)]], ","), FuelList_Final_EF!$A$2:$B$32, 2, FALSE))</f>
        <v>118.17</v>
      </c>
      <c r="P252" s="2">
        <f>(16112*Table1[[#This Row],[Generation (TWh)]]*10^9)/10^6</f>
        <v>3556756.2239999999</v>
      </c>
      <c r="Q252" s="2">
        <f>Table1[[#This Row],[Emission Factor (kg CO2/ mmBtu)]]*Table1[[#This Row],[Fuel Consumption (mmBtu)]]*10^3</f>
        <v>420301882990.08002</v>
      </c>
      <c r="R252" s="2">
        <f>(Table1[[#This Row],[CO2 Emissions (g CO2)]])/(Table1[[#This Row],[Generation (TWh)]]*10^9)</f>
        <v>1903.9550400000001</v>
      </c>
    </row>
    <row r="253" spans="1:18" hidden="1">
      <c r="A253" t="s">
        <v>264</v>
      </c>
      <c r="B253" t="s">
        <v>25</v>
      </c>
      <c r="C253" t="str">
        <f>SUBSTITUTE(Table1[[#This Row],[Fuel]],", ",",")</f>
        <v>bioenergy: wood &amp; other biomass (solids)</v>
      </c>
      <c r="D253" t="s">
        <v>25</v>
      </c>
      <c r="G253">
        <v>15</v>
      </c>
      <c r="H253" t="s">
        <v>27</v>
      </c>
      <c r="I253">
        <v>2009</v>
      </c>
      <c r="J253" t="s">
        <v>21</v>
      </c>
      <c r="K253">
        <v>40.054200000000002</v>
      </c>
      <c r="L253">
        <v>-8.8704999999999998</v>
      </c>
      <c r="M253" t="s">
        <v>265</v>
      </c>
      <c r="N253" s="2">
        <f>Table1[[#This Row],[Capacity (MW)]]*8760*0.72*10^-6</f>
        <v>9.4607999999999998E-2</v>
      </c>
      <c r="O253" s="2" cm="1">
        <f t="array" ref="O253">AVERAGE(VLOOKUP(_xlfn.TEXTSPLIT(Table1[[#This Row],[Fuel (no space after comma)]], ","), FuelList_Final_EF!$A$2:$B$32, 2, FALSE))</f>
        <v>93.8</v>
      </c>
      <c r="P253" s="2">
        <f>(16112*Table1[[#This Row],[Generation (TWh)]]*10^9)/10^6</f>
        <v>1524324.0959999999</v>
      </c>
      <c r="Q253" s="2">
        <f>Table1[[#This Row],[Emission Factor (kg CO2/ mmBtu)]]*Table1[[#This Row],[Fuel Consumption (mmBtu)]]*10^3</f>
        <v>142981600204.79999</v>
      </c>
      <c r="R253" s="2">
        <f>(Table1[[#This Row],[CO2 Emissions (g CO2)]])/(Table1[[#This Row],[Generation (TWh)]]*10^9)</f>
        <v>1511.3055999999999</v>
      </c>
    </row>
    <row r="254" spans="1:18" hidden="1">
      <c r="A254" t="s">
        <v>266</v>
      </c>
      <c r="B254" t="s">
        <v>25</v>
      </c>
      <c r="C254" t="str">
        <f>SUBSTITUTE(Table1[[#This Row],[Fuel]],", ",",")</f>
        <v>bioenergy: wood &amp; other biomass (solids)</v>
      </c>
      <c r="D254" t="s">
        <v>25</v>
      </c>
      <c r="G254">
        <v>15</v>
      </c>
      <c r="H254" t="s">
        <v>27</v>
      </c>
      <c r="I254">
        <v>2009</v>
      </c>
      <c r="J254" t="s">
        <v>21</v>
      </c>
      <c r="K254">
        <v>40.054200000000002</v>
      </c>
      <c r="L254">
        <v>-8.8704999999999998</v>
      </c>
      <c r="M254" t="s">
        <v>265</v>
      </c>
      <c r="N254" s="2">
        <f>Table1[[#This Row],[Capacity (MW)]]*8760*0.72*10^-6</f>
        <v>9.4607999999999998E-2</v>
      </c>
      <c r="O254" s="2" cm="1">
        <f t="array" ref="O254">AVERAGE(VLOOKUP(_xlfn.TEXTSPLIT(Table1[[#This Row],[Fuel (no space after comma)]], ","), FuelList_Final_EF!$A$2:$B$32, 2, FALSE))</f>
        <v>93.8</v>
      </c>
      <c r="P254" s="2">
        <f>(16112*Table1[[#This Row],[Generation (TWh)]]*10^9)/10^6</f>
        <v>1524324.0959999999</v>
      </c>
      <c r="Q254" s="2">
        <f>Table1[[#This Row],[Emission Factor (kg CO2/ mmBtu)]]*Table1[[#This Row],[Fuel Consumption (mmBtu)]]*10^3</f>
        <v>142981600204.79999</v>
      </c>
      <c r="R254" s="2">
        <f>(Table1[[#This Row],[CO2 Emissions (g CO2)]])/(Table1[[#This Row],[Generation (TWh)]]*10^9)</f>
        <v>1511.3055999999999</v>
      </c>
    </row>
    <row r="255" spans="1:18" hidden="1">
      <c r="A255" t="s">
        <v>136</v>
      </c>
      <c r="B255" t="s">
        <v>25</v>
      </c>
      <c r="C255" t="str">
        <f>SUBSTITUTE(Table1[[#This Row],[Fuel]],", ",",")</f>
        <v>bioenergy: wood &amp; other biomass (solids)</v>
      </c>
      <c r="D255" t="s">
        <v>25</v>
      </c>
      <c r="G255">
        <v>40</v>
      </c>
      <c r="H255" t="s">
        <v>27</v>
      </c>
      <c r="I255">
        <v>1996</v>
      </c>
      <c r="J255" t="s">
        <v>21</v>
      </c>
      <c r="K255">
        <v>-35.325299999999999</v>
      </c>
      <c r="L255">
        <v>-72.418300000000002</v>
      </c>
      <c r="M255" t="s">
        <v>98</v>
      </c>
      <c r="N255" s="2">
        <f>Table1[[#This Row],[Capacity (MW)]]*8760*0.72*10^-6</f>
        <v>0.25228800000000001</v>
      </c>
      <c r="O255" s="2" cm="1">
        <f t="array" ref="O255">AVERAGE(VLOOKUP(_xlfn.TEXTSPLIT(Table1[[#This Row],[Fuel (no space after comma)]], ","), FuelList_Final_EF!$A$2:$B$32, 2, FALSE))</f>
        <v>93.8</v>
      </c>
      <c r="P255" s="2">
        <f>(16112*Table1[[#This Row],[Generation (TWh)]]*10^9)/10^6</f>
        <v>4064864.2560000005</v>
      </c>
      <c r="Q255" s="2">
        <f>Table1[[#This Row],[Emission Factor (kg CO2/ mmBtu)]]*Table1[[#This Row],[Fuel Consumption (mmBtu)]]*10^3</f>
        <v>381284267212.80005</v>
      </c>
      <c r="R255" s="2">
        <f>(Table1[[#This Row],[CO2 Emissions (g CO2)]])/(Table1[[#This Row],[Generation (TWh)]]*10^9)</f>
        <v>1511.3056000000001</v>
      </c>
    </row>
    <row r="256" spans="1:18" hidden="1">
      <c r="A256" t="s">
        <v>267</v>
      </c>
      <c r="B256" t="s">
        <v>61</v>
      </c>
      <c r="C256" t="str">
        <f>SUBSTITUTE(Table1[[#This Row],[Fuel]],", ",",")</f>
        <v>bioenergy: paper mill wastes</v>
      </c>
      <c r="D256" t="s">
        <v>61</v>
      </c>
      <c r="G256">
        <v>40</v>
      </c>
      <c r="H256" t="s">
        <v>27</v>
      </c>
      <c r="I256">
        <v>1976</v>
      </c>
      <c r="J256" t="s">
        <v>21</v>
      </c>
      <c r="K256">
        <v>-19.216000000000001</v>
      </c>
      <c r="L256">
        <v>-42.474499999999999</v>
      </c>
      <c r="M256" t="s">
        <v>49</v>
      </c>
      <c r="N256" s="2">
        <f>Table1[[#This Row],[Capacity (MW)]]*8760*0.72*10^-6</f>
        <v>0.25228800000000001</v>
      </c>
      <c r="O256" s="2" cm="1">
        <f t="array" ref="O256">AVERAGE(VLOOKUP(_xlfn.TEXTSPLIT(Table1[[#This Row],[Fuel (no space after comma)]], ","), FuelList_Final_EF!$A$2:$B$32, 2, FALSE))</f>
        <v>100.47443331576173</v>
      </c>
      <c r="P256" s="2">
        <f>(16112*Table1[[#This Row],[Generation (TWh)]]*10^9)/10^6</f>
        <v>4064864.2560000005</v>
      </c>
      <c r="Q256" s="2">
        <f>Table1[[#This Row],[Emission Factor (kg CO2/ mmBtu)]]*Table1[[#This Row],[Fuel Consumption (mmBtu)]]*10^3</f>
        <v>408414932627.09546</v>
      </c>
      <c r="R256" s="2">
        <f>(Table1[[#This Row],[CO2 Emissions (g CO2)]])/(Table1[[#This Row],[Generation (TWh)]]*10^9)</f>
        <v>1618.8440695835532</v>
      </c>
    </row>
    <row r="257" spans="1:18" hidden="1">
      <c r="A257" t="s">
        <v>267</v>
      </c>
      <c r="B257" t="s">
        <v>61</v>
      </c>
      <c r="C257" t="str">
        <f>SUBSTITUTE(Table1[[#This Row],[Fuel]],", ",",")</f>
        <v>bioenergy: paper mill wastes</v>
      </c>
      <c r="D257" t="s">
        <v>61</v>
      </c>
      <c r="G257">
        <v>60</v>
      </c>
      <c r="H257" t="s">
        <v>27</v>
      </c>
      <c r="I257">
        <v>1992</v>
      </c>
      <c r="J257" t="s">
        <v>21</v>
      </c>
      <c r="K257">
        <v>-19.216000000000001</v>
      </c>
      <c r="L257">
        <v>-42.474499999999999</v>
      </c>
      <c r="M257" t="s">
        <v>49</v>
      </c>
      <c r="N257" s="2">
        <f>Table1[[#This Row],[Capacity (MW)]]*8760*0.72*10^-6</f>
        <v>0.37843199999999999</v>
      </c>
      <c r="O257" s="2" cm="1">
        <f t="array" ref="O257">AVERAGE(VLOOKUP(_xlfn.TEXTSPLIT(Table1[[#This Row],[Fuel (no space after comma)]], ","), FuelList_Final_EF!$A$2:$B$32, 2, FALSE))</f>
        <v>100.47443331576173</v>
      </c>
      <c r="P257" s="2">
        <f>(16112*Table1[[#This Row],[Generation (TWh)]]*10^9)/10^6</f>
        <v>6097296.3839999996</v>
      </c>
      <c r="Q257" s="2">
        <f>Table1[[#This Row],[Emission Factor (kg CO2/ mmBtu)]]*Table1[[#This Row],[Fuel Consumption (mmBtu)]]*10^3</f>
        <v>612622398940.64307</v>
      </c>
      <c r="R257" s="2">
        <f>(Table1[[#This Row],[CO2 Emissions (g CO2)]])/(Table1[[#This Row],[Generation (TWh)]]*10^9)</f>
        <v>1618.8440695835529</v>
      </c>
    </row>
    <row r="258" spans="1:18" hidden="1">
      <c r="A258" t="s">
        <v>268</v>
      </c>
      <c r="B258" t="s">
        <v>46</v>
      </c>
      <c r="C258" t="str">
        <f>SUBSTITUTE(Table1[[#This Row],[Fuel]],", ",",")</f>
        <v>bioenergy: agricultural waste (solids)</v>
      </c>
      <c r="D258" t="s">
        <v>46</v>
      </c>
      <c r="G258">
        <v>31</v>
      </c>
      <c r="H258" t="s">
        <v>94</v>
      </c>
      <c r="I258">
        <v>2018</v>
      </c>
      <c r="J258" t="s">
        <v>21</v>
      </c>
      <c r="K258">
        <v>14.0503</v>
      </c>
      <c r="L258">
        <v>120.6662</v>
      </c>
      <c r="M258" t="s">
        <v>72</v>
      </c>
      <c r="N258" s="2">
        <f>Table1[[#This Row],[Capacity (MW)]]*8760*0.72*10^-6</f>
        <v>0.19552319999999998</v>
      </c>
      <c r="O258" s="2" cm="1">
        <f t="array" ref="O258">AVERAGE(VLOOKUP(_xlfn.TEXTSPLIT(Table1[[#This Row],[Fuel (no space after comma)]], ","), FuelList_Final_EF!$A$2:$B$32, 2, FALSE))</f>
        <v>118.17</v>
      </c>
      <c r="P258" s="2">
        <f>(16112*Table1[[#This Row],[Generation (TWh)]]*10^9)/10^6</f>
        <v>3150269.7983999997</v>
      </c>
      <c r="Q258" s="2">
        <f>Table1[[#This Row],[Emission Factor (kg CO2/ mmBtu)]]*Table1[[#This Row],[Fuel Consumption (mmBtu)]]*10^3</f>
        <v>372267382076.92798</v>
      </c>
      <c r="R258" s="2">
        <f>(Table1[[#This Row],[CO2 Emissions (g CO2)]])/(Table1[[#This Row],[Generation (TWh)]]*10^9)</f>
        <v>1903.9550400000003</v>
      </c>
    </row>
    <row r="259" spans="1:18" hidden="1">
      <c r="A259" t="s">
        <v>80</v>
      </c>
      <c r="B259" t="s">
        <v>46</v>
      </c>
      <c r="C259" t="str">
        <f>SUBSTITUTE(Table1[[#This Row],[Fuel]],", ",",")</f>
        <v>bioenergy: agricultural waste (solids)</v>
      </c>
      <c r="D259" t="s">
        <v>46</v>
      </c>
      <c r="G259">
        <v>50</v>
      </c>
      <c r="H259" t="s">
        <v>27</v>
      </c>
      <c r="I259">
        <v>2021</v>
      </c>
      <c r="J259" t="s">
        <v>21</v>
      </c>
      <c r="K259">
        <v>-20.478100000000001</v>
      </c>
      <c r="L259">
        <v>-47.883099999999999</v>
      </c>
      <c r="M259" t="s">
        <v>49</v>
      </c>
      <c r="N259" s="2">
        <f>Table1[[#This Row],[Capacity (MW)]]*8760*0.72*10^-6</f>
        <v>0.31535999999999997</v>
      </c>
      <c r="O259" s="2" cm="1">
        <f t="array" ref="O259">AVERAGE(VLOOKUP(_xlfn.TEXTSPLIT(Table1[[#This Row],[Fuel (no space after comma)]], ","), FuelList_Final_EF!$A$2:$B$32, 2, FALSE))</f>
        <v>118.17</v>
      </c>
      <c r="P259" s="2">
        <f>(16112*Table1[[#This Row],[Generation (TWh)]]*10^9)/10^6</f>
        <v>5081080.32</v>
      </c>
      <c r="Q259" s="2">
        <f>Table1[[#This Row],[Emission Factor (kg CO2/ mmBtu)]]*Table1[[#This Row],[Fuel Consumption (mmBtu)]]*10^3</f>
        <v>600431261414.40015</v>
      </c>
      <c r="R259" s="2">
        <f>(Table1[[#This Row],[CO2 Emissions (g CO2)]])/(Table1[[#This Row],[Generation (TWh)]]*10^9)</f>
        <v>1903.9550400000005</v>
      </c>
    </row>
    <row r="260" spans="1:18" hidden="1">
      <c r="A260" t="s">
        <v>269</v>
      </c>
      <c r="B260" t="s">
        <v>46</v>
      </c>
      <c r="C260" t="str">
        <f>SUBSTITUTE(Table1[[#This Row],[Fuel]],", ",",")</f>
        <v>bioenergy: agricultural waste (solids)</v>
      </c>
      <c r="D260" t="s">
        <v>46</v>
      </c>
      <c r="G260">
        <v>30</v>
      </c>
      <c r="H260" t="s">
        <v>27</v>
      </c>
      <c r="I260">
        <v>2015</v>
      </c>
      <c r="J260" t="s">
        <v>21</v>
      </c>
      <c r="K260">
        <v>-7.4176000000000002</v>
      </c>
      <c r="L260">
        <v>-35.244100000000003</v>
      </c>
      <c r="M260" t="s">
        <v>49</v>
      </c>
      <c r="N260" s="2">
        <f>Table1[[#This Row],[Capacity (MW)]]*8760*0.72*10^-6</f>
        <v>0.189216</v>
      </c>
      <c r="O260" s="2" cm="1">
        <f t="array" ref="O260">AVERAGE(VLOOKUP(_xlfn.TEXTSPLIT(Table1[[#This Row],[Fuel (no space after comma)]], ","), FuelList_Final_EF!$A$2:$B$32, 2, FALSE))</f>
        <v>118.17</v>
      </c>
      <c r="P260" s="2">
        <f>(16112*Table1[[#This Row],[Generation (TWh)]]*10^9)/10^6</f>
        <v>3048648.1919999998</v>
      </c>
      <c r="Q260" s="2">
        <f>Table1[[#This Row],[Emission Factor (kg CO2/ mmBtu)]]*Table1[[#This Row],[Fuel Consumption (mmBtu)]]*10^3</f>
        <v>360258756848.63995</v>
      </c>
      <c r="R260" s="2">
        <f>(Table1[[#This Row],[CO2 Emissions (g CO2)]])/(Table1[[#This Row],[Generation (TWh)]]*10^9)</f>
        <v>1903.9550399999998</v>
      </c>
    </row>
    <row r="261" spans="1:18" hidden="1">
      <c r="A261" t="s">
        <v>270</v>
      </c>
      <c r="B261" t="s">
        <v>25</v>
      </c>
      <c r="C261" t="str">
        <f>SUBSTITUTE(Table1[[#This Row],[Fuel]],", ",",")</f>
        <v>bioenergy: wood &amp; other biomass (solids)</v>
      </c>
      <c r="D261" t="s">
        <v>25</v>
      </c>
      <c r="G261">
        <v>50</v>
      </c>
      <c r="H261" t="s">
        <v>27</v>
      </c>
      <c r="I261">
        <v>2019</v>
      </c>
      <c r="J261" t="s">
        <v>21</v>
      </c>
      <c r="K261">
        <v>34.900599999999997</v>
      </c>
      <c r="L261">
        <v>136.96199999999999</v>
      </c>
      <c r="M261" t="s">
        <v>51</v>
      </c>
      <c r="N261" s="2">
        <f>Table1[[#This Row],[Capacity (MW)]]*8760*0.72*10^-6</f>
        <v>0.31535999999999997</v>
      </c>
      <c r="O261" s="2" cm="1">
        <f t="array" ref="O261">AVERAGE(VLOOKUP(_xlfn.TEXTSPLIT(Table1[[#This Row],[Fuel (no space after comma)]], ","), FuelList_Final_EF!$A$2:$B$32, 2, FALSE))</f>
        <v>93.8</v>
      </c>
      <c r="P261" s="2">
        <f>(16112*Table1[[#This Row],[Generation (TWh)]]*10^9)/10^6</f>
        <v>5081080.32</v>
      </c>
      <c r="Q261" s="2">
        <f>Table1[[#This Row],[Emission Factor (kg CO2/ mmBtu)]]*Table1[[#This Row],[Fuel Consumption (mmBtu)]]*10^3</f>
        <v>476605334016.00006</v>
      </c>
      <c r="R261" s="2">
        <f>(Table1[[#This Row],[CO2 Emissions (g CO2)]])/(Table1[[#This Row],[Generation (TWh)]]*10^9)</f>
        <v>1511.3056000000001</v>
      </c>
    </row>
    <row r="262" spans="1:18">
      <c r="A262" t="s">
        <v>271</v>
      </c>
      <c r="B262" t="s">
        <v>46</v>
      </c>
      <c r="C262" t="str">
        <f>SUBSTITUTE(Table1[[#This Row],[Fuel]],", ",",")</f>
        <v>bioenergy: agricultural waste (solids)</v>
      </c>
      <c r="D262" t="s">
        <v>46</v>
      </c>
      <c r="G262">
        <v>150</v>
      </c>
      <c r="H262" t="s">
        <v>20</v>
      </c>
      <c r="I262" t="s">
        <v>21</v>
      </c>
      <c r="J262" t="s">
        <v>21</v>
      </c>
      <c r="K262">
        <v>-22.314499999999999</v>
      </c>
      <c r="L262">
        <v>-53.344200000000001</v>
      </c>
      <c r="M262" t="s">
        <v>49</v>
      </c>
      <c r="N262" s="2">
        <f>Table1[[#This Row],[Capacity (MW)]]*8760*0.72*10^-6</f>
        <v>0.94607999999999992</v>
      </c>
      <c r="O262" s="2" cm="1">
        <f t="array" ref="O262">AVERAGE(VLOOKUP(_xlfn.TEXTSPLIT(Table1[[#This Row],[Fuel (no space after comma)]], ","), FuelList_Final_EF!$A$2:$B$32, 2, FALSE))</f>
        <v>118.17</v>
      </c>
      <c r="P262" s="2">
        <f>(16112*Table1[[#This Row],[Generation (TWh)]]*10^9)/10^6</f>
        <v>15243240.960000001</v>
      </c>
      <c r="Q262" s="2">
        <f>Table1[[#This Row],[Emission Factor (kg CO2/ mmBtu)]]*Table1[[#This Row],[Fuel Consumption (mmBtu)]]*10^3</f>
        <v>1801293784243.2</v>
      </c>
      <c r="R262" s="2">
        <f>(Table1[[#This Row],[CO2 Emissions (g CO2)]])/(Table1[[#This Row],[Generation (TWh)]]*10^9)</f>
        <v>1903.9550400000003</v>
      </c>
    </row>
    <row r="263" spans="1:18" hidden="1">
      <c r="A263" t="s">
        <v>272</v>
      </c>
      <c r="B263" t="s">
        <v>46</v>
      </c>
      <c r="C263" t="str">
        <f>SUBSTITUTE(Table1[[#This Row],[Fuel]],", ",",")</f>
        <v>bioenergy: agricultural waste (solids)</v>
      </c>
      <c r="D263" t="s">
        <v>46</v>
      </c>
      <c r="G263">
        <v>40</v>
      </c>
      <c r="H263" t="s">
        <v>27</v>
      </c>
      <c r="I263">
        <v>2020</v>
      </c>
      <c r="J263" t="s">
        <v>21</v>
      </c>
      <c r="K263">
        <v>-19.924199999999999</v>
      </c>
      <c r="L263">
        <v>-49.155000000000001</v>
      </c>
      <c r="M263" t="s">
        <v>49</v>
      </c>
      <c r="N263" s="2">
        <f>Table1[[#This Row],[Capacity (MW)]]*8760*0.72*10^-6</f>
        <v>0.25228800000000001</v>
      </c>
      <c r="O263" s="2" cm="1">
        <f t="array" ref="O263">AVERAGE(VLOOKUP(_xlfn.TEXTSPLIT(Table1[[#This Row],[Fuel (no space after comma)]], ","), FuelList_Final_EF!$A$2:$B$32, 2, FALSE))</f>
        <v>118.17</v>
      </c>
      <c r="P263" s="2">
        <f>(16112*Table1[[#This Row],[Generation (TWh)]]*10^9)/10^6</f>
        <v>4064864.2560000005</v>
      </c>
      <c r="Q263" s="2">
        <f>Table1[[#This Row],[Emission Factor (kg CO2/ mmBtu)]]*Table1[[#This Row],[Fuel Consumption (mmBtu)]]*10^3</f>
        <v>480345009131.52008</v>
      </c>
      <c r="R263" s="2">
        <f>(Table1[[#This Row],[CO2 Emissions (g CO2)]])/(Table1[[#This Row],[Generation (TWh)]]*10^9)</f>
        <v>1903.9550400000003</v>
      </c>
    </row>
    <row r="264" spans="1:18" hidden="1">
      <c r="A264" t="s">
        <v>272</v>
      </c>
      <c r="B264" t="s">
        <v>46</v>
      </c>
      <c r="C264" t="str">
        <f>SUBSTITUTE(Table1[[#This Row],[Fuel]],", ",",")</f>
        <v>bioenergy: agricultural waste (solids)</v>
      </c>
      <c r="D264" t="s">
        <v>46</v>
      </c>
      <c r="G264">
        <v>54</v>
      </c>
      <c r="H264" t="s">
        <v>27</v>
      </c>
      <c r="I264">
        <v>2009</v>
      </c>
      <c r="J264" t="s">
        <v>21</v>
      </c>
      <c r="K264">
        <v>-19.918299999999999</v>
      </c>
      <c r="L264">
        <v>-49.145800000000001</v>
      </c>
      <c r="M264" t="s">
        <v>49</v>
      </c>
      <c r="N264" s="2">
        <f>Table1[[#This Row],[Capacity (MW)]]*8760*0.72*10^-6</f>
        <v>0.34058879999999997</v>
      </c>
      <c r="O264" s="2" cm="1">
        <f t="array" ref="O264">AVERAGE(VLOOKUP(_xlfn.TEXTSPLIT(Table1[[#This Row],[Fuel (no space after comma)]], ","), FuelList_Final_EF!$A$2:$B$32, 2, FALSE))</f>
        <v>118.17</v>
      </c>
      <c r="P264" s="2">
        <f>(16112*Table1[[#This Row],[Generation (TWh)]]*10^9)/10^6</f>
        <v>5487566.7455999991</v>
      </c>
      <c r="Q264" s="2">
        <f>Table1[[#This Row],[Emission Factor (kg CO2/ mmBtu)]]*Table1[[#This Row],[Fuel Consumption (mmBtu)]]*10^3</f>
        <v>648465762327.552</v>
      </c>
      <c r="R264" s="2">
        <f>(Table1[[#This Row],[CO2 Emissions (g CO2)]])/(Table1[[#This Row],[Generation (TWh)]]*10^9)</f>
        <v>1903.9550400000003</v>
      </c>
    </row>
    <row r="265" spans="1:18">
      <c r="A265" t="s">
        <v>273</v>
      </c>
      <c r="B265" t="s">
        <v>25</v>
      </c>
      <c r="C265" t="str">
        <f>SUBSTITUTE(Table1[[#This Row],[Fuel]],", ",",")</f>
        <v>bioenergy: wood &amp; other biomass (solids)</v>
      </c>
      <c r="D265" t="s">
        <v>25</v>
      </c>
      <c r="G265">
        <v>50</v>
      </c>
      <c r="H265" t="s">
        <v>53</v>
      </c>
      <c r="I265" t="s">
        <v>21</v>
      </c>
      <c r="J265" t="s">
        <v>21</v>
      </c>
      <c r="K265">
        <v>-21.776299999999999</v>
      </c>
      <c r="L265">
        <v>-54.965699999999998</v>
      </c>
      <c r="M265" t="s">
        <v>49</v>
      </c>
      <c r="N265" s="2">
        <f>Table1[[#This Row],[Capacity (MW)]]*8760*0.72*10^-6</f>
        <v>0.31535999999999997</v>
      </c>
      <c r="O265" s="2" cm="1">
        <f t="array" ref="O265">AVERAGE(VLOOKUP(_xlfn.TEXTSPLIT(Table1[[#This Row],[Fuel (no space after comma)]], ","), FuelList_Final_EF!$A$2:$B$32, 2, FALSE))</f>
        <v>93.8</v>
      </c>
      <c r="P265" s="2">
        <f>(16112*Table1[[#This Row],[Generation (TWh)]]*10^9)/10^6</f>
        <v>5081080.32</v>
      </c>
      <c r="Q265" s="2">
        <f>Table1[[#This Row],[Emission Factor (kg CO2/ mmBtu)]]*Table1[[#This Row],[Fuel Consumption (mmBtu)]]*10^3</f>
        <v>476605334016.00006</v>
      </c>
      <c r="R265" s="2">
        <f>(Table1[[#This Row],[CO2 Emissions (g CO2)]])/(Table1[[#This Row],[Generation (TWh)]]*10^9)</f>
        <v>1511.3056000000001</v>
      </c>
    </row>
    <row r="266" spans="1:18" hidden="1">
      <c r="A266" t="s">
        <v>274</v>
      </c>
      <c r="B266" t="s">
        <v>46</v>
      </c>
      <c r="C266" t="str">
        <f>SUBSTITUTE(Table1[[#This Row],[Fuel]],", ",",")</f>
        <v>bioenergy: agricultural waste (solids)</v>
      </c>
      <c r="D266" t="s">
        <v>46</v>
      </c>
      <c r="G266">
        <v>54</v>
      </c>
      <c r="H266" t="s">
        <v>27</v>
      </c>
      <c r="I266">
        <v>2006</v>
      </c>
      <c r="J266" t="s">
        <v>21</v>
      </c>
      <c r="K266">
        <v>-20.747800000000002</v>
      </c>
      <c r="L266">
        <v>-47.421799999999998</v>
      </c>
      <c r="M266" t="s">
        <v>49</v>
      </c>
      <c r="N266" s="2">
        <f>Table1[[#This Row],[Capacity (MW)]]*8760*0.72*10^-6</f>
        <v>0.34058879999999997</v>
      </c>
      <c r="O266" s="2" cm="1">
        <f t="array" ref="O266">AVERAGE(VLOOKUP(_xlfn.TEXTSPLIT(Table1[[#This Row],[Fuel (no space after comma)]], ","), FuelList_Final_EF!$A$2:$B$32, 2, FALSE))</f>
        <v>118.17</v>
      </c>
      <c r="P266" s="2">
        <f>(16112*Table1[[#This Row],[Generation (TWh)]]*10^9)/10^6</f>
        <v>5487566.7455999991</v>
      </c>
      <c r="Q266" s="2">
        <f>Table1[[#This Row],[Emission Factor (kg CO2/ mmBtu)]]*Table1[[#This Row],[Fuel Consumption (mmBtu)]]*10^3</f>
        <v>648465762327.552</v>
      </c>
      <c r="R266" s="2">
        <f>(Table1[[#This Row],[CO2 Emissions (g CO2)]])/(Table1[[#This Row],[Generation (TWh)]]*10^9)</f>
        <v>1903.9550400000003</v>
      </c>
    </row>
    <row r="267" spans="1:18" hidden="1">
      <c r="A267" t="s">
        <v>275</v>
      </c>
      <c r="B267" t="s">
        <v>25</v>
      </c>
      <c r="C267" t="str">
        <f>SUBSTITUTE(Table1[[#This Row],[Fuel]],", ",",")</f>
        <v>bioenergy: wood &amp; other biomass (solids)</v>
      </c>
      <c r="D267" t="s">
        <v>25</v>
      </c>
      <c r="G267">
        <v>30</v>
      </c>
      <c r="H267" t="s">
        <v>27</v>
      </c>
      <c r="I267">
        <v>2021</v>
      </c>
      <c r="J267" t="s">
        <v>21</v>
      </c>
      <c r="K267">
        <v>-29.8706</v>
      </c>
      <c r="L267">
        <v>-51.399000000000001</v>
      </c>
      <c r="M267" t="s">
        <v>49</v>
      </c>
      <c r="N267" s="2">
        <f>Table1[[#This Row],[Capacity (MW)]]*8760*0.72*10^-6</f>
        <v>0.189216</v>
      </c>
      <c r="O267" s="2" cm="1">
        <f t="array" ref="O267">AVERAGE(VLOOKUP(_xlfn.TEXTSPLIT(Table1[[#This Row],[Fuel (no space after comma)]], ","), FuelList_Final_EF!$A$2:$B$32, 2, FALSE))</f>
        <v>93.8</v>
      </c>
      <c r="P267" s="2">
        <f>(16112*Table1[[#This Row],[Generation (TWh)]]*10^9)/10^6</f>
        <v>3048648.1919999998</v>
      </c>
      <c r="Q267" s="2">
        <f>Table1[[#This Row],[Emission Factor (kg CO2/ mmBtu)]]*Table1[[#This Row],[Fuel Consumption (mmBtu)]]*10^3</f>
        <v>285963200409.59998</v>
      </c>
      <c r="R267" s="2">
        <f>(Table1[[#This Row],[CO2 Emissions (g CO2)]])/(Table1[[#This Row],[Generation (TWh)]]*10^9)</f>
        <v>1511.3055999999999</v>
      </c>
    </row>
    <row r="268" spans="1:18" hidden="1">
      <c r="A268" t="s">
        <v>276</v>
      </c>
      <c r="B268" t="s">
        <v>46</v>
      </c>
      <c r="C268" t="str">
        <f>SUBSTITUTE(Table1[[#This Row],[Fuel]],", ",",")</f>
        <v>bioenergy: agricultural waste (solids)</v>
      </c>
      <c r="D268" t="s">
        <v>46</v>
      </c>
      <c r="G268">
        <v>62</v>
      </c>
      <c r="H268" t="s">
        <v>27</v>
      </c>
      <c r="I268">
        <v>2015</v>
      </c>
      <c r="J268" t="s">
        <v>21</v>
      </c>
      <c r="K268">
        <v>13.439500000000001</v>
      </c>
      <c r="L268">
        <v>-88.151700000000005</v>
      </c>
      <c r="M268" t="s">
        <v>277</v>
      </c>
      <c r="N268" s="2">
        <f>Table1[[#This Row],[Capacity (MW)]]*8760*0.72*10^-6</f>
        <v>0.39104639999999996</v>
      </c>
      <c r="O268" s="2" cm="1">
        <f t="array" ref="O268">AVERAGE(VLOOKUP(_xlfn.TEXTSPLIT(Table1[[#This Row],[Fuel (no space after comma)]], ","), FuelList_Final_EF!$A$2:$B$32, 2, FALSE))</f>
        <v>118.17</v>
      </c>
      <c r="P268" s="2">
        <f>(16112*Table1[[#This Row],[Generation (TWh)]]*10^9)/10^6</f>
        <v>6300539.5967999995</v>
      </c>
      <c r="Q268" s="2">
        <f>Table1[[#This Row],[Emission Factor (kg CO2/ mmBtu)]]*Table1[[#This Row],[Fuel Consumption (mmBtu)]]*10^3</f>
        <v>744534764153.85596</v>
      </c>
      <c r="R268" s="2">
        <f>(Table1[[#This Row],[CO2 Emissions (g CO2)]])/(Table1[[#This Row],[Generation (TWh)]]*10^9)</f>
        <v>1903.9550400000003</v>
      </c>
    </row>
    <row r="269" spans="1:18" hidden="1">
      <c r="A269" t="s">
        <v>21</v>
      </c>
      <c r="B269" t="s">
        <v>61</v>
      </c>
      <c r="C269" t="str">
        <f>SUBSTITUTE(Table1[[#This Row],[Fuel]],", ",",")</f>
        <v>bioenergy: paper mill wastes</v>
      </c>
      <c r="D269" t="s">
        <v>61</v>
      </c>
      <c r="G269">
        <v>70</v>
      </c>
      <c r="H269" t="s">
        <v>27</v>
      </c>
      <c r="I269">
        <v>2019</v>
      </c>
      <c r="J269" t="s">
        <v>21</v>
      </c>
      <c r="K269">
        <v>36.859676999999998</v>
      </c>
      <c r="L269">
        <v>118.699591</v>
      </c>
      <c r="M269" t="s">
        <v>102</v>
      </c>
      <c r="N269" s="2">
        <f>Table1[[#This Row],[Capacity (MW)]]*8760*0.72*10^-6</f>
        <v>0.44150400000000001</v>
      </c>
      <c r="O269" s="2" cm="1">
        <f t="array" ref="O269">AVERAGE(VLOOKUP(_xlfn.TEXTSPLIT(Table1[[#This Row],[Fuel (no space after comma)]], ","), FuelList_Final_EF!$A$2:$B$32, 2, FALSE))</f>
        <v>100.47443331576173</v>
      </c>
      <c r="P269" s="2">
        <f>(16112*Table1[[#This Row],[Generation (TWh)]]*10^9)/10^6</f>
        <v>7113512.4479999999</v>
      </c>
      <c r="Q269" s="2">
        <f>Table1[[#This Row],[Emission Factor (kg CO2/ mmBtu)]]*Table1[[#This Row],[Fuel Consumption (mmBtu)]]*10^3</f>
        <v>714726132097.41699</v>
      </c>
      <c r="R269" s="2">
        <f>(Table1[[#This Row],[CO2 Emissions (g CO2)]])/(Table1[[#This Row],[Generation (TWh)]]*10^9)</f>
        <v>1618.8440695835529</v>
      </c>
    </row>
    <row r="270" spans="1:18" hidden="1">
      <c r="A270" t="s">
        <v>21</v>
      </c>
      <c r="B270" t="s">
        <v>61</v>
      </c>
      <c r="C270" t="str">
        <f>SUBSTITUTE(Table1[[#This Row],[Fuel]],", ",",")</f>
        <v>bioenergy: paper mill wastes</v>
      </c>
      <c r="D270" t="s">
        <v>61</v>
      </c>
      <c r="G270">
        <v>165</v>
      </c>
      <c r="H270" t="s">
        <v>27</v>
      </c>
      <c r="I270">
        <v>2019</v>
      </c>
      <c r="J270" t="s">
        <v>21</v>
      </c>
      <c r="K270">
        <v>36.859676999999998</v>
      </c>
      <c r="L270">
        <v>118.699591</v>
      </c>
      <c r="M270" t="s">
        <v>102</v>
      </c>
      <c r="N270" s="2">
        <f>Table1[[#This Row],[Capacity (MW)]]*8760*0.72*10^-6</f>
        <v>1.0406880000000001</v>
      </c>
      <c r="O270" s="2" cm="1">
        <f t="array" ref="O270">AVERAGE(VLOOKUP(_xlfn.TEXTSPLIT(Table1[[#This Row],[Fuel (no space after comma)]], ","), FuelList_Final_EF!$A$2:$B$32, 2, FALSE))</f>
        <v>100.47443331576173</v>
      </c>
      <c r="P270" s="2">
        <f>(16112*Table1[[#This Row],[Generation (TWh)]]*10^9)/10^6</f>
        <v>16767565.056</v>
      </c>
      <c r="Q270" s="2">
        <f>Table1[[#This Row],[Emission Factor (kg CO2/ mmBtu)]]*Table1[[#This Row],[Fuel Consumption (mmBtu)]]*10^3</f>
        <v>1684711597086.7686</v>
      </c>
      <c r="R270" s="2">
        <f>(Table1[[#This Row],[CO2 Emissions (g CO2)]])/(Table1[[#This Row],[Generation (TWh)]]*10^9)</f>
        <v>1618.8440695835529</v>
      </c>
    </row>
    <row r="271" spans="1:18" hidden="1">
      <c r="A271" t="s">
        <v>278</v>
      </c>
      <c r="B271" t="s">
        <v>46</v>
      </c>
      <c r="C271" t="str">
        <f>SUBSTITUTE(Table1[[#This Row],[Fuel]],", ",",")</f>
        <v>bioenergy: agricultural waste (solids)</v>
      </c>
      <c r="D271" t="s">
        <v>46</v>
      </c>
      <c r="G271">
        <v>30</v>
      </c>
      <c r="H271" t="s">
        <v>27</v>
      </c>
      <c r="I271">
        <v>2015</v>
      </c>
      <c r="J271" t="s">
        <v>21</v>
      </c>
      <c r="K271">
        <v>31.611599999999999</v>
      </c>
      <c r="L271">
        <v>72.7607</v>
      </c>
      <c r="M271" t="s">
        <v>160</v>
      </c>
      <c r="N271" s="2">
        <f>Table1[[#This Row],[Capacity (MW)]]*8760*0.72*10^-6</f>
        <v>0.189216</v>
      </c>
      <c r="O271" s="2" cm="1">
        <f t="array" ref="O271">AVERAGE(VLOOKUP(_xlfn.TEXTSPLIT(Table1[[#This Row],[Fuel (no space after comma)]], ","), FuelList_Final_EF!$A$2:$B$32, 2, FALSE))</f>
        <v>118.17</v>
      </c>
      <c r="P271" s="2">
        <f>(16112*Table1[[#This Row],[Generation (TWh)]]*10^9)/10^6</f>
        <v>3048648.1919999998</v>
      </c>
      <c r="Q271" s="2">
        <f>Table1[[#This Row],[Emission Factor (kg CO2/ mmBtu)]]*Table1[[#This Row],[Fuel Consumption (mmBtu)]]*10^3</f>
        <v>360258756848.63995</v>
      </c>
      <c r="R271" s="2">
        <f>(Table1[[#This Row],[CO2 Emissions (g CO2)]])/(Table1[[#This Row],[Generation (TWh)]]*10^9)</f>
        <v>1903.9550399999998</v>
      </c>
    </row>
    <row r="272" spans="1:18" hidden="1">
      <c r="A272" t="s">
        <v>278</v>
      </c>
      <c r="B272" t="s">
        <v>46</v>
      </c>
      <c r="C272" t="str">
        <f>SUBSTITUTE(Table1[[#This Row],[Fuel]],", ",",")</f>
        <v>bioenergy: agricultural waste (solids)</v>
      </c>
      <c r="D272" t="s">
        <v>46</v>
      </c>
      <c r="G272">
        <v>30</v>
      </c>
      <c r="H272" t="s">
        <v>27</v>
      </c>
      <c r="I272">
        <v>2015</v>
      </c>
      <c r="J272" t="s">
        <v>21</v>
      </c>
      <c r="K272">
        <v>31.611599999999999</v>
      </c>
      <c r="L272">
        <v>72.7607</v>
      </c>
      <c r="M272" t="s">
        <v>160</v>
      </c>
      <c r="N272" s="2">
        <f>Table1[[#This Row],[Capacity (MW)]]*8760*0.72*10^-6</f>
        <v>0.189216</v>
      </c>
      <c r="O272" s="2" cm="1">
        <f t="array" ref="O272">AVERAGE(VLOOKUP(_xlfn.TEXTSPLIT(Table1[[#This Row],[Fuel (no space after comma)]], ","), FuelList_Final_EF!$A$2:$B$32, 2, FALSE))</f>
        <v>118.17</v>
      </c>
      <c r="P272" s="2">
        <f>(16112*Table1[[#This Row],[Generation (TWh)]]*10^9)/10^6</f>
        <v>3048648.1919999998</v>
      </c>
      <c r="Q272" s="2">
        <f>Table1[[#This Row],[Emission Factor (kg CO2/ mmBtu)]]*Table1[[#This Row],[Fuel Consumption (mmBtu)]]*10^3</f>
        <v>360258756848.63995</v>
      </c>
      <c r="R272" s="2">
        <f>(Table1[[#This Row],[CO2 Emissions (g CO2)]])/(Table1[[#This Row],[Generation (TWh)]]*10^9)</f>
        <v>1903.9550399999998</v>
      </c>
    </row>
    <row r="273" spans="1:18">
      <c r="A273" t="s">
        <v>279</v>
      </c>
      <c r="B273" t="s">
        <v>46</v>
      </c>
      <c r="C273" t="str">
        <f>SUBSTITUTE(Table1[[#This Row],[Fuel]],", ",",")</f>
        <v>bioenergy: agricultural waste (solids)</v>
      </c>
      <c r="D273" t="s">
        <v>46</v>
      </c>
      <c r="G273">
        <v>225</v>
      </c>
      <c r="H273" t="s">
        <v>138</v>
      </c>
      <c r="I273" t="s">
        <v>21</v>
      </c>
      <c r="J273" t="s">
        <v>21</v>
      </c>
      <c r="K273">
        <v>-20.8676645</v>
      </c>
      <c r="L273">
        <v>32.2362477</v>
      </c>
      <c r="M273" t="s">
        <v>280</v>
      </c>
      <c r="N273" s="2">
        <f>Table1[[#This Row],[Capacity (MW)]]*8760*0.72*10^-6</f>
        <v>1.4191199999999999</v>
      </c>
      <c r="O273" s="2" cm="1">
        <f t="array" ref="O273">AVERAGE(VLOOKUP(_xlfn.TEXTSPLIT(Table1[[#This Row],[Fuel (no space after comma)]], ","), FuelList_Final_EF!$A$2:$B$32, 2, FALSE))</f>
        <v>118.17</v>
      </c>
      <c r="P273" s="2">
        <f>(16112*Table1[[#This Row],[Generation (TWh)]]*10^9)/10^6</f>
        <v>22864861.440000001</v>
      </c>
      <c r="Q273" s="2">
        <f>Table1[[#This Row],[Emission Factor (kg CO2/ mmBtu)]]*Table1[[#This Row],[Fuel Consumption (mmBtu)]]*10^3</f>
        <v>2701940676364.7998</v>
      </c>
      <c r="R273" s="2">
        <f>(Table1[[#This Row],[CO2 Emissions (g CO2)]])/(Table1[[#This Row],[Generation (TWh)]]*10^9)</f>
        <v>1903.9550399999998</v>
      </c>
    </row>
    <row r="274" spans="1:18" hidden="1">
      <c r="A274" t="s">
        <v>281</v>
      </c>
      <c r="B274" t="s">
        <v>25</v>
      </c>
      <c r="C274" t="str">
        <f>SUBSTITUTE(Table1[[#This Row],[Fuel]],", ",",")</f>
        <v>bioenergy: wood &amp; other biomass (solids)</v>
      </c>
      <c r="D274" t="s">
        <v>25</v>
      </c>
      <c r="G274">
        <v>75</v>
      </c>
      <c r="H274" t="s">
        <v>53</v>
      </c>
      <c r="I274">
        <v>2025</v>
      </c>
      <c r="J274" t="s">
        <v>21</v>
      </c>
      <c r="K274">
        <v>34.0227</v>
      </c>
      <c r="L274">
        <v>131.0179</v>
      </c>
      <c r="M274" t="s">
        <v>51</v>
      </c>
      <c r="N274" s="2">
        <f>Table1[[#This Row],[Capacity (MW)]]*8760*0.72*10^-6</f>
        <v>0.47303999999999996</v>
      </c>
      <c r="O274" s="2" cm="1">
        <f t="array" ref="O274">AVERAGE(VLOOKUP(_xlfn.TEXTSPLIT(Table1[[#This Row],[Fuel (no space after comma)]], ","), FuelList_Final_EF!$A$2:$B$32, 2, FALSE))</f>
        <v>93.8</v>
      </c>
      <c r="P274" s="2">
        <f>(16112*Table1[[#This Row],[Generation (TWh)]]*10^9)/10^6</f>
        <v>7621620.4800000004</v>
      </c>
      <c r="Q274" s="2">
        <f>Table1[[#This Row],[Emission Factor (kg CO2/ mmBtu)]]*Table1[[#This Row],[Fuel Consumption (mmBtu)]]*10^3</f>
        <v>714908001024</v>
      </c>
      <c r="R274" s="2">
        <f>(Table1[[#This Row],[CO2 Emissions (g CO2)]])/(Table1[[#This Row],[Generation (TWh)]]*10^9)</f>
        <v>1511.3056000000001</v>
      </c>
    </row>
    <row r="275" spans="1:18" hidden="1">
      <c r="A275" t="s">
        <v>54</v>
      </c>
      <c r="B275" t="s">
        <v>210</v>
      </c>
      <c r="C275" t="str">
        <f>SUBSTITUTE(Table1[[#This Row],[Fuel]],", ",",")</f>
        <v>bioenergy: wood &amp; other biomass (solids),bioenergy: agricultural waste (solids)</v>
      </c>
      <c r="D275" t="s">
        <v>25</v>
      </c>
      <c r="E275" t="s">
        <v>46</v>
      </c>
      <c r="G275">
        <v>53</v>
      </c>
      <c r="H275" t="s">
        <v>53</v>
      </c>
      <c r="I275">
        <v>2024</v>
      </c>
      <c r="J275" t="s">
        <v>21</v>
      </c>
      <c r="K275">
        <v>38.9801</v>
      </c>
      <c r="L275">
        <v>139.85419999999999</v>
      </c>
      <c r="M275" t="s">
        <v>51</v>
      </c>
      <c r="N275" s="2">
        <f>Table1[[#This Row],[Capacity (MW)]]*8760*0.72*10^-6</f>
        <v>0.33428159999999996</v>
      </c>
      <c r="O275" s="2" cm="1">
        <f t="array" ref="O275">AVERAGE(VLOOKUP(_xlfn.TEXTSPLIT(Table1[[#This Row],[Fuel (no space after comma)]], ","), FuelList_Final_EF!$A$2:$B$32, 2, FALSE))</f>
        <v>105.985</v>
      </c>
      <c r="P275" s="2">
        <f>(16112*Table1[[#This Row],[Generation (TWh)]]*10^9)/10^6</f>
        <v>5385945.1391999992</v>
      </c>
      <c r="Q275" s="2">
        <f>Table1[[#This Row],[Emission Factor (kg CO2/ mmBtu)]]*Table1[[#This Row],[Fuel Consumption (mmBtu)]]*10^3</f>
        <v>570829395578.11194</v>
      </c>
      <c r="R275" s="2">
        <f>(Table1[[#This Row],[CO2 Emissions (g CO2)]])/(Table1[[#This Row],[Generation (TWh)]]*10^9)</f>
        <v>1707.6303200000002</v>
      </c>
    </row>
    <row r="276" spans="1:18" hidden="1">
      <c r="A276" t="s">
        <v>136</v>
      </c>
      <c r="B276" t="s">
        <v>25</v>
      </c>
      <c r="C276" t="str">
        <f>SUBSTITUTE(Table1[[#This Row],[Fuel]],", ",",")</f>
        <v>bioenergy: wood &amp; other biomass (solids)</v>
      </c>
      <c r="D276" t="s">
        <v>25</v>
      </c>
      <c r="G276">
        <v>30</v>
      </c>
      <c r="H276" t="s">
        <v>27</v>
      </c>
      <c r="I276">
        <v>2003</v>
      </c>
      <c r="J276" t="s">
        <v>21</v>
      </c>
      <c r="K276">
        <v>-37.164000000000001</v>
      </c>
      <c r="L276">
        <v>-72.069900000000004</v>
      </c>
      <c r="M276" t="s">
        <v>98</v>
      </c>
      <c r="N276" s="2">
        <f>Table1[[#This Row],[Capacity (MW)]]*8760*0.72*10^-6</f>
        <v>0.189216</v>
      </c>
      <c r="O276" s="2" cm="1">
        <f t="array" ref="O276">AVERAGE(VLOOKUP(_xlfn.TEXTSPLIT(Table1[[#This Row],[Fuel (no space after comma)]], ","), FuelList_Final_EF!$A$2:$B$32, 2, FALSE))</f>
        <v>93.8</v>
      </c>
      <c r="P276" s="2">
        <f>(16112*Table1[[#This Row],[Generation (TWh)]]*10^9)/10^6</f>
        <v>3048648.1919999998</v>
      </c>
      <c r="Q276" s="2">
        <f>Table1[[#This Row],[Emission Factor (kg CO2/ mmBtu)]]*Table1[[#This Row],[Fuel Consumption (mmBtu)]]*10^3</f>
        <v>285963200409.59998</v>
      </c>
      <c r="R276" s="2">
        <f>(Table1[[#This Row],[CO2 Emissions (g CO2)]])/(Table1[[#This Row],[Generation (TWh)]]*10^9)</f>
        <v>1511.3055999999999</v>
      </c>
    </row>
    <row r="277" spans="1:18" hidden="1">
      <c r="A277" t="s">
        <v>282</v>
      </c>
      <c r="B277" t="s">
        <v>19</v>
      </c>
      <c r="C277" t="str">
        <f>SUBSTITUTE(Table1[[#This Row],[Fuel]],", ",",")</f>
        <v>bioenergy: refuse (municipal and industrial wastes)</v>
      </c>
      <c r="D277" t="s">
        <v>19</v>
      </c>
      <c r="G277">
        <v>35</v>
      </c>
      <c r="H277" t="s">
        <v>27</v>
      </c>
      <c r="I277">
        <v>2018</v>
      </c>
      <c r="J277" t="s">
        <v>21</v>
      </c>
      <c r="K277">
        <v>29.1738</v>
      </c>
      <c r="L277">
        <v>106.3968</v>
      </c>
      <c r="M277" t="s">
        <v>102</v>
      </c>
      <c r="N277" s="2">
        <f>Table1[[#This Row],[Capacity (MW)]]*8760*0.72*10^-6</f>
        <v>0.220752</v>
      </c>
      <c r="O277" s="2" cm="1">
        <f t="array" ref="O277">AVERAGE(VLOOKUP(_xlfn.TEXTSPLIT(Table1[[#This Row],[Fuel (no space after comma)]], ","), FuelList_Final_EF!$A$2:$B$32, 2, FALSE))</f>
        <v>105.42962572482868</v>
      </c>
      <c r="P277" s="2">
        <f>(16112*Table1[[#This Row],[Generation (TWh)]]*10^9)/10^6</f>
        <v>3556756.2239999999</v>
      </c>
      <c r="Q277" s="2">
        <f>Table1[[#This Row],[Emission Factor (kg CO2/ mmBtu)]]*Table1[[#This Row],[Fuel Consumption (mmBtu)]]*10^3</f>
        <v>374987477490.7749</v>
      </c>
      <c r="R277" s="2">
        <f>(Table1[[#This Row],[CO2 Emissions (g CO2)]])/(Table1[[#This Row],[Generation (TWh)]]*10^9)</f>
        <v>1698.6821296784397</v>
      </c>
    </row>
    <row r="278" spans="1:18" hidden="1">
      <c r="A278" t="s">
        <v>282</v>
      </c>
      <c r="B278" t="s">
        <v>19</v>
      </c>
      <c r="C278" t="str">
        <f>SUBSTITUTE(Table1[[#This Row],[Fuel]],", ",",")</f>
        <v>bioenergy: refuse (municipal and industrial wastes)</v>
      </c>
      <c r="D278" t="s">
        <v>19</v>
      </c>
      <c r="G278">
        <v>35</v>
      </c>
      <c r="H278" t="s">
        <v>27</v>
      </c>
      <c r="I278">
        <v>2018</v>
      </c>
      <c r="J278" t="s">
        <v>21</v>
      </c>
      <c r="K278">
        <v>29.1738</v>
      </c>
      <c r="L278">
        <v>106.3968</v>
      </c>
      <c r="M278" t="s">
        <v>102</v>
      </c>
      <c r="N278" s="2">
        <f>Table1[[#This Row],[Capacity (MW)]]*8760*0.72*10^-6</f>
        <v>0.220752</v>
      </c>
      <c r="O278" s="2" cm="1">
        <f t="array" ref="O278">AVERAGE(VLOOKUP(_xlfn.TEXTSPLIT(Table1[[#This Row],[Fuel (no space after comma)]], ","), FuelList_Final_EF!$A$2:$B$32, 2, FALSE))</f>
        <v>105.42962572482868</v>
      </c>
      <c r="P278" s="2">
        <f>(16112*Table1[[#This Row],[Generation (TWh)]]*10^9)/10^6</f>
        <v>3556756.2239999999</v>
      </c>
      <c r="Q278" s="2">
        <f>Table1[[#This Row],[Emission Factor (kg CO2/ mmBtu)]]*Table1[[#This Row],[Fuel Consumption (mmBtu)]]*10^3</f>
        <v>374987477490.7749</v>
      </c>
      <c r="R278" s="2">
        <f>(Table1[[#This Row],[CO2 Emissions (g CO2)]])/(Table1[[#This Row],[Generation (TWh)]]*10^9)</f>
        <v>1698.6821296784397</v>
      </c>
    </row>
    <row r="279" spans="1:18" hidden="1">
      <c r="A279" t="s">
        <v>282</v>
      </c>
      <c r="B279" t="s">
        <v>19</v>
      </c>
      <c r="C279" t="str">
        <f>SUBSTITUTE(Table1[[#This Row],[Fuel]],", ",",")</f>
        <v>bioenergy: refuse (municipal and industrial wastes)</v>
      </c>
      <c r="D279" t="s">
        <v>19</v>
      </c>
      <c r="G279">
        <v>35</v>
      </c>
      <c r="H279" t="s">
        <v>27</v>
      </c>
      <c r="I279">
        <v>2018</v>
      </c>
      <c r="J279" t="s">
        <v>21</v>
      </c>
      <c r="K279">
        <v>29.1738</v>
      </c>
      <c r="L279">
        <v>106.3968</v>
      </c>
      <c r="M279" t="s">
        <v>102</v>
      </c>
      <c r="N279" s="2">
        <f>Table1[[#This Row],[Capacity (MW)]]*8760*0.72*10^-6</f>
        <v>0.220752</v>
      </c>
      <c r="O279" s="2" cm="1">
        <f t="array" ref="O279">AVERAGE(VLOOKUP(_xlfn.TEXTSPLIT(Table1[[#This Row],[Fuel (no space after comma)]], ","), FuelList_Final_EF!$A$2:$B$32, 2, FALSE))</f>
        <v>105.42962572482868</v>
      </c>
      <c r="P279" s="2">
        <f>(16112*Table1[[#This Row],[Generation (TWh)]]*10^9)/10^6</f>
        <v>3556756.2239999999</v>
      </c>
      <c r="Q279" s="2">
        <f>Table1[[#This Row],[Emission Factor (kg CO2/ mmBtu)]]*Table1[[#This Row],[Fuel Consumption (mmBtu)]]*10^3</f>
        <v>374987477490.7749</v>
      </c>
      <c r="R279" s="2">
        <f>(Table1[[#This Row],[CO2 Emissions (g CO2)]])/(Table1[[#This Row],[Generation (TWh)]]*10^9)</f>
        <v>1698.6821296784397</v>
      </c>
    </row>
    <row r="280" spans="1:18" hidden="1">
      <c r="A280" t="s">
        <v>120</v>
      </c>
      <c r="B280" t="s">
        <v>105</v>
      </c>
      <c r="C280" t="str">
        <f>SUBSTITUTE(Table1[[#This Row],[Fuel]],", ",",")</f>
        <v>bioenergy: agricultural waste (solids),bioenergy: wood &amp; other biomass (solids)</v>
      </c>
      <c r="D280" t="s">
        <v>46</v>
      </c>
      <c r="E280" t="s">
        <v>25</v>
      </c>
      <c r="G280">
        <v>30</v>
      </c>
      <c r="H280" t="s">
        <v>27</v>
      </c>
      <c r="I280">
        <v>2013</v>
      </c>
      <c r="J280" t="s">
        <v>21</v>
      </c>
      <c r="K280">
        <v>29.910299999999999</v>
      </c>
      <c r="L280">
        <v>107.783</v>
      </c>
      <c r="M280" t="s">
        <v>102</v>
      </c>
      <c r="N280" s="2">
        <f>Table1[[#This Row],[Capacity (MW)]]*8760*0.72*10^-6</f>
        <v>0.189216</v>
      </c>
      <c r="O280" s="2" cm="1">
        <f t="array" ref="O280">AVERAGE(VLOOKUP(_xlfn.TEXTSPLIT(Table1[[#This Row],[Fuel (no space after comma)]], ","), FuelList_Final_EF!$A$2:$B$32, 2, FALSE))</f>
        <v>105.985</v>
      </c>
      <c r="P280" s="2">
        <f>(16112*Table1[[#This Row],[Generation (TWh)]]*10^9)/10^6</f>
        <v>3048648.1919999998</v>
      </c>
      <c r="Q280" s="2">
        <f>Table1[[#This Row],[Emission Factor (kg CO2/ mmBtu)]]*Table1[[#This Row],[Fuel Consumption (mmBtu)]]*10^3</f>
        <v>323110978629.12</v>
      </c>
      <c r="R280" s="2">
        <f>(Table1[[#This Row],[CO2 Emissions (g CO2)]])/(Table1[[#This Row],[Generation (TWh)]]*10^9)</f>
        <v>1707.63032</v>
      </c>
    </row>
    <row r="281" spans="1:18">
      <c r="A281" t="s">
        <v>120</v>
      </c>
      <c r="B281" t="s">
        <v>46</v>
      </c>
      <c r="C281" t="str">
        <f>SUBSTITUTE(Table1[[#This Row],[Fuel]],", ",",")</f>
        <v>bioenergy: agricultural waste (solids)</v>
      </c>
      <c r="D281" t="s">
        <v>46</v>
      </c>
      <c r="G281">
        <v>30</v>
      </c>
      <c r="H281" t="s">
        <v>138</v>
      </c>
      <c r="I281" t="s">
        <v>21</v>
      </c>
      <c r="J281" t="s">
        <v>21</v>
      </c>
      <c r="K281">
        <v>29.2864</v>
      </c>
      <c r="L281">
        <v>108.15349999999999</v>
      </c>
      <c r="M281" t="s">
        <v>102</v>
      </c>
      <c r="N281" s="2">
        <f>Table1[[#This Row],[Capacity (MW)]]*8760*0.72*10^-6</f>
        <v>0.189216</v>
      </c>
      <c r="O281" s="2" cm="1">
        <f t="array" ref="O281">AVERAGE(VLOOKUP(_xlfn.TEXTSPLIT(Table1[[#This Row],[Fuel (no space after comma)]], ","), FuelList_Final_EF!$A$2:$B$32, 2, FALSE))</f>
        <v>118.17</v>
      </c>
      <c r="P281" s="2">
        <f>(16112*Table1[[#This Row],[Generation (TWh)]]*10^9)/10^6</f>
        <v>3048648.1919999998</v>
      </c>
      <c r="Q281" s="2">
        <f>Table1[[#This Row],[Emission Factor (kg CO2/ mmBtu)]]*Table1[[#This Row],[Fuel Consumption (mmBtu)]]*10^3</f>
        <v>360258756848.63995</v>
      </c>
      <c r="R281" s="2">
        <f>(Table1[[#This Row],[CO2 Emissions (g CO2)]])/(Table1[[#This Row],[Generation (TWh)]]*10^9)</f>
        <v>1903.9550399999998</v>
      </c>
    </row>
    <row r="282" spans="1:18">
      <c r="A282" t="s">
        <v>283</v>
      </c>
      <c r="B282" t="s">
        <v>46</v>
      </c>
      <c r="C282" t="str">
        <f>SUBSTITUTE(Table1[[#This Row],[Fuel]],", ",",")</f>
        <v>bioenergy: agricultural waste (solids)</v>
      </c>
      <c r="D282" t="s">
        <v>46</v>
      </c>
      <c r="G282">
        <v>30</v>
      </c>
      <c r="H282" t="s">
        <v>138</v>
      </c>
      <c r="I282" t="s">
        <v>21</v>
      </c>
      <c r="J282" t="s">
        <v>21</v>
      </c>
      <c r="K282">
        <v>28.451699999999999</v>
      </c>
      <c r="L282">
        <v>109.0038</v>
      </c>
      <c r="M282" t="s">
        <v>102</v>
      </c>
      <c r="N282" s="2">
        <f>Table1[[#This Row],[Capacity (MW)]]*8760*0.72*10^-6</f>
        <v>0.189216</v>
      </c>
      <c r="O282" s="2" cm="1">
        <f t="array" ref="O282">AVERAGE(VLOOKUP(_xlfn.TEXTSPLIT(Table1[[#This Row],[Fuel (no space after comma)]], ","), FuelList_Final_EF!$A$2:$B$32, 2, FALSE))</f>
        <v>118.17</v>
      </c>
      <c r="P282" s="2">
        <f>(16112*Table1[[#This Row],[Generation (TWh)]]*10^9)/10^6</f>
        <v>3048648.1919999998</v>
      </c>
      <c r="Q282" s="2">
        <f>Table1[[#This Row],[Emission Factor (kg CO2/ mmBtu)]]*Table1[[#This Row],[Fuel Consumption (mmBtu)]]*10^3</f>
        <v>360258756848.63995</v>
      </c>
      <c r="R282" s="2">
        <f>(Table1[[#This Row],[CO2 Emissions (g CO2)]])/(Table1[[#This Row],[Generation (TWh)]]*10^9)</f>
        <v>1903.9550399999998</v>
      </c>
    </row>
    <row r="283" spans="1:18">
      <c r="A283" t="s">
        <v>283</v>
      </c>
      <c r="B283" t="s">
        <v>46</v>
      </c>
      <c r="C283" t="str">
        <f>SUBSTITUTE(Table1[[#This Row],[Fuel]],", ",",")</f>
        <v>bioenergy: agricultural waste (solids)</v>
      </c>
      <c r="D283" t="s">
        <v>46</v>
      </c>
      <c r="G283">
        <v>30</v>
      </c>
      <c r="H283" t="s">
        <v>138</v>
      </c>
      <c r="I283" t="s">
        <v>21</v>
      </c>
      <c r="J283" t="s">
        <v>21</v>
      </c>
      <c r="K283">
        <v>28.750399999999999</v>
      </c>
      <c r="L283">
        <v>108.9662</v>
      </c>
      <c r="M283" t="s">
        <v>102</v>
      </c>
      <c r="N283" s="2">
        <f>Table1[[#This Row],[Capacity (MW)]]*8760*0.72*10^-6</f>
        <v>0.189216</v>
      </c>
      <c r="O283" s="2" cm="1">
        <f t="array" ref="O283">AVERAGE(VLOOKUP(_xlfn.TEXTSPLIT(Table1[[#This Row],[Fuel (no space after comma)]], ","), FuelList_Final_EF!$A$2:$B$32, 2, FALSE))</f>
        <v>118.17</v>
      </c>
      <c r="P283" s="2">
        <f>(16112*Table1[[#This Row],[Generation (TWh)]]*10^9)/10^6</f>
        <v>3048648.1919999998</v>
      </c>
      <c r="Q283" s="2">
        <f>Table1[[#This Row],[Emission Factor (kg CO2/ mmBtu)]]*Table1[[#This Row],[Fuel Consumption (mmBtu)]]*10^3</f>
        <v>360258756848.63995</v>
      </c>
      <c r="R283" s="2">
        <f>(Table1[[#This Row],[CO2 Emissions (g CO2)]])/(Table1[[#This Row],[Generation (TWh)]]*10^9)</f>
        <v>1903.9550399999998</v>
      </c>
    </row>
    <row r="284" spans="1:18" hidden="1">
      <c r="A284" t="s">
        <v>282</v>
      </c>
      <c r="B284" t="s">
        <v>19</v>
      </c>
      <c r="C284" t="str">
        <f>SUBSTITUTE(Table1[[#This Row],[Fuel]],", ",",")</f>
        <v>bioenergy: refuse (municipal and industrial wastes)</v>
      </c>
      <c r="D284" t="s">
        <v>19</v>
      </c>
      <c r="G284">
        <v>45</v>
      </c>
      <c r="H284" t="s">
        <v>27</v>
      </c>
      <c r="I284">
        <v>2021</v>
      </c>
      <c r="J284" t="s">
        <v>21</v>
      </c>
      <c r="K284">
        <v>29.680900000000001</v>
      </c>
      <c r="L284">
        <v>106.88249999999999</v>
      </c>
      <c r="M284" t="s">
        <v>102</v>
      </c>
      <c r="N284" s="2">
        <f>Table1[[#This Row],[Capacity (MW)]]*8760*0.72*10^-6</f>
        <v>0.28382399999999997</v>
      </c>
      <c r="O284" s="2" cm="1">
        <f t="array" ref="O284">AVERAGE(VLOOKUP(_xlfn.TEXTSPLIT(Table1[[#This Row],[Fuel (no space after comma)]], ","), FuelList_Final_EF!$A$2:$B$32, 2, FALSE))</f>
        <v>105.42962572482868</v>
      </c>
      <c r="P284" s="2">
        <f>(16112*Table1[[#This Row],[Generation (TWh)]]*10^9)/10^6</f>
        <v>4572972.2879999988</v>
      </c>
      <c r="Q284" s="2">
        <f>Table1[[#This Row],[Emission Factor (kg CO2/ mmBtu)]]*Table1[[#This Row],[Fuel Consumption (mmBtu)]]*10^3</f>
        <v>482126756773.85333</v>
      </c>
      <c r="R284" s="2">
        <f>(Table1[[#This Row],[CO2 Emissions (g CO2)]])/(Table1[[#This Row],[Generation (TWh)]]*10^9)</f>
        <v>1698.6821296784397</v>
      </c>
    </row>
    <row r="285" spans="1:18" hidden="1">
      <c r="A285" t="s">
        <v>282</v>
      </c>
      <c r="B285" t="s">
        <v>19</v>
      </c>
      <c r="C285" t="str">
        <f>SUBSTITUTE(Table1[[#This Row],[Fuel]],", ",",")</f>
        <v>bioenergy: refuse (municipal and industrial wastes)</v>
      </c>
      <c r="D285" t="s">
        <v>19</v>
      </c>
      <c r="G285">
        <v>45</v>
      </c>
      <c r="H285" t="s">
        <v>27</v>
      </c>
      <c r="I285">
        <v>2021</v>
      </c>
      <c r="J285" t="s">
        <v>21</v>
      </c>
      <c r="K285">
        <v>29.680900000000001</v>
      </c>
      <c r="L285">
        <v>106.88249999999999</v>
      </c>
      <c r="M285" t="s">
        <v>102</v>
      </c>
      <c r="N285" s="2">
        <f>Table1[[#This Row],[Capacity (MW)]]*8760*0.72*10^-6</f>
        <v>0.28382399999999997</v>
      </c>
      <c r="O285" s="2" cm="1">
        <f t="array" ref="O285">AVERAGE(VLOOKUP(_xlfn.TEXTSPLIT(Table1[[#This Row],[Fuel (no space after comma)]], ","), FuelList_Final_EF!$A$2:$B$32, 2, FALSE))</f>
        <v>105.42962572482868</v>
      </c>
      <c r="P285" s="2">
        <f>(16112*Table1[[#This Row],[Generation (TWh)]]*10^9)/10^6</f>
        <v>4572972.2879999988</v>
      </c>
      <c r="Q285" s="2">
        <f>Table1[[#This Row],[Emission Factor (kg CO2/ mmBtu)]]*Table1[[#This Row],[Fuel Consumption (mmBtu)]]*10^3</f>
        <v>482126756773.85333</v>
      </c>
      <c r="R285" s="2">
        <f>(Table1[[#This Row],[CO2 Emissions (g CO2)]])/(Table1[[#This Row],[Generation (TWh)]]*10^9)</f>
        <v>1698.6821296784397</v>
      </c>
    </row>
    <row r="286" spans="1:18">
      <c r="A286" t="s">
        <v>284</v>
      </c>
      <c r="B286" t="s">
        <v>105</v>
      </c>
      <c r="C286" t="str">
        <f>SUBSTITUTE(Table1[[#This Row],[Fuel]],", ",",")</f>
        <v>bioenergy: agricultural waste (solids),bioenergy: wood &amp; other biomass (solids)</v>
      </c>
      <c r="D286" t="s">
        <v>46</v>
      </c>
      <c r="E286" t="s">
        <v>25</v>
      </c>
      <c r="G286">
        <v>35</v>
      </c>
      <c r="H286" t="s">
        <v>71</v>
      </c>
      <c r="I286" t="s">
        <v>21</v>
      </c>
      <c r="J286" t="s">
        <v>21</v>
      </c>
      <c r="K286">
        <v>30.224</v>
      </c>
      <c r="L286">
        <v>108.0412</v>
      </c>
      <c r="M286" t="s">
        <v>102</v>
      </c>
      <c r="N286" s="2">
        <f>Table1[[#This Row],[Capacity (MW)]]*8760*0.72*10^-6</f>
        <v>0.220752</v>
      </c>
      <c r="O286" s="2" cm="1">
        <f t="array" ref="O286">AVERAGE(VLOOKUP(_xlfn.TEXTSPLIT(Table1[[#This Row],[Fuel (no space after comma)]], ","), FuelList_Final_EF!$A$2:$B$32, 2, FALSE))</f>
        <v>105.985</v>
      </c>
      <c r="P286" s="2">
        <f>(16112*Table1[[#This Row],[Generation (TWh)]]*10^9)/10^6</f>
        <v>3556756.2239999999</v>
      </c>
      <c r="Q286" s="2">
        <f>Table1[[#This Row],[Emission Factor (kg CO2/ mmBtu)]]*Table1[[#This Row],[Fuel Consumption (mmBtu)]]*10^3</f>
        <v>376962808400.64001</v>
      </c>
      <c r="R286" s="2">
        <f>(Table1[[#This Row],[CO2 Emissions (g CO2)]])/(Table1[[#This Row],[Generation (TWh)]]*10^9)</f>
        <v>1707.63032</v>
      </c>
    </row>
    <row r="287" spans="1:18" hidden="1">
      <c r="A287" t="s">
        <v>285</v>
      </c>
      <c r="B287" t="s">
        <v>46</v>
      </c>
      <c r="C287" t="str">
        <f>SUBSTITUTE(Table1[[#This Row],[Fuel]],", ",",")</f>
        <v>bioenergy: agricultural waste (solids)</v>
      </c>
      <c r="D287" t="s">
        <v>46</v>
      </c>
      <c r="G287">
        <v>80</v>
      </c>
      <c r="H287" t="s">
        <v>20</v>
      </c>
      <c r="I287">
        <v>2026</v>
      </c>
      <c r="J287" t="s">
        <v>21</v>
      </c>
      <c r="K287">
        <v>-22.590800000000002</v>
      </c>
      <c r="L287">
        <v>-48.749400000000001</v>
      </c>
      <c r="M287" t="s">
        <v>49</v>
      </c>
      <c r="N287" s="2">
        <f>Table1[[#This Row],[Capacity (MW)]]*8760*0.72*10^-6</f>
        <v>0.50457600000000002</v>
      </c>
      <c r="O287" s="2" cm="1">
        <f t="array" ref="O287">AVERAGE(VLOOKUP(_xlfn.TEXTSPLIT(Table1[[#This Row],[Fuel (no space after comma)]], ","), FuelList_Final_EF!$A$2:$B$32, 2, FALSE))</f>
        <v>118.17</v>
      </c>
      <c r="P287" s="2">
        <f>(16112*Table1[[#This Row],[Generation (TWh)]]*10^9)/10^6</f>
        <v>8129728.512000001</v>
      </c>
      <c r="Q287" s="2">
        <f>Table1[[#This Row],[Emission Factor (kg CO2/ mmBtu)]]*Table1[[#This Row],[Fuel Consumption (mmBtu)]]*10^3</f>
        <v>960690018263.04016</v>
      </c>
      <c r="R287" s="2">
        <f>(Table1[[#This Row],[CO2 Emissions (g CO2)]])/(Table1[[#This Row],[Generation (TWh)]]*10^9)</f>
        <v>1903.9550400000003</v>
      </c>
    </row>
    <row r="288" spans="1:18" hidden="1">
      <c r="A288" t="s">
        <v>286</v>
      </c>
      <c r="B288" t="s">
        <v>210</v>
      </c>
      <c r="C288" t="str">
        <f>SUBSTITUTE(Table1[[#This Row],[Fuel]],", ",",")</f>
        <v>bioenergy: wood &amp; other biomass (solids),bioenergy: agricultural waste (solids)</v>
      </c>
      <c r="D288" t="s">
        <v>25</v>
      </c>
      <c r="E288" t="s">
        <v>46</v>
      </c>
      <c r="G288">
        <v>60</v>
      </c>
      <c r="H288" t="s">
        <v>27</v>
      </c>
      <c r="I288">
        <v>2021</v>
      </c>
      <c r="J288" t="s">
        <v>21</v>
      </c>
      <c r="K288">
        <v>22.0091</v>
      </c>
      <c r="L288">
        <v>-78.705200000000005</v>
      </c>
      <c r="M288" t="s">
        <v>287</v>
      </c>
      <c r="N288" s="2">
        <f>Table1[[#This Row],[Capacity (MW)]]*8760*0.72*10^-6</f>
        <v>0.37843199999999999</v>
      </c>
      <c r="O288" s="2" cm="1">
        <f t="array" ref="O288">AVERAGE(VLOOKUP(_xlfn.TEXTSPLIT(Table1[[#This Row],[Fuel (no space after comma)]], ","), FuelList_Final_EF!$A$2:$B$32, 2, FALSE))</f>
        <v>105.985</v>
      </c>
      <c r="P288" s="2">
        <f>(16112*Table1[[#This Row],[Generation (TWh)]]*10^9)/10^6</f>
        <v>6097296.3839999996</v>
      </c>
      <c r="Q288" s="2">
        <f>Table1[[#This Row],[Emission Factor (kg CO2/ mmBtu)]]*Table1[[#This Row],[Fuel Consumption (mmBtu)]]*10^3</f>
        <v>646221957258.23999</v>
      </c>
      <c r="R288" s="2">
        <f>(Table1[[#This Row],[CO2 Emissions (g CO2)]])/(Table1[[#This Row],[Generation (TWh)]]*10^9)</f>
        <v>1707.63032</v>
      </c>
    </row>
    <row r="289" spans="1:18" hidden="1">
      <c r="A289" t="s">
        <v>288</v>
      </c>
      <c r="B289" t="s">
        <v>46</v>
      </c>
      <c r="C289" t="str">
        <f>SUBSTITUTE(Table1[[#This Row],[Fuel]],", ",",")</f>
        <v>bioenergy: agricultural waste (solids)</v>
      </c>
      <c r="D289" t="s">
        <v>46</v>
      </c>
      <c r="G289">
        <v>45</v>
      </c>
      <c r="H289" t="s">
        <v>27</v>
      </c>
      <c r="I289">
        <v>2010</v>
      </c>
      <c r="J289" t="s">
        <v>21</v>
      </c>
      <c r="K289">
        <v>-21.850300000000001</v>
      </c>
      <c r="L289">
        <v>-50.247199999999999</v>
      </c>
      <c r="M289" t="s">
        <v>49</v>
      </c>
      <c r="N289" s="2">
        <f>Table1[[#This Row],[Capacity (MW)]]*8760*0.72*10^-6</f>
        <v>0.28382399999999997</v>
      </c>
      <c r="O289" s="2" cm="1">
        <f t="array" ref="O289">AVERAGE(VLOOKUP(_xlfn.TEXTSPLIT(Table1[[#This Row],[Fuel (no space after comma)]], ","), FuelList_Final_EF!$A$2:$B$32, 2, FALSE))</f>
        <v>118.17</v>
      </c>
      <c r="P289" s="2">
        <f>(16112*Table1[[#This Row],[Generation (TWh)]]*10^9)/10^6</f>
        <v>4572972.2879999988</v>
      </c>
      <c r="Q289" s="2">
        <f>Table1[[#This Row],[Emission Factor (kg CO2/ mmBtu)]]*Table1[[#This Row],[Fuel Consumption (mmBtu)]]*10^3</f>
        <v>540388135272.95984</v>
      </c>
      <c r="R289" s="2">
        <f>(Table1[[#This Row],[CO2 Emissions (g CO2)]])/(Table1[[#This Row],[Generation (TWh)]]*10^9)</f>
        <v>1903.9550399999998</v>
      </c>
    </row>
    <row r="290" spans="1:18">
      <c r="A290" t="s">
        <v>289</v>
      </c>
      <c r="B290" t="s">
        <v>19</v>
      </c>
      <c r="C290" t="str">
        <f>SUBSTITUTE(Table1[[#This Row],[Fuel]],", ",",")</f>
        <v>bioenergy: refuse (municipal and industrial wastes)</v>
      </c>
      <c r="D290" t="s">
        <v>19</v>
      </c>
      <c r="G290">
        <v>58</v>
      </c>
      <c r="H290" t="s">
        <v>172</v>
      </c>
      <c r="I290" t="s">
        <v>21</v>
      </c>
      <c r="J290" t="s">
        <v>21</v>
      </c>
      <c r="K290">
        <v>-33.817</v>
      </c>
      <c r="L290">
        <v>150.85249999999999</v>
      </c>
      <c r="M290" t="s">
        <v>235</v>
      </c>
      <c r="N290" s="2">
        <f>Table1[[#This Row],[Capacity (MW)]]*8760*0.72*10^-6</f>
        <v>0.36581759999999997</v>
      </c>
      <c r="O290" s="2" cm="1">
        <f t="array" ref="O290">AVERAGE(VLOOKUP(_xlfn.TEXTSPLIT(Table1[[#This Row],[Fuel (no space after comma)]], ","), FuelList_Final_EF!$A$2:$B$32, 2, FALSE))</f>
        <v>105.42962572482868</v>
      </c>
      <c r="P290" s="2">
        <f>(16112*Table1[[#This Row],[Generation (TWh)]]*10^9)/10^6</f>
        <v>5894053.1711999988</v>
      </c>
      <c r="Q290" s="2">
        <f>Table1[[#This Row],[Emission Factor (kg CO2/ mmBtu)]]*Table1[[#This Row],[Fuel Consumption (mmBtu)]]*10^3</f>
        <v>621407819841.85547</v>
      </c>
      <c r="R290" s="2">
        <f>(Table1[[#This Row],[CO2 Emissions (g CO2)]])/(Table1[[#This Row],[Generation (TWh)]]*10^9)</f>
        <v>1698.6821296784397</v>
      </c>
    </row>
    <row r="291" spans="1:18" hidden="1">
      <c r="A291" t="s">
        <v>290</v>
      </c>
      <c r="B291" t="s">
        <v>61</v>
      </c>
      <c r="C291" t="str">
        <f>SUBSTITUTE(Table1[[#This Row],[Fuel]],", ",",")</f>
        <v>bioenergy: paper mill wastes</v>
      </c>
      <c r="D291" t="s">
        <v>61</v>
      </c>
      <c r="G291">
        <v>45</v>
      </c>
      <c r="H291" t="s">
        <v>27</v>
      </c>
      <c r="I291">
        <v>2013</v>
      </c>
      <c r="J291" t="s">
        <v>21</v>
      </c>
      <c r="K291">
        <v>-37.288899999999998</v>
      </c>
      <c r="L291">
        <v>-72.712199999999996</v>
      </c>
      <c r="M291" t="s">
        <v>98</v>
      </c>
      <c r="N291" s="2">
        <f>Table1[[#This Row],[Capacity (MW)]]*8760*0.72*10^-6</f>
        <v>0.28382399999999997</v>
      </c>
      <c r="O291" s="2" cm="1">
        <f t="array" ref="O291">AVERAGE(VLOOKUP(_xlfn.TEXTSPLIT(Table1[[#This Row],[Fuel (no space after comma)]], ","), FuelList_Final_EF!$A$2:$B$32, 2, FALSE))</f>
        <v>100.47443331576173</v>
      </c>
      <c r="P291" s="2">
        <f>(16112*Table1[[#This Row],[Generation (TWh)]]*10^9)/10^6</f>
        <v>4572972.2879999988</v>
      </c>
      <c r="Q291" s="2">
        <f>Table1[[#This Row],[Emission Factor (kg CO2/ mmBtu)]]*Table1[[#This Row],[Fuel Consumption (mmBtu)]]*10^3</f>
        <v>459466799205.48224</v>
      </c>
      <c r="R291" s="2">
        <f>(Table1[[#This Row],[CO2 Emissions (g CO2)]])/(Table1[[#This Row],[Generation (TWh)]]*10^9)</f>
        <v>1618.8440695835529</v>
      </c>
    </row>
    <row r="292" spans="1:18" hidden="1">
      <c r="A292" t="s">
        <v>290</v>
      </c>
      <c r="B292" t="s">
        <v>25</v>
      </c>
      <c r="C292" t="str">
        <f>SUBSTITUTE(Table1[[#This Row],[Fuel]],", ",",")</f>
        <v>bioenergy: wood &amp; other biomass (solids)</v>
      </c>
      <c r="D292" t="s">
        <v>25</v>
      </c>
      <c r="G292">
        <v>63</v>
      </c>
      <c r="H292" t="s">
        <v>27</v>
      </c>
      <c r="I292">
        <v>2013</v>
      </c>
      <c r="J292" t="s">
        <v>21</v>
      </c>
      <c r="K292">
        <v>-37.288899999999998</v>
      </c>
      <c r="L292">
        <v>-72.712199999999996</v>
      </c>
      <c r="M292" t="s">
        <v>98</v>
      </c>
      <c r="N292" s="2">
        <f>Table1[[#This Row],[Capacity (MW)]]*8760*0.72*10^-6</f>
        <v>0.39735359999999997</v>
      </c>
      <c r="O292" s="2" cm="1">
        <f t="array" ref="O292">AVERAGE(VLOOKUP(_xlfn.TEXTSPLIT(Table1[[#This Row],[Fuel (no space after comma)]], ","), FuelList_Final_EF!$A$2:$B$32, 2, FALSE))</f>
        <v>93.8</v>
      </c>
      <c r="P292" s="2">
        <f>(16112*Table1[[#This Row],[Generation (TWh)]]*10^9)/10^6</f>
        <v>6402161.2031999994</v>
      </c>
      <c r="Q292" s="2">
        <f>Table1[[#This Row],[Emission Factor (kg CO2/ mmBtu)]]*Table1[[#This Row],[Fuel Consumption (mmBtu)]]*10^3</f>
        <v>600522720860.15991</v>
      </c>
      <c r="R292" s="2">
        <f>(Table1[[#This Row],[CO2 Emissions (g CO2)]])/(Table1[[#This Row],[Generation (TWh)]]*10^9)</f>
        <v>1511.3055999999997</v>
      </c>
    </row>
    <row r="293" spans="1:18" hidden="1">
      <c r="A293" t="s">
        <v>291</v>
      </c>
      <c r="B293" t="s">
        <v>61</v>
      </c>
      <c r="C293" t="str">
        <f>SUBSTITUTE(Table1[[#This Row],[Fuel]],", ",",")</f>
        <v>bioenergy: paper mill wastes</v>
      </c>
      <c r="D293" t="s">
        <v>61</v>
      </c>
      <c r="G293">
        <v>58</v>
      </c>
      <c r="H293" t="s">
        <v>27</v>
      </c>
      <c r="I293">
        <v>1971</v>
      </c>
      <c r="J293" t="s">
        <v>21</v>
      </c>
      <c r="K293">
        <v>-30.129300000000001</v>
      </c>
      <c r="L293">
        <v>-51.297499999999999</v>
      </c>
      <c r="M293" t="s">
        <v>49</v>
      </c>
      <c r="N293" s="2">
        <f>Table1[[#This Row],[Capacity (MW)]]*8760*0.72*10^-6</f>
        <v>0.36581759999999997</v>
      </c>
      <c r="O293" s="2" cm="1">
        <f t="array" ref="O293">AVERAGE(VLOOKUP(_xlfn.TEXTSPLIT(Table1[[#This Row],[Fuel (no space after comma)]], ","), FuelList_Final_EF!$A$2:$B$32, 2, FALSE))</f>
        <v>100.47443331576173</v>
      </c>
      <c r="P293" s="2">
        <f>(16112*Table1[[#This Row],[Generation (TWh)]]*10^9)/10^6</f>
        <v>5894053.1711999988</v>
      </c>
      <c r="Q293" s="2">
        <f>Table1[[#This Row],[Emission Factor (kg CO2/ mmBtu)]]*Table1[[#This Row],[Fuel Consumption (mmBtu)]]*10^3</f>
        <v>592201652309.28821</v>
      </c>
      <c r="R293" s="2">
        <f>(Table1[[#This Row],[CO2 Emissions (g CO2)]])/(Table1[[#This Row],[Generation (TWh)]]*10^9)</f>
        <v>1618.8440695835529</v>
      </c>
    </row>
    <row r="294" spans="1:18" hidden="1">
      <c r="A294" t="s">
        <v>291</v>
      </c>
      <c r="B294" t="s">
        <v>61</v>
      </c>
      <c r="C294" t="str">
        <f>SUBSTITUTE(Table1[[#This Row],[Fuel]],", ",",")</f>
        <v>bioenergy: paper mill wastes</v>
      </c>
      <c r="D294" t="s">
        <v>61</v>
      </c>
      <c r="G294">
        <v>96</v>
      </c>
      <c r="H294" t="s">
        <v>27</v>
      </c>
      <c r="I294">
        <v>2015</v>
      </c>
      <c r="J294" t="s">
        <v>21</v>
      </c>
      <c r="K294">
        <v>-30.129300000000001</v>
      </c>
      <c r="L294">
        <v>-51.297499999999999</v>
      </c>
      <c r="M294" t="s">
        <v>49</v>
      </c>
      <c r="N294" s="2">
        <f>Table1[[#This Row],[Capacity (MW)]]*8760*0.72*10^-6</f>
        <v>0.6054911999999999</v>
      </c>
      <c r="O294" s="2" cm="1">
        <f t="array" ref="O294">AVERAGE(VLOOKUP(_xlfn.TEXTSPLIT(Table1[[#This Row],[Fuel (no space after comma)]], ","), FuelList_Final_EF!$A$2:$B$32, 2, FALSE))</f>
        <v>100.47443331576173</v>
      </c>
      <c r="P294" s="2">
        <f>(16112*Table1[[#This Row],[Generation (TWh)]]*10^9)/10^6</f>
        <v>9755674.2143999971</v>
      </c>
      <c r="Q294" s="2">
        <f>Table1[[#This Row],[Emission Factor (kg CO2/ mmBtu)]]*Table1[[#This Row],[Fuel Consumption (mmBtu)]]*10^3</f>
        <v>980195838305.02869</v>
      </c>
      <c r="R294" s="2">
        <f>(Table1[[#This Row],[CO2 Emissions (g CO2)]])/(Table1[[#This Row],[Generation (TWh)]]*10^9)</f>
        <v>1618.8440695835527</v>
      </c>
    </row>
    <row r="295" spans="1:18" hidden="1">
      <c r="A295" t="s">
        <v>291</v>
      </c>
      <c r="B295" t="s">
        <v>61</v>
      </c>
      <c r="C295" t="str">
        <f>SUBSTITUTE(Table1[[#This Row],[Fuel]],", ",",")</f>
        <v>bioenergy: paper mill wastes</v>
      </c>
      <c r="D295" t="s">
        <v>61</v>
      </c>
      <c r="G295">
        <v>96</v>
      </c>
      <c r="H295" t="s">
        <v>27</v>
      </c>
      <c r="I295">
        <v>2015</v>
      </c>
      <c r="J295" t="s">
        <v>21</v>
      </c>
      <c r="K295">
        <v>-30.129300000000001</v>
      </c>
      <c r="L295">
        <v>-51.297499999999999</v>
      </c>
      <c r="M295" t="s">
        <v>49</v>
      </c>
      <c r="N295" s="2">
        <f>Table1[[#This Row],[Capacity (MW)]]*8760*0.72*10^-6</f>
        <v>0.6054911999999999</v>
      </c>
      <c r="O295" s="2" cm="1">
        <f t="array" ref="O295">AVERAGE(VLOOKUP(_xlfn.TEXTSPLIT(Table1[[#This Row],[Fuel (no space after comma)]], ","), FuelList_Final_EF!$A$2:$B$32, 2, FALSE))</f>
        <v>100.47443331576173</v>
      </c>
      <c r="P295" s="2">
        <f>(16112*Table1[[#This Row],[Generation (TWh)]]*10^9)/10^6</f>
        <v>9755674.2143999971</v>
      </c>
      <c r="Q295" s="2">
        <f>Table1[[#This Row],[Emission Factor (kg CO2/ mmBtu)]]*Table1[[#This Row],[Fuel Consumption (mmBtu)]]*10^3</f>
        <v>980195838305.02869</v>
      </c>
      <c r="R295" s="2">
        <f>(Table1[[#This Row],[CO2 Emissions (g CO2)]])/(Table1[[#This Row],[Generation (TWh)]]*10^9)</f>
        <v>1618.8440695835527</v>
      </c>
    </row>
    <row r="296" spans="1:18" hidden="1">
      <c r="A296" t="s">
        <v>290</v>
      </c>
      <c r="B296" t="s">
        <v>61</v>
      </c>
      <c r="C296" t="str">
        <f>SUBSTITUTE(Table1[[#This Row],[Fuel]],", ",",")</f>
        <v>bioenergy: paper mill wastes</v>
      </c>
      <c r="D296" t="s">
        <v>61</v>
      </c>
      <c r="G296">
        <v>92</v>
      </c>
      <c r="H296" t="s">
        <v>27</v>
      </c>
      <c r="I296">
        <v>2012</v>
      </c>
      <c r="J296" t="s">
        <v>21</v>
      </c>
      <c r="K296">
        <v>-37.512999999999998</v>
      </c>
      <c r="L296">
        <v>-72.654399999999995</v>
      </c>
      <c r="M296" t="s">
        <v>98</v>
      </c>
      <c r="N296" s="2">
        <f>Table1[[#This Row],[Capacity (MW)]]*8760*0.72*10^-6</f>
        <v>0.58026239999999996</v>
      </c>
      <c r="O296" s="2" cm="1">
        <f t="array" ref="O296">AVERAGE(VLOOKUP(_xlfn.TEXTSPLIT(Table1[[#This Row],[Fuel (no space after comma)]], ","), FuelList_Final_EF!$A$2:$B$32, 2, FALSE))</f>
        <v>100.47443331576173</v>
      </c>
      <c r="P296" s="2">
        <f>(16112*Table1[[#This Row],[Generation (TWh)]]*10^9)/10^6</f>
        <v>9349187.7887999993</v>
      </c>
      <c r="Q296" s="2">
        <f>Table1[[#This Row],[Emission Factor (kg CO2/ mmBtu)]]*Table1[[#This Row],[Fuel Consumption (mmBtu)]]*10^3</f>
        <v>939354345042.31946</v>
      </c>
      <c r="R296" s="2">
        <f>(Table1[[#This Row],[CO2 Emissions (g CO2)]])/(Table1[[#This Row],[Generation (TWh)]]*10^9)</f>
        <v>1618.8440695835529</v>
      </c>
    </row>
    <row r="297" spans="1:18">
      <c r="A297" t="s">
        <v>292</v>
      </c>
      <c r="B297" t="s">
        <v>46</v>
      </c>
      <c r="C297" t="str">
        <f>SUBSTITUTE(Table1[[#This Row],[Fuel]],", ",",")</f>
        <v>bioenergy: agricultural waste (solids)</v>
      </c>
      <c r="D297" t="s">
        <v>46</v>
      </c>
      <c r="G297">
        <v>105</v>
      </c>
      <c r="H297" t="s">
        <v>97</v>
      </c>
      <c r="I297" t="s">
        <v>21</v>
      </c>
      <c r="J297" t="s">
        <v>21</v>
      </c>
      <c r="K297">
        <v>-15.694900000000001</v>
      </c>
      <c r="L297">
        <v>-49.433300000000003</v>
      </c>
      <c r="M297" t="s">
        <v>49</v>
      </c>
      <c r="N297" s="2">
        <f>Table1[[#This Row],[Capacity (MW)]]*8760*0.72*10^-6</f>
        <v>0.66225599999999996</v>
      </c>
      <c r="O297" s="2" cm="1">
        <f t="array" ref="O297">AVERAGE(VLOOKUP(_xlfn.TEXTSPLIT(Table1[[#This Row],[Fuel (no space after comma)]], ","), FuelList_Final_EF!$A$2:$B$32, 2, FALSE))</f>
        <v>118.17</v>
      </c>
      <c r="P297" s="2">
        <f>(16112*Table1[[#This Row],[Generation (TWh)]]*10^9)/10^6</f>
        <v>10670268.672</v>
      </c>
      <c r="Q297" s="2">
        <f>Table1[[#This Row],[Emission Factor (kg CO2/ mmBtu)]]*Table1[[#This Row],[Fuel Consumption (mmBtu)]]*10^3</f>
        <v>1260905648970.2402</v>
      </c>
      <c r="R297" s="2">
        <f>(Table1[[#This Row],[CO2 Emissions (g CO2)]])/(Table1[[#This Row],[Generation (TWh)]]*10^9)</f>
        <v>1903.9550400000003</v>
      </c>
    </row>
    <row r="298" spans="1:18" hidden="1">
      <c r="A298" t="s">
        <v>293</v>
      </c>
      <c r="B298" t="s">
        <v>25</v>
      </c>
      <c r="C298" t="str">
        <f>SUBSTITUTE(Table1[[#This Row],[Fuel]],", ",",")</f>
        <v>bioenergy: wood &amp; other biomass (solids)</v>
      </c>
      <c r="D298" t="s">
        <v>25</v>
      </c>
      <c r="G298">
        <v>32</v>
      </c>
      <c r="H298" t="s">
        <v>294</v>
      </c>
      <c r="I298">
        <v>1986</v>
      </c>
      <c r="J298" t="s">
        <v>21</v>
      </c>
      <c r="K298">
        <v>35.021799999999999</v>
      </c>
      <c r="L298">
        <v>-77.858500000000006</v>
      </c>
      <c r="M298" t="s">
        <v>62</v>
      </c>
      <c r="N298" s="2">
        <f>Table1[[#This Row],[Capacity (MW)]]*8760*0.72*10^-6</f>
        <v>0.20183039999999999</v>
      </c>
      <c r="O298" s="2" cm="1">
        <f t="array" ref="O298">AVERAGE(VLOOKUP(_xlfn.TEXTSPLIT(Table1[[#This Row],[Fuel (no space after comma)]], ","), FuelList_Final_EF!$A$2:$B$32, 2, FALSE))</f>
        <v>93.8</v>
      </c>
      <c r="P298" s="2">
        <f>(16112*Table1[[#This Row],[Generation (TWh)]]*10^9)/10^6</f>
        <v>3251891.4047999997</v>
      </c>
      <c r="Q298" s="2">
        <f>Table1[[#This Row],[Emission Factor (kg CO2/ mmBtu)]]*Table1[[#This Row],[Fuel Consumption (mmBtu)]]*10^3</f>
        <v>305027413770.23993</v>
      </c>
      <c r="R298" s="2">
        <f>(Table1[[#This Row],[CO2 Emissions (g CO2)]])/(Table1[[#This Row],[Generation (TWh)]]*10^9)</f>
        <v>1511.3055999999997</v>
      </c>
    </row>
    <row r="299" spans="1:18" hidden="1">
      <c r="A299" t="s">
        <v>254</v>
      </c>
      <c r="B299" t="s">
        <v>46</v>
      </c>
      <c r="C299" t="str">
        <f>SUBSTITUTE(Table1[[#This Row],[Fuel]],", ",",")</f>
        <v>bioenergy: agricultural waste (solids)</v>
      </c>
      <c r="D299" t="s">
        <v>46</v>
      </c>
      <c r="G299">
        <v>40</v>
      </c>
      <c r="H299" t="s">
        <v>27</v>
      </c>
      <c r="I299">
        <v>2010</v>
      </c>
      <c r="J299" t="s">
        <v>21</v>
      </c>
      <c r="K299">
        <v>-22.530899999999999</v>
      </c>
      <c r="L299">
        <v>-51.509099999999997</v>
      </c>
      <c r="M299" t="s">
        <v>49</v>
      </c>
      <c r="N299" s="2">
        <f>Table1[[#This Row],[Capacity (MW)]]*8760*0.72*10^-6</f>
        <v>0.25228800000000001</v>
      </c>
      <c r="O299" s="2" cm="1">
        <f t="array" ref="O299">AVERAGE(VLOOKUP(_xlfn.TEXTSPLIT(Table1[[#This Row],[Fuel (no space after comma)]], ","), FuelList_Final_EF!$A$2:$B$32, 2, FALSE))</f>
        <v>118.17</v>
      </c>
      <c r="P299" s="2">
        <f>(16112*Table1[[#This Row],[Generation (TWh)]]*10^9)/10^6</f>
        <v>4064864.2560000005</v>
      </c>
      <c r="Q299" s="2">
        <f>Table1[[#This Row],[Emission Factor (kg CO2/ mmBtu)]]*Table1[[#This Row],[Fuel Consumption (mmBtu)]]*10^3</f>
        <v>480345009131.52008</v>
      </c>
      <c r="R299" s="2">
        <f>(Table1[[#This Row],[CO2 Emissions (g CO2)]])/(Table1[[#This Row],[Generation (TWh)]]*10^9)</f>
        <v>1903.9550400000003</v>
      </c>
    </row>
    <row r="300" spans="1:18" hidden="1">
      <c r="A300" t="s">
        <v>254</v>
      </c>
      <c r="B300" t="s">
        <v>46</v>
      </c>
      <c r="C300" t="str">
        <f>SUBSTITUTE(Table1[[#This Row],[Fuel]],", ",",")</f>
        <v>bioenergy: agricultural waste (solids)</v>
      </c>
      <c r="D300" t="s">
        <v>46</v>
      </c>
      <c r="G300">
        <v>40</v>
      </c>
      <c r="H300" t="s">
        <v>27</v>
      </c>
      <c r="I300">
        <v>2010</v>
      </c>
      <c r="J300" t="s">
        <v>21</v>
      </c>
      <c r="K300">
        <v>-22.530899999999999</v>
      </c>
      <c r="L300">
        <v>-51.509099999999997</v>
      </c>
      <c r="M300" t="s">
        <v>49</v>
      </c>
      <c r="N300" s="2">
        <f>Table1[[#This Row],[Capacity (MW)]]*8760*0.72*10^-6</f>
        <v>0.25228800000000001</v>
      </c>
      <c r="O300" s="2" cm="1">
        <f t="array" ref="O300">AVERAGE(VLOOKUP(_xlfn.TEXTSPLIT(Table1[[#This Row],[Fuel (no space after comma)]], ","), FuelList_Final_EF!$A$2:$B$32, 2, FALSE))</f>
        <v>118.17</v>
      </c>
      <c r="P300" s="2">
        <f>(16112*Table1[[#This Row],[Generation (TWh)]]*10^9)/10^6</f>
        <v>4064864.2560000005</v>
      </c>
      <c r="Q300" s="2">
        <f>Table1[[#This Row],[Emission Factor (kg CO2/ mmBtu)]]*Table1[[#This Row],[Fuel Consumption (mmBtu)]]*10^3</f>
        <v>480345009131.52008</v>
      </c>
      <c r="R300" s="2">
        <f>(Table1[[#This Row],[CO2 Emissions (g CO2)]])/(Table1[[#This Row],[Generation (TWh)]]*10^9)</f>
        <v>1903.9550400000003</v>
      </c>
    </row>
    <row r="301" spans="1:18" hidden="1">
      <c r="A301" t="s">
        <v>254</v>
      </c>
      <c r="B301" t="s">
        <v>46</v>
      </c>
      <c r="C301" t="str">
        <f>SUBSTITUTE(Table1[[#This Row],[Fuel]],", ",",")</f>
        <v>bioenergy: agricultural waste (solids)</v>
      </c>
      <c r="D301" t="s">
        <v>46</v>
      </c>
      <c r="G301">
        <v>51</v>
      </c>
      <c r="H301" t="s">
        <v>27</v>
      </c>
      <c r="I301">
        <v>2014</v>
      </c>
      <c r="J301" t="s">
        <v>21</v>
      </c>
      <c r="K301">
        <v>-22.530899999999999</v>
      </c>
      <c r="L301">
        <v>-51.509099999999997</v>
      </c>
      <c r="M301" t="s">
        <v>49</v>
      </c>
      <c r="N301" s="2">
        <f>Table1[[#This Row],[Capacity (MW)]]*8760*0.72*10^-6</f>
        <v>0.32166719999999999</v>
      </c>
      <c r="O301" s="2" cm="1">
        <f t="array" ref="O301">AVERAGE(VLOOKUP(_xlfn.TEXTSPLIT(Table1[[#This Row],[Fuel (no space after comma)]], ","), FuelList_Final_EF!$A$2:$B$32, 2, FALSE))</f>
        <v>118.17</v>
      </c>
      <c r="P301" s="2">
        <f>(16112*Table1[[#This Row],[Generation (TWh)]]*10^9)/10^6</f>
        <v>5182701.9264000002</v>
      </c>
      <c r="Q301" s="2">
        <f>Table1[[#This Row],[Emission Factor (kg CO2/ mmBtu)]]*Table1[[#This Row],[Fuel Consumption (mmBtu)]]*10^3</f>
        <v>612439886642.68799</v>
      </c>
      <c r="R301" s="2">
        <f>(Table1[[#This Row],[CO2 Emissions (g CO2)]])/(Table1[[#This Row],[Generation (TWh)]]*10^9)</f>
        <v>1903.9550400000001</v>
      </c>
    </row>
    <row r="302" spans="1:18" hidden="1">
      <c r="A302" t="s">
        <v>295</v>
      </c>
      <c r="B302" t="s">
        <v>46</v>
      </c>
      <c r="C302" t="str">
        <f>SUBSTITUTE(Table1[[#This Row],[Fuel]],", ",",")</f>
        <v>bioenergy: agricultural waste (solids)</v>
      </c>
      <c r="D302" t="s">
        <v>46</v>
      </c>
      <c r="G302">
        <v>68</v>
      </c>
      <c r="H302" t="s">
        <v>27</v>
      </c>
      <c r="I302">
        <v>2011</v>
      </c>
      <c r="J302" t="s">
        <v>21</v>
      </c>
      <c r="K302">
        <v>-15.082800000000001</v>
      </c>
      <c r="L302">
        <v>-49.299399999999999</v>
      </c>
      <c r="M302" t="s">
        <v>49</v>
      </c>
      <c r="N302" s="2">
        <f>Table1[[#This Row],[Capacity (MW)]]*8760*0.72*10^-6</f>
        <v>0.42888959999999998</v>
      </c>
      <c r="O302" s="2" cm="1">
        <f t="array" ref="O302">AVERAGE(VLOOKUP(_xlfn.TEXTSPLIT(Table1[[#This Row],[Fuel (no space after comma)]], ","), FuelList_Final_EF!$A$2:$B$32, 2, FALSE))</f>
        <v>118.17</v>
      </c>
      <c r="P302" s="2">
        <f>(16112*Table1[[#This Row],[Generation (TWh)]]*10^9)/10^6</f>
        <v>6910269.2351999991</v>
      </c>
      <c r="Q302" s="2">
        <f>Table1[[#This Row],[Emission Factor (kg CO2/ mmBtu)]]*Table1[[#This Row],[Fuel Consumption (mmBtu)]]*10^3</f>
        <v>816586515523.58386</v>
      </c>
      <c r="R302" s="2">
        <f>(Table1[[#This Row],[CO2 Emissions (g CO2)]])/(Table1[[#This Row],[Generation (TWh)]]*10^9)</f>
        <v>1903.9550399999996</v>
      </c>
    </row>
    <row r="303" spans="1:18" hidden="1">
      <c r="A303" t="s">
        <v>296</v>
      </c>
      <c r="B303" t="s">
        <v>297</v>
      </c>
      <c r="C303" t="str">
        <f>SUBSTITUTE(Table1[[#This Row],[Fuel]],", ",",")</f>
        <v>bioenergy: wood &amp; other biomass (solids),fossil liquids: petroleum coke,other: other</v>
      </c>
      <c r="D303" t="s">
        <v>25</v>
      </c>
      <c r="E303" t="s">
        <v>298</v>
      </c>
      <c r="F303" t="s">
        <v>216</v>
      </c>
      <c r="G303">
        <v>47</v>
      </c>
      <c r="H303" t="s">
        <v>27</v>
      </c>
      <c r="I303">
        <v>1992</v>
      </c>
      <c r="J303" t="s">
        <v>21</v>
      </c>
      <c r="K303">
        <v>33.586799999999997</v>
      </c>
      <c r="L303">
        <v>-116.08759999999999</v>
      </c>
      <c r="M303" t="s">
        <v>62</v>
      </c>
      <c r="N303" s="2">
        <f>Table1[[#This Row],[Capacity (MW)]]*8760*0.72*10^-6</f>
        <v>0.29643839999999994</v>
      </c>
      <c r="O303" s="2" cm="1">
        <f t="array" ref="O303">AVERAGE(VLOOKUP(_xlfn.TEXTSPLIT(Table1[[#This Row],[Fuel (no space after comma)]], ","), FuelList_Final_EF!$A$2:$B$32, 2, FALSE))</f>
        <v>94.059999999999988</v>
      </c>
      <c r="P303" s="2">
        <f>(16112*Table1[[#This Row],[Generation (TWh)]]*10^9)/10^6</f>
        <v>4776215.5007999986</v>
      </c>
      <c r="Q303" s="2">
        <f>Table1[[#This Row],[Emission Factor (kg CO2/ mmBtu)]]*Table1[[#This Row],[Fuel Consumption (mmBtu)]]*10^3</f>
        <v>449250830005.2478</v>
      </c>
      <c r="R303" s="2">
        <f>(Table1[[#This Row],[CO2 Emissions (g CO2)]])/(Table1[[#This Row],[Generation (TWh)]]*10^9)</f>
        <v>1515.4947199999997</v>
      </c>
    </row>
    <row r="304" spans="1:18" hidden="1">
      <c r="A304" t="s">
        <v>299</v>
      </c>
      <c r="B304" t="s">
        <v>46</v>
      </c>
      <c r="C304" t="str">
        <f>SUBSTITUTE(Table1[[#This Row],[Fuel]],", ",",")</f>
        <v>bioenergy: agricultural waste (solids)</v>
      </c>
      <c r="D304" t="s">
        <v>46</v>
      </c>
      <c r="G304">
        <v>40</v>
      </c>
      <c r="H304" t="s">
        <v>27</v>
      </c>
      <c r="I304">
        <v>2015</v>
      </c>
      <c r="J304" t="s">
        <v>21</v>
      </c>
      <c r="K304">
        <v>-21.2118</v>
      </c>
      <c r="L304">
        <v>-48.828000000000003</v>
      </c>
      <c r="M304" t="s">
        <v>49</v>
      </c>
      <c r="N304" s="2">
        <f>Table1[[#This Row],[Capacity (MW)]]*8760*0.72*10^-6</f>
        <v>0.25228800000000001</v>
      </c>
      <c r="O304" s="2" cm="1">
        <f t="array" ref="O304">AVERAGE(VLOOKUP(_xlfn.TEXTSPLIT(Table1[[#This Row],[Fuel (no space after comma)]], ","), FuelList_Final_EF!$A$2:$B$32, 2, FALSE))</f>
        <v>118.17</v>
      </c>
      <c r="P304" s="2">
        <f>(16112*Table1[[#This Row],[Generation (TWh)]]*10^9)/10^6</f>
        <v>4064864.2560000005</v>
      </c>
      <c r="Q304" s="2">
        <f>Table1[[#This Row],[Emission Factor (kg CO2/ mmBtu)]]*Table1[[#This Row],[Fuel Consumption (mmBtu)]]*10^3</f>
        <v>480345009131.52008</v>
      </c>
      <c r="R304" s="2">
        <f>(Table1[[#This Row],[CO2 Emissions (g CO2)]])/(Table1[[#This Row],[Generation (TWh)]]*10^9)</f>
        <v>1903.9550400000003</v>
      </c>
    </row>
    <row r="305" spans="1:18" hidden="1">
      <c r="A305" t="s">
        <v>299</v>
      </c>
      <c r="B305" t="s">
        <v>46</v>
      </c>
      <c r="C305" t="str">
        <f>SUBSTITUTE(Table1[[#This Row],[Fuel]],", ",",")</f>
        <v>bioenergy: agricultural waste (solids)</v>
      </c>
      <c r="D305" t="s">
        <v>46</v>
      </c>
      <c r="G305">
        <v>63</v>
      </c>
      <c r="H305" t="s">
        <v>27</v>
      </c>
      <c r="I305">
        <v>2000</v>
      </c>
      <c r="J305" t="s">
        <v>21</v>
      </c>
      <c r="K305">
        <v>-21.211600000000001</v>
      </c>
      <c r="L305">
        <v>-48.829599999999999</v>
      </c>
      <c r="M305" t="s">
        <v>49</v>
      </c>
      <c r="N305" s="2">
        <f>Table1[[#This Row],[Capacity (MW)]]*8760*0.72*10^-6</f>
        <v>0.39735359999999997</v>
      </c>
      <c r="O305" s="2" cm="1">
        <f t="array" ref="O305">AVERAGE(VLOOKUP(_xlfn.TEXTSPLIT(Table1[[#This Row],[Fuel (no space after comma)]], ","), FuelList_Final_EF!$A$2:$B$32, 2, FALSE))</f>
        <v>118.17</v>
      </c>
      <c r="P305" s="2">
        <f>(16112*Table1[[#This Row],[Generation (TWh)]]*10^9)/10^6</f>
        <v>6402161.2031999994</v>
      </c>
      <c r="Q305" s="2">
        <f>Table1[[#This Row],[Emission Factor (kg CO2/ mmBtu)]]*Table1[[#This Row],[Fuel Consumption (mmBtu)]]*10^3</f>
        <v>756543389382.14392</v>
      </c>
      <c r="R305" s="2">
        <f>(Table1[[#This Row],[CO2 Emissions (g CO2)]])/(Table1[[#This Row],[Generation (TWh)]]*10^9)</f>
        <v>1903.9550399999998</v>
      </c>
    </row>
    <row r="306" spans="1:18" hidden="1">
      <c r="A306" t="s">
        <v>299</v>
      </c>
      <c r="B306" t="s">
        <v>46</v>
      </c>
      <c r="C306" t="str">
        <f>SUBSTITUTE(Table1[[#This Row],[Fuel]],", ",",")</f>
        <v>bioenergy: agricultural waste (solids)</v>
      </c>
      <c r="D306" t="s">
        <v>46</v>
      </c>
      <c r="G306">
        <v>50</v>
      </c>
      <c r="H306" t="s">
        <v>27</v>
      </c>
      <c r="I306">
        <v>2009</v>
      </c>
      <c r="J306" t="s">
        <v>21</v>
      </c>
      <c r="K306">
        <v>-20.036100000000001</v>
      </c>
      <c r="L306">
        <v>-50.666200000000003</v>
      </c>
      <c r="M306" t="s">
        <v>49</v>
      </c>
      <c r="N306" s="2">
        <f>Table1[[#This Row],[Capacity (MW)]]*8760*0.72*10^-6</f>
        <v>0.31535999999999997</v>
      </c>
      <c r="O306" s="2" cm="1">
        <f t="array" ref="O306">AVERAGE(VLOOKUP(_xlfn.TEXTSPLIT(Table1[[#This Row],[Fuel (no space after comma)]], ","), FuelList_Final_EF!$A$2:$B$32, 2, FALSE))</f>
        <v>118.17</v>
      </c>
      <c r="P306" s="2">
        <f>(16112*Table1[[#This Row],[Generation (TWh)]]*10^9)/10^6</f>
        <v>5081080.32</v>
      </c>
      <c r="Q306" s="2">
        <f>Table1[[#This Row],[Emission Factor (kg CO2/ mmBtu)]]*Table1[[#This Row],[Fuel Consumption (mmBtu)]]*10^3</f>
        <v>600431261414.40015</v>
      </c>
      <c r="R306" s="2">
        <f>(Table1[[#This Row],[CO2 Emissions (g CO2)]])/(Table1[[#This Row],[Generation (TWh)]]*10^9)</f>
        <v>1903.9550400000005</v>
      </c>
    </row>
    <row r="307" spans="1:18" hidden="1">
      <c r="A307" t="s">
        <v>300</v>
      </c>
      <c r="B307" t="s">
        <v>46</v>
      </c>
      <c r="C307" t="str">
        <f>SUBSTITUTE(Table1[[#This Row],[Fuel]],", ",",")</f>
        <v>bioenergy: agricultural waste (solids)</v>
      </c>
      <c r="D307" t="s">
        <v>46</v>
      </c>
      <c r="G307">
        <v>57</v>
      </c>
      <c r="H307" t="s">
        <v>27</v>
      </c>
      <c r="I307">
        <v>1981</v>
      </c>
      <c r="J307" t="s">
        <v>21</v>
      </c>
      <c r="K307">
        <v>-20.279199999999999</v>
      </c>
      <c r="L307">
        <v>-48.1755</v>
      </c>
      <c r="M307" t="s">
        <v>49</v>
      </c>
      <c r="N307" s="2">
        <f>Table1[[#This Row],[Capacity (MW)]]*8760*0.72*10^-6</f>
        <v>0.35951039999999995</v>
      </c>
      <c r="O307" s="2" cm="1">
        <f t="array" ref="O307">AVERAGE(VLOOKUP(_xlfn.TEXTSPLIT(Table1[[#This Row],[Fuel (no space after comma)]], ","), FuelList_Final_EF!$A$2:$B$32, 2, FALSE))</f>
        <v>118.17</v>
      </c>
      <c r="P307" s="2">
        <f>(16112*Table1[[#This Row],[Generation (TWh)]]*10^9)/10^6</f>
        <v>5792431.5647999989</v>
      </c>
      <c r="Q307" s="2">
        <f>Table1[[#This Row],[Emission Factor (kg CO2/ mmBtu)]]*Table1[[#This Row],[Fuel Consumption (mmBtu)]]*10^3</f>
        <v>684491638012.41589</v>
      </c>
      <c r="R307" s="2">
        <f>(Table1[[#This Row],[CO2 Emissions (g CO2)]])/(Table1[[#This Row],[Generation (TWh)]]*10^9)</f>
        <v>1903.9550400000001</v>
      </c>
    </row>
    <row r="308" spans="1:18" hidden="1">
      <c r="A308" t="s">
        <v>225</v>
      </c>
      <c r="B308" t="s">
        <v>145</v>
      </c>
      <c r="C308" t="str">
        <f>SUBSTITUTE(Table1[[#This Row],[Fuel]],", ",",")</f>
        <v>bioenergy: paper mill wastes,bioenergy: wood &amp; other biomass (solids),fossil gas: natural gas</v>
      </c>
      <c r="D308" t="s">
        <v>61</v>
      </c>
      <c r="E308" t="s">
        <v>25</v>
      </c>
      <c r="F308" t="s">
        <v>69</v>
      </c>
      <c r="G308">
        <v>46</v>
      </c>
      <c r="H308" t="s">
        <v>27</v>
      </c>
      <c r="I308">
        <v>1982</v>
      </c>
      <c r="J308" t="s">
        <v>21</v>
      </c>
      <c r="K308">
        <v>33.360199999999999</v>
      </c>
      <c r="L308">
        <v>-88.46</v>
      </c>
      <c r="M308" t="s">
        <v>62</v>
      </c>
      <c r="N308" s="2">
        <f>Table1[[#This Row],[Capacity (MW)]]*8760*0.72*10^-6</f>
        <v>0.29013119999999998</v>
      </c>
      <c r="O308" s="2" cm="1">
        <f t="array" ref="O308">AVERAGE(VLOOKUP(_xlfn.TEXTSPLIT(Table1[[#This Row],[Fuel (no space after comma)]], ","), FuelList_Final_EF!$A$2:$B$32, 2, FALSE))</f>
        <v>82.444811105253905</v>
      </c>
      <c r="P308" s="2">
        <f>(16112*Table1[[#This Row],[Generation (TWh)]]*10^9)/10^6</f>
        <v>4674593.8943999996</v>
      </c>
      <c r="Q308" s="2">
        <f>Table1[[#This Row],[Emission Factor (kg CO2/ mmBtu)]]*Table1[[#This Row],[Fuel Consumption (mmBtu)]]*10^3</f>
        <v>385396010617.58118</v>
      </c>
      <c r="R308" s="2">
        <f>(Table1[[#This Row],[CO2 Emissions (g CO2)]])/(Table1[[#This Row],[Generation (TWh)]]*10^9)</f>
        <v>1328.3507965278507</v>
      </c>
    </row>
    <row r="309" spans="1:18" hidden="1">
      <c r="A309" t="s">
        <v>225</v>
      </c>
      <c r="B309" t="s">
        <v>145</v>
      </c>
      <c r="C309" t="str">
        <f>SUBSTITUTE(Table1[[#This Row],[Fuel]],", ",",")</f>
        <v>bioenergy: paper mill wastes,bioenergy: wood &amp; other biomass (solids),fossil gas: natural gas</v>
      </c>
      <c r="D309" t="s">
        <v>61</v>
      </c>
      <c r="E309" t="s">
        <v>25</v>
      </c>
      <c r="F309" t="s">
        <v>69</v>
      </c>
      <c r="G309">
        <v>64</v>
      </c>
      <c r="H309" t="s">
        <v>27</v>
      </c>
      <c r="I309">
        <v>1990</v>
      </c>
      <c r="J309" t="s">
        <v>21</v>
      </c>
      <c r="K309">
        <v>33.360199999999999</v>
      </c>
      <c r="L309">
        <v>-88.46</v>
      </c>
      <c r="M309" t="s">
        <v>62</v>
      </c>
      <c r="N309" s="2">
        <f>Table1[[#This Row],[Capacity (MW)]]*8760*0.72*10^-6</f>
        <v>0.40366079999999999</v>
      </c>
      <c r="O309" s="2" cm="1">
        <f t="array" ref="O309">AVERAGE(VLOOKUP(_xlfn.TEXTSPLIT(Table1[[#This Row],[Fuel (no space after comma)]], ","), FuelList_Final_EF!$A$2:$B$32, 2, FALSE))</f>
        <v>82.444811105253905</v>
      </c>
      <c r="P309" s="2">
        <f>(16112*Table1[[#This Row],[Generation (TWh)]]*10^9)/10^6</f>
        <v>6503782.8095999993</v>
      </c>
      <c r="Q309" s="2">
        <f>Table1[[#This Row],[Emission Factor (kg CO2/ mmBtu)]]*Table1[[#This Row],[Fuel Consumption (mmBtu)]]*10^3</f>
        <v>536203145207.06946</v>
      </c>
      <c r="R309" s="2">
        <f>(Table1[[#This Row],[CO2 Emissions (g CO2)]])/(Table1[[#This Row],[Generation (TWh)]]*10^9)</f>
        <v>1328.3507965278507</v>
      </c>
    </row>
    <row r="310" spans="1:18" hidden="1">
      <c r="A310" t="s">
        <v>234</v>
      </c>
      <c r="B310" t="s">
        <v>105</v>
      </c>
      <c r="C310" t="str">
        <f>SUBSTITUTE(Table1[[#This Row],[Fuel]],", ",",")</f>
        <v>bioenergy: agricultural waste (solids),bioenergy: wood &amp; other biomass (solids)</v>
      </c>
      <c r="D310" t="s">
        <v>46</v>
      </c>
      <c r="E310" t="s">
        <v>25</v>
      </c>
      <c r="G310">
        <v>30</v>
      </c>
      <c r="H310" t="s">
        <v>27</v>
      </c>
      <c r="I310">
        <v>2007</v>
      </c>
      <c r="J310" t="s">
        <v>21</v>
      </c>
      <c r="K310">
        <v>-28.310700000000001</v>
      </c>
      <c r="L310">
        <v>153.43610000000001</v>
      </c>
      <c r="M310" t="s">
        <v>235</v>
      </c>
      <c r="N310" s="2">
        <f>Table1[[#This Row],[Capacity (MW)]]*8760*0.72*10^-6</f>
        <v>0.189216</v>
      </c>
      <c r="O310" s="2" cm="1">
        <f t="array" ref="O310">AVERAGE(VLOOKUP(_xlfn.TEXTSPLIT(Table1[[#This Row],[Fuel (no space after comma)]], ","), FuelList_Final_EF!$A$2:$B$32, 2, FALSE))</f>
        <v>105.985</v>
      </c>
      <c r="P310" s="2">
        <f>(16112*Table1[[#This Row],[Generation (TWh)]]*10^9)/10^6</f>
        <v>3048648.1919999998</v>
      </c>
      <c r="Q310" s="2">
        <f>Table1[[#This Row],[Emission Factor (kg CO2/ mmBtu)]]*Table1[[#This Row],[Fuel Consumption (mmBtu)]]*10^3</f>
        <v>323110978629.12</v>
      </c>
      <c r="R310" s="2">
        <f>(Table1[[#This Row],[CO2 Emissions (g CO2)]])/(Table1[[#This Row],[Generation (TWh)]]*10^9)</f>
        <v>1707.63032</v>
      </c>
    </row>
    <row r="311" spans="1:18" hidden="1">
      <c r="A311" t="s">
        <v>301</v>
      </c>
      <c r="B311" t="s">
        <v>46</v>
      </c>
      <c r="C311" t="str">
        <f>SUBSTITUTE(Table1[[#This Row],[Fuel]],", ",",")</f>
        <v>bioenergy: agricultural waste (solids)</v>
      </c>
      <c r="D311" t="s">
        <v>46</v>
      </c>
      <c r="G311">
        <v>110</v>
      </c>
      <c r="H311" t="s">
        <v>27</v>
      </c>
      <c r="I311">
        <v>2010</v>
      </c>
      <c r="J311" t="s">
        <v>21</v>
      </c>
      <c r="K311">
        <v>-22.120200000000001</v>
      </c>
      <c r="L311">
        <v>-51.756799999999998</v>
      </c>
      <c r="M311" t="s">
        <v>49</v>
      </c>
      <c r="N311" s="2">
        <f>Table1[[#This Row],[Capacity (MW)]]*8760*0.72*10^-6</f>
        <v>0.69379199999999996</v>
      </c>
      <c r="O311" s="2" cm="1">
        <f t="array" ref="O311">AVERAGE(VLOOKUP(_xlfn.TEXTSPLIT(Table1[[#This Row],[Fuel (no space after comma)]], ","), FuelList_Final_EF!$A$2:$B$32, 2, FALSE))</f>
        <v>118.17</v>
      </c>
      <c r="P311" s="2">
        <f>(16112*Table1[[#This Row],[Generation (TWh)]]*10^9)/10^6</f>
        <v>11178376.704</v>
      </c>
      <c r="Q311" s="2">
        <f>Table1[[#This Row],[Emission Factor (kg CO2/ mmBtu)]]*Table1[[#This Row],[Fuel Consumption (mmBtu)]]*10^3</f>
        <v>1320948775111.6799</v>
      </c>
      <c r="R311" s="2">
        <f>(Table1[[#This Row],[CO2 Emissions (g CO2)]])/(Table1[[#This Row],[Generation (TWh)]]*10^9)</f>
        <v>1903.9550399999998</v>
      </c>
    </row>
    <row r="312" spans="1:18" hidden="1">
      <c r="A312" t="s">
        <v>302</v>
      </c>
      <c r="B312" t="s">
        <v>36</v>
      </c>
      <c r="C312" t="str">
        <f>SUBSTITUTE(Table1[[#This Row],[Fuel]],", ",",")</f>
        <v>bioenergy: biodiesel</v>
      </c>
      <c r="D312" t="s">
        <v>36</v>
      </c>
      <c r="G312">
        <v>51</v>
      </c>
      <c r="H312" t="s">
        <v>27</v>
      </c>
      <c r="I312">
        <v>2008</v>
      </c>
      <c r="J312" t="s">
        <v>21</v>
      </c>
      <c r="K312">
        <v>44.5351</v>
      </c>
      <c r="L312">
        <v>11.860799999999999</v>
      </c>
      <c r="M312" t="s">
        <v>37</v>
      </c>
      <c r="N312" s="2">
        <f>Table1[[#This Row],[Capacity (MW)]]*8760*0.72*10^-6</f>
        <v>0.32166719999999999</v>
      </c>
      <c r="O312" s="2" cm="1">
        <f t="array" ref="O312">AVERAGE(VLOOKUP(_xlfn.TEXTSPLIT(Table1[[#This Row],[Fuel (no space after comma)]], ","), FuelList_Final_EF!$A$2:$B$32, 2, FALSE))</f>
        <v>73.84</v>
      </c>
      <c r="P312" s="2">
        <f>(16112*Table1[[#This Row],[Generation (TWh)]]*10^9)/10^6</f>
        <v>5182701.9264000002</v>
      </c>
      <c r="Q312" s="2">
        <f>Table1[[#This Row],[Emission Factor (kg CO2/ mmBtu)]]*Table1[[#This Row],[Fuel Consumption (mmBtu)]]*10^3</f>
        <v>382690710245.37604</v>
      </c>
      <c r="R312" s="2">
        <f>(Table1[[#This Row],[CO2 Emissions (g CO2)]])/(Table1[[#This Row],[Generation (TWh)]]*10^9)</f>
        <v>1189.7100800000001</v>
      </c>
    </row>
    <row r="313" spans="1:18" hidden="1">
      <c r="A313" t="s">
        <v>303</v>
      </c>
      <c r="B313" t="s">
        <v>46</v>
      </c>
      <c r="C313" t="str">
        <f>SUBSTITUTE(Table1[[#This Row],[Fuel]],", ",",")</f>
        <v>bioenergy: agricultural waste (solids)</v>
      </c>
      <c r="D313" t="s">
        <v>46</v>
      </c>
      <c r="G313">
        <v>30</v>
      </c>
      <c r="H313" t="s">
        <v>97</v>
      </c>
      <c r="I313">
        <v>2027</v>
      </c>
      <c r="J313" t="s">
        <v>21</v>
      </c>
      <c r="K313">
        <v>12.70369724</v>
      </c>
      <c r="L313">
        <v>76.421607850000001</v>
      </c>
      <c r="M313" t="s">
        <v>66</v>
      </c>
      <c r="N313" s="2">
        <f>Table1[[#This Row],[Capacity (MW)]]*8760*0.72*10^-6</f>
        <v>0.189216</v>
      </c>
      <c r="O313" s="2" cm="1">
        <f t="array" ref="O313">AVERAGE(VLOOKUP(_xlfn.TEXTSPLIT(Table1[[#This Row],[Fuel (no space after comma)]], ","), FuelList_Final_EF!$A$2:$B$32, 2, FALSE))</f>
        <v>118.17</v>
      </c>
      <c r="P313" s="2">
        <f>(16112*Table1[[#This Row],[Generation (TWh)]]*10^9)/10^6</f>
        <v>3048648.1919999998</v>
      </c>
      <c r="Q313" s="2">
        <f>Table1[[#This Row],[Emission Factor (kg CO2/ mmBtu)]]*Table1[[#This Row],[Fuel Consumption (mmBtu)]]*10^3</f>
        <v>360258756848.63995</v>
      </c>
      <c r="R313" s="2">
        <f>(Table1[[#This Row],[CO2 Emissions (g CO2)]])/(Table1[[#This Row],[Generation (TWh)]]*10^9)</f>
        <v>1903.9550399999998</v>
      </c>
    </row>
    <row r="314" spans="1:18" hidden="1">
      <c r="A314" t="s">
        <v>304</v>
      </c>
      <c r="B314" t="s">
        <v>46</v>
      </c>
      <c r="C314" t="str">
        <f>SUBSTITUTE(Table1[[#This Row],[Fuel]],", ",",")</f>
        <v>bioenergy: agricultural waste (solids)</v>
      </c>
      <c r="D314" t="s">
        <v>46</v>
      </c>
      <c r="G314">
        <v>30</v>
      </c>
      <c r="H314" t="s">
        <v>27</v>
      </c>
      <c r="I314">
        <v>2008</v>
      </c>
      <c r="J314" t="s">
        <v>21</v>
      </c>
      <c r="K314">
        <v>-19.808900000000001</v>
      </c>
      <c r="L314">
        <v>-48.729500000000002</v>
      </c>
      <c r="M314" t="s">
        <v>49</v>
      </c>
      <c r="N314" s="2">
        <f>Table1[[#This Row],[Capacity (MW)]]*8760*0.72*10^-6</f>
        <v>0.189216</v>
      </c>
      <c r="O314" s="2" cm="1">
        <f t="array" ref="O314">AVERAGE(VLOOKUP(_xlfn.TEXTSPLIT(Table1[[#This Row],[Fuel (no space after comma)]], ","), FuelList_Final_EF!$A$2:$B$32, 2, FALSE))</f>
        <v>118.17</v>
      </c>
      <c r="P314" s="2">
        <f>(16112*Table1[[#This Row],[Generation (TWh)]]*10^9)/10^6</f>
        <v>3048648.1919999998</v>
      </c>
      <c r="Q314" s="2">
        <f>Table1[[#This Row],[Emission Factor (kg CO2/ mmBtu)]]*Table1[[#This Row],[Fuel Consumption (mmBtu)]]*10^3</f>
        <v>360258756848.63995</v>
      </c>
      <c r="R314" s="2">
        <f>(Table1[[#This Row],[CO2 Emissions (g CO2)]])/(Table1[[#This Row],[Generation (TWh)]]*10^9)</f>
        <v>1903.9550399999998</v>
      </c>
    </row>
    <row r="315" spans="1:18" hidden="1">
      <c r="A315" t="s">
        <v>253</v>
      </c>
      <c r="B315" t="s">
        <v>46</v>
      </c>
      <c r="C315" t="str">
        <f>SUBSTITUTE(Table1[[#This Row],[Fuel]],", ",",")</f>
        <v>bioenergy: agricultural waste (solids)</v>
      </c>
      <c r="D315" t="s">
        <v>46</v>
      </c>
      <c r="G315">
        <v>32</v>
      </c>
      <c r="H315" t="s">
        <v>27</v>
      </c>
      <c r="I315">
        <v>2006</v>
      </c>
      <c r="J315" t="s">
        <v>21</v>
      </c>
      <c r="K315">
        <v>-10.1234</v>
      </c>
      <c r="L315">
        <v>-36.2742</v>
      </c>
      <c r="M315" t="s">
        <v>49</v>
      </c>
      <c r="N315" s="2">
        <f>Table1[[#This Row],[Capacity (MW)]]*8760*0.72*10^-6</f>
        <v>0.20183039999999999</v>
      </c>
      <c r="O315" s="2" cm="1">
        <f t="array" ref="O315">AVERAGE(VLOOKUP(_xlfn.TEXTSPLIT(Table1[[#This Row],[Fuel (no space after comma)]], ","), FuelList_Final_EF!$A$2:$B$32, 2, FALSE))</f>
        <v>118.17</v>
      </c>
      <c r="P315" s="2">
        <f>(16112*Table1[[#This Row],[Generation (TWh)]]*10^9)/10^6</f>
        <v>3251891.4047999997</v>
      </c>
      <c r="Q315" s="2">
        <f>Table1[[#This Row],[Emission Factor (kg CO2/ mmBtu)]]*Table1[[#This Row],[Fuel Consumption (mmBtu)]]*10^3</f>
        <v>384276007305.21594</v>
      </c>
      <c r="R315" s="2">
        <f>(Table1[[#This Row],[CO2 Emissions (g CO2)]])/(Table1[[#This Row],[Generation (TWh)]]*10^9)</f>
        <v>1903.9550399999998</v>
      </c>
    </row>
    <row r="316" spans="1:18" hidden="1">
      <c r="A316" t="s">
        <v>305</v>
      </c>
      <c r="B316" t="s">
        <v>46</v>
      </c>
      <c r="C316" t="str">
        <f>SUBSTITUTE(Table1[[#This Row],[Fuel]],", ",",")</f>
        <v>bioenergy: agricultural waste (solids)</v>
      </c>
      <c r="D316" t="s">
        <v>46</v>
      </c>
      <c r="G316">
        <v>75</v>
      </c>
      <c r="H316" t="s">
        <v>27</v>
      </c>
      <c r="I316">
        <v>1977</v>
      </c>
      <c r="J316" t="s">
        <v>21</v>
      </c>
      <c r="K316">
        <v>-22.6357</v>
      </c>
      <c r="L316">
        <v>-47.674900000000001</v>
      </c>
      <c r="M316" t="s">
        <v>49</v>
      </c>
      <c r="N316" s="2">
        <f>Table1[[#This Row],[Capacity (MW)]]*8760*0.72*10^-6</f>
        <v>0.47303999999999996</v>
      </c>
      <c r="O316" s="2" cm="1">
        <f t="array" ref="O316">AVERAGE(VLOOKUP(_xlfn.TEXTSPLIT(Table1[[#This Row],[Fuel (no space after comma)]], ","), FuelList_Final_EF!$A$2:$B$32, 2, FALSE))</f>
        <v>118.17</v>
      </c>
      <c r="P316" s="2">
        <f>(16112*Table1[[#This Row],[Generation (TWh)]]*10^9)/10^6</f>
        <v>7621620.4800000004</v>
      </c>
      <c r="Q316" s="2">
        <f>Table1[[#This Row],[Emission Factor (kg CO2/ mmBtu)]]*Table1[[#This Row],[Fuel Consumption (mmBtu)]]*10^3</f>
        <v>900646892121.59998</v>
      </c>
      <c r="R316" s="2">
        <f>(Table1[[#This Row],[CO2 Emissions (g CO2)]])/(Table1[[#This Row],[Generation (TWh)]]*10^9)</f>
        <v>1903.9550400000003</v>
      </c>
    </row>
    <row r="317" spans="1:18">
      <c r="A317" t="s">
        <v>306</v>
      </c>
      <c r="B317" t="s">
        <v>25</v>
      </c>
      <c r="C317" t="str">
        <f>SUBSTITUTE(Table1[[#This Row],[Fuel]],", ",",")</f>
        <v>bioenergy: wood &amp; other biomass (solids)</v>
      </c>
      <c r="D317" t="s">
        <v>25</v>
      </c>
      <c r="G317">
        <v>32</v>
      </c>
      <c r="H317" t="s">
        <v>307</v>
      </c>
      <c r="I317" t="s">
        <v>21</v>
      </c>
      <c r="J317" t="s">
        <v>21</v>
      </c>
      <c r="K317">
        <v>35.714399999999998</v>
      </c>
      <c r="L317">
        <v>-119.2337</v>
      </c>
      <c r="M317" t="s">
        <v>62</v>
      </c>
      <c r="N317" s="2">
        <f>Table1[[#This Row],[Capacity (MW)]]*8760*0.72*10^-6</f>
        <v>0.20183039999999999</v>
      </c>
      <c r="O317" s="2" cm="1">
        <f t="array" ref="O317">AVERAGE(VLOOKUP(_xlfn.TEXTSPLIT(Table1[[#This Row],[Fuel (no space after comma)]], ","), FuelList_Final_EF!$A$2:$B$32, 2, FALSE))</f>
        <v>93.8</v>
      </c>
      <c r="P317" s="2">
        <f>(16112*Table1[[#This Row],[Generation (TWh)]]*10^9)/10^6</f>
        <v>3251891.4047999997</v>
      </c>
      <c r="Q317" s="2">
        <f>Table1[[#This Row],[Emission Factor (kg CO2/ mmBtu)]]*Table1[[#This Row],[Fuel Consumption (mmBtu)]]*10^3</f>
        <v>305027413770.23993</v>
      </c>
      <c r="R317" s="2">
        <f>(Table1[[#This Row],[CO2 Emissions (g CO2)]])/(Table1[[#This Row],[Generation (TWh)]]*10^9)</f>
        <v>1511.3055999999997</v>
      </c>
    </row>
    <row r="318" spans="1:18" hidden="1">
      <c r="A318" t="s">
        <v>308</v>
      </c>
      <c r="B318" t="s">
        <v>309</v>
      </c>
      <c r="C318" t="str">
        <f>SUBSTITUTE(Table1[[#This Row],[Fuel]],", ",",")</f>
        <v>bioenergy: refuse (municipal and industrial wastes),fossil gas: natural gas</v>
      </c>
      <c r="D318" t="s">
        <v>19</v>
      </c>
      <c r="E318" t="s">
        <v>69</v>
      </c>
      <c r="G318">
        <v>80</v>
      </c>
      <c r="H318" t="s">
        <v>27</v>
      </c>
      <c r="I318">
        <v>1991</v>
      </c>
      <c r="J318" t="s">
        <v>21</v>
      </c>
      <c r="K318">
        <v>39.826500000000003</v>
      </c>
      <c r="L318">
        <v>-75.388199999999998</v>
      </c>
      <c r="M318" t="s">
        <v>62</v>
      </c>
      <c r="N318" s="2">
        <f>Table1[[#This Row],[Capacity (MW)]]*8760*0.72*10^-6</f>
        <v>0.50457600000000002</v>
      </c>
      <c r="O318" s="2" cm="1">
        <f t="array" ref="O318">AVERAGE(VLOOKUP(_xlfn.TEXTSPLIT(Table1[[#This Row],[Fuel (no space after comma)]], ","), FuelList_Final_EF!$A$2:$B$32, 2, FALSE))</f>
        <v>79.244812862414335</v>
      </c>
      <c r="P318" s="2">
        <f>(16112*Table1[[#This Row],[Generation (TWh)]]*10^9)/10^6</f>
        <v>8129728.512000001</v>
      </c>
      <c r="Q318" s="2">
        <f>Table1[[#This Row],[Emission Factor (kg CO2/ mmBtu)]]*Table1[[#This Row],[Fuel Consumption (mmBtu)]]*10^3</f>
        <v>644238814555.67419</v>
      </c>
      <c r="R318" s="2">
        <f>(Table1[[#This Row],[CO2 Emissions (g CO2)]])/(Table1[[#This Row],[Generation (TWh)]]*10^9)</f>
        <v>1276.7924248392198</v>
      </c>
    </row>
    <row r="319" spans="1:18" hidden="1">
      <c r="A319" t="s">
        <v>310</v>
      </c>
      <c r="B319" t="s">
        <v>311</v>
      </c>
      <c r="C319" t="str">
        <f>SUBSTITUTE(Table1[[#This Row],[Fuel]],", ",",")</f>
        <v>bioenergy: refuse (municipal and industrial wastes),fossil liquids: unknown</v>
      </c>
      <c r="D319" t="s">
        <v>19</v>
      </c>
      <c r="E319" t="s">
        <v>217</v>
      </c>
      <c r="G319">
        <v>35</v>
      </c>
      <c r="H319" t="s">
        <v>27</v>
      </c>
      <c r="I319">
        <v>1990</v>
      </c>
      <c r="J319" t="s">
        <v>21</v>
      </c>
      <c r="K319">
        <v>40.7376</v>
      </c>
      <c r="L319">
        <v>-74.125500000000002</v>
      </c>
      <c r="M319" t="s">
        <v>62</v>
      </c>
      <c r="N319" s="2">
        <f>Table1[[#This Row],[Capacity (MW)]]*8760*0.72*10^-6</f>
        <v>0.220752</v>
      </c>
      <c r="O319" s="2" cm="1">
        <f t="array" ref="O319">AVERAGE(VLOOKUP(_xlfn.TEXTSPLIT(Table1[[#This Row],[Fuel (no space after comma)]], ","), FuelList_Final_EF!$A$2:$B$32, 2, FALSE))</f>
        <v>95.139703895550511</v>
      </c>
      <c r="P319" s="2">
        <f>(16112*Table1[[#This Row],[Generation (TWh)]]*10^9)/10^6</f>
        <v>3556756.2239999999</v>
      </c>
      <c r="Q319" s="2">
        <f>Table1[[#This Row],[Emission Factor (kg CO2/ mmBtu)]]*Table1[[#This Row],[Fuel Consumption (mmBtu)]]*10^3</f>
        <v>338388733980.0163</v>
      </c>
      <c r="R319" s="2">
        <f>(Table1[[#This Row],[CO2 Emissions (g CO2)]])/(Table1[[#This Row],[Generation (TWh)]]*10^9)</f>
        <v>1532.8909091651096</v>
      </c>
    </row>
    <row r="320" spans="1:18" hidden="1">
      <c r="A320" t="s">
        <v>308</v>
      </c>
      <c r="B320" t="s">
        <v>311</v>
      </c>
      <c r="C320" t="str">
        <f>SUBSTITUTE(Table1[[#This Row],[Fuel]],", ",",")</f>
        <v>bioenergy: refuse (municipal and industrial wastes),fossil liquids: unknown</v>
      </c>
      <c r="D320" t="s">
        <v>19</v>
      </c>
      <c r="E320" t="s">
        <v>217</v>
      </c>
      <c r="G320">
        <v>35</v>
      </c>
      <c r="H320" t="s">
        <v>27</v>
      </c>
      <c r="I320">
        <v>1990</v>
      </c>
      <c r="J320" t="s">
        <v>21</v>
      </c>
      <c r="K320">
        <v>40.7376</v>
      </c>
      <c r="L320">
        <v>-74.125500000000002</v>
      </c>
      <c r="M320" t="s">
        <v>62</v>
      </c>
      <c r="N320" s="2">
        <f>Table1[[#This Row],[Capacity (MW)]]*8760*0.72*10^-6</f>
        <v>0.220752</v>
      </c>
      <c r="O320" s="2" cm="1">
        <f t="array" ref="O320">AVERAGE(VLOOKUP(_xlfn.TEXTSPLIT(Table1[[#This Row],[Fuel (no space after comma)]], ","), FuelList_Final_EF!$A$2:$B$32, 2, FALSE))</f>
        <v>95.139703895550511</v>
      </c>
      <c r="P320" s="2">
        <f>(16112*Table1[[#This Row],[Generation (TWh)]]*10^9)/10^6</f>
        <v>3556756.2239999999</v>
      </c>
      <c r="Q320" s="2">
        <f>Table1[[#This Row],[Emission Factor (kg CO2/ mmBtu)]]*Table1[[#This Row],[Fuel Consumption (mmBtu)]]*10^3</f>
        <v>338388733980.0163</v>
      </c>
      <c r="R320" s="2">
        <f>(Table1[[#This Row],[CO2 Emissions (g CO2)]])/(Table1[[#This Row],[Generation (TWh)]]*10^9)</f>
        <v>1532.8909091651096</v>
      </c>
    </row>
    <row r="321" spans="1:18" hidden="1">
      <c r="A321" t="s">
        <v>308</v>
      </c>
      <c r="B321" t="s">
        <v>309</v>
      </c>
      <c r="C321" t="str">
        <f>SUBSTITUTE(Table1[[#This Row],[Fuel]],", ",",")</f>
        <v>bioenergy: refuse (municipal and industrial wastes),fossil gas: natural gas</v>
      </c>
      <c r="D321" t="s">
        <v>19</v>
      </c>
      <c r="E321" t="s">
        <v>69</v>
      </c>
      <c r="G321">
        <v>62</v>
      </c>
      <c r="H321" t="s">
        <v>27</v>
      </c>
      <c r="I321">
        <v>1990</v>
      </c>
      <c r="J321" t="s">
        <v>21</v>
      </c>
      <c r="K321">
        <v>38.695</v>
      </c>
      <c r="L321">
        <v>-77.241100000000003</v>
      </c>
      <c r="M321" t="s">
        <v>62</v>
      </c>
      <c r="N321" s="2">
        <f>Table1[[#This Row],[Capacity (MW)]]*8760*0.72*10^-6</f>
        <v>0.39104639999999996</v>
      </c>
      <c r="O321" s="2" cm="1">
        <f t="array" ref="O321">AVERAGE(VLOOKUP(_xlfn.TEXTSPLIT(Table1[[#This Row],[Fuel (no space after comma)]], ","), FuelList_Final_EF!$A$2:$B$32, 2, FALSE))</f>
        <v>79.244812862414335</v>
      </c>
      <c r="P321" s="2">
        <f>(16112*Table1[[#This Row],[Generation (TWh)]]*10^9)/10^6</f>
        <v>6300539.5967999995</v>
      </c>
      <c r="Q321" s="2">
        <f>Table1[[#This Row],[Emission Factor (kg CO2/ mmBtu)]]*Table1[[#This Row],[Fuel Consumption (mmBtu)]]*10^3</f>
        <v>499285081280.64746</v>
      </c>
      <c r="R321" s="2">
        <f>(Table1[[#This Row],[CO2 Emissions (g CO2)]])/(Table1[[#This Row],[Generation (TWh)]]*10^9)</f>
        <v>1276.7924248392198</v>
      </c>
    </row>
    <row r="322" spans="1:18" hidden="1">
      <c r="A322" t="s">
        <v>308</v>
      </c>
      <c r="B322" t="s">
        <v>309</v>
      </c>
      <c r="C322" t="str">
        <f>SUBSTITUTE(Table1[[#This Row],[Fuel]],", ",",")</f>
        <v>bioenergy: refuse (municipal and industrial wastes),fossil gas: natural gas</v>
      </c>
      <c r="D322" t="s">
        <v>19</v>
      </c>
      <c r="E322" t="s">
        <v>69</v>
      </c>
      <c r="G322">
        <v>62</v>
      </c>
      <c r="H322" t="s">
        <v>27</v>
      </c>
      <c r="I322">
        <v>1990</v>
      </c>
      <c r="J322" t="s">
        <v>21</v>
      </c>
      <c r="K322">
        <v>38.695</v>
      </c>
      <c r="L322">
        <v>-77.241100000000003</v>
      </c>
      <c r="M322" t="s">
        <v>62</v>
      </c>
      <c r="N322" s="2">
        <f>Table1[[#This Row],[Capacity (MW)]]*8760*0.72*10^-6</f>
        <v>0.39104639999999996</v>
      </c>
      <c r="O322" s="2" cm="1">
        <f t="array" ref="O322">AVERAGE(VLOOKUP(_xlfn.TEXTSPLIT(Table1[[#This Row],[Fuel (no space after comma)]], ","), FuelList_Final_EF!$A$2:$B$32, 2, FALSE))</f>
        <v>79.244812862414335</v>
      </c>
      <c r="P322" s="2">
        <f>(16112*Table1[[#This Row],[Generation (TWh)]]*10^9)/10^6</f>
        <v>6300539.5967999995</v>
      </c>
      <c r="Q322" s="2">
        <f>Table1[[#This Row],[Emission Factor (kg CO2/ mmBtu)]]*Table1[[#This Row],[Fuel Consumption (mmBtu)]]*10^3</f>
        <v>499285081280.64746</v>
      </c>
      <c r="R322" s="2">
        <f>(Table1[[#This Row],[CO2 Emissions (g CO2)]])/(Table1[[#This Row],[Generation (TWh)]]*10^9)</f>
        <v>1276.7924248392198</v>
      </c>
    </row>
    <row r="323" spans="1:18" hidden="1">
      <c r="A323" t="s">
        <v>312</v>
      </c>
      <c r="B323" t="s">
        <v>19</v>
      </c>
      <c r="C323" t="str">
        <f>SUBSTITUTE(Table1[[#This Row],[Fuel]],", ",",")</f>
        <v>bioenergy: refuse (municipal and industrial wastes)</v>
      </c>
      <c r="D323" t="s">
        <v>19</v>
      </c>
      <c r="G323">
        <v>46</v>
      </c>
      <c r="H323" t="s">
        <v>27</v>
      </c>
      <c r="I323">
        <v>1989</v>
      </c>
      <c r="J323" t="s">
        <v>21</v>
      </c>
      <c r="K323">
        <v>42.765000000000001</v>
      </c>
      <c r="L323">
        <v>-71.124200000000002</v>
      </c>
      <c r="M323" t="s">
        <v>62</v>
      </c>
      <c r="N323" s="2">
        <f>Table1[[#This Row],[Capacity (MW)]]*8760*0.72*10^-6</f>
        <v>0.29013119999999998</v>
      </c>
      <c r="O323" s="2" cm="1">
        <f t="array" ref="O323">AVERAGE(VLOOKUP(_xlfn.TEXTSPLIT(Table1[[#This Row],[Fuel (no space after comma)]], ","), FuelList_Final_EF!$A$2:$B$32, 2, FALSE))</f>
        <v>105.42962572482868</v>
      </c>
      <c r="P323" s="2">
        <f>(16112*Table1[[#This Row],[Generation (TWh)]]*10^9)/10^6</f>
        <v>4674593.8943999996</v>
      </c>
      <c r="Q323" s="2">
        <f>Table1[[#This Row],[Emission Factor (kg CO2/ mmBtu)]]*Table1[[#This Row],[Fuel Consumption (mmBtu)]]*10^3</f>
        <v>492840684702.16132</v>
      </c>
      <c r="R323" s="2">
        <f>(Table1[[#This Row],[CO2 Emissions (g CO2)]])/(Table1[[#This Row],[Generation (TWh)]]*10^9)</f>
        <v>1698.6821296784397</v>
      </c>
    </row>
    <row r="324" spans="1:18" hidden="1">
      <c r="A324" t="s">
        <v>308</v>
      </c>
      <c r="B324" t="s">
        <v>313</v>
      </c>
      <c r="C324" t="str">
        <f>SUBSTITUTE(Table1[[#This Row],[Fuel]],", ",",")</f>
        <v>bioenergy: refuse (municipal and industrial wastes),bioenergy: wood &amp; other biomass (solids),fossil liquids: unknown</v>
      </c>
      <c r="D324" t="s">
        <v>19</v>
      </c>
      <c r="E324" t="s">
        <v>25</v>
      </c>
      <c r="F324" t="s">
        <v>217</v>
      </c>
      <c r="G324">
        <v>79</v>
      </c>
      <c r="H324" t="s">
        <v>27</v>
      </c>
      <c r="I324">
        <v>1989</v>
      </c>
      <c r="J324" t="s">
        <v>21</v>
      </c>
      <c r="K324">
        <v>40.738900000000001</v>
      </c>
      <c r="L324">
        <v>-73.590599999999995</v>
      </c>
      <c r="M324" t="s">
        <v>62</v>
      </c>
      <c r="N324" s="2">
        <f>Table1[[#This Row],[Capacity (MW)]]*8760*0.72*10^-6</f>
        <v>0.49826879999999996</v>
      </c>
      <c r="O324" s="2" cm="1">
        <f t="array" ref="O324">AVERAGE(VLOOKUP(_xlfn.TEXTSPLIT(Table1[[#This Row],[Fuel (no space after comma)]], ","), FuelList_Final_EF!$A$2:$B$32, 2, FALSE))</f>
        <v>94.693135930367006</v>
      </c>
      <c r="P324" s="2">
        <f>(16112*Table1[[#This Row],[Generation (TWh)]]*10^9)/10^6</f>
        <v>8028106.9056000002</v>
      </c>
      <c r="Q324" s="2">
        <f>Table1[[#This Row],[Emission Factor (kg CO2/ mmBtu)]]*Table1[[#This Row],[Fuel Consumption (mmBtu)]]*10^3</f>
        <v>760206618475.4989</v>
      </c>
      <c r="R324" s="2">
        <f>(Table1[[#This Row],[CO2 Emissions (g CO2)]])/(Table1[[#This Row],[Generation (TWh)]]*10^9)</f>
        <v>1525.6958061100736</v>
      </c>
    </row>
    <row r="325" spans="1:18" hidden="1">
      <c r="A325" t="s">
        <v>314</v>
      </c>
      <c r="B325" t="s">
        <v>19</v>
      </c>
      <c r="C325" t="str">
        <f>SUBSTITUTE(Table1[[#This Row],[Fuel]],", ",",")</f>
        <v>bioenergy: refuse (municipal and industrial wastes)</v>
      </c>
      <c r="D325" t="s">
        <v>19</v>
      </c>
      <c r="G325">
        <v>40</v>
      </c>
      <c r="H325" t="s">
        <v>27</v>
      </c>
      <c r="I325">
        <v>1989</v>
      </c>
      <c r="J325" t="s">
        <v>21</v>
      </c>
      <c r="K325">
        <v>44.9833</v>
      </c>
      <c r="L325">
        <v>-93.2804</v>
      </c>
      <c r="M325" t="s">
        <v>62</v>
      </c>
      <c r="N325" s="2">
        <f>Table1[[#This Row],[Capacity (MW)]]*8760*0.72*10^-6</f>
        <v>0.25228800000000001</v>
      </c>
      <c r="O325" s="2" cm="1">
        <f t="array" ref="O325">AVERAGE(VLOOKUP(_xlfn.TEXTSPLIT(Table1[[#This Row],[Fuel (no space after comma)]], ","), FuelList_Final_EF!$A$2:$B$32, 2, FALSE))</f>
        <v>105.42962572482868</v>
      </c>
      <c r="P325" s="2">
        <f>(16112*Table1[[#This Row],[Generation (TWh)]]*10^9)/10^6</f>
        <v>4064864.2560000005</v>
      </c>
      <c r="Q325" s="2">
        <f>Table1[[#This Row],[Emission Factor (kg CO2/ mmBtu)]]*Table1[[#This Row],[Fuel Consumption (mmBtu)]]*10^3</f>
        <v>428557117132.31427</v>
      </c>
      <c r="R325" s="2">
        <f>(Table1[[#This Row],[CO2 Emissions (g CO2)]])/(Table1[[#This Row],[Generation (TWh)]]*10^9)</f>
        <v>1698.6821296784401</v>
      </c>
    </row>
    <row r="326" spans="1:18" hidden="1">
      <c r="A326" t="s">
        <v>54</v>
      </c>
      <c r="B326" t="s">
        <v>309</v>
      </c>
      <c r="C326" t="str">
        <f>SUBSTITUTE(Table1[[#This Row],[Fuel]],", ",",")</f>
        <v>bioenergy: refuse (municipal and industrial wastes),fossil gas: natural gas</v>
      </c>
      <c r="D326" t="s">
        <v>19</v>
      </c>
      <c r="E326" t="s">
        <v>69</v>
      </c>
      <c r="G326">
        <v>36</v>
      </c>
      <c r="H326" t="s">
        <v>27</v>
      </c>
      <c r="I326">
        <v>1988</v>
      </c>
      <c r="J326" t="s">
        <v>21</v>
      </c>
      <c r="K326">
        <v>33.7592</v>
      </c>
      <c r="L326">
        <v>-118.23990000000001</v>
      </c>
      <c r="M326" t="s">
        <v>62</v>
      </c>
      <c r="N326" s="2">
        <f>Table1[[#This Row],[Capacity (MW)]]*8760*0.72*10^-6</f>
        <v>0.22705919999999996</v>
      </c>
      <c r="O326" s="2" cm="1">
        <f t="array" ref="O326">AVERAGE(VLOOKUP(_xlfn.TEXTSPLIT(Table1[[#This Row],[Fuel (no space after comma)]], ","), FuelList_Final_EF!$A$2:$B$32, 2, FALSE))</f>
        <v>79.244812862414335</v>
      </c>
      <c r="P326" s="2">
        <f>(16112*Table1[[#This Row],[Generation (TWh)]]*10^9)/10^6</f>
        <v>3658377.8303999994</v>
      </c>
      <c r="Q326" s="2">
        <f>Table1[[#This Row],[Emission Factor (kg CO2/ mmBtu)]]*Table1[[#This Row],[Fuel Consumption (mmBtu)]]*10^3</f>
        <v>289907466550.05328</v>
      </c>
      <c r="R326" s="2">
        <f>(Table1[[#This Row],[CO2 Emissions (g CO2)]])/(Table1[[#This Row],[Generation (TWh)]]*10^9)</f>
        <v>1276.7924248392196</v>
      </c>
    </row>
    <row r="327" spans="1:18" hidden="1">
      <c r="A327" t="s">
        <v>315</v>
      </c>
      <c r="B327" t="s">
        <v>19</v>
      </c>
      <c r="C327" t="str">
        <f>SUBSTITUTE(Table1[[#This Row],[Fuel]],", ",",")</f>
        <v>bioenergy: refuse (municipal and industrial wastes)</v>
      </c>
      <c r="D327" t="s">
        <v>19</v>
      </c>
      <c r="G327">
        <v>32</v>
      </c>
      <c r="H327" t="s">
        <v>27</v>
      </c>
      <c r="I327">
        <v>1991</v>
      </c>
      <c r="J327" t="s">
        <v>21</v>
      </c>
      <c r="K327">
        <v>40.096699999999998</v>
      </c>
      <c r="L327">
        <v>-75.310299999999998</v>
      </c>
      <c r="M327" t="s">
        <v>62</v>
      </c>
      <c r="N327" s="2">
        <f>Table1[[#This Row],[Capacity (MW)]]*8760*0.72*10^-6</f>
        <v>0.20183039999999999</v>
      </c>
      <c r="O327" s="2" cm="1">
        <f t="array" ref="O327">AVERAGE(VLOOKUP(_xlfn.TEXTSPLIT(Table1[[#This Row],[Fuel (no space after comma)]], ","), FuelList_Final_EF!$A$2:$B$32, 2, FALSE))</f>
        <v>105.42962572482868</v>
      </c>
      <c r="P327" s="2">
        <f>(16112*Table1[[#This Row],[Generation (TWh)]]*10^9)/10^6</f>
        <v>3251891.4047999997</v>
      </c>
      <c r="Q327" s="2">
        <f>Table1[[#This Row],[Emission Factor (kg CO2/ mmBtu)]]*Table1[[#This Row],[Fuel Consumption (mmBtu)]]*10^3</f>
        <v>342845693705.85132</v>
      </c>
      <c r="R327" s="2">
        <f>(Table1[[#This Row],[CO2 Emissions (g CO2)]])/(Table1[[#This Row],[Generation (TWh)]]*10^9)</f>
        <v>1698.6821296784394</v>
      </c>
    </row>
    <row r="328" spans="1:18" hidden="1">
      <c r="A328" t="s">
        <v>308</v>
      </c>
      <c r="B328" t="s">
        <v>316</v>
      </c>
      <c r="C328" t="str">
        <f>SUBSTITUTE(Table1[[#This Row],[Fuel]],", ",",")</f>
        <v>bioenergy: refuse (municipal and industrial wastes),fossil gas: natural gas,fossil liquids: unknown</v>
      </c>
      <c r="D328" t="s">
        <v>19</v>
      </c>
      <c r="E328" t="s">
        <v>69</v>
      </c>
      <c r="F328" t="s">
        <v>217</v>
      </c>
      <c r="G328">
        <v>30</v>
      </c>
      <c r="H328" t="s">
        <v>27</v>
      </c>
      <c r="I328">
        <v>1989</v>
      </c>
      <c r="J328" t="s">
        <v>21</v>
      </c>
      <c r="K328">
        <v>41.803699999999999</v>
      </c>
      <c r="L328">
        <v>-70.788300000000007</v>
      </c>
      <c r="M328" t="s">
        <v>62</v>
      </c>
      <c r="N328" s="2">
        <f>Table1[[#This Row],[Capacity (MW)]]*8760*0.72*10^-6</f>
        <v>0.189216</v>
      </c>
      <c r="O328" s="2" cm="1">
        <f t="array" ref="O328">AVERAGE(VLOOKUP(_xlfn.TEXTSPLIT(Table1[[#This Row],[Fuel (no space after comma)]], ","), FuelList_Final_EF!$A$2:$B$32, 2, FALSE))</f>
        <v>81.113135930366994</v>
      </c>
      <c r="P328" s="2">
        <f>(16112*Table1[[#This Row],[Generation (TWh)]]*10^9)/10^6</f>
        <v>3048648.1919999998</v>
      </c>
      <c r="Q328" s="2">
        <f>Table1[[#This Row],[Emission Factor (kg CO2/ mmBtu)]]*Table1[[#This Row],[Fuel Consumption (mmBtu)]]*10^3</f>
        <v>247285415201.56357</v>
      </c>
      <c r="R328" s="2">
        <f>(Table1[[#This Row],[CO2 Emissions (g CO2)]])/(Table1[[#This Row],[Generation (TWh)]]*10^9)</f>
        <v>1306.8948461100729</v>
      </c>
    </row>
    <row r="329" spans="1:18" hidden="1">
      <c r="A329" t="s">
        <v>308</v>
      </c>
      <c r="B329" t="s">
        <v>316</v>
      </c>
      <c r="C329" t="str">
        <f>SUBSTITUTE(Table1[[#This Row],[Fuel]],", ",",")</f>
        <v>bioenergy: refuse (municipal and industrial wastes),fossil gas: natural gas,fossil liquids: unknown</v>
      </c>
      <c r="D329" t="s">
        <v>19</v>
      </c>
      <c r="E329" t="s">
        <v>69</v>
      </c>
      <c r="F329" t="s">
        <v>217</v>
      </c>
      <c r="G329">
        <v>34</v>
      </c>
      <c r="H329" t="s">
        <v>27</v>
      </c>
      <c r="I329">
        <v>1993</v>
      </c>
      <c r="J329" t="s">
        <v>21</v>
      </c>
      <c r="K329">
        <v>41.802199999999999</v>
      </c>
      <c r="L329">
        <v>-70.787499999999994</v>
      </c>
      <c r="M329" t="s">
        <v>62</v>
      </c>
      <c r="N329" s="2">
        <f>Table1[[#This Row],[Capacity (MW)]]*8760*0.72*10^-6</f>
        <v>0.21444479999999999</v>
      </c>
      <c r="O329" s="2" cm="1">
        <f t="array" ref="O329">AVERAGE(VLOOKUP(_xlfn.TEXTSPLIT(Table1[[#This Row],[Fuel (no space after comma)]], ","), FuelList_Final_EF!$A$2:$B$32, 2, FALSE))</f>
        <v>81.113135930366994</v>
      </c>
      <c r="P329" s="2">
        <f>(16112*Table1[[#This Row],[Generation (TWh)]]*10^9)/10^6</f>
        <v>3455134.6175999995</v>
      </c>
      <c r="Q329" s="2">
        <f>Table1[[#This Row],[Emission Factor (kg CO2/ mmBtu)]]*Table1[[#This Row],[Fuel Consumption (mmBtu)]]*10^3</f>
        <v>280256803895.10535</v>
      </c>
      <c r="R329" s="2">
        <f>(Table1[[#This Row],[CO2 Emissions (g CO2)]])/(Table1[[#This Row],[Generation (TWh)]]*10^9)</f>
        <v>1306.8948461100729</v>
      </c>
    </row>
    <row r="330" spans="1:18" hidden="1">
      <c r="A330" t="s">
        <v>317</v>
      </c>
      <c r="B330" t="s">
        <v>263</v>
      </c>
      <c r="C330" t="str">
        <f>SUBSTITUTE(Table1[[#This Row],[Fuel]],", ",",")</f>
        <v>bioenergy: paper mill wastes,bioenergy: wood &amp; other biomass (solids),coal: bituminous</v>
      </c>
      <c r="D330" t="s">
        <v>61</v>
      </c>
      <c r="E330" t="s">
        <v>25</v>
      </c>
      <c r="F330" t="s">
        <v>90</v>
      </c>
      <c r="G330">
        <v>34</v>
      </c>
      <c r="H330" t="s">
        <v>27</v>
      </c>
      <c r="I330">
        <v>1980</v>
      </c>
      <c r="J330" t="s">
        <v>21</v>
      </c>
      <c r="K330">
        <v>37.799700000000001</v>
      </c>
      <c r="L330">
        <v>-79.994699999999995</v>
      </c>
      <c r="M330" t="s">
        <v>62</v>
      </c>
      <c r="N330" s="2">
        <f>Table1[[#This Row],[Capacity (MW)]]*8760*0.72*10^-6</f>
        <v>0.21444479999999999</v>
      </c>
      <c r="O330" s="2" cm="1">
        <f t="array" ref="O330">AVERAGE(VLOOKUP(_xlfn.TEXTSPLIT(Table1[[#This Row],[Fuel (no space after comma)]], ","), FuelList_Final_EF!$A$2:$B$32, 2, FALSE))</f>
        <v>98.00361975048321</v>
      </c>
      <c r="P330" s="2">
        <f>(16112*Table1[[#This Row],[Generation (TWh)]]*10^9)/10^6</f>
        <v>3455134.6175999995</v>
      </c>
      <c r="Q330" s="2">
        <f>Table1[[#This Row],[Emission Factor (kg CO2/ mmBtu)]]*Table1[[#This Row],[Fuel Consumption (mmBtu)]]*10^3</f>
        <v>338615699250.00153</v>
      </c>
      <c r="R330" s="2">
        <f>(Table1[[#This Row],[CO2 Emissions (g CO2)]])/(Table1[[#This Row],[Generation (TWh)]]*10^9)</f>
        <v>1579.0343214197851</v>
      </c>
    </row>
    <row r="331" spans="1:18" hidden="1">
      <c r="A331" t="s">
        <v>317</v>
      </c>
      <c r="B331" t="s">
        <v>318</v>
      </c>
      <c r="C331" t="str">
        <f>SUBSTITUTE(Table1[[#This Row],[Fuel]],", ",",")</f>
        <v>bioenergy: wood &amp; other biomass (solids),fossil gas: natural gas,fossil liquids: unknown</v>
      </c>
      <c r="D331" t="s">
        <v>25</v>
      </c>
      <c r="E331" t="s">
        <v>69</v>
      </c>
      <c r="F331" t="s">
        <v>217</v>
      </c>
      <c r="G331">
        <v>82</v>
      </c>
      <c r="H331" t="s">
        <v>27</v>
      </c>
      <c r="I331">
        <v>2013</v>
      </c>
      <c r="J331" t="s">
        <v>21</v>
      </c>
      <c r="K331">
        <v>37.799700000000001</v>
      </c>
      <c r="L331">
        <v>-79.994699999999995</v>
      </c>
      <c r="M331" t="s">
        <v>62</v>
      </c>
      <c r="N331" s="2">
        <f>Table1[[#This Row],[Capacity (MW)]]*8760*0.72*10^-6</f>
        <v>0.51719039999999994</v>
      </c>
      <c r="O331" s="2" cm="1">
        <f t="array" ref="O331">AVERAGE(VLOOKUP(_xlfn.TEXTSPLIT(Table1[[#This Row],[Fuel (no space after comma)]], ","), FuelList_Final_EF!$A$2:$B$32, 2, FALSE))</f>
        <v>77.236594022090785</v>
      </c>
      <c r="P331" s="2">
        <f>(16112*Table1[[#This Row],[Generation (TWh)]]*10^9)/10^6</f>
        <v>8332971.7248</v>
      </c>
      <c r="Q331" s="2">
        <f>Table1[[#This Row],[Emission Factor (kg CO2/ mmBtu)]]*Table1[[#This Row],[Fuel Consumption (mmBtu)]]*10^3</f>
        <v>643610354105.93921</v>
      </c>
      <c r="R331" s="2">
        <f>(Table1[[#This Row],[CO2 Emissions (g CO2)]])/(Table1[[#This Row],[Generation (TWh)]]*10^9)</f>
        <v>1244.4360028839269</v>
      </c>
    </row>
    <row r="332" spans="1:18" hidden="1">
      <c r="A332" t="s">
        <v>250</v>
      </c>
      <c r="B332" t="s">
        <v>319</v>
      </c>
      <c r="C332" t="str">
        <f>SUBSTITUTE(Table1[[#This Row],[Fuel]],", ",",")</f>
        <v>bioenergy: wood &amp; other biomass (solids),bioenergy: wood &amp; other biomass (solids),fossil liquids: waste/other oil</v>
      </c>
      <c r="D332" t="s">
        <v>25</v>
      </c>
      <c r="E332" t="s">
        <v>25</v>
      </c>
      <c r="F332" t="s">
        <v>33</v>
      </c>
      <c r="G332">
        <v>25</v>
      </c>
      <c r="H332" t="s">
        <v>27</v>
      </c>
      <c r="I332">
        <v>1990</v>
      </c>
      <c r="J332" t="s">
        <v>21</v>
      </c>
      <c r="K332">
        <v>35.130200000000002</v>
      </c>
      <c r="L332">
        <v>-77.167900000000003</v>
      </c>
      <c r="M332" t="s">
        <v>62</v>
      </c>
      <c r="N332" s="2">
        <f>Table1[[#This Row],[Capacity (MW)]]*8760*0.72*10^-6</f>
        <v>0.15767999999999999</v>
      </c>
      <c r="O332" s="2" cm="1">
        <f t="array" ref="O332">AVERAGE(VLOOKUP(_xlfn.TEXTSPLIT(Table1[[#This Row],[Fuel (no space after comma)]], ","), FuelList_Final_EF!$A$2:$B$32, 2, FALSE))</f>
        <v>88.293305218766477</v>
      </c>
      <c r="P332" s="2">
        <f>(16112*Table1[[#This Row],[Generation (TWh)]]*10^9)/10^6</f>
        <v>2540540.16</v>
      </c>
      <c r="Q332" s="2">
        <f>Table1[[#This Row],[Emission Factor (kg CO2/ mmBtu)]]*Table1[[#This Row],[Fuel Consumption (mmBtu)]]*10^3</f>
        <v>224312687767.41382</v>
      </c>
      <c r="R332" s="2">
        <f>(Table1[[#This Row],[CO2 Emissions (g CO2)]])/(Table1[[#This Row],[Generation (TWh)]]*10^9)</f>
        <v>1422.5817336847654</v>
      </c>
    </row>
    <row r="333" spans="1:18" hidden="1">
      <c r="A333" t="s">
        <v>320</v>
      </c>
      <c r="B333" t="s">
        <v>319</v>
      </c>
      <c r="C333" t="str">
        <f>SUBSTITUTE(Table1[[#This Row],[Fuel]],", ",",")</f>
        <v>bioenergy: wood &amp; other biomass (solids),bioenergy: wood &amp; other biomass (solids),fossil liquids: waste/other oil</v>
      </c>
      <c r="D333" t="s">
        <v>25</v>
      </c>
      <c r="E333" t="s">
        <v>25</v>
      </c>
      <c r="F333" t="s">
        <v>33</v>
      </c>
      <c r="G333">
        <v>25</v>
      </c>
      <c r="H333" t="s">
        <v>27</v>
      </c>
      <c r="I333">
        <v>1990</v>
      </c>
      <c r="J333" t="s">
        <v>21</v>
      </c>
      <c r="K333">
        <v>35.130200000000002</v>
      </c>
      <c r="L333">
        <v>-77.167900000000003</v>
      </c>
      <c r="M333" t="s">
        <v>62</v>
      </c>
      <c r="N333" s="2">
        <f>Table1[[#This Row],[Capacity (MW)]]*8760*0.72*10^-6</f>
        <v>0.15767999999999999</v>
      </c>
      <c r="O333" s="2" cm="1">
        <f t="array" ref="O333">AVERAGE(VLOOKUP(_xlfn.TEXTSPLIT(Table1[[#This Row],[Fuel (no space after comma)]], ","), FuelList_Final_EF!$A$2:$B$32, 2, FALSE))</f>
        <v>88.293305218766477</v>
      </c>
      <c r="P333" s="2">
        <f>(16112*Table1[[#This Row],[Generation (TWh)]]*10^9)/10^6</f>
        <v>2540540.16</v>
      </c>
      <c r="Q333" s="2">
        <f>Table1[[#This Row],[Emission Factor (kg CO2/ mmBtu)]]*Table1[[#This Row],[Fuel Consumption (mmBtu)]]*10^3</f>
        <v>224312687767.41382</v>
      </c>
      <c r="R333" s="2">
        <f>(Table1[[#This Row],[CO2 Emissions (g CO2)]])/(Table1[[#This Row],[Generation (TWh)]]*10^9)</f>
        <v>1422.5817336847654</v>
      </c>
    </row>
    <row r="334" spans="1:18">
      <c r="A334" t="s">
        <v>321</v>
      </c>
      <c r="B334" t="s">
        <v>322</v>
      </c>
      <c r="C334" t="str">
        <f>SUBSTITUTE(Table1[[#This Row],[Fuel]],", ",",")</f>
        <v>bioenergy: refuse (syngas)</v>
      </c>
      <c r="D334" t="s">
        <v>322</v>
      </c>
      <c r="G334">
        <v>40</v>
      </c>
      <c r="H334" t="s">
        <v>20</v>
      </c>
      <c r="I334" t="s">
        <v>21</v>
      </c>
      <c r="J334" t="s">
        <v>21</v>
      </c>
      <c r="K334">
        <v>11.4794</v>
      </c>
      <c r="L334">
        <v>43.187800000000003</v>
      </c>
      <c r="M334" t="s">
        <v>323</v>
      </c>
      <c r="N334" s="2">
        <f>Table1[[#This Row],[Capacity (MW)]]*8760*0.72*10^-6</f>
        <v>0.25228800000000001</v>
      </c>
      <c r="O334" s="2" cm="1">
        <f t="array" ref="O334">AVERAGE(VLOOKUP(_xlfn.TEXTSPLIT(Table1[[#This Row],[Fuel (no space after comma)]], ","), FuelList_Final_EF!$A$2:$B$32, 2, FALSE))</f>
        <v>46.81075382182393</v>
      </c>
      <c r="P334" s="2">
        <f>(16112*Table1[[#This Row],[Generation (TWh)]]*10^9)/10^6</f>
        <v>4064864.2560000005</v>
      </c>
      <c r="Q334" s="2">
        <f>Table1[[#This Row],[Emission Factor (kg CO2/ mmBtu)]]*Table1[[#This Row],[Fuel Consumption (mmBtu)]]*10^3</f>
        <v>190279360006.74753</v>
      </c>
      <c r="R334" s="2">
        <f>(Table1[[#This Row],[CO2 Emissions (g CO2)]])/(Table1[[#This Row],[Generation (TWh)]]*10^9)</f>
        <v>754.21486557722733</v>
      </c>
    </row>
    <row r="335" spans="1:18" hidden="1">
      <c r="A335" t="s">
        <v>324</v>
      </c>
      <c r="B335" t="s">
        <v>19</v>
      </c>
      <c r="C335" t="str">
        <f>SUBSTITUTE(Table1[[#This Row],[Fuel]],", ",",")</f>
        <v>bioenergy: refuse (municipal and industrial wastes)</v>
      </c>
      <c r="D335" t="s">
        <v>19</v>
      </c>
      <c r="G335">
        <v>45</v>
      </c>
      <c r="H335" t="s">
        <v>27</v>
      </c>
      <c r="I335">
        <v>1988</v>
      </c>
      <c r="J335" t="s">
        <v>21</v>
      </c>
      <c r="K335">
        <v>41.750500000000002</v>
      </c>
      <c r="L335">
        <v>-72.653000000000006</v>
      </c>
      <c r="M335" t="s">
        <v>62</v>
      </c>
      <c r="N335" s="2">
        <f>Table1[[#This Row],[Capacity (MW)]]*8760*0.72*10^-6</f>
        <v>0.28382399999999997</v>
      </c>
      <c r="O335" s="2" cm="1">
        <f t="array" ref="O335">AVERAGE(VLOOKUP(_xlfn.TEXTSPLIT(Table1[[#This Row],[Fuel (no space after comma)]], ","), FuelList_Final_EF!$A$2:$B$32, 2, FALSE))</f>
        <v>105.42962572482868</v>
      </c>
      <c r="P335" s="2">
        <f>(16112*Table1[[#This Row],[Generation (TWh)]]*10^9)/10^6</f>
        <v>4572972.2879999988</v>
      </c>
      <c r="Q335" s="2">
        <f>Table1[[#This Row],[Emission Factor (kg CO2/ mmBtu)]]*Table1[[#This Row],[Fuel Consumption (mmBtu)]]*10^3</f>
        <v>482126756773.85333</v>
      </c>
      <c r="R335" s="2">
        <f>(Table1[[#This Row],[CO2 Emissions (g CO2)]])/(Table1[[#This Row],[Generation (TWh)]]*10^9)</f>
        <v>1698.6821296784397</v>
      </c>
    </row>
    <row r="336" spans="1:18" hidden="1">
      <c r="A336" t="s">
        <v>324</v>
      </c>
      <c r="B336" t="s">
        <v>19</v>
      </c>
      <c r="C336" t="str">
        <f>SUBSTITUTE(Table1[[#This Row],[Fuel]],", ",",")</f>
        <v>bioenergy: refuse (municipal and industrial wastes)</v>
      </c>
      <c r="D336" t="s">
        <v>19</v>
      </c>
      <c r="G336">
        <v>45</v>
      </c>
      <c r="H336" t="s">
        <v>27</v>
      </c>
      <c r="I336">
        <v>1988</v>
      </c>
      <c r="J336" t="s">
        <v>21</v>
      </c>
      <c r="K336">
        <v>41.750500000000002</v>
      </c>
      <c r="L336">
        <v>-72.653000000000006</v>
      </c>
      <c r="M336" t="s">
        <v>62</v>
      </c>
      <c r="N336" s="2">
        <f>Table1[[#This Row],[Capacity (MW)]]*8760*0.72*10^-6</f>
        <v>0.28382399999999997</v>
      </c>
      <c r="O336" s="2" cm="1">
        <f t="array" ref="O336">AVERAGE(VLOOKUP(_xlfn.TEXTSPLIT(Table1[[#This Row],[Fuel (no space after comma)]], ","), FuelList_Final_EF!$A$2:$B$32, 2, FALSE))</f>
        <v>105.42962572482868</v>
      </c>
      <c r="P336" s="2">
        <f>(16112*Table1[[#This Row],[Generation (TWh)]]*10^9)/10^6</f>
        <v>4572972.2879999988</v>
      </c>
      <c r="Q336" s="2">
        <f>Table1[[#This Row],[Emission Factor (kg CO2/ mmBtu)]]*Table1[[#This Row],[Fuel Consumption (mmBtu)]]*10^3</f>
        <v>482126756773.85333</v>
      </c>
      <c r="R336" s="2">
        <f>(Table1[[#This Row],[CO2 Emissions (g CO2)]])/(Table1[[#This Row],[Generation (TWh)]]*10^9)</f>
        <v>1698.6821296784397</v>
      </c>
    </row>
    <row r="337" spans="1:18">
      <c r="A337" t="s">
        <v>325</v>
      </c>
      <c r="B337" t="s">
        <v>19</v>
      </c>
      <c r="C337" t="str">
        <f>SUBSTITUTE(Table1[[#This Row],[Fuel]],", ",",")</f>
        <v>bioenergy: refuse (municipal and industrial wastes)</v>
      </c>
      <c r="D337" t="s">
        <v>19</v>
      </c>
      <c r="G337">
        <v>40</v>
      </c>
      <c r="H337" t="s">
        <v>307</v>
      </c>
      <c r="I337" t="s">
        <v>21</v>
      </c>
      <c r="J337" t="s">
        <v>21</v>
      </c>
      <c r="K337">
        <v>10.967000000000001</v>
      </c>
      <c r="L337">
        <v>106.4267</v>
      </c>
      <c r="M337" t="s">
        <v>326</v>
      </c>
      <c r="N337" s="2">
        <f>Table1[[#This Row],[Capacity (MW)]]*8760*0.72*10^-6</f>
        <v>0.25228800000000001</v>
      </c>
      <c r="O337" s="2" cm="1">
        <f t="array" ref="O337">AVERAGE(VLOOKUP(_xlfn.TEXTSPLIT(Table1[[#This Row],[Fuel (no space after comma)]], ","), FuelList_Final_EF!$A$2:$B$32, 2, FALSE))</f>
        <v>105.42962572482868</v>
      </c>
      <c r="P337" s="2">
        <f>(16112*Table1[[#This Row],[Generation (TWh)]]*10^9)/10^6</f>
        <v>4064864.2560000005</v>
      </c>
      <c r="Q337" s="2">
        <f>Table1[[#This Row],[Emission Factor (kg CO2/ mmBtu)]]*Table1[[#This Row],[Fuel Consumption (mmBtu)]]*10^3</f>
        <v>428557117132.31427</v>
      </c>
      <c r="R337" s="2">
        <f>(Table1[[#This Row],[CO2 Emissions (g CO2)]])/(Table1[[#This Row],[Generation (TWh)]]*10^9)</f>
        <v>1698.6821296784401</v>
      </c>
    </row>
    <row r="338" spans="1:18" hidden="1">
      <c r="A338" t="s">
        <v>327</v>
      </c>
      <c r="B338" t="s">
        <v>210</v>
      </c>
      <c r="C338" t="str">
        <f>SUBSTITUTE(Table1[[#This Row],[Fuel]],", ",",")</f>
        <v>bioenergy: wood &amp; other biomass (solids),bioenergy: agricultural waste (solids)</v>
      </c>
      <c r="D338" t="s">
        <v>25</v>
      </c>
      <c r="E338" t="s">
        <v>46</v>
      </c>
      <c r="G338">
        <v>50</v>
      </c>
      <c r="H338" t="s">
        <v>27</v>
      </c>
      <c r="I338">
        <v>2020</v>
      </c>
      <c r="J338" t="s">
        <v>21</v>
      </c>
      <c r="K338">
        <v>42.6235</v>
      </c>
      <c r="L338">
        <v>-6.5685000000000002</v>
      </c>
      <c r="M338" t="s">
        <v>328</v>
      </c>
      <c r="N338" s="2">
        <f>Table1[[#This Row],[Capacity (MW)]]*8760*0.72*10^-6</f>
        <v>0.31535999999999997</v>
      </c>
      <c r="O338" s="2" cm="1">
        <f t="array" ref="O338">AVERAGE(VLOOKUP(_xlfn.TEXTSPLIT(Table1[[#This Row],[Fuel (no space after comma)]], ","), FuelList_Final_EF!$A$2:$B$32, 2, FALSE))</f>
        <v>105.985</v>
      </c>
      <c r="P338" s="2">
        <f>(16112*Table1[[#This Row],[Generation (TWh)]]*10^9)/10^6</f>
        <v>5081080.32</v>
      </c>
      <c r="Q338" s="2">
        <f>Table1[[#This Row],[Emission Factor (kg CO2/ mmBtu)]]*Table1[[#This Row],[Fuel Consumption (mmBtu)]]*10^3</f>
        <v>538518297715.20007</v>
      </c>
      <c r="R338" s="2">
        <f>(Table1[[#This Row],[CO2 Emissions (g CO2)]])/(Table1[[#This Row],[Generation (TWh)]]*10^9)</f>
        <v>1707.6303200000002</v>
      </c>
    </row>
    <row r="339" spans="1:18" hidden="1">
      <c r="A339" t="s">
        <v>329</v>
      </c>
      <c r="B339" t="s">
        <v>25</v>
      </c>
      <c r="C339" t="str">
        <f>SUBSTITUTE(Table1[[#This Row],[Fuel]],", ",",")</f>
        <v>bioenergy: wood &amp; other biomass (solids)</v>
      </c>
      <c r="D339" t="s">
        <v>25</v>
      </c>
      <c r="G339">
        <v>50</v>
      </c>
      <c r="H339" t="s">
        <v>27</v>
      </c>
      <c r="I339">
        <v>2020</v>
      </c>
      <c r="J339" t="s">
        <v>21</v>
      </c>
      <c r="K339">
        <v>43.157699999999998</v>
      </c>
      <c r="L339">
        <v>-8.0109999999999992</v>
      </c>
      <c r="M339" t="s">
        <v>328</v>
      </c>
      <c r="N339" s="2">
        <f>Table1[[#This Row],[Capacity (MW)]]*8760*0.72*10^-6</f>
        <v>0.31535999999999997</v>
      </c>
      <c r="O339" s="2" cm="1">
        <f t="array" ref="O339">AVERAGE(VLOOKUP(_xlfn.TEXTSPLIT(Table1[[#This Row],[Fuel (no space after comma)]], ","), FuelList_Final_EF!$A$2:$B$32, 2, FALSE))</f>
        <v>93.8</v>
      </c>
      <c r="P339" s="2">
        <f>(16112*Table1[[#This Row],[Generation (TWh)]]*10^9)/10^6</f>
        <v>5081080.32</v>
      </c>
      <c r="Q339" s="2">
        <f>Table1[[#This Row],[Emission Factor (kg CO2/ mmBtu)]]*Table1[[#This Row],[Fuel Consumption (mmBtu)]]*10^3</f>
        <v>476605334016.00006</v>
      </c>
      <c r="R339" s="2">
        <f>(Table1[[#This Row],[CO2 Emissions (g CO2)]])/(Table1[[#This Row],[Generation (TWh)]]*10^9)</f>
        <v>1511.3056000000001</v>
      </c>
    </row>
    <row r="340" spans="1:18" hidden="1">
      <c r="A340" t="s">
        <v>329</v>
      </c>
      <c r="B340" t="s">
        <v>96</v>
      </c>
      <c r="C340" t="str">
        <f>SUBSTITUTE(Table1[[#This Row],[Fuel]],", ",",")</f>
        <v>bioenergy: unknown</v>
      </c>
      <c r="D340" t="s">
        <v>96</v>
      </c>
      <c r="G340">
        <v>50</v>
      </c>
      <c r="H340" t="s">
        <v>27</v>
      </c>
      <c r="I340">
        <v>2020</v>
      </c>
      <c r="J340" t="s">
        <v>21</v>
      </c>
      <c r="K340">
        <v>43.157699999999998</v>
      </c>
      <c r="L340">
        <v>-8.0109999999999992</v>
      </c>
      <c r="M340" t="s">
        <v>328</v>
      </c>
      <c r="N340" s="2">
        <f>Table1[[#This Row],[Capacity (MW)]]*8760*0.72*10^-6</f>
        <v>0.31535999999999997</v>
      </c>
      <c r="O340" s="2" cm="1">
        <f t="array" ref="O340">AVERAGE(VLOOKUP(_xlfn.TEXTSPLIT(Table1[[#This Row],[Fuel (no space after comma)]], ","), FuelList_Final_EF!$A$2:$B$32, 2, FALSE))</f>
        <v>72.785606017598653</v>
      </c>
      <c r="P340" s="2">
        <f>(16112*Table1[[#This Row],[Generation (TWh)]]*10^9)/10^6</f>
        <v>5081080.32</v>
      </c>
      <c r="Q340" s="2">
        <f>Table1[[#This Row],[Emission Factor (kg CO2/ mmBtu)]]*Table1[[#This Row],[Fuel Consumption (mmBtu)]]*10^3</f>
        <v>369829510315.29407</v>
      </c>
      <c r="R340" s="2">
        <f>(Table1[[#This Row],[CO2 Emissions (g CO2)]])/(Table1[[#This Row],[Generation (TWh)]]*10^9)</f>
        <v>1172.7216841555494</v>
      </c>
    </row>
    <row r="341" spans="1:18" hidden="1">
      <c r="A341" t="s">
        <v>330</v>
      </c>
      <c r="B341" t="s">
        <v>46</v>
      </c>
      <c r="C341" t="str">
        <f>SUBSTITUTE(Table1[[#This Row],[Fuel]],", ",",")</f>
        <v>bioenergy: agricultural waste (solids)</v>
      </c>
      <c r="D341" t="s">
        <v>46</v>
      </c>
      <c r="G341">
        <v>40</v>
      </c>
      <c r="H341" t="s">
        <v>27</v>
      </c>
      <c r="I341">
        <v>2023</v>
      </c>
      <c r="J341" t="s">
        <v>21</v>
      </c>
      <c r="K341">
        <v>-10.112299999999999</v>
      </c>
      <c r="L341">
        <v>-36.275199999999998</v>
      </c>
      <c r="M341" t="s">
        <v>49</v>
      </c>
      <c r="N341" s="2">
        <f>Table1[[#This Row],[Capacity (MW)]]*8760*0.72*10^-6</f>
        <v>0.25228800000000001</v>
      </c>
      <c r="O341" s="2" cm="1">
        <f t="array" ref="O341">AVERAGE(VLOOKUP(_xlfn.TEXTSPLIT(Table1[[#This Row],[Fuel (no space after comma)]], ","), FuelList_Final_EF!$A$2:$B$32, 2, FALSE))</f>
        <v>118.17</v>
      </c>
      <c r="P341" s="2">
        <f>(16112*Table1[[#This Row],[Generation (TWh)]]*10^9)/10^6</f>
        <v>4064864.2560000005</v>
      </c>
      <c r="Q341" s="2">
        <f>Table1[[#This Row],[Emission Factor (kg CO2/ mmBtu)]]*Table1[[#This Row],[Fuel Consumption (mmBtu)]]*10^3</f>
        <v>480345009131.52008</v>
      </c>
      <c r="R341" s="2">
        <f>(Table1[[#This Row],[CO2 Emissions (g CO2)]])/(Table1[[#This Row],[Generation (TWh)]]*10^9)</f>
        <v>1903.9550400000003</v>
      </c>
    </row>
    <row r="342" spans="1:18" hidden="1">
      <c r="A342" t="s">
        <v>331</v>
      </c>
      <c r="B342" t="s">
        <v>46</v>
      </c>
      <c r="C342" t="str">
        <f>SUBSTITUTE(Table1[[#This Row],[Fuel]],", ",",")</f>
        <v>bioenergy: agricultural waste (solids)</v>
      </c>
      <c r="D342" t="s">
        <v>46</v>
      </c>
      <c r="G342">
        <v>30</v>
      </c>
      <c r="H342" t="s">
        <v>27</v>
      </c>
      <c r="I342">
        <v>2015</v>
      </c>
      <c r="J342" t="s">
        <v>21</v>
      </c>
      <c r="K342">
        <v>-21.050699999999999</v>
      </c>
      <c r="L342">
        <v>-50.843899999999998</v>
      </c>
      <c r="M342" t="s">
        <v>49</v>
      </c>
      <c r="N342" s="2">
        <f>Table1[[#This Row],[Capacity (MW)]]*8760*0.72*10^-6</f>
        <v>0.189216</v>
      </c>
      <c r="O342" s="2" cm="1">
        <f t="array" ref="O342">AVERAGE(VLOOKUP(_xlfn.TEXTSPLIT(Table1[[#This Row],[Fuel (no space after comma)]], ","), FuelList_Final_EF!$A$2:$B$32, 2, FALSE))</f>
        <v>118.17</v>
      </c>
      <c r="P342" s="2">
        <f>(16112*Table1[[#This Row],[Generation (TWh)]]*10^9)/10^6</f>
        <v>3048648.1919999998</v>
      </c>
      <c r="Q342" s="2">
        <f>Table1[[#This Row],[Emission Factor (kg CO2/ mmBtu)]]*Table1[[#This Row],[Fuel Consumption (mmBtu)]]*10^3</f>
        <v>360258756848.63995</v>
      </c>
      <c r="R342" s="2">
        <f>(Table1[[#This Row],[CO2 Emissions (g CO2)]])/(Table1[[#This Row],[Generation (TWh)]]*10^9)</f>
        <v>1903.9550399999998</v>
      </c>
    </row>
    <row r="343" spans="1:18" hidden="1">
      <c r="A343" t="s">
        <v>331</v>
      </c>
      <c r="B343" t="s">
        <v>46</v>
      </c>
      <c r="C343" t="str">
        <f>SUBSTITUTE(Table1[[#This Row],[Fuel]],", ",",")</f>
        <v>bioenergy: agricultural waste (solids)</v>
      </c>
      <c r="D343" t="s">
        <v>46</v>
      </c>
      <c r="G343">
        <v>40</v>
      </c>
      <c r="H343" t="s">
        <v>27</v>
      </c>
      <c r="I343">
        <v>2009</v>
      </c>
      <c r="J343" t="s">
        <v>21</v>
      </c>
      <c r="K343">
        <v>-21.050699999999999</v>
      </c>
      <c r="L343">
        <v>-50.843899999999998</v>
      </c>
      <c r="M343" t="s">
        <v>49</v>
      </c>
      <c r="N343" s="2">
        <f>Table1[[#This Row],[Capacity (MW)]]*8760*0.72*10^-6</f>
        <v>0.25228800000000001</v>
      </c>
      <c r="O343" s="2" cm="1">
        <f t="array" ref="O343">AVERAGE(VLOOKUP(_xlfn.TEXTSPLIT(Table1[[#This Row],[Fuel (no space after comma)]], ","), FuelList_Final_EF!$A$2:$B$32, 2, FALSE))</f>
        <v>118.17</v>
      </c>
      <c r="P343" s="2">
        <f>(16112*Table1[[#This Row],[Generation (TWh)]]*10^9)/10^6</f>
        <v>4064864.2560000005</v>
      </c>
      <c r="Q343" s="2">
        <f>Table1[[#This Row],[Emission Factor (kg CO2/ mmBtu)]]*Table1[[#This Row],[Fuel Consumption (mmBtu)]]*10^3</f>
        <v>480345009131.52008</v>
      </c>
      <c r="R343" s="2">
        <f>(Table1[[#This Row],[CO2 Emissions (g CO2)]])/(Table1[[#This Row],[Generation (TWh)]]*10^9)</f>
        <v>1903.9550400000003</v>
      </c>
    </row>
    <row r="344" spans="1:18" hidden="1">
      <c r="A344" t="s">
        <v>331</v>
      </c>
      <c r="B344" t="s">
        <v>46</v>
      </c>
      <c r="C344" t="str">
        <f>SUBSTITUTE(Table1[[#This Row],[Fuel]],", ",",")</f>
        <v>bioenergy: agricultural waste (solids)</v>
      </c>
      <c r="D344" t="s">
        <v>46</v>
      </c>
      <c r="G344">
        <v>50</v>
      </c>
      <c r="H344" t="s">
        <v>27</v>
      </c>
      <c r="I344">
        <v>2022</v>
      </c>
      <c r="J344" t="s">
        <v>21</v>
      </c>
      <c r="K344">
        <v>-21.050899999999999</v>
      </c>
      <c r="L344">
        <v>-50.844099999999997</v>
      </c>
      <c r="M344" t="s">
        <v>49</v>
      </c>
      <c r="N344" s="2">
        <f>Table1[[#This Row],[Capacity (MW)]]*8760*0.72*10^-6</f>
        <v>0.31535999999999997</v>
      </c>
      <c r="O344" s="2" cm="1">
        <f t="array" ref="O344">AVERAGE(VLOOKUP(_xlfn.TEXTSPLIT(Table1[[#This Row],[Fuel (no space after comma)]], ","), FuelList_Final_EF!$A$2:$B$32, 2, FALSE))</f>
        <v>118.17</v>
      </c>
      <c r="P344" s="2">
        <f>(16112*Table1[[#This Row],[Generation (TWh)]]*10^9)/10^6</f>
        <v>5081080.32</v>
      </c>
      <c r="Q344" s="2">
        <f>Table1[[#This Row],[Emission Factor (kg CO2/ mmBtu)]]*Table1[[#This Row],[Fuel Consumption (mmBtu)]]*10^3</f>
        <v>600431261414.40015</v>
      </c>
      <c r="R344" s="2">
        <f>(Table1[[#This Row],[CO2 Emissions (g CO2)]])/(Table1[[#This Row],[Generation (TWh)]]*10^9)</f>
        <v>1903.9550400000005</v>
      </c>
    </row>
    <row r="345" spans="1:18" hidden="1">
      <c r="A345" t="s">
        <v>242</v>
      </c>
      <c r="B345" t="s">
        <v>46</v>
      </c>
      <c r="C345" t="str">
        <f>SUBSTITUTE(Table1[[#This Row],[Fuel]],", ",",")</f>
        <v>bioenergy: agricultural waste (solids)</v>
      </c>
      <c r="D345" t="s">
        <v>46</v>
      </c>
      <c r="G345">
        <v>35</v>
      </c>
      <c r="H345" t="s">
        <v>27</v>
      </c>
      <c r="I345">
        <v>2012</v>
      </c>
      <c r="J345" t="s">
        <v>21</v>
      </c>
      <c r="K345">
        <v>-21.174299999999999</v>
      </c>
      <c r="L345">
        <v>-47.63</v>
      </c>
      <c r="M345" t="s">
        <v>49</v>
      </c>
      <c r="N345" s="2">
        <f>Table1[[#This Row],[Capacity (MW)]]*8760*0.72*10^-6</f>
        <v>0.220752</v>
      </c>
      <c r="O345" s="2" cm="1">
        <f t="array" ref="O345">AVERAGE(VLOOKUP(_xlfn.TEXTSPLIT(Table1[[#This Row],[Fuel (no space after comma)]], ","), FuelList_Final_EF!$A$2:$B$32, 2, FALSE))</f>
        <v>118.17</v>
      </c>
      <c r="P345" s="2">
        <f>(16112*Table1[[#This Row],[Generation (TWh)]]*10^9)/10^6</f>
        <v>3556756.2239999999</v>
      </c>
      <c r="Q345" s="2">
        <f>Table1[[#This Row],[Emission Factor (kg CO2/ mmBtu)]]*Table1[[#This Row],[Fuel Consumption (mmBtu)]]*10^3</f>
        <v>420301882990.08002</v>
      </c>
      <c r="R345" s="2">
        <f>(Table1[[#This Row],[CO2 Emissions (g CO2)]])/(Table1[[#This Row],[Generation (TWh)]]*10^9)</f>
        <v>1903.9550400000001</v>
      </c>
    </row>
    <row r="346" spans="1:18" hidden="1">
      <c r="A346" t="s">
        <v>242</v>
      </c>
      <c r="B346" t="s">
        <v>46</v>
      </c>
      <c r="C346" t="str">
        <f>SUBSTITUTE(Table1[[#This Row],[Fuel]],", ",",")</f>
        <v>bioenergy: agricultural waste (solids)</v>
      </c>
      <c r="D346" t="s">
        <v>46</v>
      </c>
      <c r="G346">
        <v>35</v>
      </c>
      <c r="H346" t="s">
        <v>27</v>
      </c>
      <c r="I346">
        <v>2012</v>
      </c>
      <c r="J346" t="s">
        <v>21</v>
      </c>
      <c r="K346">
        <v>-21.174299999999999</v>
      </c>
      <c r="L346">
        <v>-47.63</v>
      </c>
      <c r="M346" t="s">
        <v>49</v>
      </c>
      <c r="N346" s="2">
        <f>Table1[[#This Row],[Capacity (MW)]]*8760*0.72*10^-6</f>
        <v>0.220752</v>
      </c>
      <c r="O346" s="2" cm="1">
        <f t="array" ref="O346">AVERAGE(VLOOKUP(_xlfn.TEXTSPLIT(Table1[[#This Row],[Fuel (no space after comma)]], ","), FuelList_Final_EF!$A$2:$B$32, 2, FALSE))</f>
        <v>118.17</v>
      </c>
      <c r="P346" s="2">
        <f>(16112*Table1[[#This Row],[Generation (TWh)]]*10^9)/10^6</f>
        <v>3556756.2239999999</v>
      </c>
      <c r="Q346" s="2">
        <f>Table1[[#This Row],[Emission Factor (kg CO2/ mmBtu)]]*Table1[[#This Row],[Fuel Consumption (mmBtu)]]*10^3</f>
        <v>420301882990.08002</v>
      </c>
      <c r="R346" s="2">
        <f>(Table1[[#This Row],[CO2 Emissions (g CO2)]])/(Table1[[#This Row],[Generation (TWh)]]*10^9)</f>
        <v>1903.9550400000001</v>
      </c>
    </row>
    <row r="347" spans="1:18" hidden="1">
      <c r="A347" t="s">
        <v>332</v>
      </c>
      <c r="B347" t="s">
        <v>25</v>
      </c>
      <c r="C347" t="str">
        <f>SUBSTITUTE(Table1[[#This Row],[Fuel]],", ",",")</f>
        <v>bioenergy: wood &amp; other biomass (solids)</v>
      </c>
      <c r="D347" t="s">
        <v>25</v>
      </c>
      <c r="G347">
        <v>110</v>
      </c>
      <c r="H347" t="s">
        <v>27</v>
      </c>
      <c r="I347">
        <v>2021</v>
      </c>
      <c r="J347" t="s">
        <v>21</v>
      </c>
      <c r="K347">
        <v>36.960099999999997</v>
      </c>
      <c r="L347">
        <v>126.401</v>
      </c>
      <c r="M347" t="s">
        <v>333</v>
      </c>
      <c r="N347" s="2">
        <f>Table1[[#This Row],[Capacity (MW)]]*8760*0.72*10^-6</f>
        <v>0.69379199999999996</v>
      </c>
      <c r="O347" s="2" cm="1">
        <f t="array" ref="O347">AVERAGE(VLOOKUP(_xlfn.TEXTSPLIT(Table1[[#This Row],[Fuel (no space after comma)]], ","), FuelList_Final_EF!$A$2:$B$32, 2, FALSE))</f>
        <v>93.8</v>
      </c>
      <c r="P347" s="2">
        <f>(16112*Table1[[#This Row],[Generation (TWh)]]*10^9)/10^6</f>
        <v>11178376.704</v>
      </c>
      <c r="Q347" s="2">
        <f>Table1[[#This Row],[Emission Factor (kg CO2/ mmBtu)]]*Table1[[#This Row],[Fuel Consumption (mmBtu)]]*10^3</f>
        <v>1048531734835.2</v>
      </c>
      <c r="R347" s="2">
        <f>(Table1[[#This Row],[CO2 Emissions (g CO2)]])/(Table1[[#This Row],[Generation (TWh)]]*10^9)</f>
        <v>1511.3055999999999</v>
      </c>
    </row>
    <row r="348" spans="1:18" hidden="1">
      <c r="A348" t="s">
        <v>334</v>
      </c>
      <c r="B348" t="s">
        <v>61</v>
      </c>
      <c r="C348" t="str">
        <f>SUBSTITUTE(Table1[[#This Row],[Fuel]],", ",",")</f>
        <v>bioenergy: paper mill wastes</v>
      </c>
      <c r="D348" t="s">
        <v>61</v>
      </c>
      <c r="G348">
        <v>63</v>
      </c>
      <c r="H348" t="s">
        <v>27</v>
      </c>
      <c r="I348">
        <v>2020</v>
      </c>
      <c r="J348" t="s">
        <v>21</v>
      </c>
      <c r="K348">
        <v>33.989519999999999</v>
      </c>
      <c r="L348">
        <v>133.55119999999999</v>
      </c>
      <c r="M348" t="s">
        <v>51</v>
      </c>
      <c r="N348" s="2">
        <f>Table1[[#This Row],[Capacity (MW)]]*8760*0.72*10^-6</f>
        <v>0.39735359999999997</v>
      </c>
      <c r="O348" s="2" cm="1">
        <f t="array" ref="O348">AVERAGE(VLOOKUP(_xlfn.TEXTSPLIT(Table1[[#This Row],[Fuel (no space after comma)]], ","), FuelList_Final_EF!$A$2:$B$32, 2, FALSE))</f>
        <v>100.47443331576173</v>
      </c>
      <c r="P348" s="2">
        <f>(16112*Table1[[#This Row],[Generation (TWh)]]*10^9)/10^6</f>
        <v>6402161.2031999994</v>
      </c>
      <c r="Q348" s="2">
        <f>Table1[[#This Row],[Emission Factor (kg CO2/ mmBtu)]]*Table1[[#This Row],[Fuel Consumption (mmBtu)]]*10^3</f>
        <v>643253518887.67517</v>
      </c>
      <c r="R348" s="2">
        <f>(Table1[[#This Row],[CO2 Emissions (g CO2)]])/(Table1[[#This Row],[Generation (TWh)]]*10^9)</f>
        <v>1618.8440695835527</v>
      </c>
    </row>
    <row r="349" spans="1:18" hidden="1">
      <c r="A349" t="s">
        <v>335</v>
      </c>
      <c r="B349" t="s">
        <v>25</v>
      </c>
      <c r="C349" t="str">
        <f>SUBSTITUTE(Table1[[#This Row],[Fuel]],", ",",")</f>
        <v>bioenergy: wood &amp; other biomass (solids)</v>
      </c>
      <c r="D349" t="s">
        <v>25</v>
      </c>
      <c r="G349">
        <v>50</v>
      </c>
      <c r="H349" t="s">
        <v>27</v>
      </c>
      <c r="I349">
        <v>2010</v>
      </c>
      <c r="J349" t="s">
        <v>21</v>
      </c>
      <c r="K349">
        <v>44.631399999999999</v>
      </c>
      <c r="L349">
        <v>-0.97789999999999999</v>
      </c>
      <c r="M349" t="s">
        <v>228</v>
      </c>
      <c r="N349" s="2">
        <f>Table1[[#This Row],[Capacity (MW)]]*8760*0.72*10^-6</f>
        <v>0.31535999999999997</v>
      </c>
      <c r="O349" s="2" cm="1">
        <f t="array" ref="O349">AVERAGE(VLOOKUP(_xlfn.TEXTSPLIT(Table1[[#This Row],[Fuel (no space after comma)]], ","), FuelList_Final_EF!$A$2:$B$32, 2, FALSE))</f>
        <v>93.8</v>
      </c>
      <c r="P349" s="2">
        <f>(16112*Table1[[#This Row],[Generation (TWh)]]*10^9)/10^6</f>
        <v>5081080.32</v>
      </c>
      <c r="Q349" s="2">
        <f>Table1[[#This Row],[Emission Factor (kg CO2/ mmBtu)]]*Table1[[#This Row],[Fuel Consumption (mmBtu)]]*10^3</f>
        <v>476605334016.00006</v>
      </c>
      <c r="R349" s="2">
        <f>(Table1[[#This Row],[CO2 Emissions (g CO2)]])/(Table1[[#This Row],[Generation (TWh)]]*10^9)</f>
        <v>1511.3056000000001</v>
      </c>
    </row>
    <row r="350" spans="1:18">
      <c r="A350" t="s">
        <v>336</v>
      </c>
      <c r="B350" t="s">
        <v>19</v>
      </c>
      <c r="C350" t="str">
        <f>SUBSTITUTE(Table1[[#This Row],[Fuel]],", ",",")</f>
        <v>bioenergy: refuse (municipal and industrial wastes)</v>
      </c>
      <c r="D350" t="s">
        <v>19</v>
      </c>
      <c r="G350">
        <v>45</v>
      </c>
      <c r="H350" t="s">
        <v>20</v>
      </c>
      <c r="I350" t="s">
        <v>21</v>
      </c>
      <c r="J350" t="s">
        <v>21</v>
      </c>
      <c r="K350">
        <v>-1.2427999999999999</v>
      </c>
      <c r="L350">
        <v>37.015700000000002</v>
      </c>
      <c r="M350" t="s">
        <v>337</v>
      </c>
      <c r="N350" s="2">
        <f>Table1[[#This Row],[Capacity (MW)]]*8760*0.72*10^-6</f>
        <v>0.28382399999999997</v>
      </c>
      <c r="O350" s="2" cm="1">
        <f t="array" ref="O350">AVERAGE(VLOOKUP(_xlfn.TEXTSPLIT(Table1[[#This Row],[Fuel (no space after comma)]], ","), FuelList_Final_EF!$A$2:$B$32, 2, FALSE))</f>
        <v>105.42962572482868</v>
      </c>
      <c r="P350" s="2">
        <f>(16112*Table1[[#This Row],[Generation (TWh)]]*10^9)/10^6</f>
        <v>4572972.2879999988</v>
      </c>
      <c r="Q350" s="2">
        <f>Table1[[#This Row],[Emission Factor (kg CO2/ mmBtu)]]*Table1[[#This Row],[Fuel Consumption (mmBtu)]]*10^3</f>
        <v>482126756773.85333</v>
      </c>
      <c r="R350" s="2">
        <f>(Table1[[#This Row],[CO2 Emissions (g CO2)]])/(Table1[[#This Row],[Generation (TWh)]]*10^9)</f>
        <v>1698.6821296784397</v>
      </c>
    </row>
    <row r="351" spans="1:18" hidden="1">
      <c r="A351" t="s">
        <v>338</v>
      </c>
      <c r="B351" t="s">
        <v>210</v>
      </c>
      <c r="C351" t="str">
        <f>SUBSTITUTE(Table1[[#This Row],[Fuel]],", ",",")</f>
        <v>bioenergy: wood &amp; other biomass (solids),bioenergy: agricultural waste (solids)</v>
      </c>
      <c r="D351" t="s">
        <v>25</v>
      </c>
      <c r="E351" t="s">
        <v>46</v>
      </c>
      <c r="G351">
        <v>105</v>
      </c>
      <c r="H351" t="s">
        <v>27</v>
      </c>
      <c r="I351">
        <v>2015</v>
      </c>
      <c r="J351" t="s">
        <v>21</v>
      </c>
      <c r="K351">
        <v>36.9587</v>
      </c>
      <c r="L351">
        <v>126.7834</v>
      </c>
      <c r="M351" t="s">
        <v>333</v>
      </c>
      <c r="N351" s="2">
        <f>Table1[[#This Row],[Capacity (MW)]]*8760*0.72*10^-6</f>
        <v>0.66225599999999996</v>
      </c>
      <c r="O351" s="2" cm="1">
        <f t="array" ref="O351">AVERAGE(VLOOKUP(_xlfn.TEXTSPLIT(Table1[[#This Row],[Fuel (no space after comma)]], ","), FuelList_Final_EF!$A$2:$B$32, 2, FALSE))</f>
        <v>105.985</v>
      </c>
      <c r="P351" s="2">
        <f>(16112*Table1[[#This Row],[Generation (TWh)]]*10^9)/10^6</f>
        <v>10670268.672</v>
      </c>
      <c r="Q351" s="2">
        <f>Table1[[#This Row],[Emission Factor (kg CO2/ mmBtu)]]*Table1[[#This Row],[Fuel Consumption (mmBtu)]]*10^3</f>
        <v>1130888425201.9199</v>
      </c>
      <c r="R351" s="2">
        <f>(Table1[[#This Row],[CO2 Emissions (g CO2)]])/(Table1[[#This Row],[Generation (TWh)]]*10^9)</f>
        <v>1707.63032</v>
      </c>
    </row>
    <row r="352" spans="1:18" hidden="1">
      <c r="A352" t="s">
        <v>338</v>
      </c>
      <c r="B352" t="s">
        <v>210</v>
      </c>
      <c r="C352" t="str">
        <f>SUBSTITUTE(Table1[[#This Row],[Fuel]],", ",",")</f>
        <v>bioenergy: wood &amp; other biomass (solids),bioenergy: agricultural waste (solids)</v>
      </c>
      <c r="D352" t="s">
        <v>25</v>
      </c>
      <c r="E352" t="s">
        <v>46</v>
      </c>
      <c r="G352">
        <v>105</v>
      </c>
      <c r="H352" t="s">
        <v>27</v>
      </c>
      <c r="I352">
        <v>2021</v>
      </c>
      <c r="J352" t="s">
        <v>21</v>
      </c>
      <c r="K352">
        <v>36.9587</v>
      </c>
      <c r="L352">
        <v>126.7834</v>
      </c>
      <c r="M352" t="s">
        <v>333</v>
      </c>
      <c r="N352" s="2">
        <f>Table1[[#This Row],[Capacity (MW)]]*8760*0.72*10^-6</f>
        <v>0.66225599999999996</v>
      </c>
      <c r="O352" s="2" cm="1">
        <f t="array" ref="O352">AVERAGE(VLOOKUP(_xlfn.TEXTSPLIT(Table1[[#This Row],[Fuel (no space after comma)]], ","), FuelList_Final_EF!$A$2:$B$32, 2, FALSE))</f>
        <v>105.985</v>
      </c>
      <c r="P352" s="2">
        <f>(16112*Table1[[#This Row],[Generation (TWh)]]*10^9)/10^6</f>
        <v>10670268.672</v>
      </c>
      <c r="Q352" s="2">
        <f>Table1[[#This Row],[Emission Factor (kg CO2/ mmBtu)]]*Table1[[#This Row],[Fuel Consumption (mmBtu)]]*10^3</f>
        <v>1130888425201.9199</v>
      </c>
      <c r="R352" s="2">
        <f>(Table1[[#This Row],[CO2 Emissions (g CO2)]])/(Table1[[#This Row],[Generation (TWh)]]*10^9)</f>
        <v>1707.63032</v>
      </c>
    </row>
    <row r="353" spans="1:18">
      <c r="A353" t="s">
        <v>339</v>
      </c>
      <c r="B353" t="s">
        <v>46</v>
      </c>
      <c r="C353" t="str">
        <f>SUBSTITUTE(Table1[[#This Row],[Fuel]],", ",",")</f>
        <v>bioenergy: agricultural waste (solids)</v>
      </c>
      <c r="D353" t="s">
        <v>46</v>
      </c>
      <c r="G353">
        <v>45</v>
      </c>
      <c r="H353" t="s">
        <v>27</v>
      </c>
      <c r="I353" t="s">
        <v>21</v>
      </c>
      <c r="J353" t="s">
        <v>21</v>
      </c>
      <c r="K353">
        <v>29.121700000000001</v>
      </c>
      <c r="L353">
        <v>77.7029</v>
      </c>
      <c r="M353" t="s">
        <v>66</v>
      </c>
      <c r="N353" s="2">
        <f>Table1[[#This Row],[Capacity (MW)]]*8760*0.72*10^-6</f>
        <v>0.28382399999999997</v>
      </c>
      <c r="O353" s="2" cm="1">
        <f t="array" ref="O353">AVERAGE(VLOOKUP(_xlfn.TEXTSPLIT(Table1[[#This Row],[Fuel (no space after comma)]], ","), FuelList_Final_EF!$A$2:$B$32, 2, FALSE))</f>
        <v>118.17</v>
      </c>
      <c r="P353" s="2">
        <f>(16112*Table1[[#This Row],[Generation (TWh)]]*10^9)/10^6</f>
        <v>4572972.2879999988</v>
      </c>
      <c r="Q353" s="2">
        <f>Table1[[#This Row],[Emission Factor (kg CO2/ mmBtu)]]*Table1[[#This Row],[Fuel Consumption (mmBtu)]]*10^3</f>
        <v>540388135272.95984</v>
      </c>
      <c r="R353" s="2">
        <f>(Table1[[#This Row],[CO2 Emissions (g CO2)]])/(Table1[[#This Row],[Generation (TWh)]]*10^9)</f>
        <v>1903.9550399999998</v>
      </c>
    </row>
    <row r="354" spans="1:18" hidden="1">
      <c r="A354" t="s">
        <v>340</v>
      </c>
      <c r="B354" t="s">
        <v>25</v>
      </c>
      <c r="C354" t="str">
        <f>SUBSTITUTE(Table1[[#This Row],[Fuel]],", ",",")</f>
        <v>bioenergy: wood &amp; other biomass (solids)</v>
      </c>
      <c r="D354" t="s">
        <v>25</v>
      </c>
      <c r="G354">
        <v>35</v>
      </c>
      <c r="H354" t="s">
        <v>27</v>
      </c>
      <c r="I354">
        <v>2009</v>
      </c>
      <c r="J354" t="s">
        <v>21</v>
      </c>
      <c r="K354">
        <v>63.873399999999997</v>
      </c>
      <c r="L354">
        <v>20.404800000000002</v>
      </c>
      <c r="M354" t="s">
        <v>34</v>
      </c>
      <c r="N354" s="2">
        <f>Table1[[#This Row],[Capacity (MW)]]*8760*0.72*10^-6</f>
        <v>0.220752</v>
      </c>
      <c r="O354" s="2" cm="1">
        <f t="array" ref="O354">AVERAGE(VLOOKUP(_xlfn.TEXTSPLIT(Table1[[#This Row],[Fuel (no space after comma)]], ","), FuelList_Final_EF!$A$2:$B$32, 2, FALSE))</f>
        <v>93.8</v>
      </c>
      <c r="P354" s="2">
        <f>(16112*Table1[[#This Row],[Generation (TWh)]]*10^9)/10^6</f>
        <v>3556756.2239999999</v>
      </c>
      <c r="Q354" s="2">
        <f>Table1[[#This Row],[Emission Factor (kg CO2/ mmBtu)]]*Table1[[#This Row],[Fuel Consumption (mmBtu)]]*10^3</f>
        <v>333623733811.19995</v>
      </c>
      <c r="R354" s="2">
        <f>(Table1[[#This Row],[CO2 Emissions (g CO2)]])/(Table1[[#This Row],[Generation (TWh)]]*10^9)</f>
        <v>1511.3055999999997</v>
      </c>
    </row>
    <row r="355" spans="1:18" hidden="1">
      <c r="A355" t="s">
        <v>339</v>
      </c>
      <c r="B355" t="s">
        <v>46</v>
      </c>
      <c r="C355" t="str">
        <f>SUBSTITUTE(Table1[[#This Row],[Fuel]],", ",",")</f>
        <v>bioenergy: agricultural waste (solids)</v>
      </c>
      <c r="D355" t="s">
        <v>46</v>
      </c>
      <c r="G355">
        <v>30</v>
      </c>
      <c r="H355" t="s">
        <v>27</v>
      </c>
      <c r="I355">
        <v>2019</v>
      </c>
      <c r="J355" t="s">
        <v>21</v>
      </c>
      <c r="K355">
        <v>27.5305</v>
      </c>
      <c r="L355">
        <v>80.154200000000003</v>
      </c>
      <c r="M355" t="s">
        <v>66</v>
      </c>
      <c r="N355" s="2">
        <f>Table1[[#This Row],[Capacity (MW)]]*8760*0.72*10^-6</f>
        <v>0.189216</v>
      </c>
      <c r="O355" s="2" cm="1">
        <f t="array" ref="O355">AVERAGE(VLOOKUP(_xlfn.TEXTSPLIT(Table1[[#This Row],[Fuel (no space after comma)]], ","), FuelList_Final_EF!$A$2:$B$32, 2, FALSE))</f>
        <v>118.17</v>
      </c>
      <c r="P355" s="2">
        <f>(16112*Table1[[#This Row],[Generation (TWh)]]*10^9)/10^6</f>
        <v>3048648.1919999998</v>
      </c>
      <c r="Q355" s="2">
        <f>Table1[[#This Row],[Emission Factor (kg CO2/ mmBtu)]]*Table1[[#This Row],[Fuel Consumption (mmBtu)]]*10^3</f>
        <v>360258756848.63995</v>
      </c>
      <c r="R355" s="2">
        <f>(Table1[[#This Row],[CO2 Emissions (g CO2)]])/(Table1[[#This Row],[Generation (TWh)]]*10^9)</f>
        <v>1903.9550399999998</v>
      </c>
    </row>
    <row r="356" spans="1:18" hidden="1">
      <c r="A356" t="s">
        <v>341</v>
      </c>
      <c r="B356" t="s">
        <v>342</v>
      </c>
      <c r="C356" t="str">
        <f>SUBSTITUTE(Table1[[#This Row],[Fuel]],", ",",")</f>
        <v>bioenergy: agricultural waste (biogas),fossil gas: natural gas</v>
      </c>
      <c r="D356" t="s">
        <v>43</v>
      </c>
      <c r="E356" t="s">
        <v>69</v>
      </c>
      <c r="G356">
        <v>71</v>
      </c>
      <c r="H356" t="s">
        <v>27</v>
      </c>
      <c r="I356">
        <v>1993</v>
      </c>
      <c r="J356" t="s">
        <v>21</v>
      </c>
      <c r="K356">
        <v>52.097000000000001</v>
      </c>
      <c r="L356">
        <v>6.0514200000000002</v>
      </c>
      <c r="M356" t="s">
        <v>39</v>
      </c>
      <c r="N356" s="2">
        <f>Table1[[#This Row],[Capacity (MW)]]*8760*0.72*10^-6</f>
        <v>0.44781119999999996</v>
      </c>
      <c r="O356" s="2" cm="1">
        <f t="array" ref="O356">AVERAGE(VLOOKUP(_xlfn.TEXTSPLIT(Table1[[#This Row],[Fuel (no space after comma)]], ","), FuelList_Final_EF!$A$2:$B$32, 2, FALSE))</f>
        <v>52.564999999999998</v>
      </c>
      <c r="P356" s="2">
        <f>(16112*Table1[[#This Row],[Generation (TWh)]]*10^9)/10^6</f>
        <v>7215134.0543999998</v>
      </c>
      <c r="Q356" s="2">
        <f>Table1[[#This Row],[Emission Factor (kg CO2/ mmBtu)]]*Table1[[#This Row],[Fuel Consumption (mmBtu)]]*10^3</f>
        <v>379263521569.53595</v>
      </c>
      <c r="R356" s="2">
        <f>(Table1[[#This Row],[CO2 Emissions (g CO2)]])/(Table1[[#This Row],[Generation (TWh)]]*10^9)</f>
        <v>846.92728</v>
      </c>
    </row>
    <row r="357" spans="1:18" hidden="1">
      <c r="A357" t="s">
        <v>343</v>
      </c>
      <c r="B357" t="s">
        <v>46</v>
      </c>
      <c r="C357" t="str">
        <f>SUBSTITUTE(Table1[[#This Row],[Fuel]],", ",",")</f>
        <v>bioenergy: agricultural waste (solids)</v>
      </c>
      <c r="D357" t="s">
        <v>46</v>
      </c>
      <c r="G357">
        <v>33</v>
      </c>
      <c r="H357" t="s">
        <v>27</v>
      </c>
      <c r="I357">
        <v>2004</v>
      </c>
      <c r="J357" t="s">
        <v>21</v>
      </c>
      <c r="K357">
        <v>-22.767299999999999</v>
      </c>
      <c r="L357">
        <v>-50.1128</v>
      </c>
      <c r="M357" t="s">
        <v>49</v>
      </c>
      <c r="N357" s="2">
        <f>Table1[[#This Row],[Capacity (MW)]]*8760*0.72*10^-6</f>
        <v>0.20813760000000001</v>
      </c>
      <c r="O357" s="2" cm="1">
        <f t="array" ref="O357">AVERAGE(VLOOKUP(_xlfn.TEXTSPLIT(Table1[[#This Row],[Fuel (no space after comma)]], ","), FuelList_Final_EF!$A$2:$B$32, 2, FALSE))</f>
        <v>118.17</v>
      </c>
      <c r="P357" s="2">
        <f>(16112*Table1[[#This Row],[Generation (TWh)]]*10^9)/10^6</f>
        <v>3353513.0112000001</v>
      </c>
      <c r="Q357" s="2">
        <f>Table1[[#This Row],[Emission Factor (kg CO2/ mmBtu)]]*Table1[[#This Row],[Fuel Consumption (mmBtu)]]*10^3</f>
        <v>396284632533.50403</v>
      </c>
      <c r="R357" s="2">
        <f>(Table1[[#This Row],[CO2 Emissions (g CO2)]])/(Table1[[#This Row],[Generation (TWh)]]*10^9)</f>
        <v>1903.9550400000001</v>
      </c>
    </row>
    <row r="358" spans="1:18" hidden="1">
      <c r="A358" t="s">
        <v>344</v>
      </c>
      <c r="B358" t="s">
        <v>68</v>
      </c>
      <c r="C358" t="str">
        <f>SUBSTITUTE(Table1[[#This Row],[Fuel]],", ",",")</f>
        <v>bioenergy: wood &amp; other biomass (solids),fossil gas: natural gas</v>
      </c>
      <c r="D358" t="s">
        <v>25</v>
      </c>
      <c r="E358" t="s">
        <v>69</v>
      </c>
      <c r="G358">
        <v>116</v>
      </c>
      <c r="H358" t="s">
        <v>27</v>
      </c>
      <c r="I358">
        <v>2013</v>
      </c>
      <c r="J358" t="s">
        <v>21</v>
      </c>
      <c r="K358">
        <v>29.767499999999998</v>
      </c>
      <c r="L358">
        <v>-82.3964</v>
      </c>
      <c r="M358" t="s">
        <v>62</v>
      </c>
      <c r="N358" s="2">
        <f>Table1[[#This Row],[Capacity (MW)]]*8760*0.72*10^-6</f>
        <v>0.73163519999999993</v>
      </c>
      <c r="O358" s="2" cm="1">
        <f t="array" ref="O358">AVERAGE(VLOOKUP(_xlfn.TEXTSPLIT(Table1[[#This Row],[Fuel (no space after comma)]], ","), FuelList_Final_EF!$A$2:$B$32, 2, FALSE))</f>
        <v>73.430000000000007</v>
      </c>
      <c r="P358" s="2">
        <f>(16112*Table1[[#This Row],[Generation (TWh)]]*10^9)/10^6</f>
        <v>11788106.342399998</v>
      </c>
      <c r="Q358" s="2">
        <f>Table1[[#This Row],[Emission Factor (kg CO2/ mmBtu)]]*Table1[[#This Row],[Fuel Consumption (mmBtu)]]*10^3</f>
        <v>865600648722.43188</v>
      </c>
      <c r="R358" s="2">
        <f>(Table1[[#This Row],[CO2 Emissions (g CO2)]])/(Table1[[#This Row],[Generation (TWh)]]*10^9)</f>
        <v>1183.1041600000001</v>
      </c>
    </row>
    <row r="359" spans="1:18" hidden="1">
      <c r="A359" t="s">
        <v>345</v>
      </c>
      <c r="B359" t="s">
        <v>46</v>
      </c>
      <c r="C359" t="str">
        <f>SUBSTITUTE(Table1[[#This Row],[Fuel]],", ",",")</f>
        <v>bioenergy: agricultural waste (solids)</v>
      </c>
      <c r="D359" t="s">
        <v>46</v>
      </c>
      <c r="G359">
        <v>102</v>
      </c>
      <c r="H359" t="s">
        <v>27</v>
      </c>
      <c r="I359">
        <v>2001</v>
      </c>
      <c r="J359" t="s">
        <v>21</v>
      </c>
      <c r="K359">
        <v>-19.944800000000001</v>
      </c>
      <c r="L359">
        <v>-47.812800000000003</v>
      </c>
      <c r="M359" t="s">
        <v>49</v>
      </c>
      <c r="N359" s="2">
        <f>Table1[[#This Row],[Capacity (MW)]]*8760*0.72*10^-6</f>
        <v>0.64333439999999997</v>
      </c>
      <c r="O359" s="2" cm="1">
        <f t="array" ref="O359">AVERAGE(VLOOKUP(_xlfn.TEXTSPLIT(Table1[[#This Row],[Fuel (no space after comma)]], ","), FuelList_Final_EF!$A$2:$B$32, 2, FALSE))</f>
        <v>118.17</v>
      </c>
      <c r="P359" s="2">
        <f>(16112*Table1[[#This Row],[Generation (TWh)]]*10^9)/10^6</f>
        <v>10365403.8528</v>
      </c>
      <c r="Q359" s="2">
        <f>Table1[[#This Row],[Emission Factor (kg CO2/ mmBtu)]]*Table1[[#This Row],[Fuel Consumption (mmBtu)]]*10^3</f>
        <v>1224879773285.376</v>
      </c>
      <c r="R359" s="2">
        <f>(Table1[[#This Row],[CO2 Emissions (g CO2)]])/(Table1[[#This Row],[Generation (TWh)]]*10^9)</f>
        <v>1903.9550400000001</v>
      </c>
    </row>
    <row r="360" spans="1:18" hidden="1">
      <c r="A360" t="s">
        <v>346</v>
      </c>
      <c r="B360" t="s">
        <v>145</v>
      </c>
      <c r="C360" t="str">
        <f>SUBSTITUTE(Table1[[#This Row],[Fuel]],", ",",")</f>
        <v>bioenergy: paper mill wastes,bioenergy: wood &amp; other biomass (solids),fossil gas: natural gas</v>
      </c>
      <c r="D360" t="s">
        <v>61</v>
      </c>
      <c r="E360" t="s">
        <v>25</v>
      </c>
      <c r="F360" t="s">
        <v>69</v>
      </c>
      <c r="G360">
        <v>62</v>
      </c>
      <c r="H360" t="s">
        <v>27</v>
      </c>
      <c r="I360">
        <v>1969</v>
      </c>
      <c r="J360" t="s">
        <v>21</v>
      </c>
      <c r="K360">
        <v>30.860600000000002</v>
      </c>
      <c r="L360">
        <v>-93.375600000000006</v>
      </c>
      <c r="M360" t="s">
        <v>62</v>
      </c>
      <c r="N360" s="2">
        <f>Table1[[#This Row],[Capacity (MW)]]*8760*0.72*10^-6</f>
        <v>0.39104639999999996</v>
      </c>
      <c r="O360" s="2" cm="1">
        <f t="array" ref="O360">AVERAGE(VLOOKUP(_xlfn.TEXTSPLIT(Table1[[#This Row],[Fuel (no space after comma)]], ","), FuelList_Final_EF!$A$2:$B$32, 2, FALSE))</f>
        <v>82.444811105253905</v>
      </c>
      <c r="P360" s="2">
        <f>(16112*Table1[[#This Row],[Generation (TWh)]]*10^9)/10^6</f>
        <v>6300539.5967999995</v>
      </c>
      <c r="Q360" s="2">
        <f>Table1[[#This Row],[Emission Factor (kg CO2/ mmBtu)]]*Table1[[#This Row],[Fuel Consumption (mmBtu)]]*10^3</f>
        <v>519446796919.34851</v>
      </c>
      <c r="R360" s="2">
        <f>(Table1[[#This Row],[CO2 Emissions (g CO2)]])/(Table1[[#This Row],[Generation (TWh)]]*10^9)</f>
        <v>1328.3507965278509</v>
      </c>
    </row>
    <row r="361" spans="1:18" hidden="1">
      <c r="A361" t="s">
        <v>147</v>
      </c>
      <c r="B361" t="s">
        <v>46</v>
      </c>
      <c r="C361" t="str">
        <f>SUBSTITUTE(Table1[[#This Row],[Fuel]],", ",",")</f>
        <v>bioenergy: agricultural waste (solids)</v>
      </c>
      <c r="D361" t="s">
        <v>46</v>
      </c>
      <c r="G361">
        <v>65</v>
      </c>
      <c r="H361" t="s">
        <v>27</v>
      </c>
      <c r="I361">
        <v>1993</v>
      </c>
      <c r="J361" t="s">
        <v>21</v>
      </c>
      <c r="K361">
        <v>29.2895</v>
      </c>
      <c r="L361">
        <v>78.515600000000006</v>
      </c>
      <c r="M361" t="s">
        <v>66</v>
      </c>
      <c r="N361" s="2">
        <f>Table1[[#This Row],[Capacity (MW)]]*8760*0.72*10^-6</f>
        <v>0.409968</v>
      </c>
      <c r="O361" s="2" cm="1">
        <f t="array" ref="O361">AVERAGE(VLOOKUP(_xlfn.TEXTSPLIT(Table1[[#This Row],[Fuel (no space after comma)]], ","), FuelList_Final_EF!$A$2:$B$32, 2, FALSE))</f>
        <v>118.17</v>
      </c>
      <c r="P361" s="2">
        <f>(16112*Table1[[#This Row],[Generation (TWh)]]*10^9)/10^6</f>
        <v>6605404.4160000002</v>
      </c>
      <c r="Q361" s="2">
        <f>Table1[[#This Row],[Emission Factor (kg CO2/ mmBtu)]]*Table1[[#This Row],[Fuel Consumption (mmBtu)]]*10^3</f>
        <v>780560639838.72009</v>
      </c>
      <c r="R361" s="2">
        <f>(Table1[[#This Row],[CO2 Emissions (g CO2)]])/(Table1[[#This Row],[Generation (TWh)]]*10^9)</f>
        <v>1903.9550400000003</v>
      </c>
    </row>
    <row r="362" spans="1:18">
      <c r="A362" t="s">
        <v>347</v>
      </c>
      <c r="B362" t="s">
        <v>46</v>
      </c>
      <c r="C362" t="str">
        <f>SUBSTITUTE(Table1[[#This Row],[Fuel]],", ",",")</f>
        <v>bioenergy: agricultural waste (solids)</v>
      </c>
      <c r="D362" t="s">
        <v>46</v>
      </c>
      <c r="G362">
        <v>65</v>
      </c>
      <c r="H362" t="s">
        <v>20</v>
      </c>
      <c r="I362" t="s">
        <v>21</v>
      </c>
      <c r="J362" t="s">
        <v>21</v>
      </c>
      <c r="K362">
        <v>5.8414999999999999</v>
      </c>
      <c r="L362">
        <v>-5.3619000000000003</v>
      </c>
      <c r="M362" t="s">
        <v>348</v>
      </c>
      <c r="N362" s="2">
        <f>Table1[[#This Row],[Capacity (MW)]]*8760*0.72*10^-6</f>
        <v>0.409968</v>
      </c>
      <c r="O362" s="2" cm="1">
        <f t="array" ref="O362">AVERAGE(VLOOKUP(_xlfn.TEXTSPLIT(Table1[[#This Row],[Fuel (no space after comma)]], ","), FuelList_Final_EF!$A$2:$B$32, 2, FALSE))</f>
        <v>118.17</v>
      </c>
      <c r="P362" s="2">
        <f>(16112*Table1[[#This Row],[Generation (TWh)]]*10^9)/10^6</f>
        <v>6605404.4160000002</v>
      </c>
      <c r="Q362" s="2">
        <f>Table1[[#This Row],[Emission Factor (kg CO2/ mmBtu)]]*Table1[[#This Row],[Fuel Consumption (mmBtu)]]*10^3</f>
        <v>780560639838.72009</v>
      </c>
      <c r="R362" s="2">
        <f>(Table1[[#This Row],[CO2 Emissions (g CO2)]])/(Table1[[#This Row],[Generation (TWh)]]*10^9)</f>
        <v>1903.9550400000003</v>
      </c>
    </row>
    <row r="363" spans="1:18" hidden="1">
      <c r="A363" t="s">
        <v>349</v>
      </c>
      <c r="B363" t="s">
        <v>350</v>
      </c>
      <c r="C363" t="str">
        <f>SUBSTITUTE(Table1[[#This Row],[Fuel]],", ",",")</f>
        <v>bioenergy: refuse (landfill gas),bioenergy: refuse (municipal and industrial wastes)</v>
      </c>
      <c r="D363" t="s">
        <v>351</v>
      </c>
      <c r="E363" t="s">
        <v>19</v>
      </c>
      <c r="G363">
        <v>50</v>
      </c>
      <c r="H363" t="s">
        <v>27</v>
      </c>
      <c r="I363">
        <v>2011</v>
      </c>
      <c r="J363" t="s">
        <v>21</v>
      </c>
      <c r="K363">
        <v>25.023499999999999</v>
      </c>
      <c r="L363">
        <v>51.451999999999998</v>
      </c>
      <c r="M363" t="s">
        <v>352</v>
      </c>
      <c r="N363" s="2">
        <f>Table1[[#This Row],[Capacity (MW)]]*8760*0.72*10^-6</f>
        <v>0.31535999999999997</v>
      </c>
      <c r="O363" s="2" cm="1">
        <f t="array" ref="O363">AVERAGE(VLOOKUP(_xlfn.TEXTSPLIT(Table1[[#This Row],[Fuel (no space after comma)]], ","), FuelList_Final_EF!$A$2:$B$32, 2, FALSE))</f>
        <v>78.749812862414345</v>
      </c>
      <c r="P363" s="2">
        <f>(16112*Table1[[#This Row],[Generation (TWh)]]*10^9)/10^6</f>
        <v>5081080.32</v>
      </c>
      <c r="Q363" s="2">
        <f>Table1[[#This Row],[Emission Factor (kg CO2/ mmBtu)]]*Table1[[#This Row],[Fuel Consumption (mmBtu)]]*10^3</f>
        <v>400134124338.89642</v>
      </c>
      <c r="R363" s="2">
        <f>(Table1[[#This Row],[CO2 Emissions (g CO2)]])/(Table1[[#This Row],[Generation (TWh)]]*10^9)</f>
        <v>1268.8169848392199</v>
      </c>
    </row>
    <row r="364" spans="1:18" hidden="1">
      <c r="A364" t="s">
        <v>353</v>
      </c>
      <c r="B364" t="s">
        <v>25</v>
      </c>
      <c r="C364" t="str">
        <f>SUBSTITUTE(Table1[[#This Row],[Fuel]],", ",",")</f>
        <v>bioenergy: wood &amp; other biomass (solids)</v>
      </c>
      <c r="D364" t="s">
        <v>25</v>
      </c>
      <c r="G364">
        <v>30</v>
      </c>
      <c r="H364" t="s">
        <v>27</v>
      </c>
      <c r="I364">
        <v>2013</v>
      </c>
      <c r="J364" t="s">
        <v>21</v>
      </c>
      <c r="K364">
        <v>37.486296000000003</v>
      </c>
      <c r="L364">
        <v>129.14728700000001</v>
      </c>
      <c r="M364" t="s">
        <v>333</v>
      </c>
      <c r="N364" s="2">
        <f>Table1[[#This Row],[Capacity (MW)]]*8760*0.72*10^-6</f>
        <v>0.189216</v>
      </c>
      <c r="O364" s="2" cm="1">
        <f t="array" ref="O364">AVERAGE(VLOOKUP(_xlfn.TEXTSPLIT(Table1[[#This Row],[Fuel (no space after comma)]], ","), FuelList_Final_EF!$A$2:$B$32, 2, FALSE))</f>
        <v>93.8</v>
      </c>
      <c r="P364" s="2">
        <f>(16112*Table1[[#This Row],[Generation (TWh)]]*10^9)/10^6</f>
        <v>3048648.1919999998</v>
      </c>
      <c r="Q364" s="2">
        <f>Table1[[#This Row],[Emission Factor (kg CO2/ mmBtu)]]*Table1[[#This Row],[Fuel Consumption (mmBtu)]]*10^3</f>
        <v>285963200409.59998</v>
      </c>
      <c r="R364" s="2">
        <f>(Table1[[#This Row],[CO2 Emissions (g CO2)]])/(Table1[[#This Row],[Generation (TWh)]]*10^9)</f>
        <v>1511.3055999999999</v>
      </c>
    </row>
    <row r="365" spans="1:18" hidden="1">
      <c r="A365" t="s">
        <v>354</v>
      </c>
      <c r="B365" t="s">
        <v>25</v>
      </c>
      <c r="C365" t="str">
        <f>SUBSTITUTE(Table1[[#This Row],[Fuel]],", ",",")</f>
        <v>bioenergy: wood &amp; other biomass (solids)</v>
      </c>
      <c r="D365" t="s">
        <v>25</v>
      </c>
      <c r="G365">
        <v>645</v>
      </c>
      <c r="H365" t="s">
        <v>27</v>
      </c>
      <c r="I365">
        <v>1975</v>
      </c>
      <c r="J365" t="s">
        <v>21</v>
      </c>
      <c r="K365">
        <v>53.737195999999997</v>
      </c>
      <c r="L365">
        <v>-0.99902100000000005</v>
      </c>
      <c r="M365" t="s">
        <v>22</v>
      </c>
      <c r="N365" s="2">
        <f>Table1[[#This Row],[Capacity (MW)]]*8760*0.72*10^-6</f>
        <v>4.0681440000000002</v>
      </c>
      <c r="O365" s="2" cm="1">
        <f t="array" ref="O365">AVERAGE(VLOOKUP(_xlfn.TEXTSPLIT(Table1[[#This Row],[Fuel (no space after comma)]], ","), FuelList_Final_EF!$A$2:$B$32, 2, FALSE))</f>
        <v>93.8</v>
      </c>
      <c r="P365" s="2">
        <f>(16112*Table1[[#This Row],[Generation (TWh)]]*10^9)/10^6</f>
        <v>65545936.127999999</v>
      </c>
      <c r="Q365" s="2">
        <f>Table1[[#This Row],[Emission Factor (kg CO2/ mmBtu)]]*Table1[[#This Row],[Fuel Consumption (mmBtu)]]*10^3</f>
        <v>6148208808806.3994</v>
      </c>
      <c r="R365" s="2">
        <f>(Table1[[#This Row],[CO2 Emissions (g CO2)]])/(Table1[[#This Row],[Generation (TWh)]]*10^9)</f>
        <v>1511.3055999999999</v>
      </c>
    </row>
    <row r="366" spans="1:18" hidden="1">
      <c r="A366" t="s">
        <v>354</v>
      </c>
      <c r="B366" t="s">
        <v>25</v>
      </c>
      <c r="C366" t="str">
        <f>SUBSTITUTE(Table1[[#This Row],[Fuel]],", ",",")</f>
        <v>bioenergy: wood &amp; other biomass (solids)</v>
      </c>
      <c r="D366" t="s">
        <v>25</v>
      </c>
      <c r="G366">
        <v>645</v>
      </c>
      <c r="H366" t="s">
        <v>27</v>
      </c>
      <c r="I366">
        <v>1975</v>
      </c>
      <c r="J366" t="s">
        <v>21</v>
      </c>
      <c r="K366">
        <v>53.737195999999997</v>
      </c>
      <c r="L366">
        <v>-0.99902100000000005</v>
      </c>
      <c r="M366" t="s">
        <v>22</v>
      </c>
      <c r="N366" s="2">
        <f>Table1[[#This Row],[Capacity (MW)]]*8760*0.72*10^-6</f>
        <v>4.0681440000000002</v>
      </c>
      <c r="O366" s="2" cm="1">
        <f t="array" ref="O366">AVERAGE(VLOOKUP(_xlfn.TEXTSPLIT(Table1[[#This Row],[Fuel (no space after comma)]], ","), FuelList_Final_EF!$A$2:$B$32, 2, FALSE))</f>
        <v>93.8</v>
      </c>
      <c r="P366" s="2">
        <f>(16112*Table1[[#This Row],[Generation (TWh)]]*10^9)/10^6</f>
        <v>65545936.127999999</v>
      </c>
      <c r="Q366" s="2">
        <f>Table1[[#This Row],[Emission Factor (kg CO2/ mmBtu)]]*Table1[[#This Row],[Fuel Consumption (mmBtu)]]*10^3</f>
        <v>6148208808806.3994</v>
      </c>
      <c r="R366" s="2">
        <f>(Table1[[#This Row],[CO2 Emissions (g CO2)]])/(Table1[[#This Row],[Generation (TWh)]]*10^9)</f>
        <v>1511.3055999999999</v>
      </c>
    </row>
    <row r="367" spans="1:18" hidden="1">
      <c r="A367" t="s">
        <v>354</v>
      </c>
      <c r="B367" t="s">
        <v>25</v>
      </c>
      <c r="C367" t="str">
        <f>SUBSTITUTE(Table1[[#This Row],[Fuel]],", ",",")</f>
        <v>bioenergy: wood &amp; other biomass (solids)</v>
      </c>
      <c r="D367" t="s">
        <v>25</v>
      </c>
      <c r="G367">
        <v>645</v>
      </c>
      <c r="H367" t="s">
        <v>27</v>
      </c>
      <c r="I367">
        <v>1975</v>
      </c>
      <c r="J367" t="s">
        <v>21</v>
      </c>
      <c r="K367">
        <v>53.737195999999997</v>
      </c>
      <c r="L367">
        <v>-0.99902100000000005</v>
      </c>
      <c r="M367" t="s">
        <v>22</v>
      </c>
      <c r="N367" s="2">
        <f>Table1[[#This Row],[Capacity (MW)]]*8760*0.72*10^-6</f>
        <v>4.0681440000000002</v>
      </c>
      <c r="O367" s="2" cm="1">
        <f t="array" ref="O367">AVERAGE(VLOOKUP(_xlfn.TEXTSPLIT(Table1[[#This Row],[Fuel (no space after comma)]], ","), FuelList_Final_EF!$A$2:$B$32, 2, FALSE))</f>
        <v>93.8</v>
      </c>
      <c r="P367" s="2">
        <f>(16112*Table1[[#This Row],[Generation (TWh)]]*10^9)/10^6</f>
        <v>65545936.127999999</v>
      </c>
      <c r="Q367" s="2">
        <f>Table1[[#This Row],[Emission Factor (kg CO2/ mmBtu)]]*Table1[[#This Row],[Fuel Consumption (mmBtu)]]*10^3</f>
        <v>6148208808806.3994</v>
      </c>
      <c r="R367" s="2">
        <f>(Table1[[#This Row],[CO2 Emissions (g CO2)]])/(Table1[[#This Row],[Generation (TWh)]]*10^9)</f>
        <v>1511.3055999999999</v>
      </c>
    </row>
    <row r="368" spans="1:18" hidden="1">
      <c r="A368" t="s">
        <v>354</v>
      </c>
      <c r="B368" t="s">
        <v>25</v>
      </c>
      <c r="C368" t="str">
        <f>SUBSTITUTE(Table1[[#This Row],[Fuel]],", ",",")</f>
        <v>bioenergy: wood &amp; other biomass (solids)</v>
      </c>
      <c r="D368" t="s">
        <v>25</v>
      </c>
      <c r="G368">
        <v>645</v>
      </c>
      <c r="H368" t="s">
        <v>27</v>
      </c>
      <c r="I368">
        <v>1986</v>
      </c>
      <c r="J368" t="s">
        <v>21</v>
      </c>
      <c r="K368">
        <v>53.737195999999997</v>
      </c>
      <c r="L368">
        <v>-0.99902100000000005</v>
      </c>
      <c r="M368" t="s">
        <v>22</v>
      </c>
      <c r="N368" s="2">
        <f>Table1[[#This Row],[Capacity (MW)]]*8760*0.72*10^-6</f>
        <v>4.0681440000000002</v>
      </c>
      <c r="O368" s="2" cm="1">
        <f t="array" ref="O368">AVERAGE(VLOOKUP(_xlfn.TEXTSPLIT(Table1[[#This Row],[Fuel (no space after comma)]], ","), FuelList_Final_EF!$A$2:$B$32, 2, FALSE))</f>
        <v>93.8</v>
      </c>
      <c r="P368" s="2">
        <f>(16112*Table1[[#This Row],[Generation (TWh)]]*10^9)/10^6</f>
        <v>65545936.127999999</v>
      </c>
      <c r="Q368" s="2">
        <f>Table1[[#This Row],[Emission Factor (kg CO2/ mmBtu)]]*Table1[[#This Row],[Fuel Consumption (mmBtu)]]*10^3</f>
        <v>6148208808806.3994</v>
      </c>
      <c r="R368" s="2">
        <f>(Table1[[#This Row],[CO2 Emissions (g CO2)]])/(Table1[[#This Row],[Generation (TWh)]]*10^9)</f>
        <v>1511.3055999999999</v>
      </c>
    </row>
    <row r="369" spans="1:18" hidden="1">
      <c r="A369" t="s">
        <v>355</v>
      </c>
      <c r="B369" t="s">
        <v>19</v>
      </c>
      <c r="C369" t="str">
        <f>SUBSTITUTE(Table1[[#This Row],[Fuel]],", ",",")</f>
        <v>bioenergy: refuse (municipal and industrial wastes)</v>
      </c>
      <c r="D369" t="s">
        <v>19</v>
      </c>
      <c r="G369">
        <v>190</v>
      </c>
      <c r="H369" t="s">
        <v>27</v>
      </c>
      <c r="I369">
        <v>2023</v>
      </c>
      <c r="J369" t="s">
        <v>21</v>
      </c>
      <c r="K369">
        <v>25.158799999999999</v>
      </c>
      <c r="L369">
        <v>55.443399999999997</v>
      </c>
      <c r="M369" t="s">
        <v>58</v>
      </c>
      <c r="N369" s="2">
        <f>Table1[[#This Row],[Capacity (MW)]]*8760*0.72*10^-6</f>
        <v>1.1983679999999999</v>
      </c>
      <c r="O369" s="2" cm="1">
        <f t="array" ref="O369">AVERAGE(VLOOKUP(_xlfn.TEXTSPLIT(Table1[[#This Row],[Fuel (no space after comma)]], ","), FuelList_Final_EF!$A$2:$B$32, 2, FALSE))</f>
        <v>105.42962572482868</v>
      </c>
      <c r="P369" s="2">
        <f>(16112*Table1[[#This Row],[Generation (TWh)]]*10^9)/10^6</f>
        <v>19308105.215999994</v>
      </c>
      <c r="Q369" s="2">
        <f>Table1[[#This Row],[Emission Factor (kg CO2/ mmBtu)]]*Table1[[#This Row],[Fuel Consumption (mmBtu)]]*10^3</f>
        <v>2035646306378.4919</v>
      </c>
      <c r="R369" s="2">
        <f>(Table1[[#This Row],[CO2 Emissions (g CO2)]])/(Table1[[#This Row],[Generation (TWh)]]*10^9)</f>
        <v>1698.6821296784397</v>
      </c>
    </row>
    <row r="370" spans="1:18" hidden="1">
      <c r="A370" t="s">
        <v>157</v>
      </c>
      <c r="B370" t="s">
        <v>19</v>
      </c>
      <c r="C370" t="str">
        <f>SUBSTITUTE(Table1[[#This Row],[Fuel]],", ",",")</f>
        <v>bioenergy: refuse (municipal and industrial wastes)</v>
      </c>
      <c r="D370" t="s">
        <v>19</v>
      </c>
      <c r="G370">
        <v>30</v>
      </c>
      <c r="H370" t="s">
        <v>27</v>
      </c>
      <c r="I370">
        <v>2019</v>
      </c>
      <c r="J370" t="s">
        <v>21</v>
      </c>
      <c r="K370">
        <v>55.976100000000002</v>
      </c>
      <c r="L370">
        <v>-2.4638</v>
      </c>
      <c r="M370" t="s">
        <v>22</v>
      </c>
      <c r="N370" s="2">
        <f>Table1[[#This Row],[Capacity (MW)]]*8760*0.72*10^-6</f>
        <v>0.189216</v>
      </c>
      <c r="O370" s="2" cm="1">
        <f t="array" ref="O370">AVERAGE(VLOOKUP(_xlfn.TEXTSPLIT(Table1[[#This Row],[Fuel (no space after comma)]], ","), FuelList_Final_EF!$A$2:$B$32, 2, FALSE))</f>
        <v>105.42962572482868</v>
      </c>
      <c r="P370" s="2">
        <f>(16112*Table1[[#This Row],[Generation (TWh)]]*10^9)/10^6</f>
        <v>3048648.1919999998</v>
      </c>
      <c r="Q370" s="2">
        <f>Table1[[#This Row],[Emission Factor (kg CO2/ mmBtu)]]*Table1[[#This Row],[Fuel Consumption (mmBtu)]]*10^3</f>
        <v>321417837849.23566</v>
      </c>
      <c r="R370" s="2">
        <f>(Table1[[#This Row],[CO2 Emissions (g CO2)]])/(Table1[[#This Row],[Generation (TWh)]]*10^9)</f>
        <v>1698.6821296784397</v>
      </c>
    </row>
    <row r="371" spans="1:18" hidden="1">
      <c r="A371" t="s">
        <v>54</v>
      </c>
      <c r="B371" t="s">
        <v>19</v>
      </c>
      <c r="C371" t="str">
        <f>SUBSTITUTE(Table1[[#This Row],[Fuel]],", ",",")</f>
        <v>bioenergy: refuse (municipal and industrial wastes)</v>
      </c>
      <c r="D371" t="s">
        <v>19</v>
      </c>
      <c r="G371">
        <v>68</v>
      </c>
      <c r="H371" t="s">
        <v>27</v>
      </c>
      <c r="I371">
        <v>2017</v>
      </c>
      <c r="J371" t="s">
        <v>21</v>
      </c>
      <c r="K371">
        <v>53.338700000000003</v>
      </c>
      <c r="L371">
        <v>-6.2004000000000001</v>
      </c>
      <c r="M371" t="s">
        <v>356</v>
      </c>
      <c r="N371" s="2">
        <f>Table1[[#This Row],[Capacity (MW)]]*8760*0.72*10^-6</f>
        <v>0.42888959999999998</v>
      </c>
      <c r="O371" s="2" cm="1">
        <f t="array" ref="O371">AVERAGE(VLOOKUP(_xlfn.TEXTSPLIT(Table1[[#This Row],[Fuel (no space after comma)]], ","), FuelList_Final_EF!$A$2:$B$32, 2, FALSE))</f>
        <v>105.42962572482868</v>
      </c>
      <c r="P371" s="2">
        <f>(16112*Table1[[#This Row],[Generation (TWh)]]*10^9)/10^6</f>
        <v>6910269.2351999991</v>
      </c>
      <c r="Q371" s="2">
        <f>Table1[[#This Row],[Emission Factor (kg CO2/ mmBtu)]]*Table1[[#This Row],[Fuel Consumption (mmBtu)]]*10^3</f>
        <v>728547099124.93408</v>
      </c>
      <c r="R371" s="2">
        <f>(Table1[[#This Row],[CO2 Emissions (g CO2)]])/(Table1[[#This Row],[Generation (TWh)]]*10^9)</f>
        <v>1698.6821296784397</v>
      </c>
    </row>
    <row r="372" spans="1:18" hidden="1">
      <c r="A372" t="s">
        <v>357</v>
      </c>
      <c r="B372" t="s">
        <v>358</v>
      </c>
      <c r="C372" t="str">
        <f>SUBSTITUTE(Table1[[#This Row],[Fuel]],", ",",")</f>
        <v>bioenergy: wood &amp; other biomass (solids),bioenergy: paper mill wastes,bioenergy: wastewater and sewage sludge (solids or biogas)</v>
      </c>
      <c r="D372" t="s">
        <v>25</v>
      </c>
      <c r="E372" t="s">
        <v>61</v>
      </c>
      <c r="F372" t="s">
        <v>42</v>
      </c>
      <c r="G372">
        <v>40</v>
      </c>
      <c r="H372" t="s">
        <v>27</v>
      </c>
      <c r="I372">
        <v>2016</v>
      </c>
      <c r="J372" t="s">
        <v>21</v>
      </c>
      <c r="K372">
        <v>46.921399999999998</v>
      </c>
      <c r="L372">
        <v>18.939699999999998</v>
      </c>
      <c r="M372" t="s">
        <v>166</v>
      </c>
      <c r="N372" s="2">
        <f>Table1[[#This Row],[Capacity (MW)]]*8760*0.72*10^-6</f>
        <v>0.25228800000000001</v>
      </c>
      <c r="O372" s="2" cm="1">
        <f t="array" ref="O372">AVERAGE(VLOOKUP(_xlfn.TEXTSPLIT(Table1[[#This Row],[Fuel (no space after comma)]], ","), FuelList_Final_EF!$A$2:$B$32, 2, FALSE))</f>
        <v>83.946336320506063</v>
      </c>
      <c r="P372" s="2">
        <f>(16112*Table1[[#This Row],[Generation (TWh)]]*10^9)/10^6</f>
        <v>4064864.2560000005</v>
      </c>
      <c r="Q372" s="2">
        <f>Table1[[#This Row],[Emission Factor (kg CO2/ mmBtu)]]*Table1[[#This Row],[Fuel Consumption (mmBtu)]]*10^3</f>
        <v>341230461931.3797</v>
      </c>
      <c r="R372" s="2">
        <f>(Table1[[#This Row],[CO2 Emissions (g CO2)]])/(Table1[[#This Row],[Generation (TWh)]]*10^9)</f>
        <v>1352.543370795994</v>
      </c>
    </row>
    <row r="373" spans="1:18" hidden="1">
      <c r="A373" t="s">
        <v>54</v>
      </c>
      <c r="B373" t="s">
        <v>19</v>
      </c>
      <c r="C373" t="str">
        <f>SUBSTITUTE(Table1[[#This Row],[Fuel]],", ",",")</f>
        <v>bioenergy: refuse (municipal and industrial wastes)</v>
      </c>
      <c r="D373" t="s">
        <v>19</v>
      </c>
      <c r="G373">
        <v>35</v>
      </c>
      <c r="H373" t="s">
        <v>53</v>
      </c>
      <c r="I373">
        <v>2024</v>
      </c>
      <c r="J373" t="s">
        <v>21</v>
      </c>
      <c r="K373">
        <v>-32.250700000000002</v>
      </c>
      <c r="L373">
        <v>115.7754</v>
      </c>
      <c r="M373" t="s">
        <v>235</v>
      </c>
      <c r="N373" s="2">
        <f>Table1[[#This Row],[Capacity (MW)]]*8760*0.72*10^-6</f>
        <v>0.220752</v>
      </c>
      <c r="O373" s="2" cm="1">
        <f t="array" ref="O373">AVERAGE(VLOOKUP(_xlfn.TEXTSPLIT(Table1[[#This Row],[Fuel (no space after comma)]], ","), FuelList_Final_EF!$A$2:$B$32, 2, FALSE))</f>
        <v>105.42962572482868</v>
      </c>
      <c r="P373" s="2">
        <f>(16112*Table1[[#This Row],[Generation (TWh)]]*10^9)/10^6</f>
        <v>3556756.2239999999</v>
      </c>
      <c r="Q373" s="2">
        <f>Table1[[#This Row],[Emission Factor (kg CO2/ mmBtu)]]*Table1[[#This Row],[Fuel Consumption (mmBtu)]]*10^3</f>
        <v>374987477490.7749</v>
      </c>
      <c r="R373" s="2">
        <f>(Table1[[#This Row],[CO2 Emissions (g CO2)]])/(Table1[[#This Row],[Generation (TWh)]]*10^9)</f>
        <v>1698.6821296784397</v>
      </c>
    </row>
    <row r="374" spans="1:18" hidden="1">
      <c r="A374" t="s">
        <v>359</v>
      </c>
      <c r="B374" t="s">
        <v>145</v>
      </c>
      <c r="C374" t="str">
        <f>SUBSTITUTE(Table1[[#This Row],[Fuel]],", ",",")</f>
        <v>bioenergy: paper mill wastes,bioenergy: wood &amp; other biomass (solids),fossil gas: natural gas</v>
      </c>
      <c r="D374" t="s">
        <v>61</v>
      </c>
      <c r="E374" t="s">
        <v>25</v>
      </c>
      <c r="F374" t="s">
        <v>69</v>
      </c>
      <c r="G374">
        <v>48</v>
      </c>
      <c r="H374" t="s">
        <v>27</v>
      </c>
      <c r="I374">
        <v>1984</v>
      </c>
      <c r="J374" t="s">
        <v>21</v>
      </c>
      <c r="K374">
        <v>33.8872</v>
      </c>
      <c r="L374">
        <v>-80.639700000000005</v>
      </c>
      <c r="M374" t="s">
        <v>62</v>
      </c>
      <c r="N374" s="2">
        <f>Table1[[#This Row],[Capacity (MW)]]*8760*0.72*10^-6</f>
        <v>0.30274559999999995</v>
      </c>
      <c r="O374" s="2" cm="1">
        <f t="array" ref="O374">AVERAGE(VLOOKUP(_xlfn.TEXTSPLIT(Table1[[#This Row],[Fuel (no space after comma)]], ","), FuelList_Final_EF!$A$2:$B$32, 2, FALSE))</f>
        <v>82.444811105253905</v>
      </c>
      <c r="P374" s="2">
        <f>(16112*Table1[[#This Row],[Generation (TWh)]]*10^9)/10^6</f>
        <v>4877837.1071999986</v>
      </c>
      <c r="Q374" s="2">
        <f>Table1[[#This Row],[Emission Factor (kg CO2/ mmBtu)]]*Table1[[#This Row],[Fuel Consumption (mmBtu)]]*10^3</f>
        <v>402152358905.30206</v>
      </c>
      <c r="R374" s="2">
        <f>(Table1[[#This Row],[CO2 Emissions (g CO2)]])/(Table1[[#This Row],[Generation (TWh)]]*10^9)</f>
        <v>1328.3507965278509</v>
      </c>
    </row>
    <row r="375" spans="1:18" hidden="1">
      <c r="A375" t="s">
        <v>359</v>
      </c>
      <c r="B375" t="s">
        <v>145</v>
      </c>
      <c r="C375" t="str">
        <f>SUBSTITUTE(Table1[[#This Row],[Fuel]],", ",",")</f>
        <v>bioenergy: paper mill wastes,bioenergy: wood &amp; other biomass (solids),fossil gas: natural gas</v>
      </c>
      <c r="D375" t="s">
        <v>61</v>
      </c>
      <c r="E375" t="s">
        <v>25</v>
      </c>
      <c r="F375" t="s">
        <v>69</v>
      </c>
      <c r="G375">
        <v>61</v>
      </c>
      <c r="H375" t="s">
        <v>27</v>
      </c>
      <c r="I375">
        <v>1991</v>
      </c>
      <c r="J375" t="s">
        <v>21</v>
      </c>
      <c r="K375">
        <v>33.8872</v>
      </c>
      <c r="L375">
        <v>-80.639700000000005</v>
      </c>
      <c r="M375" t="s">
        <v>62</v>
      </c>
      <c r="N375" s="2">
        <f>Table1[[#This Row],[Capacity (MW)]]*8760*0.72*10^-6</f>
        <v>0.3847392</v>
      </c>
      <c r="O375" s="2" cm="1">
        <f t="array" ref="O375">AVERAGE(VLOOKUP(_xlfn.TEXTSPLIT(Table1[[#This Row],[Fuel (no space after comma)]], ","), FuelList_Final_EF!$A$2:$B$32, 2, FALSE))</f>
        <v>82.444811105253905</v>
      </c>
      <c r="P375" s="2">
        <f>(16112*Table1[[#This Row],[Generation (TWh)]]*10^9)/10^6</f>
        <v>6198917.9903999995</v>
      </c>
      <c r="Q375" s="2">
        <f>Table1[[#This Row],[Emission Factor (kg CO2/ mmBtu)]]*Table1[[#This Row],[Fuel Consumption (mmBtu)]]*10^3</f>
        <v>511068622775.4881</v>
      </c>
      <c r="R375" s="2">
        <f>(Table1[[#This Row],[CO2 Emissions (g CO2)]])/(Table1[[#This Row],[Generation (TWh)]]*10^9)</f>
        <v>1328.3507965278509</v>
      </c>
    </row>
    <row r="376" spans="1:18" hidden="1">
      <c r="A376" t="s">
        <v>360</v>
      </c>
      <c r="B376" t="s">
        <v>19</v>
      </c>
      <c r="C376" t="str">
        <f>SUBSTITUTE(Table1[[#This Row],[Fuel]],", ",",")</f>
        <v>bioenergy: refuse (municipal and industrial wastes)</v>
      </c>
      <c r="D376" t="s">
        <v>19</v>
      </c>
      <c r="G376">
        <v>70</v>
      </c>
      <c r="H376" t="s">
        <v>53</v>
      </c>
      <c r="I376">
        <v>2025</v>
      </c>
      <c r="J376" t="s">
        <v>21</v>
      </c>
      <c r="K376">
        <v>51.612099999999998</v>
      </c>
      <c r="L376">
        <v>-4.5600000000000002E-2</v>
      </c>
      <c r="M376" t="s">
        <v>22</v>
      </c>
      <c r="N376" s="2">
        <f>Table1[[#This Row],[Capacity (MW)]]*8760*0.72*10^-6</f>
        <v>0.44150400000000001</v>
      </c>
      <c r="O376" s="2" cm="1">
        <f t="array" ref="O376">AVERAGE(VLOOKUP(_xlfn.TEXTSPLIT(Table1[[#This Row],[Fuel (no space after comma)]], ","), FuelList_Final_EF!$A$2:$B$32, 2, FALSE))</f>
        <v>105.42962572482868</v>
      </c>
      <c r="P376" s="2">
        <f>(16112*Table1[[#This Row],[Generation (TWh)]]*10^9)/10^6</f>
        <v>7113512.4479999999</v>
      </c>
      <c r="Q376" s="2">
        <f>Table1[[#This Row],[Emission Factor (kg CO2/ mmBtu)]]*Table1[[#This Row],[Fuel Consumption (mmBtu)]]*10^3</f>
        <v>749974954981.5498</v>
      </c>
      <c r="R376" s="2">
        <f>(Table1[[#This Row],[CO2 Emissions (g CO2)]])/(Table1[[#This Row],[Generation (TWh)]]*10^9)</f>
        <v>1698.6821296784397</v>
      </c>
    </row>
    <row r="377" spans="1:18">
      <c r="A377" t="s">
        <v>21</v>
      </c>
      <c r="B377" t="s">
        <v>46</v>
      </c>
      <c r="C377" t="str">
        <f>SUBSTITUTE(Table1[[#This Row],[Fuel]],", ",",")</f>
        <v>bioenergy: agricultural waste (solids)</v>
      </c>
      <c r="D377" t="s">
        <v>46</v>
      </c>
      <c r="G377">
        <v>39</v>
      </c>
      <c r="H377" t="s">
        <v>27</v>
      </c>
      <c r="I377" t="s">
        <v>21</v>
      </c>
      <c r="J377" t="s">
        <v>21</v>
      </c>
      <c r="K377">
        <v>47.370199999999997</v>
      </c>
      <c r="L377">
        <v>-68.331800000000001</v>
      </c>
      <c r="M377" t="s">
        <v>79</v>
      </c>
      <c r="N377" s="2">
        <f>Table1[[#This Row],[Capacity (MW)]]*8760*0.72*10^-6</f>
        <v>0.24598079999999997</v>
      </c>
      <c r="O377" s="2" cm="1">
        <f t="array" ref="O377">AVERAGE(VLOOKUP(_xlfn.TEXTSPLIT(Table1[[#This Row],[Fuel (no space after comma)]], ","), FuelList_Final_EF!$A$2:$B$32, 2, FALSE))</f>
        <v>118.17</v>
      </c>
      <c r="P377" s="2">
        <f>(16112*Table1[[#This Row],[Generation (TWh)]]*10^9)/10^6</f>
        <v>3963242.6495999997</v>
      </c>
      <c r="Q377" s="2">
        <f>Table1[[#This Row],[Emission Factor (kg CO2/ mmBtu)]]*Table1[[#This Row],[Fuel Consumption (mmBtu)]]*10^3</f>
        <v>468336383903.23199</v>
      </c>
      <c r="R377" s="2">
        <f>(Table1[[#This Row],[CO2 Emissions (g CO2)]])/(Table1[[#This Row],[Generation (TWh)]]*10^9)</f>
        <v>1903.9550400000003</v>
      </c>
    </row>
    <row r="378" spans="1:18" hidden="1">
      <c r="A378" t="s">
        <v>361</v>
      </c>
      <c r="B378" t="s">
        <v>19</v>
      </c>
      <c r="C378" t="str">
        <f>SUBSTITUTE(Table1[[#This Row],[Fuel]],", ",",")</f>
        <v>bioenergy: refuse (municipal and industrial wastes)</v>
      </c>
      <c r="D378" t="s">
        <v>19</v>
      </c>
      <c r="G378">
        <v>36</v>
      </c>
      <c r="H378" t="s">
        <v>27</v>
      </c>
      <c r="I378">
        <v>2010</v>
      </c>
      <c r="J378" t="s">
        <v>21</v>
      </c>
      <c r="K378">
        <v>53.309199999999997</v>
      </c>
      <c r="L378">
        <v>6.9878999999999998</v>
      </c>
      <c r="M378" t="s">
        <v>39</v>
      </c>
      <c r="N378" s="2">
        <f>Table1[[#This Row],[Capacity (MW)]]*8760*0.72*10^-6</f>
        <v>0.22705919999999996</v>
      </c>
      <c r="O378" s="2" cm="1">
        <f t="array" ref="O378">AVERAGE(VLOOKUP(_xlfn.TEXTSPLIT(Table1[[#This Row],[Fuel (no space after comma)]], ","), FuelList_Final_EF!$A$2:$B$32, 2, FALSE))</f>
        <v>105.42962572482868</v>
      </c>
      <c r="P378" s="2">
        <f>(16112*Table1[[#This Row],[Generation (TWh)]]*10^9)/10^6</f>
        <v>3658377.8303999994</v>
      </c>
      <c r="Q378" s="2">
        <f>Table1[[#This Row],[Emission Factor (kg CO2/ mmBtu)]]*Table1[[#This Row],[Fuel Consumption (mmBtu)]]*10^3</f>
        <v>385701405419.0827</v>
      </c>
      <c r="R378" s="2">
        <f>(Table1[[#This Row],[CO2 Emissions (g CO2)]])/(Table1[[#This Row],[Generation (TWh)]]*10^9)</f>
        <v>1698.6821296784397</v>
      </c>
    </row>
    <row r="379" spans="1:18" hidden="1">
      <c r="A379" t="s">
        <v>21</v>
      </c>
      <c r="B379" t="s">
        <v>19</v>
      </c>
      <c r="C379" t="str">
        <f>SUBSTITUTE(Table1[[#This Row],[Fuel]],", ",",")</f>
        <v>bioenergy: refuse (municipal and industrial wastes)</v>
      </c>
      <c r="D379" t="s">
        <v>19</v>
      </c>
      <c r="G379">
        <v>34</v>
      </c>
      <c r="H379" t="s">
        <v>27</v>
      </c>
      <c r="I379">
        <v>2009</v>
      </c>
      <c r="J379" t="s">
        <v>21</v>
      </c>
      <c r="K379">
        <v>50.856900000000003</v>
      </c>
      <c r="L379">
        <v>6.8433999999999999</v>
      </c>
      <c r="M379" t="s">
        <v>154</v>
      </c>
      <c r="N379" s="2">
        <f>Table1[[#This Row],[Capacity (MW)]]*8760*0.72*10^-6</f>
        <v>0.21444479999999999</v>
      </c>
      <c r="O379" s="2" cm="1">
        <f t="array" ref="O379">AVERAGE(VLOOKUP(_xlfn.TEXTSPLIT(Table1[[#This Row],[Fuel (no space after comma)]], ","), FuelList_Final_EF!$A$2:$B$32, 2, FALSE))</f>
        <v>105.42962572482868</v>
      </c>
      <c r="P379" s="2">
        <f>(16112*Table1[[#This Row],[Generation (TWh)]]*10^9)/10^6</f>
        <v>3455134.6175999995</v>
      </c>
      <c r="Q379" s="2">
        <f>Table1[[#This Row],[Emission Factor (kg CO2/ mmBtu)]]*Table1[[#This Row],[Fuel Consumption (mmBtu)]]*10^3</f>
        <v>364273549562.46704</v>
      </c>
      <c r="R379" s="2">
        <f>(Table1[[#This Row],[CO2 Emissions (g CO2)]])/(Table1[[#This Row],[Generation (TWh)]]*10^9)</f>
        <v>1698.6821296784397</v>
      </c>
    </row>
    <row r="380" spans="1:18" hidden="1">
      <c r="A380" t="s">
        <v>362</v>
      </c>
      <c r="B380" t="s">
        <v>363</v>
      </c>
      <c r="C380" t="str">
        <f>SUBSTITUTE(Table1[[#This Row],[Fuel]],", ",",")</f>
        <v>bioenergy: paper mill wastes,bioenergy: refuse (municipal and industrial wastes),bioenergy: wastewater and sewage sludge (solids or biogas)</v>
      </c>
      <c r="D380" t="s">
        <v>61</v>
      </c>
      <c r="E380" t="s">
        <v>19</v>
      </c>
      <c r="F380" t="s">
        <v>42</v>
      </c>
      <c r="G380">
        <v>32</v>
      </c>
      <c r="H380" t="s">
        <v>27</v>
      </c>
      <c r="I380">
        <v>2011</v>
      </c>
      <c r="J380" t="s">
        <v>21</v>
      </c>
      <c r="K380">
        <v>52.172400000000003</v>
      </c>
      <c r="L380">
        <v>14.639900000000001</v>
      </c>
      <c r="M380" t="s">
        <v>154</v>
      </c>
      <c r="N380" s="2">
        <f>Table1[[#This Row],[Capacity (MW)]]*8760*0.72*10^-6</f>
        <v>0.20183039999999999</v>
      </c>
      <c r="O380" s="2" cm="1">
        <f t="array" ref="O380">AVERAGE(VLOOKUP(_xlfn.TEXTSPLIT(Table1[[#This Row],[Fuel (no space after comma)]], ","), FuelList_Final_EF!$A$2:$B$32, 2, FALSE))</f>
        <v>87.822878228782301</v>
      </c>
      <c r="P380" s="2">
        <f>(16112*Table1[[#This Row],[Generation (TWh)]]*10^9)/10^6</f>
        <v>3251891.4047999997</v>
      </c>
      <c r="Q380" s="2">
        <f>Table1[[#This Row],[Emission Factor (kg CO2/ mmBtu)]]*Table1[[#This Row],[Fuel Consumption (mmBtu)]]*10^3</f>
        <v>285590462856.97418</v>
      </c>
      <c r="R380" s="2">
        <f>(Table1[[#This Row],[CO2 Emissions (g CO2)]])/(Table1[[#This Row],[Generation (TWh)]]*10^9)</f>
        <v>1415.0022140221404</v>
      </c>
    </row>
    <row r="381" spans="1:18" hidden="1">
      <c r="A381" t="s">
        <v>364</v>
      </c>
      <c r="B381" t="s">
        <v>46</v>
      </c>
      <c r="C381" t="str">
        <f>SUBSTITUTE(Table1[[#This Row],[Fuel]],", ",",")</f>
        <v>bioenergy: agricultural waste (solids)</v>
      </c>
      <c r="D381" t="s">
        <v>46</v>
      </c>
      <c r="G381">
        <v>35</v>
      </c>
      <c r="H381" t="s">
        <v>27</v>
      </c>
      <c r="I381">
        <v>2017</v>
      </c>
      <c r="J381" t="s">
        <v>21</v>
      </c>
      <c r="K381">
        <v>4.1772</v>
      </c>
      <c r="L381">
        <v>-72.605699999999999</v>
      </c>
      <c r="M381" t="s">
        <v>365</v>
      </c>
      <c r="N381" s="2">
        <f>Table1[[#This Row],[Capacity (MW)]]*8760*0.72*10^-6</f>
        <v>0.220752</v>
      </c>
      <c r="O381" s="2" cm="1">
        <f t="array" ref="O381">AVERAGE(VLOOKUP(_xlfn.TEXTSPLIT(Table1[[#This Row],[Fuel (no space after comma)]], ","), FuelList_Final_EF!$A$2:$B$32, 2, FALSE))</f>
        <v>118.17</v>
      </c>
      <c r="P381" s="2">
        <f>(16112*Table1[[#This Row],[Generation (TWh)]]*10^9)/10^6</f>
        <v>3556756.2239999999</v>
      </c>
      <c r="Q381" s="2">
        <f>Table1[[#This Row],[Emission Factor (kg CO2/ mmBtu)]]*Table1[[#This Row],[Fuel Consumption (mmBtu)]]*10^3</f>
        <v>420301882990.08002</v>
      </c>
      <c r="R381" s="2">
        <f>(Table1[[#This Row],[CO2 Emissions (g CO2)]])/(Table1[[#This Row],[Generation (TWh)]]*10^9)</f>
        <v>1903.9550400000001</v>
      </c>
    </row>
    <row r="382" spans="1:18">
      <c r="A382" t="s">
        <v>366</v>
      </c>
      <c r="B382" t="s">
        <v>46</v>
      </c>
      <c r="C382" t="str">
        <f>SUBSTITUTE(Table1[[#This Row],[Fuel]],", ",",")</f>
        <v>bioenergy: agricultural waste (solids)</v>
      </c>
      <c r="D382" t="s">
        <v>46</v>
      </c>
      <c r="G382">
        <v>32</v>
      </c>
      <c r="H382" t="s">
        <v>307</v>
      </c>
      <c r="I382" t="s">
        <v>21</v>
      </c>
      <c r="J382" t="s">
        <v>21</v>
      </c>
      <c r="K382">
        <v>36.733400000000003</v>
      </c>
      <c r="L382">
        <v>-2.7757000000000001</v>
      </c>
      <c r="M382" t="s">
        <v>328</v>
      </c>
      <c r="N382" s="2">
        <f>Table1[[#This Row],[Capacity (MW)]]*8760*0.72*10^-6</f>
        <v>0.20183039999999999</v>
      </c>
      <c r="O382" s="2" cm="1">
        <f t="array" ref="O382">AVERAGE(VLOOKUP(_xlfn.TEXTSPLIT(Table1[[#This Row],[Fuel (no space after comma)]], ","), FuelList_Final_EF!$A$2:$B$32, 2, FALSE))</f>
        <v>118.17</v>
      </c>
      <c r="P382" s="2">
        <f>(16112*Table1[[#This Row],[Generation (TWh)]]*10^9)/10^6</f>
        <v>3251891.4047999997</v>
      </c>
      <c r="Q382" s="2">
        <f>Table1[[#This Row],[Emission Factor (kg CO2/ mmBtu)]]*Table1[[#This Row],[Fuel Consumption (mmBtu)]]*10^3</f>
        <v>384276007305.21594</v>
      </c>
      <c r="R382" s="2">
        <f>(Table1[[#This Row],[CO2 Emissions (g CO2)]])/(Table1[[#This Row],[Generation (TWh)]]*10^9)</f>
        <v>1903.9550399999998</v>
      </c>
    </row>
    <row r="383" spans="1:18" hidden="1">
      <c r="A383" t="s">
        <v>367</v>
      </c>
      <c r="B383" t="s">
        <v>61</v>
      </c>
      <c r="C383" t="str">
        <f>SUBSTITUTE(Table1[[#This Row],[Fuel]],", ",",")</f>
        <v>bioenergy: paper mill wastes</v>
      </c>
      <c r="D383" t="s">
        <v>61</v>
      </c>
      <c r="G383">
        <v>113</v>
      </c>
      <c r="H383" t="s">
        <v>27</v>
      </c>
      <c r="I383">
        <v>2013</v>
      </c>
      <c r="J383" t="s">
        <v>21</v>
      </c>
      <c r="K383">
        <v>-20.598800000000001</v>
      </c>
      <c r="L383">
        <v>-51.6096</v>
      </c>
      <c r="M383" t="s">
        <v>49</v>
      </c>
      <c r="N383" s="2">
        <f>Table1[[#This Row],[Capacity (MW)]]*8760*0.72*10^-6</f>
        <v>0.71271359999999995</v>
      </c>
      <c r="O383" s="2" cm="1">
        <f t="array" ref="O383">AVERAGE(VLOOKUP(_xlfn.TEXTSPLIT(Table1[[#This Row],[Fuel (no space after comma)]], ","), FuelList_Final_EF!$A$2:$B$32, 2, FALSE))</f>
        <v>100.47443331576173</v>
      </c>
      <c r="P383" s="2">
        <f>(16112*Table1[[#This Row],[Generation (TWh)]]*10^9)/10^6</f>
        <v>11483241.523199998</v>
      </c>
      <c r="Q383" s="2">
        <f>Table1[[#This Row],[Emission Factor (kg CO2/ mmBtu)]]*Table1[[#This Row],[Fuel Consumption (mmBtu)]]*10^3</f>
        <v>1153772184671.5444</v>
      </c>
      <c r="R383" s="2">
        <f>(Table1[[#This Row],[CO2 Emissions (g CO2)]])/(Table1[[#This Row],[Generation (TWh)]]*10^9)</f>
        <v>1618.8440695835529</v>
      </c>
    </row>
    <row r="384" spans="1:18" hidden="1">
      <c r="A384" t="s">
        <v>367</v>
      </c>
      <c r="B384" t="s">
        <v>61</v>
      </c>
      <c r="C384" t="str">
        <f>SUBSTITUTE(Table1[[#This Row],[Fuel]],", ",",")</f>
        <v>bioenergy: paper mill wastes</v>
      </c>
      <c r="D384" t="s">
        <v>61</v>
      </c>
      <c r="G384">
        <v>113</v>
      </c>
      <c r="H384" t="s">
        <v>27</v>
      </c>
      <c r="I384">
        <v>2013</v>
      </c>
      <c r="J384" t="s">
        <v>21</v>
      </c>
      <c r="K384">
        <v>-20.598800000000001</v>
      </c>
      <c r="L384">
        <v>-51.6096</v>
      </c>
      <c r="M384" t="s">
        <v>49</v>
      </c>
      <c r="N384" s="2">
        <f>Table1[[#This Row],[Capacity (MW)]]*8760*0.72*10^-6</f>
        <v>0.71271359999999995</v>
      </c>
      <c r="O384" s="2" cm="1">
        <f t="array" ref="O384">AVERAGE(VLOOKUP(_xlfn.TEXTSPLIT(Table1[[#This Row],[Fuel (no space after comma)]], ","), FuelList_Final_EF!$A$2:$B$32, 2, FALSE))</f>
        <v>100.47443331576173</v>
      </c>
      <c r="P384" s="2">
        <f>(16112*Table1[[#This Row],[Generation (TWh)]]*10^9)/10^6</f>
        <v>11483241.523199998</v>
      </c>
      <c r="Q384" s="2">
        <f>Table1[[#This Row],[Emission Factor (kg CO2/ mmBtu)]]*Table1[[#This Row],[Fuel Consumption (mmBtu)]]*10^3</f>
        <v>1153772184671.5444</v>
      </c>
      <c r="R384" s="2">
        <f>(Table1[[#This Row],[CO2 Emissions (g CO2)]])/(Table1[[#This Row],[Generation (TWh)]]*10^9)</f>
        <v>1618.8440695835529</v>
      </c>
    </row>
    <row r="385" spans="1:18" hidden="1">
      <c r="A385" t="s">
        <v>367</v>
      </c>
      <c r="B385" t="s">
        <v>46</v>
      </c>
      <c r="C385" t="str">
        <f>SUBSTITUTE(Table1[[#This Row],[Fuel]],", ",",")</f>
        <v>bioenergy: agricultural waste (solids)</v>
      </c>
      <c r="D385" t="s">
        <v>46</v>
      </c>
      <c r="G385">
        <v>58</v>
      </c>
      <c r="H385" t="s">
        <v>27</v>
      </c>
      <c r="I385">
        <v>2015</v>
      </c>
      <c r="J385" t="s">
        <v>21</v>
      </c>
      <c r="K385">
        <v>-21.864799999999999</v>
      </c>
      <c r="L385">
        <v>-54.022199999999998</v>
      </c>
      <c r="M385" t="s">
        <v>49</v>
      </c>
      <c r="N385" s="2">
        <f>Table1[[#This Row],[Capacity (MW)]]*8760*0.72*10^-6</f>
        <v>0.36581759999999997</v>
      </c>
      <c r="O385" s="2" cm="1">
        <f t="array" ref="O385">AVERAGE(VLOOKUP(_xlfn.TEXTSPLIT(Table1[[#This Row],[Fuel (no space after comma)]], ","), FuelList_Final_EF!$A$2:$B$32, 2, FALSE))</f>
        <v>118.17</v>
      </c>
      <c r="P385" s="2">
        <f>(16112*Table1[[#This Row],[Generation (TWh)]]*10^9)/10^6</f>
        <v>5894053.1711999988</v>
      </c>
      <c r="Q385" s="2">
        <f>Table1[[#This Row],[Emission Factor (kg CO2/ mmBtu)]]*Table1[[#This Row],[Fuel Consumption (mmBtu)]]*10^3</f>
        <v>696500263240.70386</v>
      </c>
      <c r="R385" s="2">
        <f>(Table1[[#This Row],[CO2 Emissions (g CO2)]])/(Table1[[#This Row],[Generation (TWh)]]*10^9)</f>
        <v>1903.9550399999998</v>
      </c>
    </row>
    <row r="386" spans="1:18" hidden="1">
      <c r="A386" t="s">
        <v>367</v>
      </c>
      <c r="B386" t="s">
        <v>46</v>
      </c>
      <c r="C386" t="str">
        <f>SUBSTITUTE(Table1[[#This Row],[Fuel]],", ",",")</f>
        <v>bioenergy: agricultural waste (solids)</v>
      </c>
      <c r="D386" t="s">
        <v>46</v>
      </c>
      <c r="G386">
        <v>58</v>
      </c>
      <c r="H386" t="s">
        <v>27</v>
      </c>
      <c r="I386">
        <v>2015</v>
      </c>
      <c r="J386" t="s">
        <v>21</v>
      </c>
      <c r="K386">
        <v>-21.864799999999999</v>
      </c>
      <c r="L386">
        <v>-54.022199999999998</v>
      </c>
      <c r="M386" t="s">
        <v>49</v>
      </c>
      <c r="N386" s="2">
        <f>Table1[[#This Row],[Capacity (MW)]]*8760*0.72*10^-6</f>
        <v>0.36581759999999997</v>
      </c>
      <c r="O386" s="2" cm="1">
        <f t="array" ref="O386">AVERAGE(VLOOKUP(_xlfn.TEXTSPLIT(Table1[[#This Row],[Fuel (no space after comma)]], ","), FuelList_Final_EF!$A$2:$B$32, 2, FALSE))</f>
        <v>118.17</v>
      </c>
      <c r="P386" s="2">
        <f>(16112*Table1[[#This Row],[Generation (TWh)]]*10^9)/10^6</f>
        <v>5894053.1711999988</v>
      </c>
      <c r="Q386" s="2">
        <f>Table1[[#This Row],[Emission Factor (kg CO2/ mmBtu)]]*Table1[[#This Row],[Fuel Consumption (mmBtu)]]*10^3</f>
        <v>696500263240.70386</v>
      </c>
      <c r="R386" s="2">
        <f>(Table1[[#This Row],[CO2 Emissions (g CO2)]])/(Table1[[#This Row],[Generation (TWh)]]*10^9)</f>
        <v>1903.9550399999998</v>
      </c>
    </row>
    <row r="387" spans="1:18" hidden="1">
      <c r="A387" t="s">
        <v>368</v>
      </c>
      <c r="B387" t="s">
        <v>46</v>
      </c>
      <c r="C387" t="str">
        <f>SUBSTITUTE(Table1[[#This Row],[Fuel]],", ",",")</f>
        <v>bioenergy: agricultural waste (solids)</v>
      </c>
      <c r="D387" t="s">
        <v>46</v>
      </c>
      <c r="G387">
        <v>38</v>
      </c>
      <c r="H387" t="s">
        <v>27</v>
      </c>
      <c r="I387">
        <v>2000</v>
      </c>
      <c r="J387" t="s">
        <v>21</v>
      </c>
      <c r="K387">
        <v>52.3979</v>
      </c>
      <c r="L387">
        <v>0.12970000000000001</v>
      </c>
      <c r="M387" t="s">
        <v>22</v>
      </c>
      <c r="N387" s="2">
        <f>Table1[[#This Row],[Capacity (MW)]]*8760*0.72*10^-6</f>
        <v>0.23967359999999996</v>
      </c>
      <c r="O387" s="2" cm="1">
        <f t="array" ref="O387">AVERAGE(VLOOKUP(_xlfn.TEXTSPLIT(Table1[[#This Row],[Fuel (no space after comma)]], ","), FuelList_Final_EF!$A$2:$B$32, 2, FALSE))</f>
        <v>118.17</v>
      </c>
      <c r="P387" s="2">
        <f>(16112*Table1[[#This Row],[Generation (TWh)]]*10^9)/10^6</f>
        <v>3861621.0431999997</v>
      </c>
      <c r="Q387" s="2">
        <f>Table1[[#This Row],[Emission Factor (kg CO2/ mmBtu)]]*Table1[[#This Row],[Fuel Consumption (mmBtu)]]*10^3</f>
        <v>456327758674.94397</v>
      </c>
      <c r="R387" s="2">
        <f>(Table1[[#This Row],[CO2 Emissions (g CO2)]])/(Table1[[#This Row],[Generation (TWh)]]*10^9)</f>
        <v>1903.9550400000001</v>
      </c>
    </row>
    <row r="388" spans="1:18">
      <c r="A388" t="s">
        <v>366</v>
      </c>
      <c r="B388" t="s">
        <v>75</v>
      </c>
      <c r="C388" t="str">
        <f>SUBSTITUTE(Table1[[#This Row],[Fuel]],", ",",")</f>
        <v>bioenergy: agricultural waste (unknown)</v>
      </c>
      <c r="D388" t="s">
        <v>75</v>
      </c>
      <c r="G388">
        <v>50</v>
      </c>
      <c r="H388" t="s">
        <v>71</v>
      </c>
      <c r="I388" t="s">
        <v>21</v>
      </c>
      <c r="J388" t="s">
        <v>21</v>
      </c>
      <c r="K388">
        <v>37.888399999999997</v>
      </c>
      <c r="L388">
        <v>-4.7801999999999998</v>
      </c>
      <c r="M388" t="s">
        <v>328</v>
      </c>
      <c r="N388" s="2">
        <f>Table1[[#This Row],[Capacity (MW)]]*8760*0.72*10^-6</f>
        <v>0.31535999999999997</v>
      </c>
      <c r="O388" s="2" cm="1">
        <f t="array" ref="O388">AVERAGE(VLOOKUP(_xlfn.TEXTSPLIT(Table1[[#This Row],[Fuel (no space after comma)]], ","), FuelList_Final_EF!$A$2:$B$32, 2, FALSE))</f>
        <v>72.350251273941311</v>
      </c>
      <c r="P388" s="2">
        <f>(16112*Table1[[#This Row],[Generation (TWh)]]*10^9)/10^6</f>
        <v>5081080.32</v>
      </c>
      <c r="Q388" s="2">
        <f>Table1[[#This Row],[Emission Factor (kg CO2/ mmBtu)]]*Table1[[#This Row],[Fuel Consumption (mmBtu)]]*10^3</f>
        <v>367617437895.07813</v>
      </c>
      <c r="R388" s="2">
        <f>(Table1[[#This Row],[CO2 Emissions (g CO2)]])/(Table1[[#This Row],[Generation (TWh)]]*10^9)</f>
        <v>1165.7072485257424</v>
      </c>
    </row>
    <row r="389" spans="1:18" hidden="1">
      <c r="A389" t="s">
        <v>369</v>
      </c>
      <c r="B389" t="s">
        <v>25</v>
      </c>
      <c r="C389" t="str">
        <f>SUBSTITUTE(Table1[[#This Row],[Fuel]],", ",",")</f>
        <v>bioenergy: wood &amp; other biomass (solids)</v>
      </c>
      <c r="D389" t="s">
        <v>25</v>
      </c>
      <c r="G389">
        <v>41</v>
      </c>
      <c r="H389" t="s">
        <v>27</v>
      </c>
      <c r="I389">
        <v>2019</v>
      </c>
      <c r="J389" t="s">
        <v>21</v>
      </c>
      <c r="K389">
        <v>37.307099999999998</v>
      </c>
      <c r="L389">
        <v>-6.8615000000000004</v>
      </c>
      <c r="M389" t="s">
        <v>328</v>
      </c>
      <c r="N389" s="2">
        <f>Table1[[#This Row],[Capacity (MW)]]*8760*0.72*10^-6</f>
        <v>0.25859519999999997</v>
      </c>
      <c r="O389" s="2" cm="1">
        <f t="array" ref="O389">AVERAGE(VLOOKUP(_xlfn.TEXTSPLIT(Table1[[#This Row],[Fuel (no space after comma)]], ","), FuelList_Final_EF!$A$2:$B$32, 2, FALSE))</f>
        <v>93.8</v>
      </c>
      <c r="P389" s="2">
        <f>(16112*Table1[[#This Row],[Generation (TWh)]]*10^9)/10^6</f>
        <v>4166485.8624</v>
      </c>
      <c r="Q389" s="2">
        <f>Table1[[#This Row],[Emission Factor (kg CO2/ mmBtu)]]*Table1[[#This Row],[Fuel Consumption (mmBtu)]]*10^3</f>
        <v>390816373893.12</v>
      </c>
      <c r="R389" s="2">
        <f>(Table1[[#This Row],[CO2 Emissions (g CO2)]])/(Table1[[#This Row],[Generation (TWh)]]*10^9)</f>
        <v>1511.3056000000001</v>
      </c>
    </row>
    <row r="390" spans="1:18">
      <c r="A390" t="s">
        <v>369</v>
      </c>
      <c r="B390" t="s">
        <v>25</v>
      </c>
      <c r="C390" t="str">
        <f>SUBSTITUTE(Table1[[#This Row],[Fuel]],", ",",")</f>
        <v>bioenergy: wood &amp; other biomass (solids)</v>
      </c>
      <c r="D390" t="s">
        <v>25</v>
      </c>
      <c r="G390">
        <v>46</v>
      </c>
      <c r="H390" t="s">
        <v>53</v>
      </c>
      <c r="I390" t="s">
        <v>21</v>
      </c>
      <c r="J390" t="s">
        <v>21</v>
      </c>
      <c r="K390">
        <v>37.307099999999998</v>
      </c>
      <c r="L390">
        <v>-6.8615000000000004</v>
      </c>
      <c r="M390" t="s">
        <v>328</v>
      </c>
      <c r="N390" s="2">
        <f>Table1[[#This Row],[Capacity (MW)]]*8760*0.72*10^-6</f>
        <v>0.29013119999999998</v>
      </c>
      <c r="O390" s="2" cm="1">
        <f t="array" ref="O390">AVERAGE(VLOOKUP(_xlfn.TEXTSPLIT(Table1[[#This Row],[Fuel (no space after comma)]], ","), FuelList_Final_EF!$A$2:$B$32, 2, FALSE))</f>
        <v>93.8</v>
      </c>
      <c r="P390" s="2">
        <f>(16112*Table1[[#This Row],[Generation (TWh)]]*10^9)/10^6</f>
        <v>4674593.8943999996</v>
      </c>
      <c r="Q390" s="2">
        <f>Table1[[#This Row],[Emission Factor (kg CO2/ mmBtu)]]*Table1[[#This Row],[Fuel Consumption (mmBtu)]]*10^3</f>
        <v>438476907294.71991</v>
      </c>
      <c r="R390" s="2">
        <f>(Table1[[#This Row],[CO2 Emissions (g CO2)]])/(Table1[[#This Row],[Generation (TWh)]]*10^9)</f>
        <v>1511.3055999999997</v>
      </c>
    </row>
    <row r="391" spans="1:18" hidden="1">
      <c r="A391" t="s">
        <v>369</v>
      </c>
      <c r="B391" t="s">
        <v>25</v>
      </c>
      <c r="C391" t="str">
        <f>SUBSTITUTE(Table1[[#This Row],[Fuel]],", ",",")</f>
        <v>bioenergy: wood &amp; other biomass (solids)</v>
      </c>
      <c r="D391" t="s">
        <v>25</v>
      </c>
      <c r="G391">
        <v>50</v>
      </c>
      <c r="H391" t="s">
        <v>27</v>
      </c>
      <c r="I391">
        <v>2012</v>
      </c>
      <c r="J391" t="s">
        <v>21</v>
      </c>
      <c r="K391">
        <v>37.307099999999998</v>
      </c>
      <c r="L391">
        <v>-6.8615000000000004</v>
      </c>
      <c r="M391" t="s">
        <v>328</v>
      </c>
      <c r="N391" s="2">
        <f>Table1[[#This Row],[Capacity (MW)]]*8760*0.72*10^-6</f>
        <v>0.31535999999999997</v>
      </c>
      <c r="O391" s="2" cm="1">
        <f t="array" ref="O391">AVERAGE(VLOOKUP(_xlfn.TEXTSPLIT(Table1[[#This Row],[Fuel (no space after comma)]], ","), FuelList_Final_EF!$A$2:$B$32, 2, FALSE))</f>
        <v>93.8</v>
      </c>
      <c r="P391" s="2">
        <f>(16112*Table1[[#This Row],[Generation (TWh)]]*10^9)/10^6</f>
        <v>5081080.32</v>
      </c>
      <c r="Q391" s="2">
        <f>Table1[[#This Row],[Emission Factor (kg CO2/ mmBtu)]]*Table1[[#This Row],[Fuel Consumption (mmBtu)]]*10^3</f>
        <v>476605334016.00006</v>
      </c>
      <c r="R391" s="2">
        <f>(Table1[[#This Row],[CO2 Emissions (g CO2)]])/(Table1[[#This Row],[Generation (TWh)]]*10^9)</f>
        <v>1511.3056000000001</v>
      </c>
    </row>
    <row r="392" spans="1:18">
      <c r="A392" t="s">
        <v>366</v>
      </c>
      <c r="B392" t="s">
        <v>25</v>
      </c>
      <c r="C392" t="str">
        <f>SUBSTITUTE(Table1[[#This Row],[Fuel]],", ",",")</f>
        <v>bioenergy: wood &amp; other biomass (solids)</v>
      </c>
      <c r="D392" t="s">
        <v>25</v>
      </c>
      <c r="G392">
        <v>37</v>
      </c>
      <c r="H392" t="s">
        <v>27</v>
      </c>
      <c r="I392" t="s">
        <v>21</v>
      </c>
      <c r="J392" t="s">
        <v>21</v>
      </c>
      <c r="K392">
        <v>43.526600000000002</v>
      </c>
      <c r="L392">
        <v>-6.7247000000000003</v>
      </c>
      <c r="M392" t="s">
        <v>328</v>
      </c>
      <c r="N392" s="2">
        <f>Table1[[#This Row],[Capacity (MW)]]*8760*0.72*10^-6</f>
        <v>0.23336639999999997</v>
      </c>
      <c r="O392" s="2" cm="1">
        <f t="array" ref="O392">AVERAGE(VLOOKUP(_xlfn.TEXTSPLIT(Table1[[#This Row],[Fuel (no space after comma)]], ","), FuelList_Final_EF!$A$2:$B$32, 2, FALSE))</f>
        <v>93.8</v>
      </c>
      <c r="P392" s="2">
        <f>(16112*Table1[[#This Row],[Generation (TWh)]]*10^9)/10^6</f>
        <v>3759999.4367999998</v>
      </c>
      <c r="Q392" s="2">
        <f>Table1[[#This Row],[Emission Factor (kg CO2/ mmBtu)]]*Table1[[#This Row],[Fuel Consumption (mmBtu)]]*10^3</f>
        <v>352687947171.83997</v>
      </c>
      <c r="R392" s="2">
        <f>(Table1[[#This Row],[CO2 Emissions (g CO2)]])/(Table1[[#This Row],[Generation (TWh)]]*10^9)</f>
        <v>1511.3056000000001</v>
      </c>
    </row>
    <row r="393" spans="1:18" hidden="1">
      <c r="A393" t="s">
        <v>366</v>
      </c>
      <c r="B393" t="s">
        <v>25</v>
      </c>
      <c r="C393" t="str">
        <f>SUBSTITUTE(Table1[[#This Row],[Fuel]],", ",",")</f>
        <v>bioenergy: wood &amp; other biomass (solids)</v>
      </c>
      <c r="D393" t="s">
        <v>25</v>
      </c>
      <c r="G393">
        <v>40</v>
      </c>
      <c r="H393" t="s">
        <v>27</v>
      </c>
      <c r="I393">
        <v>2012</v>
      </c>
      <c r="J393" t="s">
        <v>21</v>
      </c>
      <c r="K393">
        <v>43.526600000000002</v>
      </c>
      <c r="L393">
        <v>-6.7247000000000003</v>
      </c>
      <c r="M393" t="s">
        <v>328</v>
      </c>
      <c r="N393" s="2">
        <f>Table1[[#This Row],[Capacity (MW)]]*8760*0.72*10^-6</f>
        <v>0.25228800000000001</v>
      </c>
      <c r="O393" s="2" cm="1">
        <f t="array" ref="O393">AVERAGE(VLOOKUP(_xlfn.TEXTSPLIT(Table1[[#This Row],[Fuel (no space after comma)]], ","), FuelList_Final_EF!$A$2:$B$32, 2, FALSE))</f>
        <v>93.8</v>
      </c>
      <c r="P393" s="2">
        <f>(16112*Table1[[#This Row],[Generation (TWh)]]*10^9)/10^6</f>
        <v>4064864.2560000005</v>
      </c>
      <c r="Q393" s="2">
        <f>Table1[[#This Row],[Emission Factor (kg CO2/ mmBtu)]]*Table1[[#This Row],[Fuel Consumption (mmBtu)]]*10^3</f>
        <v>381284267212.80005</v>
      </c>
      <c r="R393" s="2">
        <f>(Table1[[#This Row],[CO2 Emissions (g CO2)]])/(Table1[[#This Row],[Generation (TWh)]]*10^9)</f>
        <v>1511.3056000000001</v>
      </c>
    </row>
    <row r="394" spans="1:18" hidden="1">
      <c r="A394" t="s">
        <v>369</v>
      </c>
      <c r="B394" t="s">
        <v>105</v>
      </c>
      <c r="C394" t="str">
        <f>SUBSTITUTE(Table1[[#This Row],[Fuel]],", ",",")</f>
        <v>bioenergy: agricultural waste (solids),bioenergy: wood &amp; other biomass (solids)</v>
      </c>
      <c r="D394" t="s">
        <v>46</v>
      </c>
      <c r="E394" t="s">
        <v>25</v>
      </c>
      <c r="G394">
        <v>50</v>
      </c>
      <c r="H394" t="s">
        <v>27</v>
      </c>
      <c r="I394">
        <v>2020</v>
      </c>
      <c r="J394" t="s">
        <v>21</v>
      </c>
      <c r="K394">
        <v>38.655500000000004</v>
      </c>
      <c r="L394">
        <v>-3.9872000000000001</v>
      </c>
      <c r="M394" t="s">
        <v>328</v>
      </c>
      <c r="N394" s="2">
        <f>Table1[[#This Row],[Capacity (MW)]]*8760*0.72*10^-6</f>
        <v>0.31535999999999997</v>
      </c>
      <c r="O394" s="2" cm="1">
        <f t="array" ref="O394">AVERAGE(VLOOKUP(_xlfn.TEXTSPLIT(Table1[[#This Row],[Fuel (no space after comma)]], ","), FuelList_Final_EF!$A$2:$B$32, 2, FALSE))</f>
        <v>105.985</v>
      </c>
      <c r="P394" s="2">
        <f>(16112*Table1[[#This Row],[Generation (TWh)]]*10^9)/10^6</f>
        <v>5081080.32</v>
      </c>
      <c r="Q394" s="2">
        <f>Table1[[#This Row],[Emission Factor (kg CO2/ mmBtu)]]*Table1[[#This Row],[Fuel Consumption (mmBtu)]]*10^3</f>
        <v>538518297715.20007</v>
      </c>
      <c r="R394" s="2">
        <f>(Table1[[#This Row],[CO2 Emissions (g CO2)]])/(Table1[[#This Row],[Generation (TWh)]]*10^9)</f>
        <v>1707.6303200000002</v>
      </c>
    </row>
    <row r="395" spans="1:18" hidden="1">
      <c r="A395" t="s">
        <v>370</v>
      </c>
      <c r="B395" t="s">
        <v>25</v>
      </c>
      <c r="C395" t="str">
        <f>SUBSTITUTE(Table1[[#This Row],[Fuel]],", ",",")</f>
        <v>bioenergy: wood &amp; other biomass (solids)</v>
      </c>
      <c r="D395" t="s">
        <v>25</v>
      </c>
      <c r="G395">
        <v>49</v>
      </c>
      <c r="H395" t="s">
        <v>27</v>
      </c>
      <c r="I395">
        <v>2013</v>
      </c>
      <c r="J395" t="s">
        <v>21</v>
      </c>
      <c r="K395">
        <v>53.3125</v>
      </c>
      <c r="L395">
        <v>6.9843999999999999</v>
      </c>
      <c r="M395" t="s">
        <v>39</v>
      </c>
      <c r="N395" s="2">
        <f>Table1[[#This Row],[Capacity (MW)]]*8760*0.72*10^-6</f>
        <v>0.30905279999999996</v>
      </c>
      <c r="O395" s="2" cm="1">
        <f t="array" ref="O395">AVERAGE(VLOOKUP(_xlfn.TEXTSPLIT(Table1[[#This Row],[Fuel (no space after comma)]], ","), FuelList_Final_EF!$A$2:$B$32, 2, FALSE))</f>
        <v>93.8</v>
      </c>
      <c r="P395" s="2">
        <f>(16112*Table1[[#This Row],[Generation (TWh)]]*10^9)/10^6</f>
        <v>4979458.7135999994</v>
      </c>
      <c r="Q395" s="2">
        <f>Table1[[#This Row],[Emission Factor (kg CO2/ mmBtu)]]*Table1[[#This Row],[Fuel Consumption (mmBtu)]]*10^3</f>
        <v>467073227335.67993</v>
      </c>
      <c r="R395" s="2">
        <f>(Table1[[#This Row],[CO2 Emissions (g CO2)]])/(Table1[[#This Row],[Generation (TWh)]]*10^9)</f>
        <v>1511.3056000000001</v>
      </c>
    </row>
    <row r="396" spans="1:18" hidden="1">
      <c r="A396" t="s">
        <v>371</v>
      </c>
      <c r="B396" t="s">
        <v>46</v>
      </c>
      <c r="C396" t="str">
        <f>SUBSTITUTE(Table1[[#This Row],[Fuel]],", ",",")</f>
        <v>bioenergy: agricultural waste (solids)</v>
      </c>
      <c r="D396" t="s">
        <v>46</v>
      </c>
      <c r="G396">
        <v>35</v>
      </c>
      <c r="H396" t="s">
        <v>27</v>
      </c>
      <c r="I396">
        <v>2020</v>
      </c>
      <c r="J396" t="s">
        <v>21</v>
      </c>
      <c r="K396">
        <v>-18.755700000000001</v>
      </c>
      <c r="L396">
        <v>-48.611800000000002</v>
      </c>
      <c r="M396" t="s">
        <v>49</v>
      </c>
      <c r="N396" s="2">
        <f>Table1[[#This Row],[Capacity (MW)]]*8760*0.72*10^-6</f>
        <v>0.220752</v>
      </c>
      <c r="O396" s="2" cm="1">
        <f t="array" ref="O396">AVERAGE(VLOOKUP(_xlfn.TEXTSPLIT(Table1[[#This Row],[Fuel (no space after comma)]], ","), FuelList_Final_EF!$A$2:$B$32, 2, FALSE))</f>
        <v>118.17</v>
      </c>
      <c r="P396" s="2">
        <f>(16112*Table1[[#This Row],[Generation (TWh)]]*10^9)/10^6</f>
        <v>3556756.2239999999</v>
      </c>
      <c r="Q396" s="2">
        <f>Table1[[#This Row],[Emission Factor (kg CO2/ mmBtu)]]*Table1[[#This Row],[Fuel Consumption (mmBtu)]]*10^3</f>
        <v>420301882990.08002</v>
      </c>
      <c r="R396" s="2">
        <f>(Table1[[#This Row],[CO2 Emissions (g CO2)]])/(Table1[[#This Row],[Generation (TWh)]]*10^9)</f>
        <v>1903.9550400000001</v>
      </c>
    </row>
    <row r="397" spans="1:18">
      <c r="A397" t="s">
        <v>372</v>
      </c>
      <c r="B397" t="s">
        <v>25</v>
      </c>
      <c r="C397" t="str">
        <f>SUBSTITUTE(Table1[[#This Row],[Fuel]],", ",",")</f>
        <v>bioenergy: wood &amp; other biomass (solids)</v>
      </c>
      <c r="D397" t="s">
        <v>25</v>
      </c>
      <c r="G397">
        <v>50</v>
      </c>
      <c r="H397" t="s">
        <v>27</v>
      </c>
      <c r="I397">
        <v>1913</v>
      </c>
      <c r="J397" t="s">
        <v>21</v>
      </c>
      <c r="K397">
        <v>52.098399999999998</v>
      </c>
      <c r="L397">
        <v>9.3887</v>
      </c>
      <c r="M397" t="s">
        <v>154</v>
      </c>
      <c r="N397" s="2">
        <f>Table1[[#This Row],[Capacity (MW)]]*8760*0.72*10^-6</f>
        <v>0.31535999999999997</v>
      </c>
      <c r="O397" s="2" cm="1">
        <f t="array" ref="O397">AVERAGE(VLOOKUP(_xlfn.TEXTSPLIT(Table1[[#This Row],[Fuel (no space after comma)]], ","), FuelList_Final_EF!$A$2:$B$32, 2, FALSE))</f>
        <v>93.8</v>
      </c>
      <c r="P397" s="2">
        <f>(16112*Table1[[#This Row],[Generation (TWh)]]*10^9)/10^6</f>
        <v>5081080.32</v>
      </c>
      <c r="Q397" s="2">
        <f>Table1[[#This Row],[Emission Factor (kg CO2/ mmBtu)]]*Table1[[#This Row],[Fuel Consumption (mmBtu)]]*10^3</f>
        <v>476605334016.00006</v>
      </c>
      <c r="R397" s="2">
        <f>(Table1[[#This Row],[CO2 Emissions (g CO2)]])/(Table1[[#This Row],[Generation (TWh)]]*10^9)</f>
        <v>1511.3056000000001</v>
      </c>
    </row>
    <row r="398" spans="1:18" hidden="1">
      <c r="A398" t="s">
        <v>373</v>
      </c>
      <c r="B398" t="s">
        <v>46</v>
      </c>
      <c r="C398" t="str">
        <f>SUBSTITUTE(Table1[[#This Row],[Fuel]],", ",",")</f>
        <v>bioenergy: agricultural waste (solids)</v>
      </c>
      <c r="D398" t="s">
        <v>46</v>
      </c>
      <c r="G398">
        <v>30</v>
      </c>
      <c r="H398" t="s">
        <v>27</v>
      </c>
      <c r="I398">
        <v>2012</v>
      </c>
      <c r="J398" t="s">
        <v>21</v>
      </c>
      <c r="K398">
        <v>-17.063800000000001</v>
      </c>
      <c r="L398">
        <v>-46.180100000000003</v>
      </c>
      <c r="M398" t="s">
        <v>49</v>
      </c>
      <c r="N398" s="2">
        <f>Table1[[#This Row],[Capacity (MW)]]*8760*0.72*10^-6</f>
        <v>0.189216</v>
      </c>
      <c r="O398" s="2" cm="1">
        <f t="array" ref="O398">AVERAGE(VLOOKUP(_xlfn.TEXTSPLIT(Table1[[#This Row],[Fuel (no space after comma)]], ","), FuelList_Final_EF!$A$2:$B$32, 2, FALSE))</f>
        <v>118.17</v>
      </c>
      <c r="P398" s="2">
        <f>(16112*Table1[[#This Row],[Generation (TWh)]]*10^9)/10^6</f>
        <v>3048648.1919999998</v>
      </c>
      <c r="Q398" s="2">
        <f>Table1[[#This Row],[Emission Factor (kg CO2/ mmBtu)]]*Table1[[#This Row],[Fuel Consumption (mmBtu)]]*10^3</f>
        <v>360258756848.63995</v>
      </c>
      <c r="R398" s="2">
        <f>(Table1[[#This Row],[CO2 Emissions (g CO2)]])/(Table1[[#This Row],[Generation (TWh)]]*10^9)</f>
        <v>1903.9550399999998</v>
      </c>
    </row>
    <row r="399" spans="1:18" hidden="1">
      <c r="A399" t="s">
        <v>374</v>
      </c>
      <c r="B399" t="s">
        <v>68</v>
      </c>
      <c r="C399" t="str">
        <f>SUBSTITUTE(Table1[[#This Row],[Fuel]],", ",",")</f>
        <v>bioenergy: wood &amp; other biomass (solids),fossil gas: natural gas</v>
      </c>
      <c r="D399" t="s">
        <v>25</v>
      </c>
      <c r="E399" t="s">
        <v>69</v>
      </c>
      <c r="G399">
        <v>59</v>
      </c>
      <c r="H399" t="s">
        <v>27</v>
      </c>
      <c r="I399">
        <v>1985</v>
      </c>
      <c r="J399" t="s">
        <v>21</v>
      </c>
      <c r="K399">
        <v>52.214149999999997</v>
      </c>
      <c r="L399">
        <v>6.8279699999999997</v>
      </c>
      <c r="M399" t="s">
        <v>39</v>
      </c>
      <c r="N399" s="2">
        <f>Table1[[#This Row],[Capacity (MW)]]*8760*0.72*10^-6</f>
        <v>0.37212479999999998</v>
      </c>
      <c r="O399" s="2" cm="1">
        <f t="array" ref="O399">AVERAGE(VLOOKUP(_xlfn.TEXTSPLIT(Table1[[#This Row],[Fuel (no space after comma)]], ","), FuelList_Final_EF!$A$2:$B$32, 2, FALSE))</f>
        <v>73.430000000000007</v>
      </c>
      <c r="P399" s="2">
        <f>(16112*Table1[[#This Row],[Generation (TWh)]]*10^9)/10^6</f>
        <v>5995674.7775999987</v>
      </c>
      <c r="Q399" s="2">
        <f>Table1[[#This Row],[Emission Factor (kg CO2/ mmBtu)]]*Table1[[#This Row],[Fuel Consumption (mmBtu)]]*10^3</f>
        <v>440262398919.16791</v>
      </c>
      <c r="R399" s="2">
        <f>(Table1[[#This Row],[CO2 Emissions (g CO2)]])/(Table1[[#This Row],[Generation (TWh)]]*10^9)</f>
        <v>1183.1041599999999</v>
      </c>
    </row>
    <row r="400" spans="1:18" hidden="1">
      <c r="A400" t="s">
        <v>375</v>
      </c>
      <c r="B400" t="s">
        <v>46</v>
      </c>
      <c r="C400" t="str">
        <f>SUBSTITUTE(Table1[[#This Row],[Fuel]],", ",",")</f>
        <v>bioenergy: agricultural waste (solids)</v>
      </c>
      <c r="D400" t="s">
        <v>46</v>
      </c>
      <c r="G400">
        <v>50</v>
      </c>
      <c r="H400" t="s">
        <v>27</v>
      </c>
      <c r="I400">
        <v>2022</v>
      </c>
      <c r="J400" t="s">
        <v>21</v>
      </c>
      <c r="K400">
        <v>-17.9694</v>
      </c>
      <c r="L400">
        <v>-50.301400000000001</v>
      </c>
      <c r="M400" t="s">
        <v>49</v>
      </c>
      <c r="N400" s="2">
        <f>Table1[[#This Row],[Capacity (MW)]]*8760*0.72*10^-6</f>
        <v>0.31535999999999997</v>
      </c>
      <c r="O400" s="2" cm="1">
        <f t="array" ref="O400">AVERAGE(VLOOKUP(_xlfn.TEXTSPLIT(Table1[[#This Row],[Fuel (no space after comma)]], ","), FuelList_Final_EF!$A$2:$B$32, 2, FALSE))</f>
        <v>118.17</v>
      </c>
      <c r="P400" s="2">
        <f>(16112*Table1[[#This Row],[Generation (TWh)]]*10^9)/10^6</f>
        <v>5081080.32</v>
      </c>
      <c r="Q400" s="2">
        <f>Table1[[#This Row],[Emission Factor (kg CO2/ mmBtu)]]*Table1[[#This Row],[Fuel Consumption (mmBtu)]]*10^3</f>
        <v>600431261414.40015</v>
      </c>
      <c r="R400" s="2">
        <f>(Table1[[#This Row],[CO2 Emissions (g CO2)]])/(Table1[[#This Row],[Generation (TWh)]]*10^9)</f>
        <v>1903.9550400000005</v>
      </c>
    </row>
    <row r="401" spans="1:18" hidden="1">
      <c r="A401" t="s">
        <v>376</v>
      </c>
      <c r="B401" t="s">
        <v>46</v>
      </c>
      <c r="C401" t="str">
        <f>SUBSTITUTE(Table1[[#This Row],[Fuel]],", ",",")</f>
        <v>bioenergy: agricultural waste (solids)</v>
      </c>
      <c r="D401" t="s">
        <v>46</v>
      </c>
      <c r="G401">
        <v>40</v>
      </c>
      <c r="H401" t="s">
        <v>27</v>
      </c>
      <c r="I401">
        <v>2008</v>
      </c>
      <c r="J401" t="s">
        <v>21</v>
      </c>
      <c r="K401">
        <v>-21.560199999999998</v>
      </c>
      <c r="L401">
        <v>-49.869500000000002</v>
      </c>
      <c r="M401" t="s">
        <v>49</v>
      </c>
      <c r="N401" s="2">
        <f>Table1[[#This Row],[Capacity (MW)]]*8760*0.72*10^-6</f>
        <v>0.25228800000000001</v>
      </c>
      <c r="O401" s="2" cm="1">
        <f t="array" ref="O401">AVERAGE(VLOOKUP(_xlfn.TEXTSPLIT(Table1[[#This Row],[Fuel (no space after comma)]], ","), FuelList_Final_EF!$A$2:$B$32, 2, FALSE))</f>
        <v>118.17</v>
      </c>
      <c r="P401" s="2">
        <f>(16112*Table1[[#This Row],[Generation (TWh)]]*10^9)/10^6</f>
        <v>4064864.2560000005</v>
      </c>
      <c r="Q401" s="2">
        <f>Table1[[#This Row],[Emission Factor (kg CO2/ mmBtu)]]*Table1[[#This Row],[Fuel Consumption (mmBtu)]]*10^3</f>
        <v>480345009131.52008</v>
      </c>
      <c r="R401" s="2">
        <f>(Table1[[#This Row],[CO2 Emissions (g CO2)]])/(Table1[[#This Row],[Generation (TWh)]]*10^9)</f>
        <v>1903.9550400000003</v>
      </c>
    </row>
    <row r="402" spans="1:18" hidden="1">
      <c r="A402" t="s">
        <v>376</v>
      </c>
      <c r="B402" t="s">
        <v>46</v>
      </c>
      <c r="C402" t="str">
        <f>SUBSTITUTE(Table1[[#This Row],[Fuel]],", ",",")</f>
        <v>bioenergy: agricultural waste (solids)</v>
      </c>
      <c r="D402" t="s">
        <v>46</v>
      </c>
      <c r="G402">
        <v>40</v>
      </c>
      <c r="H402" t="s">
        <v>27</v>
      </c>
      <c r="I402">
        <v>2008</v>
      </c>
      <c r="J402" t="s">
        <v>21</v>
      </c>
      <c r="K402">
        <v>-21.560199999999998</v>
      </c>
      <c r="L402">
        <v>-49.869500000000002</v>
      </c>
      <c r="M402" t="s">
        <v>49</v>
      </c>
      <c r="N402" s="2">
        <f>Table1[[#This Row],[Capacity (MW)]]*8760*0.72*10^-6</f>
        <v>0.25228800000000001</v>
      </c>
      <c r="O402" s="2" cm="1">
        <f t="array" ref="O402">AVERAGE(VLOOKUP(_xlfn.TEXTSPLIT(Table1[[#This Row],[Fuel (no space after comma)]], ","), FuelList_Final_EF!$A$2:$B$32, 2, FALSE))</f>
        <v>118.17</v>
      </c>
      <c r="P402" s="2">
        <f>(16112*Table1[[#This Row],[Generation (TWh)]]*10^9)/10^6</f>
        <v>4064864.2560000005</v>
      </c>
      <c r="Q402" s="2">
        <f>Table1[[#This Row],[Emission Factor (kg CO2/ mmBtu)]]*Table1[[#This Row],[Fuel Consumption (mmBtu)]]*10^3</f>
        <v>480345009131.52008</v>
      </c>
      <c r="R402" s="2">
        <f>(Table1[[#This Row],[CO2 Emissions (g CO2)]])/(Table1[[#This Row],[Generation (TWh)]]*10^9)</f>
        <v>1903.9550400000003</v>
      </c>
    </row>
    <row r="403" spans="1:18" hidden="1">
      <c r="A403" t="s">
        <v>376</v>
      </c>
      <c r="B403" t="s">
        <v>46</v>
      </c>
      <c r="C403" t="str">
        <f>SUBSTITUTE(Table1[[#This Row],[Fuel]],", ",",")</f>
        <v>bioenergy: agricultural waste (solids)</v>
      </c>
      <c r="D403" t="s">
        <v>46</v>
      </c>
      <c r="G403">
        <v>58</v>
      </c>
      <c r="H403" t="s">
        <v>27</v>
      </c>
      <c r="I403">
        <v>2002</v>
      </c>
      <c r="J403" t="s">
        <v>21</v>
      </c>
      <c r="K403">
        <v>-21.560700000000001</v>
      </c>
      <c r="L403">
        <v>-49.87</v>
      </c>
      <c r="M403" t="s">
        <v>49</v>
      </c>
      <c r="N403" s="2">
        <f>Table1[[#This Row],[Capacity (MW)]]*8760*0.72*10^-6</f>
        <v>0.36581759999999997</v>
      </c>
      <c r="O403" s="2" cm="1">
        <f t="array" ref="O403">AVERAGE(VLOOKUP(_xlfn.TEXTSPLIT(Table1[[#This Row],[Fuel (no space after comma)]], ","), FuelList_Final_EF!$A$2:$B$32, 2, FALSE))</f>
        <v>118.17</v>
      </c>
      <c r="P403" s="2">
        <f>(16112*Table1[[#This Row],[Generation (TWh)]]*10^9)/10^6</f>
        <v>5894053.1711999988</v>
      </c>
      <c r="Q403" s="2">
        <f>Table1[[#This Row],[Emission Factor (kg CO2/ mmBtu)]]*Table1[[#This Row],[Fuel Consumption (mmBtu)]]*10^3</f>
        <v>696500263240.70386</v>
      </c>
      <c r="R403" s="2">
        <f>(Table1[[#This Row],[CO2 Emissions (g CO2)]])/(Table1[[#This Row],[Generation (TWh)]]*10^9)</f>
        <v>1903.9550399999998</v>
      </c>
    </row>
    <row r="404" spans="1:18" hidden="1">
      <c r="A404" t="s">
        <v>377</v>
      </c>
      <c r="B404" t="s">
        <v>145</v>
      </c>
      <c r="C404" t="str">
        <f>SUBSTITUTE(Table1[[#This Row],[Fuel]],", ",",")</f>
        <v>bioenergy: paper mill wastes,bioenergy: wood &amp; other biomass (solids),fossil gas: natural gas</v>
      </c>
      <c r="D404" t="s">
        <v>61</v>
      </c>
      <c r="E404" t="s">
        <v>25</v>
      </c>
      <c r="F404" t="s">
        <v>69</v>
      </c>
      <c r="G404">
        <v>30</v>
      </c>
      <c r="H404" t="s">
        <v>27</v>
      </c>
      <c r="I404">
        <v>1972</v>
      </c>
      <c r="J404" t="s">
        <v>21</v>
      </c>
      <c r="K404">
        <v>45.804400000000001</v>
      </c>
      <c r="L404">
        <v>-87.089100000000002</v>
      </c>
      <c r="M404" t="s">
        <v>62</v>
      </c>
      <c r="N404" s="2">
        <f>Table1[[#This Row],[Capacity (MW)]]*8760*0.72*10^-6</f>
        <v>0.189216</v>
      </c>
      <c r="O404" s="2" cm="1">
        <f t="array" ref="O404">AVERAGE(VLOOKUP(_xlfn.TEXTSPLIT(Table1[[#This Row],[Fuel (no space after comma)]], ","), FuelList_Final_EF!$A$2:$B$32, 2, FALSE))</f>
        <v>82.444811105253905</v>
      </c>
      <c r="P404" s="2">
        <f>(16112*Table1[[#This Row],[Generation (TWh)]]*10^9)/10^6</f>
        <v>3048648.1919999998</v>
      </c>
      <c r="Q404" s="2">
        <f>Table1[[#This Row],[Emission Factor (kg CO2/ mmBtu)]]*Table1[[#This Row],[Fuel Consumption (mmBtu)]]*10^3</f>
        <v>251345224315.81381</v>
      </c>
      <c r="R404" s="2">
        <f>(Table1[[#This Row],[CO2 Emissions (g CO2)]])/(Table1[[#This Row],[Generation (TWh)]]*10^9)</f>
        <v>1328.3507965278507</v>
      </c>
    </row>
    <row r="405" spans="1:18" hidden="1">
      <c r="A405" t="s">
        <v>377</v>
      </c>
      <c r="B405" t="s">
        <v>145</v>
      </c>
      <c r="C405" t="str">
        <f>SUBSTITUTE(Table1[[#This Row],[Fuel]],", ",",")</f>
        <v>bioenergy: paper mill wastes,bioenergy: wood &amp; other biomass (solids),fossil gas: natural gas</v>
      </c>
      <c r="D405" t="s">
        <v>61</v>
      </c>
      <c r="E405" t="s">
        <v>25</v>
      </c>
      <c r="F405" t="s">
        <v>69</v>
      </c>
      <c r="G405">
        <v>30</v>
      </c>
      <c r="H405" t="s">
        <v>27</v>
      </c>
      <c r="I405">
        <v>1982</v>
      </c>
      <c r="J405" t="s">
        <v>21</v>
      </c>
      <c r="K405">
        <v>45.804400000000001</v>
      </c>
      <c r="L405">
        <v>-87.089100000000002</v>
      </c>
      <c r="M405" t="s">
        <v>62</v>
      </c>
      <c r="N405" s="2">
        <f>Table1[[#This Row],[Capacity (MW)]]*8760*0.72*10^-6</f>
        <v>0.189216</v>
      </c>
      <c r="O405" s="2" cm="1">
        <f t="array" ref="O405">AVERAGE(VLOOKUP(_xlfn.TEXTSPLIT(Table1[[#This Row],[Fuel (no space after comma)]], ","), FuelList_Final_EF!$A$2:$B$32, 2, FALSE))</f>
        <v>82.444811105253905</v>
      </c>
      <c r="P405" s="2">
        <f>(16112*Table1[[#This Row],[Generation (TWh)]]*10^9)/10^6</f>
        <v>3048648.1919999998</v>
      </c>
      <c r="Q405" s="2">
        <f>Table1[[#This Row],[Emission Factor (kg CO2/ mmBtu)]]*Table1[[#This Row],[Fuel Consumption (mmBtu)]]*10^3</f>
        <v>251345224315.81381</v>
      </c>
      <c r="R405" s="2">
        <f>(Table1[[#This Row],[CO2 Emissions (g CO2)]])/(Table1[[#This Row],[Generation (TWh)]]*10^9)</f>
        <v>1328.3507965278507</v>
      </c>
    </row>
    <row r="406" spans="1:18" hidden="1">
      <c r="A406" t="s">
        <v>377</v>
      </c>
      <c r="B406" t="s">
        <v>145</v>
      </c>
      <c r="C406" t="str">
        <f>SUBSTITUTE(Table1[[#This Row],[Fuel]],", ",",")</f>
        <v>bioenergy: paper mill wastes,bioenergy: wood &amp; other biomass (solids),fossil gas: natural gas</v>
      </c>
      <c r="D406" t="s">
        <v>61</v>
      </c>
      <c r="E406" t="s">
        <v>25</v>
      </c>
      <c r="F406" t="s">
        <v>69</v>
      </c>
      <c r="G406">
        <v>39</v>
      </c>
      <c r="H406" t="s">
        <v>27</v>
      </c>
      <c r="I406">
        <v>1969</v>
      </c>
      <c r="J406" t="s">
        <v>21</v>
      </c>
      <c r="K406">
        <v>45.804400000000001</v>
      </c>
      <c r="L406">
        <v>-87.089100000000002</v>
      </c>
      <c r="M406" t="s">
        <v>62</v>
      </c>
      <c r="N406" s="2">
        <f>Table1[[#This Row],[Capacity (MW)]]*8760*0.72*10^-6</f>
        <v>0.24598079999999997</v>
      </c>
      <c r="O406" s="2" cm="1">
        <f t="array" ref="O406">AVERAGE(VLOOKUP(_xlfn.TEXTSPLIT(Table1[[#This Row],[Fuel (no space after comma)]], ","), FuelList_Final_EF!$A$2:$B$32, 2, FALSE))</f>
        <v>82.444811105253905</v>
      </c>
      <c r="P406" s="2">
        <f>(16112*Table1[[#This Row],[Generation (TWh)]]*10^9)/10^6</f>
        <v>3963242.6495999997</v>
      </c>
      <c r="Q406" s="2">
        <f>Table1[[#This Row],[Emission Factor (kg CO2/ mmBtu)]]*Table1[[#This Row],[Fuel Consumption (mmBtu)]]*10^3</f>
        <v>326748791610.55798</v>
      </c>
      <c r="R406" s="2">
        <f>(Table1[[#This Row],[CO2 Emissions (g CO2)]])/(Table1[[#This Row],[Generation (TWh)]]*10^9)</f>
        <v>1328.3507965278511</v>
      </c>
    </row>
    <row r="407" spans="1:18" hidden="1">
      <c r="A407" t="s">
        <v>378</v>
      </c>
      <c r="B407" t="s">
        <v>25</v>
      </c>
      <c r="C407" t="str">
        <f>SUBSTITUTE(Table1[[#This Row],[Fuel]],", ",",")</f>
        <v>bioenergy: wood &amp; other biomass (solids)</v>
      </c>
      <c r="D407" t="s">
        <v>25</v>
      </c>
      <c r="G407">
        <v>38</v>
      </c>
      <c r="H407" t="s">
        <v>27</v>
      </c>
      <c r="I407">
        <v>1998</v>
      </c>
      <c r="J407" t="s">
        <v>21</v>
      </c>
      <c r="K407">
        <v>59.380699999999997</v>
      </c>
      <c r="L407">
        <v>16.4892</v>
      </c>
      <c r="M407" t="s">
        <v>34</v>
      </c>
      <c r="N407" s="2">
        <f>Table1[[#This Row],[Capacity (MW)]]*8760*0.72*10^-6</f>
        <v>0.23967359999999996</v>
      </c>
      <c r="O407" s="2" cm="1">
        <f t="array" ref="O407">AVERAGE(VLOOKUP(_xlfn.TEXTSPLIT(Table1[[#This Row],[Fuel (no space after comma)]], ","), FuelList_Final_EF!$A$2:$B$32, 2, FALSE))</f>
        <v>93.8</v>
      </c>
      <c r="P407" s="2">
        <f>(16112*Table1[[#This Row],[Generation (TWh)]]*10^9)/10^6</f>
        <v>3861621.0431999997</v>
      </c>
      <c r="Q407" s="2">
        <f>Table1[[#This Row],[Emission Factor (kg CO2/ mmBtu)]]*Table1[[#This Row],[Fuel Consumption (mmBtu)]]*10^3</f>
        <v>362220053852.15997</v>
      </c>
      <c r="R407" s="2">
        <f>(Table1[[#This Row],[CO2 Emissions (g CO2)]])/(Table1[[#This Row],[Generation (TWh)]]*10^9)</f>
        <v>1511.3056000000001</v>
      </c>
    </row>
    <row r="408" spans="1:18" hidden="1">
      <c r="A408" t="s">
        <v>379</v>
      </c>
      <c r="B408" t="s">
        <v>46</v>
      </c>
      <c r="C408" t="str">
        <f>SUBSTITUTE(Table1[[#This Row],[Fuel]],", ",",")</f>
        <v>bioenergy: agricultural waste (solids)</v>
      </c>
      <c r="D408" t="s">
        <v>46</v>
      </c>
      <c r="G408">
        <v>65</v>
      </c>
      <c r="H408" t="s">
        <v>27</v>
      </c>
      <c r="I408">
        <v>2003</v>
      </c>
      <c r="J408" t="s">
        <v>21</v>
      </c>
      <c r="K408">
        <v>-15.217000000000001</v>
      </c>
      <c r="L408">
        <v>-48.988700000000001</v>
      </c>
      <c r="M408" t="s">
        <v>49</v>
      </c>
      <c r="N408" s="2">
        <f>Table1[[#This Row],[Capacity (MW)]]*8760*0.72*10^-6</f>
        <v>0.409968</v>
      </c>
      <c r="O408" s="2" cm="1">
        <f t="array" ref="O408">AVERAGE(VLOOKUP(_xlfn.TEXTSPLIT(Table1[[#This Row],[Fuel (no space after comma)]], ","), FuelList_Final_EF!$A$2:$B$32, 2, FALSE))</f>
        <v>118.17</v>
      </c>
      <c r="P408" s="2">
        <f>(16112*Table1[[#This Row],[Generation (TWh)]]*10^9)/10^6</f>
        <v>6605404.4160000002</v>
      </c>
      <c r="Q408" s="2">
        <f>Table1[[#This Row],[Emission Factor (kg CO2/ mmBtu)]]*Table1[[#This Row],[Fuel Consumption (mmBtu)]]*10^3</f>
        <v>780560639838.72009</v>
      </c>
      <c r="R408" s="2">
        <f>(Table1[[#This Row],[CO2 Emissions (g CO2)]])/(Table1[[#This Row],[Generation (TWh)]]*10^9)</f>
        <v>1903.9550400000003</v>
      </c>
    </row>
    <row r="409" spans="1:18" hidden="1">
      <c r="A409" t="s">
        <v>380</v>
      </c>
      <c r="B409" t="s">
        <v>46</v>
      </c>
      <c r="C409" t="str">
        <f>SUBSTITUTE(Table1[[#This Row],[Fuel]],", ",",")</f>
        <v>bioenergy: agricultural waste (solids)</v>
      </c>
      <c r="D409" t="s">
        <v>46</v>
      </c>
      <c r="G409">
        <v>40</v>
      </c>
      <c r="H409" t="s">
        <v>27</v>
      </c>
      <c r="I409">
        <v>1954</v>
      </c>
      <c r="J409" t="s">
        <v>21</v>
      </c>
      <c r="K409">
        <v>-22.657299999999999</v>
      </c>
      <c r="L409">
        <v>-47.210900000000002</v>
      </c>
      <c r="M409" t="s">
        <v>49</v>
      </c>
      <c r="N409" s="2">
        <f>Table1[[#This Row],[Capacity (MW)]]*8760*0.72*10^-6</f>
        <v>0.25228800000000001</v>
      </c>
      <c r="O409" s="2" cm="1">
        <f t="array" ref="O409">AVERAGE(VLOOKUP(_xlfn.TEXTSPLIT(Table1[[#This Row],[Fuel (no space after comma)]], ","), FuelList_Final_EF!$A$2:$B$32, 2, FALSE))</f>
        <v>118.17</v>
      </c>
      <c r="P409" s="2">
        <f>(16112*Table1[[#This Row],[Generation (TWh)]]*10^9)/10^6</f>
        <v>4064864.2560000005</v>
      </c>
      <c r="Q409" s="2">
        <f>Table1[[#This Row],[Emission Factor (kg CO2/ mmBtu)]]*Table1[[#This Row],[Fuel Consumption (mmBtu)]]*10^3</f>
        <v>480345009131.52008</v>
      </c>
      <c r="R409" s="2">
        <f>(Table1[[#This Row],[CO2 Emissions (g CO2)]])/(Table1[[#This Row],[Generation (TWh)]]*10^9)</f>
        <v>1903.9550400000003</v>
      </c>
    </row>
    <row r="410" spans="1:18">
      <c r="A410" t="s">
        <v>381</v>
      </c>
      <c r="B410" t="s">
        <v>25</v>
      </c>
      <c r="C410" t="str">
        <f>SUBSTITUTE(Table1[[#This Row],[Fuel]],", ",",")</f>
        <v>bioenergy: wood &amp; other biomass (solids)</v>
      </c>
      <c r="D410" t="s">
        <v>25</v>
      </c>
      <c r="G410">
        <v>324</v>
      </c>
      <c r="H410" t="s">
        <v>20</v>
      </c>
      <c r="I410" t="s">
        <v>21</v>
      </c>
      <c r="J410" t="s">
        <v>21</v>
      </c>
      <c r="K410">
        <v>-17.104099999999999</v>
      </c>
      <c r="L410">
        <v>-53.2532</v>
      </c>
      <c r="M410" t="s">
        <v>49</v>
      </c>
      <c r="N410" s="2">
        <f>Table1[[#This Row],[Capacity (MW)]]*8760*0.72*10^-6</f>
        <v>2.0435327999999999</v>
      </c>
      <c r="O410" s="2" cm="1">
        <f t="array" ref="O410">AVERAGE(VLOOKUP(_xlfn.TEXTSPLIT(Table1[[#This Row],[Fuel (no space after comma)]], ","), FuelList_Final_EF!$A$2:$B$32, 2, FALSE))</f>
        <v>93.8</v>
      </c>
      <c r="P410" s="2">
        <f>(16112*Table1[[#This Row],[Generation (TWh)]]*10^9)/10^6</f>
        <v>32925400.4736</v>
      </c>
      <c r="Q410" s="2">
        <f>Table1[[#This Row],[Emission Factor (kg CO2/ mmBtu)]]*Table1[[#This Row],[Fuel Consumption (mmBtu)]]*10^3</f>
        <v>3088402564423.6797</v>
      </c>
      <c r="R410" s="2">
        <f>(Table1[[#This Row],[CO2 Emissions (g CO2)]])/(Table1[[#This Row],[Generation (TWh)]]*10^9)</f>
        <v>1511.3055999999999</v>
      </c>
    </row>
    <row r="411" spans="1:18" hidden="1">
      <c r="A411" t="s">
        <v>54</v>
      </c>
      <c r="B411" t="s">
        <v>19</v>
      </c>
      <c r="C411" t="str">
        <f>SUBSTITUTE(Table1[[#This Row],[Fuel]],", ",",")</f>
        <v>bioenergy: refuse (municipal and industrial wastes)</v>
      </c>
      <c r="D411" t="s">
        <v>19</v>
      </c>
      <c r="G411">
        <v>70</v>
      </c>
      <c r="H411" t="s">
        <v>27</v>
      </c>
      <c r="I411">
        <v>2007</v>
      </c>
      <c r="J411" t="s">
        <v>21</v>
      </c>
      <c r="K411">
        <v>52.644599999999997</v>
      </c>
      <c r="L411">
        <v>6.7431000000000001</v>
      </c>
      <c r="M411" t="s">
        <v>154</v>
      </c>
      <c r="N411" s="2">
        <f>Table1[[#This Row],[Capacity (MW)]]*8760*0.72*10^-6</f>
        <v>0.44150400000000001</v>
      </c>
      <c r="O411" s="2" cm="1">
        <f t="array" ref="O411">AVERAGE(VLOOKUP(_xlfn.TEXTSPLIT(Table1[[#This Row],[Fuel (no space after comma)]], ","), FuelList_Final_EF!$A$2:$B$32, 2, FALSE))</f>
        <v>105.42962572482868</v>
      </c>
      <c r="P411" s="2">
        <f>(16112*Table1[[#This Row],[Generation (TWh)]]*10^9)/10^6</f>
        <v>7113512.4479999999</v>
      </c>
      <c r="Q411" s="2">
        <f>Table1[[#This Row],[Emission Factor (kg CO2/ mmBtu)]]*Table1[[#This Row],[Fuel Consumption (mmBtu)]]*10^3</f>
        <v>749974954981.5498</v>
      </c>
      <c r="R411" s="2">
        <f>(Table1[[#This Row],[CO2 Emissions (g CO2)]])/(Table1[[#This Row],[Generation (TWh)]]*10^9)</f>
        <v>1698.6821296784397</v>
      </c>
    </row>
    <row r="412" spans="1:18" hidden="1">
      <c r="A412" t="s">
        <v>382</v>
      </c>
      <c r="B412" t="s">
        <v>19</v>
      </c>
      <c r="C412" t="str">
        <f>SUBSTITUTE(Table1[[#This Row],[Fuel]],", ",",")</f>
        <v>bioenergy: refuse (municipal and industrial wastes)</v>
      </c>
      <c r="D412" t="s">
        <v>19</v>
      </c>
      <c r="G412">
        <v>85</v>
      </c>
      <c r="H412" t="s">
        <v>27</v>
      </c>
      <c r="I412">
        <v>2017</v>
      </c>
      <c r="J412" t="s">
        <v>21</v>
      </c>
      <c r="K412">
        <v>41.224499999999999</v>
      </c>
      <c r="L412">
        <v>28.814800000000002</v>
      </c>
      <c r="M412" t="s">
        <v>383</v>
      </c>
      <c r="N412" s="2">
        <f>Table1[[#This Row],[Capacity (MW)]]*8760*0.72*10^-6</f>
        <v>0.53611199999999992</v>
      </c>
      <c r="O412" s="2" cm="1">
        <f t="array" ref="O412">AVERAGE(VLOOKUP(_xlfn.TEXTSPLIT(Table1[[#This Row],[Fuel (no space after comma)]], ","), FuelList_Final_EF!$A$2:$B$32, 2, FALSE))</f>
        <v>105.42962572482868</v>
      </c>
      <c r="P412" s="2">
        <f>(16112*Table1[[#This Row],[Generation (TWh)]]*10^9)/10^6</f>
        <v>8637836.5439999979</v>
      </c>
      <c r="Q412" s="2">
        <f>Table1[[#This Row],[Emission Factor (kg CO2/ mmBtu)]]*Table1[[#This Row],[Fuel Consumption (mmBtu)]]*10^3</f>
        <v>910683873906.16748</v>
      </c>
      <c r="R412" s="2">
        <f>(Table1[[#This Row],[CO2 Emissions (g CO2)]])/(Table1[[#This Row],[Generation (TWh)]]*10^9)</f>
        <v>1698.6821296784397</v>
      </c>
    </row>
    <row r="413" spans="1:18">
      <c r="A413" t="s">
        <v>384</v>
      </c>
      <c r="B413" t="s">
        <v>25</v>
      </c>
      <c r="C413" t="str">
        <f>SUBSTITUTE(Table1[[#This Row],[Fuel]],", ",",")</f>
        <v>bioenergy: wood &amp; other biomass (solids)</v>
      </c>
      <c r="D413" t="s">
        <v>25</v>
      </c>
      <c r="G413">
        <v>34</v>
      </c>
      <c r="H413" t="s">
        <v>138</v>
      </c>
      <c r="I413" t="s">
        <v>21</v>
      </c>
      <c r="J413" t="s">
        <v>21</v>
      </c>
      <c r="K413">
        <v>43.603900000000003</v>
      </c>
      <c r="L413">
        <v>-73.243499999999997</v>
      </c>
      <c r="M413" t="s">
        <v>62</v>
      </c>
      <c r="N413" s="2">
        <f>Table1[[#This Row],[Capacity (MW)]]*8760*0.72*10^-6</f>
        <v>0.21444479999999999</v>
      </c>
      <c r="O413" s="2" cm="1">
        <f t="array" ref="O413">AVERAGE(VLOOKUP(_xlfn.TEXTSPLIT(Table1[[#This Row],[Fuel (no space after comma)]], ","), FuelList_Final_EF!$A$2:$B$32, 2, FALSE))</f>
        <v>93.8</v>
      </c>
      <c r="P413" s="2">
        <f>(16112*Table1[[#This Row],[Generation (TWh)]]*10^9)/10^6</f>
        <v>3455134.6175999995</v>
      </c>
      <c r="Q413" s="2">
        <f>Table1[[#This Row],[Emission Factor (kg CO2/ mmBtu)]]*Table1[[#This Row],[Fuel Consumption (mmBtu)]]*10^3</f>
        <v>324091627130.87994</v>
      </c>
      <c r="R413" s="2">
        <f>(Table1[[#This Row],[CO2 Emissions (g CO2)]])/(Table1[[#This Row],[Generation (TWh)]]*10^9)</f>
        <v>1511.3055999999997</v>
      </c>
    </row>
    <row r="414" spans="1:18" hidden="1">
      <c r="A414" t="s">
        <v>385</v>
      </c>
      <c r="B414" t="s">
        <v>46</v>
      </c>
      <c r="C414" t="str">
        <f>SUBSTITUTE(Table1[[#This Row],[Fuel]],", ",",")</f>
        <v>bioenergy: agricultural waste (solids)</v>
      </c>
      <c r="D414" t="s">
        <v>46</v>
      </c>
      <c r="G414">
        <v>62</v>
      </c>
      <c r="H414" t="s">
        <v>27</v>
      </c>
      <c r="I414">
        <v>2006</v>
      </c>
      <c r="J414" t="s">
        <v>21</v>
      </c>
      <c r="K414">
        <v>-21.152799999999999</v>
      </c>
      <c r="L414">
        <v>-49.611400000000003</v>
      </c>
      <c r="M414" t="s">
        <v>49</v>
      </c>
      <c r="N414" s="2">
        <f>Table1[[#This Row],[Capacity (MW)]]*8760*0.72*10^-6</f>
        <v>0.39104639999999996</v>
      </c>
      <c r="O414" s="2" cm="1">
        <f t="array" ref="O414">AVERAGE(VLOOKUP(_xlfn.TEXTSPLIT(Table1[[#This Row],[Fuel (no space after comma)]], ","), FuelList_Final_EF!$A$2:$B$32, 2, FALSE))</f>
        <v>118.17</v>
      </c>
      <c r="P414" s="2">
        <f>(16112*Table1[[#This Row],[Generation (TWh)]]*10^9)/10^6</f>
        <v>6300539.5967999995</v>
      </c>
      <c r="Q414" s="2">
        <f>Table1[[#This Row],[Emission Factor (kg CO2/ mmBtu)]]*Table1[[#This Row],[Fuel Consumption (mmBtu)]]*10^3</f>
        <v>744534764153.85596</v>
      </c>
      <c r="R414" s="2">
        <f>(Table1[[#This Row],[CO2 Emissions (g CO2)]])/(Table1[[#This Row],[Generation (TWh)]]*10^9)</f>
        <v>1903.9550400000003</v>
      </c>
    </row>
    <row r="415" spans="1:18" hidden="1">
      <c r="A415" t="s">
        <v>386</v>
      </c>
      <c r="B415" t="s">
        <v>25</v>
      </c>
      <c r="C415" t="str">
        <f>SUBSTITUTE(Table1[[#This Row],[Fuel]],", ",",")</f>
        <v>bioenergy: wood &amp; other biomass (solids)</v>
      </c>
      <c r="D415" t="s">
        <v>25</v>
      </c>
      <c r="G415">
        <v>32</v>
      </c>
      <c r="H415" t="s">
        <v>27</v>
      </c>
      <c r="I415">
        <v>2021</v>
      </c>
      <c r="J415" t="s">
        <v>21</v>
      </c>
      <c r="K415">
        <v>-17.2941</v>
      </c>
      <c r="L415">
        <v>-53.276699999999998</v>
      </c>
      <c r="M415" t="s">
        <v>49</v>
      </c>
      <c r="N415" s="2">
        <f>Table1[[#This Row],[Capacity (MW)]]*8760*0.72*10^-6</f>
        <v>0.20183039999999999</v>
      </c>
      <c r="O415" s="2" cm="1">
        <f t="array" ref="O415">AVERAGE(VLOOKUP(_xlfn.TEXTSPLIT(Table1[[#This Row],[Fuel (no space after comma)]], ","), FuelList_Final_EF!$A$2:$B$32, 2, FALSE))</f>
        <v>93.8</v>
      </c>
      <c r="P415" s="2">
        <f>(16112*Table1[[#This Row],[Generation (TWh)]]*10^9)/10^6</f>
        <v>3251891.4047999997</v>
      </c>
      <c r="Q415" s="2">
        <f>Table1[[#This Row],[Emission Factor (kg CO2/ mmBtu)]]*Table1[[#This Row],[Fuel Consumption (mmBtu)]]*10^3</f>
        <v>305027413770.23993</v>
      </c>
      <c r="R415" s="2">
        <f>(Table1[[#This Row],[CO2 Emissions (g CO2)]])/(Table1[[#This Row],[Generation (TWh)]]*10^9)</f>
        <v>1511.3055999999997</v>
      </c>
    </row>
    <row r="416" spans="1:18" hidden="1">
      <c r="A416" t="s">
        <v>317</v>
      </c>
      <c r="B416" t="s">
        <v>145</v>
      </c>
      <c r="C416" t="str">
        <f>SUBSTITUTE(Table1[[#This Row],[Fuel]],", ",",")</f>
        <v>bioenergy: paper mill wastes,bioenergy: wood &amp; other biomass (solids),fossil gas: natural gas</v>
      </c>
      <c r="D416" t="s">
        <v>61</v>
      </c>
      <c r="E416" t="s">
        <v>25</v>
      </c>
      <c r="F416" t="s">
        <v>69</v>
      </c>
      <c r="G416">
        <v>37</v>
      </c>
      <c r="H416" t="s">
        <v>27</v>
      </c>
      <c r="I416">
        <v>1988</v>
      </c>
      <c r="J416" t="s">
        <v>21</v>
      </c>
      <c r="K416">
        <v>30.681588999999999</v>
      </c>
      <c r="L416">
        <v>-81.456220000000002</v>
      </c>
      <c r="M416" t="s">
        <v>62</v>
      </c>
      <c r="N416" s="2">
        <f>Table1[[#This Row],[Capacity (MW)]]*8760*0.72*10^-6</f>
        <v>0.23336639999999997</v>
      </c>
      <c r="O416" s="2" cm="1">
        <f t="array" ref="O416">AVERAGE(VLOOKUP(_xlfn.TEXTSPLIT(Table1[[#This Row],[Fuel (no space after comma)]], ","), FuelList_Final_EF!$A$2:$B$32, 2, FALSE))</f>
        <v>82.444811105253905</v>
      </c>
      <c r="P416" s="2">
        <f>(16112*Table1[[#This Row],[Generation (TWh)]]*10^9)/10^6</f>
        <v>3759999.4367999998</v>
      </c>
      <c r="Q416" s="2">
        <f>Table1[[#This Row],[Emission Factor (kg CO2/ mmBtu)]]*Table1[[#This Row],[Fuel Consumption (mmBtu)]]*10^3</f>
        <v>309992443322.83704</v>
      </c>
      <c r="R416" s="2">
        <f>(Table1[[#This Row],[CO2 Emissions (g CO2)]])/(Table1[[#This Row],[Generation (TWh)]]*10^9)</f>
        <v>1328.3507965278509</v>
      </c>
    </row>
    <row r="417" spans="1:18" hidden="1">
      <c r="A417" t="s">
        <v>317</v>
      </c>
      <c r="B417" t="s">
        <v>145</v>
      </c>
      <c r="C417" t="str">
        <f>SUBSTITUTE(Table1[[#This Row],[Fuel]],", ",",")</f>
        <v>bioenergy: paper mill wastes,bioenergy: wood &amp; other biomass (solids),fossil gas: natural gas</v>
      </c>
      <c r="D417" t="s">
        <v>61</v>
      </c>
      <c r="E417" t="s">
        <v>25</v>
      </c>
      <c r="F417" t="s">
        <v>69</v>
      </c>
      <c r="G417">
        <v>60</v>
      </c>
      <c r="H417" t="s">
        <v>27</v>
      </c>
      <c r="I417">
        <v>1982</v>
      </c>
      <c r="J417" t="s">
        <v>21</v>
      </c>
      <c r="K417">
        <v>30.681588999999999</v>
      </c>
      <c r="L417">
        <v>-81.456220000000002</v>
      </c>
      <c r="M417" t="s">
        <v>62</v>
      </c>
      <c r="N417" s="2">
        <f>Table1[[#This Row],[Capacity (MW)]]*8760*0.72*10^-6</f>
        <v>0.37843199999999999</v>
      </c>
      <c r="O417" s="2" cm="1">
        <f t="array" ref="O417">AVERAGE(VLOOKUP(_xlfn.TEXTSPLIT(Table1[[#This Row],[Fuel (no space after comma)]], ","), FuelList_Final_EF!$A$2:$B$32, 2, FALSE))</f>
        <v>82.444811105253905</v>
      </c>
      <c r="P417" s="2">
        <f>(16112*Table1[[#This Row],[Generation (TWh)]]*10^9)/10^6</f>
        <v>6097296.3839999996</v>
      </c>
      <c r="Q417" s="2">
        <f>Table1[[#This Row],[Emission Factor (kg CO2/ mmBtu)]]*Table1[[#This Row],[Fuel Consumption (mmBtu)]]*10^3</f>
        <v>502690448631.62762</v>
      </c>
      <c r="R417" s="2">
        <f>(Table1[[#This Row],[CO2 Emissions (g CO2)]])/(Table1[[#This Row],[Generation (TWh)]]*10^9)</f>
        <v>1328.3507965278507</v>
      </c>
    </row>
    <row r="418" spans="1:18" hidden="1">
      <c r="A418" t="s">
        <v>387</v>
      </c>
      <c r="B418" t="s">
        <v>46</v>
      </c>
      <c r="C418" t="str">
        <f>SUBSTITUTE(Table1[[#This Row],[Fuel]],", ",",")</f>
        <v>bioenergy: agricultural waste (solids)</v>
      </c>
      <c r="D418" t="s">
        <v>46</v>
      </c>
      <c r="G418">
        <v>80</v>
      </c>
      <c r="H418" t="s">
        <v>27</v>
      </c>
      <c r="I418">
        <v>1982</v>
      </c>
      <c r="J418" t="s">
        <v>21</v>
      </c>
      <c r="K418">
        <v>-21.844899999999999</v>
      </c>
      <c r="L418">
        <v>-47.360300000000002</v>
      </c>
      <c r="M418" t="s">
        <v>49</v>
      </c>
      <c r="N418" s="2">
        <f>Table1[[#This Row],[Capacity (MW)]]*8760*0.72*10^-6</f>
        <v>0.50457600000000002</v>
      </c>
      <c r="O418" s="2" cm="1">
        <f t="array" ref="O418">AVERAGE(VLOOKUP(_xlfn.TEXTSPLIT(Table1[[#This Row],[Fuel (no space after comma)]], ","), FuelList_Final_EF!$A$2:$B$32, 2, FALSE))</f>
        <v>118.17</v>
      </c>
      <c r="P418" s="2">
        <f>(16112*Table1[[#This Row],[Generation (TWh)]]*10^9)/10^6</f>
        <v>8129728.512000001</v>
      </c>
      <c r="Q418" s="2">
        <f>Table1[[#This Row],[Emission Factor (kg CO2/ mmBtu)]]*Table1[[#This Row],[Fuel Consumption (mmBtu)]]*10^3</f>
        <v>960690018263.04016</v>
      </c>
      <c r="R418" s="2">
        <f>(Table1[[#This Row],[CO2 Emissions (g CO2)]])/(Table1[[#This Row],[Generation (TWh)]]*10^9)</f>
        <v>1903.9550400000003</v>
      </c>
    </row>
    <row r="419" spans="1:18" hidden="1">
      <c r="A419" t="s">
        <v>388</v>
      </c>
      <c r="B419" t="s">
        <v>141</v>
      </c>
      <c r="C419" t="str">
        <f>SUBSTITUTE(Table1[[#This Row],[Fuel]],", ",",")</f>
        <v>bioenergy: refuse (municipal and industrial wastes),bioenergy: wood &amp; other biomass (solids)</v>
      </c>
      <c r="D419" t="s">
        <v>19</v>
      </c>
      <c r="E419" t="s">
        <v>25</v>
      </c>
      <c r="G419">
        <v>68</v>
      </c>
      <c r="H419" t="s">
        <v>27</v>
      </c>
      <c r="I419">
        <v>2015</v>
      </c>
      <c r="J419" t="s">
        <v>21</v>
      </c>
      <c r="K419">
        <v>53.718699999999998</v>
      </c>
      <c r="L419">
        <v>-1.2868999999999999</v>
      </c>
      <c r="M419" t="s">
        <v>22</v>
      </c>
      <c r="N419" s="2">
        <f>Table1[[#This Row],[Capacity (MW)]]*8760*0.72*10^-6</f>
        <v>0.42888959999999998</v>
      </c>
      <c r="O419" s="2" cm="1">
        <f t="array" ref="O419">AVERAGE(VLOOKUP(_xlfn.TEXTSPLIT(Table1[[#This Row],[Fuel (no space after comma)]], ","), FuelList_Final_EF!$A$2:$B$32, 2, FALSE))</f>
        <v>99.61481286241434</v>
      </c>
      <c r="P419" s="2">
        <f>(16112*Table1[[#This Row],[Generation (TWh)]]*10^9)/10^6</f>
        <v>6910269.2351999991</v>
      </c>
      <c r="Q419" s="2">
        <f>Table1[[#This Row],[Emission Factor (kg CO2/ mmBtu)]]*Table1[[#This Row],[Fuel Consumption (mmBtu)]]*10^3</f>
        <v>688365176693.34692</v>
      </c>
      <c r="R419" s="2">
        <f>(Table1[[#This Row],[CO2 Emissions (g CO2)]])/(Table1[[#This Row],[Generation (TWh)]]*10^9)</f>
        <v>1604.9938648392194</v>
      </c>
    </row>
    <row r="420" spans="1:18" hidden="1">
      <c r="A420" t="s">
        <v>388</v>
      </c>
      <c r="B420" t="s">
        <v>141</v>
      </c>
      <c r="C420" t="str">
        <f>SUBSTITUTE(Table1[[#This Row],[Fuel]],", ",",")</f>
        <v>bioenergy: refuse (municipal and industrial wastes),bioenergy: wood &amp; other biomass (solids)</v>
      </c>
      <c r="D420" t="s">
        <v>19</v>
      </c>
      <c r="E420" t="s">
        <v>25</v>
      </c>
      <c r="G420">
        <v>70</v>
      </c>
      <c r="H420" t="s">
        <v>27</v>
      </c>
      <c r="I420">
        <v>2019</v>
      </c>
      <c r="J420" t="s">
        <v>21</v>
      </c>
      <c r="K420">
        <v>53.718699999999998</v>
      </c>
      <c r="L420">
        <v>-1.2868999999999999</v>
      </c>
      <c r="M420" t="s">
        <v>22</v>
      </c>
      <c r="N420" s="2">
        <f>Table1[[#This Row],[Capacity (MW)]]*8760*0.72*10^-6</f>
        <v>0.44150400000000001</v>
      </c>
      <c r="O420" s="2" cm="1">
        <f t="array" ref="O420">AVERAGE(VLOOKUP(_xlfn.TEXTSPLIT(Table1[[#This Row],[Fuel (no space after comma)]], ","), FuelList_Final_EF!$A$2:$B$32, 2, FALSE))</f>
        <v>99.61481286241434</v>
      </c>
      <c r="P420" s="2">
        <f>(16112*Table1[[#This Row],[Generation (TWh)]]*10^9)/10^6</f>
        <v>7113512.4479999999</v>
      </c>
      <c r="Q420" s="2">
        <f>Table1[[#This Row],[Emission Factor (kg CO2/ mmBtu)]]*Table1[[#This Row],[Fuel Consumption (mmBtu)]]*10^3</f>
        <v>708611211301.97485</v>
      </c>
      <c r="R420" s="2">
        <f>(Table1[[#This Row],[CO2 Emissions (g CO2)]])/(Table1[[#This Row],[Generation (TWh)]]*10^9)</f>
        <v>1604.9938648392197</v>
      </c>
    </row>
    <row r="421" spans="1:18" hidden="1">
      <c r="A421" t="s">
        <v>135</v>
      </c>
      <c r="B421" t="s">
        <v>61</v>
      </c>
      <c r="C421" t="str">
        <f>SUBSTITUTE(Table1[[#This Row],[Fuel]],", ",",")</f>
        <v>bioenergy: paper mill wastes</v>
      </c>
      <c r="D421" t="s">
        <v>61</v>
      </c>
      <c r="G421">
        <v>175</v>
      </c>
      <c r="H421" t="s">
        <v>27</v>
      </c>
      <c r="I421">
        <v>2009</v>
      </c>
      <c r="J421" t="s">
        <v>21</v>
      </c>
      <c r="K421">
        <v>-20.9953</v>
      </c>
      <c r="L421">
        <v>-51.796999999999997</v>
      </c>
      <c r="M421" t="s">
        <v>49</v>
      </c>
      <c r="N421" s="2">
        <f>Table1[[#This Row],[Capacity (MW)]]*8760*0.72*10^-6</f>
        <v>1.1037599999999999</v>
      </c>
      <c r="O421" s="2" cm="1">
        <f t="array" ref="O421">AVERAGE(VLOOKUP(_xlfn.TEXTSPLIT(Table1[[#This Row],[Fuel (no space after comma)]], ","), FuelList_Final_EF!$A$2:$B$32, 2, FALSE))</f>
        <v>100.47443331576173</v>
      </c>
      <c r="P421" s="2">
        <f>(16112*Table1[[#This Row],[Generation (TWh)]]*10^9)/10^6</f>
        <v>17783781.119999997</v>
      </c>
      <c r="Q421" s="2">
        <f>Table1[[#This Row],[Emission Factor (kg CO2/ mmBtu)]]*Table1[[#This Row],[Fuel Consumption (mmBtu)]]*10^3</f>
        <v>1786815330243.5422</v>
      </c>
      <c r="R421" s="2">
        <f>(Table1[[#This Row],[CO2 Emissions (g CO2)]])/(Table1[[#This Row],[Generation (TWh)]]*10^9)</f>
        <v>1618.8440695835532</v>
      </c>
    </row>
    <row r="422" spans="1:18" hidden="1">
      <c r="A422" t="s">
        <v>135</v>
      </c>
      <c r="B422" t="s">
        <v>61</v>
      </c>
      <c r="C422" t="str">
        <f>SUBSTITUTE(Table1[[#This Row],[Fuel]],", ",",")</f>
        <v>bioenergy: paper mill wastes</v>
      </c>
      <c r="D422" t="s">
        <v>61</v>
      </c>
      <c r="G422">
        <v>126</v>
      </c>
      <c r="H422" t="s">
        <v>27</v>
      </c>
      <c r="I422">
        <v>2017</v>
      </c>
      <c r="J422" t="s">
        <v>21</v>
      </c>
      <c r="K422">
        <v>-20.996099999999998</v>
      </c>
      <c r="L422">
        <v>-51.796100000000003</v>
      </c>
      <c r="M422" t="s">
        <v>49</v>
      </c>
      <c r="N422" s="2">
        <f>Table1[[#This Row],[Capacity (MW)]]*8760*0.72*10^-6</f>
        <v>0.79470719999999995</v>
      </c>
      <c r="O422" s="2" cm="1">
        <f t="array" ref="O422">AVERAGE(VLOOKUP(_xlfn.TEXTSPLIT(Table1[[#This Row],[Fuel (no space after comma)]], ","), FuelList_Final_EF!$A$2:$B$32, 2, FALSE))</f>
        <v>100.47443331576173</v>
      </c>
      <c r="P422" s="2">
        <f>(16112*Table1[[#This Row],[Generation (TWh)]]*10^9)/10^6</f>
        <v>12804322.406399999</v>
      </c>
      <c r="Q422" s="2">
        <f>Table1[[#This Row],[Emission Factor (kg CO2/ mmBtu)]]*Table1[[#This Row],[Fuel Consumption (mmBtu)]]*10^3</f>
        <v>1286507037775.3503</v>
      </c>
      <c r="R422" s="2">
        <f>(Table1[[#This Row],[CO2 Emissions (g CO2)]])/(Table1[[#This Row],[Generation (TWh)]]*10^9)</f>
        <v>1618.8440695835527</v>
      </c>
    </row>
    <row r="423" spans="1:18" hidden="1">
      <c r="A423" t="s">
        <v>135</v>
      </c>
      <c r="B423" t="s">
        <v>61</v>
      </c>
      <c r="C423" t="str">
        <f>SUBSTITUTE(Table1[[#This Row],[Fuel]],", ",",")</f>
        <v>bioenergy: paper mill wastes</v>
      </c>
      <c r="D423" t="s">
        <v>61</v>
      </c>
      <c r="G423">
        <v>149</v>
      </c>
      <c r="H423" t="s">
        <v>27</v>
      </c>
      <c r="I423">
        <v>2017</v>
      </c>
      <c r="J423" t="s">
        <v>21</v>
      </c>
      <c r="K423">
        <v>-20.996099999999998</v>
      </c>
      <c r="L423">
        <v>-51.796100000000003</v>
      </c>
      <c r="M423" t="s">
        <v>49</v>
      </c>
      <c r="N423" s="2">
        <f>Table1[[#This Row],[Capacity (MW)]]*8760*0.72*10^-6</f>
        <v>0.93977279999999985</v>
      </c>
      <c r="O423" s="2" cm="1">
        <f t="array" ref="O423">AVERAGE(VLOOKUP(_xlfn.TEXTSPLIT(Table1[[#This Row],[Fuel (no space after comma)]], ","), FuelList_Final_EF!$A$2:$B$32, 2, FALSE))</f>
        <v>100.47443331576173</v>
      </c>
      <c r="P423" s="2">
        <f>(16112*Table1[[#This Row],[Generation (TWh)]]*10^9)/10^6</f>
        <v>15141619.353599997</v>
      </c>
      <c r="Q423" s="2">
        <f>Table1[[#This Row],[Emission Factor (kg CO2/ mmBtu)]]*Table1[[#This Row],[Fuel Consumption (mmBtu)]]*10^3</f>
        <v>1521345624035.9302</v>
      </c>
      <c r="R423" s="2">
        <f>(Table1[[#This Row],[CO2 Emissions (g CO2)]])/(Table1[[#This Row],[Generation (TWh)]]*10^9)</f>
        <v>1618.8440695835529</v>
      </c>
    </row>
    <row r="424" spans="1:18" hidden="1">
      <c r="A424" t="s">
        <v>389</v>
      </c>
      <c r="B424" t="s">
        <v>25</v>
      </c>
      <c r="C424" t="str">
        <f>SUBSTITUTE(Table1[[#This Row],[Fuel]],", ",",")</f>
        <v>bioenergy: wood &amp; other biomass (solids)</v>
      </c>
      <c r="D424" t="s">
        <v>25</v>
      </c>
      <c r="G424">
        <v>95</v>
      </c>
      <c r="H424" t="s">
        <v>27</v>
      </c>
      <c r="I424">
        <v>2010</v>
      </c>
      <c r="J424" t="s">
        <v>21</v>
      </c>
      <c r="K424">
        <v>40.057600000000001</v>
      </c>
      <c r="L424">
        <v>-8.8595000000000006</v>
      </c>
      <c r="M424" t="s">
        <v>265</v>
      </c>
      <c r="N424" s="2">
        <f>Table1[[#This Row],[Capacity (MW)]]*8760*0.72*10^-6</f>
        <v>0.59918399999999994</v>
      </c>
      <c r="O424" s="2" cm="1">
        <f t="array" ref="O424">AVERAGE(VLOOKUP(_xlfn.TEXTSPLIT(Table1[[#This Row],[Fuel (no space after comma)]], ","), FuelList_Final_EF!$A$2:$B$32, 2, FALSE))</f>
        <v>93.8</v>
      </c>
      <c r="P424" s="2">
        <f>(16112*Table1[[#This Row],[Generation (TWh)]]*10^9)/10^6</f>
        <v>9654052.6079999972</v>
      </c>
      <c r="Q424" s="2">
        <f>Table1[[#This Row],[Emission Factor (kg CO2/ mmBtu)]]*Table1[[#This Row],[Fuel Consumption (mmBtu)]]*10^3</f>
        <v>905550134630.39966</v>
      </c>
      <c r="R424" s="2">
        <f>(Table1[[#This Row],[CO2 Emissions (g CO2)]])/(Table1[[#This Row],[Generation (TWh)]]*10^9)</f>
        <v>1511.3055999999997</v>
      </c>
    </row>
    <row r="425" spans="1:18">
      <c r="A425" t="s">
        <v>390</v>
      </c>
      <c r="B425" t="s">
        <v>46</v>
      </c>
      <c r="C425" t="str">
        <f>SUBSTITUTE(Table1[[#This Row],[Fuel]],", ",",")</f>
        <v>bioenergy: agricultural waste (solids)</v>
      </c>
      <c r="D425" t="s">
        <v>46</v>
      </c>
      <c r="G425">
        <v>31</v>
      </c>
      <c r="H425" t="s">
        <v>27</v>
      </c>
      <c r="I425" t="s">
        <v>21</v>
      </c>
      <c r="J425" t="s">
        <v>21</v>
      </c>
      <c r="K425">
        <v>9.7947000000000006</v>
      </c>
      <c r="L425">
        <v>37.419899999999998</v>
      </c>
      <c r="M425" t="s">
        <v>391</v>
      </c>
      <c r="N425" s="2">
        <f>Table1[[#This Row],[Capacity (MW)]]*8760*0.72*10^-6</f>
        <v>0.19552319999999998</v>
      </c>
      <c r="O425" s="2" cm="1">
        <f t="array" ref="O425">AVERAGE(VLOOKUP(_xlfn.TEXTSPLIT(Table1[[#This Row],[Fuel (no space after comma)]], ","), FuelList_Final_EF!$A$2:$B$32, 2, FALSE))</f>
        <v>118.17</v>
      </c>
      <c r="P425" s="2">
        <f>(16112*Table1[[#This Row],[Generation (TWh)]]*10^9)/10^6</f>
        <v>3150269.7983999997</v>
      </c>
      <c r="Q425" s="2">
        <f>Table1[[#This Row],[Emission Factor (kg CO2/ mmBtu)]]*Table1[[#This Row],[Fuel Consumption (mmBtu)]]*10^3</f>
        <v>372267382076.92798</v>
      </c>
      <c r="R425" s="2">
        <f>(Table1[[#This Row],[CO2 Emissions (g CO2)]])/(Table1[[#This Row],[Generation (TWh)]]*10^9)</f>
        <v>1903.9550400000003</v>
      </c>
    </row>
    <row r="426" spans="1:18" hidden="1">
      <c r="A426" t="s">
        <v>392</v>
      </c>
      <c r="B426" t="s">
        <v>19</v>
      </c>
      <c r="C426" t="str">
        <f>SUBSTITUTE(Table1[[#This Row],[Fuel]],", ",",")</f>
        <v>bioenergy: refuse (municipal and industrial wastes)</v>
      </c>
      <c r="D426" t="s">
        <v>19</v>
      </c>
      <c r="G426">
        <v>55</v>
      </c>
      <c r="H426" t="s">
        <v>27</v>
      </c>
      <c r="I426">
        <v>1965</v>
      </c>
      <c r="J426" t="s">
        <v>21</v>
      </c>
      <c r="K426">
        <v>51.224530000000001</v>
      </c>
      <c r="L426">
        <v>6.8145100000000003</v>
      </c>
      <c r="M426" t="s">
        <v>154</v>
      </c>
      <c r="N426" s="2">
        <f>Table1[[#This Row],[Capacity (MW)]]*8760*0.72*10^-6</f>
        <v>0.34689599999999998</v>
      </c>
      <c r="O426" s="2" cm="1">
        <f t="array" ref="O426">AVERAGE(VLOOKUP(_xlfn.TEXTSPLIT(Table1[[#This Row],[Fuel (no space after comma)]], ","), FuelList_Final_EF!$A$2:$B$32, 2, FALSE))</f>
        <v>105.42962572482868</v>
      </c>
      <c r="P426" s="2">
        <f>(16112*Table1[[#This Row],[Generation (TWh)]]*10^9)/10^6</f>
        <v>5589188.352</v>
      </c>
      <c r="Q426" s="2">
        <f>Table1[[#This Row],[Emission Factor (kg CO2/ mmBtu)]]*Table1[[#This Row],[Fuel Consumption (mmBtu)]]*10^3</f>
        <v>589266036056.93201</v>
      </c>
      <c r="R426" s="2">
        <f>(Table1[[#This Row],[CO2 Emissions (g CO2)]])/(Table1[[#This Row],[Generation (TWh)]]*10^9)</f>
        <v>1698.6821296784397</v>
      </c>
    </row>
    <row r="427" spans="1:18" hidden="1">
      <c r="A427" t="s">
        <v>225</v>
      </c>
      <c r="B427" t="s">
        <v>261</v>
      </c>
      <c r="C427" t="str">
        <f>SUBSTITUTE(Table1[[#This Row],[Fuel]],", ",",")</f>
        <v>bioenergy: wood &amp; other biomass (solids),bioenergy: paper mill wastes,fossil gas: natural gas</v>
      </c>
      <c r="D427" t="s">
        <v>25</v>
      </c>
      <c r="E427" t="s">
        <v>61</v>
      </c>
      <c r="F427" t="s">
        <v>69</v>
      </c>
      <c r="G427">
        <v>39</v>
      </c>
      <c r="H427" t="s">
        <v>27</v>
      </c>
      <c r="I427">
        <v>2015</v>
      </c>
      <c r="J427" t="s">
        <v>21</v>
      </c>
      <c r="K427">
        <v>32.254399999999997</v>
      </c>
      <c r="L427">
        <v>-84.066699999999997</v>
      </c>
      <c r="M427" t="s">
        <v>62</v>
      </c>
      <c r="N427" s="2">
        <f>Table1[[#This Row],[Capacity (MW)]]*8760*0.72*10^-6</f>
        <v>0.24598079999999997</v>
      </c>
      <c r="O427" s="2" cm="1">
        <f t="array" ref="O427">AVERAGE(VLOOKUP(_xlfn.TEXTSPLIT(Table1[[#This Row],[Fuel (no space after comma)]], ","), FuelList_Final_EF!$A$2:$B$32, 2, FALSE))</f>
        <v>82.444811105253905</v>
      </c>
      <c r="P427" s="2">
        <f>(16112*Table1[[#This Row],[Generation (TWh)]]*10^9)/10^6</f>
        <v>3963242.6495999997</v>
      </c>
      <c r="Q427" s="2">
        <f>Table1[[#This Row],[Emission Factor (kg CO2/ mmBtu)]]*Table1[[#This Row],[Fuel Consumption (mmBtu)]]*10^3</f>
        <v>326748791610.55798</v>
      </c>
      <c r="R427" s="2">
        <f>(Table1[[#This Row],[CO2 Emissions (g CO2)]])/(Table1[[#This Row],[Generation (TWh)]]*10^9)</f>
        <v>1328.3507965278511</v>
      </c>
    </row>
    <row r="428" spans="1:18" hidden="1">
      <c r="A428" t="s">
        <v>225</v>
      </c>
      <c r="B428" t="s">
        <v>145</v>
      </c>
      <c r="C428" t="str">
        <f>SUBSTITUTE(Table1[[#This Row],[Fuel]],", ",",")</f>
        <v>bioenergy: paper mill wastes,bioenergy: wood &amp; other biomass (solids),fossil gas: natural gas</v>
      </c>
      <c r="D428" t="s">
        <v>61</v>
      </c>
      <c r="E428" t="s">
        <v>25</v>
      </c>
      <c r="F428" t="s">
        <v>69</v>
      </c>
      <c r="G428">
        <v>47</v>
      </c>
      <c r="H428" t="s">
        <v>27</v>
      </c>
      <c r="I428">
        <v>1980</v>
      </c>
      <c r="J428" t="s">
        <v>21</v>
      </c>
      <c r="K428">
        <v>32.254399999999997</v>
      </c>
      <c r="L428">
        <v>-84.066699999999997</v>
      </c>
      <c r="M428" t="s">
        <v>62</v>
      </c>
      <c r="N428" s="2">
        <f>Table1[[#This Row],[Capacity (MW)]]*8760*0.72*10^-6</f>
        <v>0.29643839999999994</v>
      </c>
      <c r="O428" s="2" cm="1">
        <f t="array" ref="O428">AVERAGE(VLOOKUP(_xlfn.TEXTSPLIT(Table1[[#This Row],[Fuel (no space after comma)]], ","), FuelList_Final_EF!$A$2:$B$32, 2, FALSE))</f>
        <v>82.444811105253905</v>
      </c>
      <c r="P428" s="2">
        <f>(16112*Table1[[#This Row],[Generation (TWh)]]*10^9)/10^6</f>
        <v>4776215.5007999986</v>
      </c>
      <c r="Q428" s="2">
        <f>Table1[[#This Row],[Emission Factor (kg CO2/ mmBtu)]]*Table1[[#This Row],[Fuel Consumption (mmBtu)]]*10^3</f>
        <v>393774184761.44159</v>
      </c>
      <c r="R428" s="2">
        <f>(Table1[[#This Row],[CO2 Emissions (g CO2)]])/(Table1[[#This Row],[Generation (TWh)]]*10^9)</f>
        <v>1328.3507965278509</v>
      </c>
    </row>
    <row r="429" spans="1:18" hidden="1">
      <c r="A429" t="s">
        <v>393</v>
      </c>
      <c r="B429" t="s">
        <v>25</v>
      </c>
      <c r="C429" t="str">
        <f>SUBSTITUTE(Table1[[#This Row],[Fuel]],", ",",")</f>
        <v>bioenergy: wood &amp; other biomass (solids)</v>
      </c>
      <c r="D429" t="s">
        <v>25</v>
      </c>
      <c r="G429">
        <v>40</v>
      </c>
      <c r="H429" t="s">
        <v>27</v>
      </c>
      <c r="I429">
        <v>2017</v>
      </c>
      <c r="J429" t="s">
        <v>21</v>
      </c>
      <c r="K429">
        <v>54.488999999999997</v>
      </c>
      <c r="L429">
        <v>-124.215</v>
      </c>
      <c r="M429" t="s">
        <v>79</v>
      </c>
      <c r="N429" s="2">
        <f>Table1[[#This Row],[Capacity (MW)]]*8760*0.72*10^-6</f>
        <v>0.25228800000000001</v>
      </c>
      <c r="O429" s="2" cm="1">
        <f t="array" ref="O429">AVERAGE(VLOOKUP(_xlfn.TEXTSPLIT(Table1[[#This Row],[Fuel (no space after comma)]], ","), FuelList_Final_EF!$A$2:$B$32, 2, FALSE))</f>
        <v>93.8</v>
      </c>
      <c r="P429" s="2">
        <f>(16112*Table1[[#This Row],[Generation (TWh)]]*10^9)/10^6</f>
        <v>4064864.2560000005</v>
      </c>
      <c r="Q429" s="2">
        <f>Table1[[#This Row],[Emission Factor (kg CO2/ mmBtu)]]*Table1[[#This Row],[Fuel Consumption (mmBtu)]]*10^3</f>
        <v>381284267212.80005</v>
      </c>
      <c r="R429" s="2">
        <f>(Table1[[#This Row],[CO2 Emissions (g CO2)]])/(Table1[[#This Row],[Generation (TWh)]]*10^9)</f>
        <v>1511.3056000000001</v>
      </c>
    </row>
    <row r="430" spans="1:18" hidden="1">
      <c r="A430" t="s">
        <v>394</v>
      </c>
      <c r="B430" t="s">
        <v>19</v>
      </c>
      <c r="C430" t="str">
        <f>SUBSTITUTE(Table1[[#This Row],[Fuel]],", ",",")</f>
        <v>bioenergy: refuse (municipal and industrial wastes)</v>
      </c>
      <c r="D430" t="s">
        <v>19</v>
      </c>
      <c r="G430">
        <v>18.5</v>
      </c>
      <c r="H430" t="s">
        <v>27</v>
      </c>
      <c r="I430">
        <v>2003</v>
      </c>
      <c r="J430" t="s">
        <v>21</v>
      </c>
      <c r="K430">
        <v>50.162199999999999</v>
      </c>
      <c r="L430">
        <v>8.6374999999999993</v>
      </c>
      <c r="M430" t="s">
        <v>154</v>
      </c>
      <c r="N430" s="2">
        <f>Table1[[#This Row],[Capacity (MW)]]*8760*0.72*10^-6</f>
        <v>0.11668319999999999</v>
      </c>
      <c r="O430" s="2" cm="1">
        <f t="array" ref="O430">AVERAGE(VLOOKUP(_xlfn.TEXTSPLIT(Table1[[#This Row],[Fuel (no space after comma)]], ","), FuelList_Final_EF!$A$2:$B$32, 2, FALSE))</f>
        <v>105.42962572482868</v>
      </c>
      <c r="P430" s="2">
        <f>(16112*Table1[[#This Row],[Generation (TWh)]]*10^9)/10^6</f>
        <v>1879999.7183999999</v>
      </c>
      <c r="Q430" s="2">
        <f>Table1[[#This Row],[Emission Factor (kg CO2/ mmBtu)]]*Table1[[#This Row],[Fuel Consumption (mmBtu)]]*10^3</f>
        <v>198207666673.69528</v>
      </c>
      <c r="R430" s="2">
        <f>(Table1[[#This Row],[CO2 Emissions (g CO2)]])/(Table1[[#This Row],[Generation (TWh)]]*10^9)</f>
        <v>1698.6821296784397</v>
      </c>
    </row>
    <row r="431" spans="1:18" hidden="1">
      <c r="A431" t="s">
        <v>395</v>
      </c>
      <c r="B431" t="s">
        <v>19</v>
      </c>
      <c r="C431" t="str">
        <f>SUBSTITUTE(Table1[[#This Row],[Fuel]],", ",",")</f>
        <v>bioenergy: refuse (municipal and industrial wastes)</v>
      </c>
      <c r="D431" t="s">
        <v>19</v>
      </c>
      <c r="G431">
        <v>18.5</v>
      </c>
      <c r="H431" t="s">
        <v>27</v>
      </c>
      <c r="I431">
        <v>2003</v>
      </c>
      <c r="J431" t="s">
        <v>21</v>
      </c>
      <c r="K431">
        <v>50.162199999999999</v>
      </c>
      <c r="L431">
        <v>8.6374999999999993</v>
      </c>
      <c r="M431" t="s">
        <v>154</v>
      </c>
      <c r="N431" s="2">
        <f>Table1[[#This Row],[Capacity (MW)]]*8760*0.72*10^-6</f>
        <v>0.11668319999999999</v>
      </c>
      <c r="O431" s="2" cm="1">
        <f t="array" ref="O431">AVERAGE(VLOOKUP(_xlfn.TEXTSPLIT(Table1[[#This Row],[Fuel (no space after comma)]], ","), FuelList_Final_EF!$A$2:$B$32, 2, FALSE))</f>
        <v>105.42962572482868</v>
      </c>
      <c r="P431" s="2">
        <f>(16112*Table1[[#This Row],[Generation (TWh)]]*10^9)/10^6</f>
        <v>1879999.7183999999</v>
      </c>
      <c r="Q431" s="2">
        <f>Table1[[#This Row],[Emission Factor (kg CO2/ mmBtu)]]*Table1[[#This Row],[Fuel Consumption (mmBtu)]]*10^3</f>
        <v>198207666673.69528</v>
      </c>
      <c r="R431" s="2">
        <f>(Table1[[#This Row],[CO2 Emissions (g CO2)]])/(Table1[[#This Row],[Generation (TWh)]]*10^9)</f>
        <v>1698.6821296784397</v>
      </c>
    </row>
    <row r="432" spans="1:18" hidden="1">
      <c r="A432" t="s">
        <v>225</v>
      </c>
      <c r="B432" t="s">
        <v>231</v>
      </c>
      <c r="C432" t="str">
        <f>SUBSTITUTE(Table1[[#This Row],[Fuel]],", ",",")</f>
        <v>bioenergy: paper mill wastes,fossil gas: natural gas</v>
      </c>
      <c r="D432" t="s">
        <v>61</v>
      </c>
      <c r="E432" t="s">
        <v>69</v>
      </c>
      <c r="G432">
        <v>36</v>
      </c>
      <c r="H432" t="s">
        <v>27</v>
      </c>
      <c r="I432">
        <v>1977</v>
      </c>
      <c r="J432" t="s">
        <v>21</v>
      </c>
      <c r="K432">
        <v>36.680700000000002</v>
      </c>
      <c r="L432">
        <v>-76.913499999999999</v>
      </c>
      <c r="M432" t="s">
        <v>62</v>
      </c>
      <c r="N432" s="2">
        <f>Table1[[#This Row],[Capacity (MW)]]*8760*0.72*10^-6</f>
        <v>0.22705919999999996</v>
      </c>
      <c r="O432" s="2" cm="1">
        <f t="array" ref="O432">AVERAGE(VLOOKUP(_xlfn.TEXTSPLIT(Table1[[#This Row],[Fuel (no space after comma)]], ","), FuelList_Final_EF!$A$2:$B$32, 2, FALSE))</f>
        <v>76.767216657880866</v>
      </c>
      <c r="P432" s="2">
        <f>(16112*Table1[[#This Row],[Generation (TWh)]]*10^9)/10^6</f>
        <v>3658377.8303999994</v>
      </c>
      <c r="Q432" s="2">
        <f>Table1[[#This Row],[Emission Factor (kg CO2/ mmBtu)]]*Table1[[#This Row],[Fuel Consumption (mmBtu)]]*10^3</f>
        <v>280843483522.7049</v>
      </c>
      <c r="R432" s="2">
        <f>(Table1[[#This Row],[CO2 Emissions (g CO2)]])/(Table1[[#This Row],[Generation (TWh)]]*10^9)</f>
        <v>1236.8733947917765</v>
      </c>
    </row>
    <row r="433" spans="1:18" hidden="1">
      <c r="A433" t="s">
        <v>396</v>
      </c>
      <c r="B433" t="s">
        <v>25</v>
      </c>
      <c r="C433" t="str">
        <f>SUBSTITUTE(Table1[[#This Row],[Fuel]],", ",",")</f>
        <v>bioenergy: wood &amp; other biomass (solids)</v>
      </c>
      <c r="D433" t="s">
        <v>25</v>
      </c>
      <c r="G433">
        <v>40</v>
      </c>
      <c r="H433" t="s">
        <v>27</v>
      </c>
      <c r="I433">
        <v>2020</v>
      </c>
      <c r="J433" t="s">
        <v>21</v>
      </c>
      <c r="K433">
        <v>-27.947299999999998</v>
      </c>
      <c r="L433">
        <v>-56.000799999999998</v>
      </c>
      <c r="M433" t="s">
        <v>397</v>
      </c>
      <c r="N433" s="2">
        <f>Table1[[#This Row],[Capacity (MW)]]*8760*0.72*10^-6</f>
        <v>0.25228800000000001</v>
      </c>
      <c r="O433" s="2" cm="1">
        <f t="array" ref="O433">AVERAGE(VLOOKUP(_xlfn.TEXTSPLIT(Table1[[#This Row],[Fuel (no space after comma)]], ","), FuelList_Final_EF!$A$2:$B$32, 2, FALSE))</f>
        <v>93.8</v>
      </c>
      <c r="P433" s="2">
        <f>(16112*Table1[[#This Row],[Generation (TWh)]]*10^9)/10^6</f>
        <v>4064864.2560000005</v>
      </c>
      <c r="Q433" s="2">
        <f>Table1[[#This Row],[Emission Factor (kg CO2/ mmBtu)]]*Table1[[#This Row],[Fuel Consumption (mmBtu)]]*10^3</f>
        <v>381284267212.80005</v>
      </c>
      <c r="R433" s="2">
        <f>(Table1[[#This Row],[CO2 Emissions (g CO2)]])/(Table1[[#This Row],[Generation (TWh)]]*10^9)</f>
        <v>1511.3056000000001</v>
      </c>
    </row>
    <row r="434" spans="1:18" hidden="1">
      <c r="A434" t="s">
        <v>398</v>
      </c>
      <c r="B434" t="s">
        <v>96</v>
      </c>
      <c r="C434" t="str">
        <f>SUBSTITUTE(Table1[[#This Row],[Fuel]],", ",",")</f>
        <v>bioenergy: unknown</v>
      </c>
      <c r="D434" t="s">
        <v>96</v>
      </c>
      <c r="G434">
        <v>191</v>
      </c>
      <c r="H434" t="s">
        <v>27</v>
      </c>
      <c r="I434">
        <v>2023</v>
      </c>
      <c r="J434" t="s">
        <v>21</v>
      </c>
      <c r="K434">
        <v>-15.344200000000001</v>
      </c>
      <c r="L434">
        <v>-54.2089</v>
      </c>
      <c r="M434" t="s">
        <v>49</v>
      </c>
      <c r="N434" s="2">
        <f>Table1[[#This Row],[Capacity (MW)]]*8760*0.72*10^-6</f>
        <v>1.2046751999999998</v>
      </c>
      <c r="O434" s="2" cm="1">
        <f t="array" ref="O434">AVERAGE(VLOOKUP(_xlfn.TEXTSPLIT(Table1[[#This Row],[Fuel (no space after comma)]], ","), FuelList_Final_EF!$A$2:$B$32, 2, FALSE))</f>
        <v>72.785606017598653</v>
      </c>
      <c r="P434" s="2">
        <f>(16112*Table1[[#This Row],[Generation (TWh)]]*10^9)/10^6</f>
        <v>19409726.822399996</v>
      </c>
      <c r="Q434" s="2">
        <f>Table1[[#This Row],[Emission Factor (kg CO2/ mmBtu)]]*Table1[[#This Row],[Fuel Consumption (mmBtu)]]*10^3</f>
        <v>1412748729404.4233</v>
      </c>
      <c r="R434" s="2">
        <f>(Table1[[#This Row],[CO2 Emissions (g CO2)]])/(Table1[[#This Row],[Generation (TWh)]]*10^9)</f>
        <v>1172.7216841555496</v>
      </c>
    </row>
    <row r="435" spans="1:18">
      <c r="A435" t="s">
        <v>21</v>
      </c>
      <c r="B435" t="s">
        <v>96</v>
      </c>
      <c r="C435" t="str">
        <f>SUBSTITUTE(Table1[[#This Row],[Fuel]],", ",",")</f>
        <v>bioenergy: unknown</v>
      </c>
      <c r="D435" t="s">
        <v>96</v>
      </c>
      <c r="G435">
        <v>51</v>
      </c>
      <c r="H435" t="s">
        <v>97</v>
      </c>
      <c r="I435" t="s">
        <v>21</v>
      </c>
      <c r="J435" t="s">
        <v>21</v>
      </c>
      <c r="K435">
        <v>36.654800000000002</v>
      </c>
      <c r="L435">
        <v>140.67060000000001</v>
      </c>
      <c r="M435" t="s">
        <v>51</v>
      </c>
      <c r="N435" s="2">
        <f>Table1[[#This Row],[Capacity (MW)]]*8760*0.72*10^-6</f>
        <v>0.32166719999999999</v>
      </c>
      <c r="O435" s="2" cm="1">
        <f t="array" ref="O435">AVERAGE(VLOOKUP(_xlfn.TEXTSPLIT(Table1[[#This Row],[Fuel (no space after comma)]], ","), FuelList_Final_EF!$A$2:$B$32, 2, FALSE))</f>
        <v>72.785606017598653</v>
      </c>
      <c r="P435" s="2">
        <f>(16112*Table1[[#This Row],[Generation (TWh)]]*10^9)/10^6</f>
        <v>5182701.9264000002</v>
      </c>
      <c r="Q435" s="2">
        <f>Table1[[#This Row],[Emission Factor (kg CO2/ mmBtu)]]*Table1[[#This Row],[Fuel Consumption (mmBtu)]]*10^3</f>
        <v>377226100521.60004</v>
      </c>
      <c r="R435" s="2">
        <f>(Table1[[#This Row],[CO2 Emissions (g CO2)]])/(Table1[[#This Row],[Generation (TWh)]]*10^9)</f>
        <v>1172.7216841555496</v>
      </c>
    </row>
    <row r="436" spans="1:18" hidden="1">
      <c r="A436" t="s">
        <v>399</v>
      </c>
      <c r="B436" t="s">
        <v>19</v>
      </c>
      <c r="C436" t="str">
        <f>SUBSTITUTE(Table1[[#This Row],[Fuel]],", ",",")</f>
        <v>bioenergy: refuse (municipal and industrial wastes)</v>
      </c>
      <c r="D436" t="s">
        <v>19</v>
      </c>
      <c r="G436">
        <v>40</v>
      </c>
      <c r="H436" t="s">
        <v>27</v>
      </c>
      <c r="I436">
        <v>2020</v>
      </c>
      <c r="J436" t="s">
        <v>21</v>
      </c>
      <c r="K436">
        <v>24.778099999999998</v>
      </c>
      <c r="L436">
        <v>118.5288</v>
      </c>
      <c r="M436" t="s">
        <v>102</v>
      </c>
      <c r="N436" s="2">
        <f>Table1[[#This Row],[Capacity (MW)]]*8760*0.72*10^-6</f>
        <v>0.25228800000000001</v>
      </c>
      <c r="O436" s="2" cm="1">
        <f t="array" ref="O436">AVERAGE(VLOOKUP(_xlfn.TEXTSPLIT(Table1[[#This Row],[Fuel (no space after comma)]], ","), FuelList_Final_EF!$A$2:$B$32, 2, FALSE))</f>
        <v>105.42962572482868</v>
      </c>
      <c r="P436" s="2">
        <f>(16112*Table1[[#This Row],[Generation (TWh)]]*10^9)/10^6</f>
        <v>4064864.2560000005</v>
      </c>
      <c r="Q436" s="2">
        <f>Table1[[#This Row],[Emission Factor (kg CO2/ mmBtu)]]*Table1[[#This Row],[Fuel Consumption (mmBtu)]]*10^3</f>
        <v>428557117132.31427</v>
      </c>
      <c r="R436" s="2">
        <f>(Table1[[#This Row],[CO2 Emissions (g CO2)]])/(Table1[[#This Row],[Generation (TWh)]]*10^9)</f>
        <v>1698.6821296784401</v>
      </c>
    </row>
    <row r="437" spans="1:18" hidden="1">
      <c r="A437" t="s">
        <v>400</v>
      </c>
      <c r="B437" t="s">
        <v>61</v>
      </c>
      <c r="C437" t="str">
        <f>SUBSTITUTE(Table1[[#This Row],[Fuel]],", ",",")</f>
        <v>bioenergy: paper mill wastes</v>
      </c>
      <c r="D437" t="s">
        <v>61</v>
      </c>
      <c r="G437">
        <v>40</v>
      </c>
      <c r="H437" t="s">
        <v>27</v>
      </c>
      <c r="I437">
        <v>2018</v>
      </c>
      <c r="J437" t="s">
        <v>21</v>
      </c>
      <c r="K437">
        <v>24.489000000000001</v>
      </c>
      <c r="L437">
        <v>117.8629</v>
      </c>
      <c r="M437" t="s">
        <v>102</v>
      </c>
      <c r="N437" s="2">
        <f>Table1[[#This Row],[Capacity (MW)]]*8760*0.72*10^-6</f>
        <v>0.25228800000000001</v>
      </c>
      <c r="O437" s="2" cm="1">
        <f t="array" ref="O437">AVERAGE(VLOOKUP(_xlfn.TEXTSPLIT(Table1[[#This Row],[Fuel (no space after comma)]], ","), FuelList_Final_EF!$A$2:$B$32, 2, FALSE))</f>
        <v>100.47443331576173</v>
      </c>
      <c r="P437" s="2">
        <f>(16112*Table1[[#This Row],[Generation (TWh)]]*10^9)/10^6</f>
        <v>4064864.2560000005</v>
      </c>
      <c r="Q437" s="2">
        <f>Table1[[#This Row],[Emission Factor (kg CO2/ mmBtu)]]*Table1[[#This Row],[Fuel Consumption (mmBtu)]]*10^3</f>
        <v>408414932627.09546</v>
      </c>
      <c r="R437" s="2">
        <f>(Table1[[#This Row],[CO2 Emissions (g CO2)]])/(Table1[[#This Row],[Generation (TWh)]]*10^9)</f>
        <v>1618.8440695835532</v>
      </c>
    </row>
    <row r="438" spans="1:18" hidden="1">
      <c r="A438" t="s">
        <v>132</v>
      </c>
      <c r="B438" t="s">
        <v>19</v>
      </c>
      <c r="C438" t="str">
        <f>SUBSTITUTE(Table1[[#This Row],[Fuel]],", ",",")</f>
        <v>bioenergy: refuse (municipal and industrial wastes)</v>
      </c>
      <c r="D438" t="s">
        <v>19</v>
      </c>
      <c r="G438">
        <v>35</v>
      </c>
      <c r="H438" t="s">
        <v>27</v>
      </c>
      <c r="I438">
        <v>2021</v>
      </c>
      <c r="J438" t="s">
        <v>21</v>
      </c>
      <c r="K438">
        <v>24.930900000000001</v>
      </c>
      <c r="L438">
        <v>118.3874</v>
      </c>
      <c r="M438" t="s">
        <v>102</v>
      </c>
      <c r="N438" s="2">
        <f>Table1[[#This Row],[Capacity (MW)]]*8760*0.72*10^-6</f>
        <v>0.220752</v>
      </c>
      <c r="O438" s="2" cm="1">
        <f t="array" ref="O438">AVERAGE(VLOOKUP(_xlfn.TEXTSPLIT(Table1[[#This Row],[Fuel (no space after comma)]], ","), FuelList_Final_EF!$A$2:$B$32, 2, FALSE))</f>
        <v>105.42962572482868</v>
      </c>
      <c r="P438" s="2">
        <f>(16112*Table1[[#This Row],[Generation (TWh)]]*10^9)/10^6</f>
        <v>3556756.2239999999</v>
      </c>
      <c r="Q438" s="2">
        <f>Table1[[#This Row],[Emission Factor (kg CO2/ mmBtu)]]*Table1[[#This Row],[Fuel Consumption (mmBtu)]]*10^3</f>
        <v>374987477490.7749</v>
      </c>
      <c r="R438" s="2">
        <f>(Table1[[#This Row],[CO2 Emissions (g CO2)]])/(Table1[[#This Row],[Generation (TWh)]]*10^9)</f>
        <v>1698.6821296784397</v>
      </c>
    </row>
    <row r="439" spans="1:18">
      <c r="A439" t="s">
        <v>401</v>
      </c>
      <c r="B439" t="s">
        <v>61</v>
      </c>
      <c r="C439" t="str">
        <f>SUBSTITUTE(Table1[[#This Row],[Fuel]],", ",",")</f>
        <v>bioenergy: paper mill wastes</v>
      </c>
      <c r="D439" t="s">
        <v>61</v>
      </c>
      <c r="G439">
        <v>100</v>
      </c>
      <c r="H439" t="s">
        <v>20</v>
      </c>
      <c r="I439" t="s">
        <v>21</v>
      </c>
      <c r="J439" t="s">
        <v>21</v>
      </c>
      <c r="K439">
        <v>26.5261</v>
      </c>
      <c r="L439">
        <v>118.2991</v>
      </c>
      <c r="M439" t="s">
        <v>102</v>
      </c>
      <c r="N439" s="2">
        <f>Table1[[#This Row],[Capacity (MW)]]*8760*0.72*10^-6</f>
        <v>0.63071999999999995</v>
      </c>
      <c r="O439" s="2" cm="1">
        <f t="array" ref="O439">AVERAGE(VLOOKUP(_xlfn.TEXTSPLIT(Table1[[#This Row],[Fuel (no space after comma)]], ","), FuelList_Final_EF!$A$2:$B$32, 2, FALSE))</f>
        <v>100.47443331576173</v>
      </c>
      <c r="P439" s="2">
        <f>(16112*Table1[[#This Row],[Generation (TWh)]]*10^9)/10^6</f>
        <v>10162160.640000001</v>
      </c>
      <c r="Q439" s="2">
        <f>Table1[[#This Row],[Emission Factor (kg CO2/ mmBtu)]]*Table1[[#This Row],[Fuel Consumption (mmBtu)]]*10^3</f>
        <v>1021037331567.7386</v>
      </c>
      <c r="R439" s="2">
        <f>(Table1[[#This Row],[CO2 Emissions (g CO2)]])/(Table1[[#This Row],[Generation (TWh)]]*10^9)</f>
        <v>1618.8440695835532</v>
      </c>
    </row>
    <row r="440" spans="1:18" hidden="1">
      <c r="A440" t="s">
        <v>402</v>
      </c>
      <c r="B440" t="s">
        <v>46</v>
      </c>
      <c r="C440" t="str">
        <f>SUBSTITUTE(Table1[[#This Row],[Fuel]],", ",",")</f>
        <v>bioenergy: agricultural waste (solids)</v>
      </c>
      <c r="D440" t="s">
        <v>46</v>
      </c>
      <c r="G440">
        <v>9</v>
      </c>
      <c r="H440" t="s">
        <v>27</v>
      </c>
      <c r="I440">
        <v>2014</v>
      </c>
      <c r="J440" t="s">
        <v>21</v>
      </c>
      <c r="K440">
        <v>27.907399999999999</v>
      </c>
      <c r="L440">
        <v>118.5513</v>
      </c>
      <c r="M440" t="s">
        <v>102</v>
      </c>
      <c r="N440" s="2">
        <f>Table1[[#This Row],[Capacity (MW)]]*8760*0.72*10^-6</f>
        <v>5.676479999999999E-2</v>
      </c>
      <c r="O440" s="2" cm="1">
        <f t="array" ref="O440">AVERAGE(VLOOKUP(_xlfn.TEXTSPLIT(Table1[[#This Row],[Fuel (no space after comma)]], ","), FuelList_Final_EF!$A$2:$B$32, 2, FALSE))</f>
        <v>118.17</v>
      </c>
      <c r="P440" s="2">
        <f>(16112*Table1[[#This Row],[Generation (TWh)]]*10^9)/10^6</f>
        <v>914594.45759999985</v>
      </c>
      <c r="Q440" s="2">
        <f>Table1[[#This Row],[Emission Factor (kg CO2/ mmBtu)]]*Table1[[#This Row],[Fuel Consumption (mmBtu)]]*10^3</f>
        <v>108077627054.59198</v>
      </c>
      <c r="R440" s="2">
        <f>(Table1[[#This Row],[CO2 Emissions (g CO2)]])/(Table1[[#This Row],[Generation (TWh)]]*10^9)</f>
        <v>1903.9550399999998</v>
      </c>
    </row>
    <row r="441" spans="1:18" hidden="1">
      <c r="A441" t="s">
        <v>108</v>
      </c>
      <c r="B441" t="s">
        <v>46</v>
      </c>
      <c r="C441" t="str">
        <f>SUBSTITUTE(Table1[[#This Row],[Fuel]],", ",",")</f>
        <v>bioenergy: agricultural waste (solids)</v>
      </c>
      <c r="D441" t="s">
        <v>46</v>
      </c>
      <c r="G441">
        <v>6</v>
      </c>
      <c r="H441" t="s">
        <v>27</v>
      </c>
      <c r="I441">
        <v>2014</v>
      </c>
      <c r="J441" t="s">
        <v>21</v>
      </c>
      <c r="K441">
        <v>27.907399999999999</v>
      </c>
      <c r="L441">
        <v>118.5513</v>
      </c>
      <c r="M441" t="s">
        <v>102</v>
      </c>
      <c r="N441" s="2">
        <f>Table1[[#This Row],[Capacity (MW)]]*8760*0.72*10^-6</f>
        <v>3.7843199999999994E-2</v>
      </c>
      <c r="O441" s="2" cm="1">
        <f t="array" ref="O441">AVERAGE(VLOOKUP(_xlfn.TEXTSPLIT(Table1[[#This Row],[Fuel (no space after comma)]], ","), FuelList_Final_EF!$A$2:$B$32, 2, FALSE))</f>
        <v>118.17</v>
      </c>
      <c r="P441" s="2">
        <f>(16112*Table1[[#This Row],[Generation (TWh)]]*10^9)/10^6</f>
        <v>609729.63839999982</v>
      </c>
      <c r="Q441" s="2">
        <f>Table1[[#This Row],[Emission Factor (kg CO2/ mmBtu)]]*Table1[[#This Row],[Fuel Consumption (mmBtu)]]*10^3</f>
        <v>72051751369.727982</v>
      </c>
      <c r="R441" s="2">
        <f>(Table1[[#This Row],[CO2 Emissions (g CO2)]])/(Table1[[#This Row],[Generation (TWh)]]*10^9)</f>
        <v>1903.9550399999998</v>
      </c>
    </row>
    <row r="442" spans="1:18" hidden="1">
      <c r="A442" t="s">
        <v>403</v>
      </c>
      <c r="B442" t="s">
        <v>46</v>
      </c>
      <c r="C442" t="str">
        <f>SUBSTITUTE(Table1[[#This Row],[Fuel]],", ",",")</f>
        <v>bioenergy: agricultural waste (solids)</v>
      </c>
      <c r="D442" t="s">
        <v>46</v>
      </c>
      <c r="G442">
        <v>15</v>
      </c>
      <c r="H442" t="s">
        <v>27</v>
      </c>
      <c r="I442">
        <v>2014</v>
      </c>
      <c r="J442" t="s">
        <v>21</v>
      </c>
      <c r="K442">
        <v>27.907399999999999</v>
      </c>
      <c r="L442">
        <v>118.5513</v>
      </c>
      <c r="M442" t="s">
        <v>102</v>
      </c>
      <c r="N442" s="2">
        <f>Table1[[#This Row],[Capacity (MW)]]*8760*0.72*10^-6</f>
        <v>9.4607999999999998E-2</v>
      </c>
      <c r="O442" s="2" cm="1">
        <f t="array" ref="O442">AVERAGE(VLOOKUP(_xlfn.TEXTSPLIT(Table1[[#This Row],[Fuel (no space after comma)]], ","), FuelList_Final_EF!$A$2:$B$32, 2, FALSE))</f>
        <v>118.17</v>
      </c>
      <c r="P442" s="2">
        <f>(16112*Table1[[#This Row],[Generation (TWh)]]*10^9)/10^6</f>
        <v>1524324.0959999999</v>
      </c>
      <c r="Q442" s="2">
        <f>Table1[[#This Row],[Emission Factor (kg CO2/ mmBtu)]]*Table1[[#This Row],[Fuel Consumption (mmBtu)]]*10^3</f>
        <v>180129378424.31998</v>
      </c>
      <c r="R442" s="2">
        <f>(Table1[[#This Row],[CO2 Emissions (g CO2)]])/(Table1[[#This Row],[Generation (TWh)]]*10^9)</f>
        <v>1903.9550399999998</v>
      </c>
    </row>
    <row r="443" spans="1:18">
      <c r="A443" t="s">
        <v>404</v>
      </c>
      <c r="B443" t="s">
        <v>61</v>
      </c>
      <c r="C443" t="str">
        <f>SUBSTITUTE(Table1[[#This Row],[Fuel]],", ",",")</f>
        <v>bioenergy: paper mill wastes</v>
      </c>
      <c r="D443" t="s">
        <v>61</v>
      </c>
      <c r="G443">
        <v>4</v>
      </c>
      <c r="H443" t="s">
        <v>53</v>
      </c>
      <c r="I443" t="s">
        <v>21</v>
      </c>
      <c r="J443" t="s">
        <v>21</v>
      </c>
      <c r="K443">
        <v>26.5609</v>
      </c>
      <c r="L443">
        <v>117.9845</v>
      </c>
      <c r="M443" t="s">
        <v>102</v>
      </c>
      <c r="N443" s="2">
        <f>Table1[[#This Row],[Capacity (MW)]]*8760*0.72*10^-6</f>
        <v>2.5228799999999999E-2</v>
      </c>
      <c r="O443" s="2" cm="1">
        <f t="array" ref="O443">AVERAGE(VLOOKUP(_xlfn.TEXTSPLIT(Table1[[#This Row],[Fuel (no space after comma)]], ","), FuelList_Final_EF!$A$2:$B$32, 2, FALSE))</f>
        <v>100.47443331576173</v>
      </c>
      <c r="P443" s="2">
        <f>(16112*Table1[[#This Row],[Generation (TWh)]]*10^9)/10^6</f>
        <v>406486.42559999996</v>
      </c>
      <c r="Q443" s="2">
        <f>Table1[[#This Row],[Emission Factor (kg CO2/ mmBtu)]]*Table1[[#This Row],[Fuel Consumption (mmBtu)]]*10^3</f>
        <v>40841493262.709534</v>
      </c>
      <c r="R443" s="2">
        <f>(Table1[[#This Row],[CO2 Emissions (g CO2)]])/(Table1[[#This Row],[Generation (TWh)]]*10^9)</f>
        <v>1618.8440695835527</v>
      </c>
    </row>
    <row r="444" spans="1:18">
      <c r="A444" t="s">
        <v>405</v>
      </c>
      <c r="B444" t="s">
        <v>61</v>
      </c>
      <c r="C444" t="str">
        <f>SUBSTITUTE(Table1[[#This Row],[Fuel]],", ",",")</f>
        <v>bioenergy: paper mill wastes</v>
      </c>
      <c r="D444" t="s">
        <v>61</v>
      </c>
      <c r="G444">
        <v>5</v>
      </c>
      <c r="H444" t="s">
        <v>53</v>
      </c>
      <c r="I444" t="s">
        <v>21</v>
      </c>
      <c r="J444" t="s">
        <v>21</v>
      </c>
      <c r="K444">
        <v>26.5609</v>
      </c>
      <c r="L444">
        <v>117.9845</v>
      </c>
      <c r="M444" t="s">
        <v>102</v>
      </c>
      <c r="N444" s="2">
        <f>Table1[[#This Row],[Capacity (MW)]]*8760*0.72*10^-6</f>
        <v>3.1536000000000002E-2</v>
      </c>
      <c r="O444" s="2" cm="1">
        <f t="array" ref="O444">AVERAGE(VLOOKUP(_xlfn.TEXTSPLIT(Table1[[#This Row],[Fuel (no space after comma)]], ","), FuelList_Final_EF!$A$2:$B$32, 2, FALSE))</f>
        <v>100.47443331576173</v>
      </c>
      <c r="P444" s="2">
        <f>(16112*Table1[[#This Row],[Generation (TWh)]]*10^9)/10^6</f>
        <v>508108.03200000006</v>
      </c>
      <c r="Q444" s="2">
        <f>Table1[[#This Row],[Emission Factor (kg CO2/ mmBtu)]]*Table1[[#This Row],[Fuel Consumption (mmBtu)]]*10^3</f>
        <v>51051866578.386932</v>
      </c>
      <c r="R444" s="2">
        <f>(Table1[[#This Row],[CO2 Emissions (g CO2)]])/(Table1[[#This Row],[Generation (TWh)]]*10^9)</f>
        <v>1618.8440695835532</v>
      </c>
    </row>
    <row r="445" spans="1:18">
      <c r="A445" t="s">
        <v>54</v>
      </c>
      <c r="B445" t="s">
        <v>61</v>
      </c>
      <c r="C445" t="str">
        <f>SUBSTITUTE(Table1[[#This Row],[Fuel]],", ",",")</f>
        <v>bioenergy: paper mill wastes</v>
      </c>
      <c r="D445" t="s">
        <v>61</v>
      </c>
      <c r="G445">
        <v>37</v>
      </c>
      <c r="H445" t="s">
        <v>53</v>
      </c>
      <c r="I445" t="s">
        <v>21</v>
      </c>
      <c r="J445" t="s">
        <v>21</v>
      </c>
      <c r="K445">
        <v>26.5609</v>
      </c>
      <c r="L445">
        <v>117.9845</v>
      </c>
      <c r="M445" t="s">
        <v>102</v>
      </c>
      <c r="N445" s="2">
        <f>Table1[[#This Row],[Capacity (MW)]]*8760*0.72*10^-6</f>
        <v>0.23336639999999997</v>
      </c>
      <c r="O445" s="2" cm="1">
        <f t="array" ref="O445">AVERAGE(VLOOKUP(_xlfn.TEXTSPLIT(Table1[[#This Row],[Fuel (no space after comma)]], ","), FuelList_Final_EF!$A$2:$B$32, 2, FALSE))</f>
        <v>100.47443331576173</v>
      </c>
      <c r="P445" s="2">
        <f>(16112*Table1[[#This Row],[Generation (TWh)]]*10^9)/10^6</f>
        <v>3759999.4367999998</v>
      </c>
      <c r="Q445" s="2">
        <f>Table1[[#This Row],[Emission Factor (kg CO2/ mmBtu)]]*Table1[[#This Row],[Fuel Consumption (mmBtu)]]*10^3</f>
        <v>377783812680.06323</v>
      </c>
      <c r="R445" s="2">
        <f>(Table1[[#This Row],[CO2 Emissions (g CO2)]])/(Table1[[#This Row],[Generation (TWh)]]*10^9)</f>
        <v>1618.8440695835532</v>
      </c>
    </row>
    <row r="446" spans="1:18">
      <c r="A446" t="s">
        <v>406</v>
      </c>
      <c r="B446" t="s">
        <v>61</v>
      </c>
      <c r="C446" t="str">
        <f>SUBSTITUTE(Table1[[#This Row],[Fuel]],", ",",")</f>
        <v>bioenergy: paper mill wastes</v>
      </c>
      <c r="D446" t="s">
        <v>61</v>
      </c>
      <c r="G446">
        <v>4</v>
      </c>
      <c r="H446" t="s">
        <v>53</v>
      </c>
      <c r="I446" t="s">
        <v>21</v>
      </c>
      <c r="J446" t="s">
        <v>21</v>
      </c>
      <c r="K446">
        <v>26.5609</v>
      </c>
      <c r="L446">
        <v>117.9845</v>
      </c>
      <c r="M446" t="s">
        <v>102</v>
      </c>
      <c r="N446" s="2">
        <f>Table1[[#This Row],[Capacity (MW)]]*8760*0.72*10^-6</f>
        <v>2.5228799999999999E-2</v>
      </c>
      <c r="O446" s="2" cm="1">
        <f t="array" ref="O446">AVERAGE(VLOOKUP(_xlfn.TEXTSPLIT(Table1[[#This Row],[Fuel (no space after comma)]], ","), FuelList_Final_EF!$A$2:$B$32, 2, FALSE))</f>
        <v>100.47443331576173</v>
      </c>
      <c r="P446" s="2">
        <f>(16112*Table1[[#This Row],[Generation (TWh)]]*10^9)/10^6</f>
        <v>406486.42559999996</v>
      </c>
      <c r="Q446" s="2">
        <f>Table1[[#This Row],[Emission Factor (kg CO2/ mmBtu)]]*Table1[[#This Row],[Fuel Consumption (mmBtu)]]*10^3</f>
        <v>40841493262.709534</v>
      </c>
      <c r="R446" s="2">
        <f>(Table1[[#This Row],[CO2 Emissions (g CO2)]])/(Table1[[#This Row],[Generation (TWh)]]*10^9)</f>
        <v>1618.8440695835527</v>
      </c>
    </row>
    <row r="447" spans="1:18" hidden="1">
      <c r="A447" t="s">
        <v>21</v>
      </c>
      <c r="B447" t="s">
        <v>19</v>
      </c>
      <c r="C447" t="str">
        <f>SUBSTITUTE(Table1[[#This Row],[Fuel]],", ",",")</f>
        <v>bioenergy: refuse (municipal and industrial wastes)</v>
      </c>
      <c r="D447" t="s">
        <v>19</v>
      </c>
      <c r="G447">
        <v>50</v>
      </c>
      <c r="H447" t="s">
        <v>27</v>
      </c>
      <c r="I447">
        <v>2023</v>
      </c>
      <c r="J447" t="s">
        <v>21</v>
      </c>
      <c r="K447">
        <v>24.724117</v>
      </c>
      <c r="L447">
        <v>118.276747</v>
      </c>
      <c r="M447" t="s">
        <v>102</v>
      </c>
      <c r="N447" s="2">
        <f>Table1[[#This Row],[Capacity (MW)]]*8760*0.72*10^-6</f>
        <v>0.31535999999999997</v>
      </c>
      <c r="O447" s="2" cm="1">
        <f t="array" ref="O447">AVERAGE(VLOOKUP(_xlfn.TEXTSPLIT(Table1[[#This Row],[Fuel (no space after comma)]], ","), FuelList_Final_EF!$A$2:$B$32, 2, FALSE))</f>
        <v>105.42962572482868</v>
      </c>
      <c r="P447" s="2">
        <f>(16112*Table1[[#This Row],[Generation (TWh)]]*10^9)/10^6</f>
        <v>5081080.32</v>
      </c>
      <c r="Q447" s="2">
        <f>Table1[[#This Row],[Emission Factor (kg CO2/ mmBtu)]]*Table1[[#This Row],[Fuel Consumption (mmBtu)]]*10^3</f>
        <v>535696396415.39276</v>
      </c>
      <c r="R447" s="2">
        <f>(Table1[[#This Row],[CO2 Emissions (g CO2)]])/(Table1[[#This Row],[Generation (TWh)]]*10^9)</f>
        <v>1698.6821296784397</v>
      </c>
    </row>
    <row r="448" spans="1:18" hidden="1">
      <c r="A448" t="s">
        <v>54</v>
      </c>
      <c r="B448" t="s">
        <v>25</v>
      </c>
      <c r="C448" t="str">
        <f>SUBSTITUTE(Table1[[#This Row],[Fuel]],", ",",")</f>
        <v>bioenergy: wood &amp; other biomass (solids)</v>
      </c>
      <c r="D448" t="s">
        <v>25</v>
      </c>
      <c r="G448">
        <v>5.6000000000000014</v>
      </c>
      <c r="H448" t="s">
        <v>27</v>
      </c>
      <c r="I448">
        <v>2022</v>
      </c>
      <c r="J448" t="s">
        <v>21</v>
      </c>
      <c r="K448">
        <v>37.080199999999998</v>
      </c>
      <c r="L448">
        <v>140.84180000000001</v>
      </c>
      <c r="M448" t="s">
        <v>51</v>
      </c>
      <c r="N448" s="2">
        <f>Table1[[#This Row],[Capacity (MW)]]*8760*0.72*10^-6</f>
        <v>3.5320320000000002E-2</v>
      </c>
      <c r="O448" s="2" cm="1">
        <f t="array" ref="O448">AVERAGE(VLOOKUP(_xlfn.TEXTSPLIT(Table1[[#This Row],[Fuel (no space after comma)]], ","), FuelList_Final_EF!$A$2:$B$32, 2, FALSE))</f>
        <v>93.8</v>
      </c>
      <c r="P448" s="2">
        <f>(16112*Table1[[#This Row],[Generation (TWh)]]*10^9)/10^6</f>
        <v>569080.99583999999</v>
      </c>
      <c r="Q448" s="2">
        <f>Table1[[#This Row],[Emission Factor (kg CO2/ mmBtu)]]*Table1[[#This Row],[Fuel Consumption (mmBtu)]]*10^3</f>
        <v>53379797409.792</v>
      </c>
      <c r="R448" s="2">
        <f>(Table1[[#This Row],[CO2 Emissions (g CO2)]])/(Table1[[#This Row],[Generation (TWh)]]*10^9)</f>
        <v>1511.3055999999999</v>
      </c>
    </row>
    <row r="449" spans="1:18" hidden="1">
      <c r="A449" t="s">
        <v>55</v>
      </c>
      <c r="B449" t="s">
        <v>25</v>
      </c>
      <c r="C449" t="str">
        <f>SUBSTITUTE(Table1[[#This Row],[Fuel]],", ",",")</f>
        <v>bioenergy: wood &amp; other biomass (solids)</v>
      </c>
      <c r="D449" t="s">
        <v>25</v>
      </c>
      <c r="G449">
        <v>56</v>
      </c>
      <c r="H449" t="s">
        <v>27</v>
      </c>
      <c r="I449">
        <v>2022</v>
      </c>
      <c r="J449" t="s">
        <v>21</v>
      </c>
      <c r="K449">
        <v>37.080199999999998</v>
      </c>
      <c r="L449">
        <v>140.84180000000001</v>
      </c>
      <c r="M449" t="s">
        <v>51</v>
      </c>
      <c r="N449" s="2">
        <f>Table1[[#This Row],[Capacity (MW)]]*8760*0.72*10^-6</f>
        <v>0.35320319999999999</v>
      </c>
      <c r="O449" s="2" cm="1">
        <f t="array" ref="O449">AVERAGE(VLOOKUP(_xlfn.TEXTSPLIT(Table1[[#This Row],[Fuel (no space after comma)]], ","), FuelList_Final_EF!$A$2:$B$32, 2, FALSE))</f>
        <v>93.8</v>
      </c>
      <c r="P449" s="2">
        <f>(16112*Table1[[#This Row],[Generation (TWh)]]*10^9)/10^6</f>
        <v>5690809.9583999999</v>
      </c>
      <c r="Q449" s="2">
        <f>Table1[[#This Row],[Emission Factor (kg CO2/ mmBtu)]]*Table1[[#This Row],[Fuel Consumption (mmBtu)]]*10^3</f>
        <v>533797974097.91998</v>
      </c>
      <c r="R449" s="2">
        <f>(Table1[[#This Row],[CO2 Emissions (g CO2)]])/(Table1[[#This Row],[Generation (TWh)]]*10^9)</f>
        <v>1511.3055999999999</v>
      </c>
    </row>
    <row r="450" spans="1:18" hidden="1">
      <c r="A450" t="s">
        <v>407</v>
      </c>
      <c r="B450" t="s">
        <v>25</v>
      </c>
      <c r="C450" t="str">
        <f>SUBSTITUTE(Table1[[#This Row],[Fuel]],", ",",")</f>
        <v>bioenergy: wood &amp; other biomass (solids)</v>
      </c>
      <c r="D450" t="s">
        <v>25</v>
      </c>
      <c r="G450">
        <v>50.4</v>
      </c>
      <c r="H450" t="s">
        <v>27</v>
      </c>
      <c r="I450">
        <v>2022</v>
      </c>
      <c r="J450" t="s">
        <v>21</v>
      </c>
      <c r="K450">
        <v>37.080199999999998</v>
      </c>
      <c r="L450">
        <v>140.84180000000001</v>
      </c>
      <c r="M450" t="s">
        <v>51</v>
      </c>
      <c r="N450" s="2">
        <f>Table1[[#This Row],[Capacity (MW)]]*8760*0.72*10^-6</f>
        <v>0.31788287999999998</v>
      </c>
      <c r="O450" s="2" cm="1">
        <f t="array" ref="O450">AVERAGE(VLOOKUP(_xlfn.TEXTSPLIT(Table1[[#This Row],[Fuel (no space after comma)]], ","), FuelList_Final_EF!$A$2:$B$32, 2, FALSE))</f>
        <v>93.8</v>
      </c>
      <c r="P450" s="2">
        <f>(16112*Table1[[#This Row],[Generation (TWh)]]*10^9)/10^6</f>
        <v>5121728.9625599999</v>
      </c>
      <c r="Q450" s="2">
        <f>Table1[[#This Row],[Emission Factor (kg CO2/ mmBtu)]]*Table1[[#This Row],[Fuel Consumption (mmBtu)]]*10^3</f>
        <v>480418176688.12799</v>
      </c>
      <c r="R450" s="2">
        <f>(Table1[[#This Row],[CO2 Emissions (g CO2)]])/(Table1[[#This Row],[Generation (TWh)]]*10^9)</f>
        <v>1511.3055999999999</v>
      </c>
    </row>
    <row r="451" spans="1:18" hidden="1">
      <c r="A451" t="s">
        <v>408</v>
      </c>
      <c r="B451" t="s">
        <v>409</v>
      </c>
      <c r="C451" t="str">
        <f>SUBSTITUTE(Table1[[#This Row],[Fuel]],", ",",")</f>
        <v>bioenergy: wood &amp; other biomass (solids),bioenergy: wood &amp; other biomass (solids)</v>
      </c>
      <c r="D451" t="s">
        <v>25</v>
      </c>
      <c r="E451" t="s">
        <v>25</v>
      </c>
      <c r="G451">
        <v>53</v>
      </c>
      <c r="H451" t="s">
        <v>53</v>
      </c>
      <c r="I451">
        <v>2025</v>
      </c>
      <c r="J451" t="s">
        <v>21</v>
      </c>
      <c r="K451">
        <v>34.441000000000003</v>
      </c>
      <c r="L451">
        <v>133.42949999999999</v>
      </c>
      <c r="M451" t="s">
        <v>51</v>
      </c>
      <c r="N451" s="2">
        <f>Table1[[#This Row],[Capacity (MW)]]*8760*0.72*10^-6</f>
        <v>0.33428159999999996</v>
      </c>
      <c r="O451" s="2" cm="1">
        <f t="array" ref="O451">AVERAGE(VLOOKUP(_xlfn.TEXTSPLIT(Table1[[#This Row],[Fuel (no space after comma)]], ","), FuelList_Final_EF!$A$2:$B$32, 2, FALSE))</f>
        <v>93.8</v>
      </c>
      <c r="P451" s="2">
        <f>(16112*Table1[[#This Row],[Generation (TWh)]]*10^9)/10^6</f>
        <v>5385945.1391999992</v>
      </c>
      <c r="Q451" s="2">
        <f>Table1[[#This Row],[Emission Factor (kg CO2/ mmBtu)]]*Table1[[#This Row],[Fuel Consumption (mmBtu)]]*10^3</f>
        <v>505201654056.9599</v>
      </c>
      <c r="R451" s="2">
        <f>(Table1[[#This Row],[CO2 Emissions (g CO2)]])/(Table1[[#This Row],[Generation (TWh)]]*10^9)</f>
        <v>1511.3055999999999</v>
      </c>
    </row>
    <row r="452" spans="1:18" hidden="1">
      <c r="A452" t="s">
        <v>410</v>
      </c>
      <c r="B452" t="s">
        <v>46</v>
      </c>
      <c r="C452" t="str">
        <f>SUBSTITUTE(Table1[[#This Row],[Fuel]],", ",",")</f>
        <v>bioenergy: agricultural waste (solids)</v>
      </c>
      <c r="D452" t="s">
        <v>46</v>
      </c>
      <c r="G452">
        <v>30</v>
      </c>
      <c r="H452" t="s">
        <v>27</v>
      </c>
      <c r="I452">
        <v>2014</v>
      </c>
      <c r="J452" t="s">
        <v>21</v>
      </c>
      <c r="K452">
        <v>-22.9236</v>
      </c>
      <c r="L452">
        <v>-48.929299999999998</v>
      </c>
      <c r="M452" t="s">
        <v>49</v>
      </c>
      <c r="N452" s="2">
        <f>Table1[[#This Row],[Capacity (MW)]]*8760*0.72*10^-6</f>
        <v>0.189216</v>
      </c>
      <c r="O452" s="2" cm="1">
        <f t="array" ref="O452">AVERAGE(VLOOKUP(_xlfn.TEXTSPLIT(Table1[[#This Row],[Fuel (no space after comma)]], ","), FuelList_Final_EF!$A$2:$B$32, 2, FALSE))</f>
        <v>118.17</v>
      </c>
      <c r="P452" s="2">
        <f>(16112*Table1[[#This Row],[Generation (TWh)]]*10^9)/10^6</f>
        <v>3048648.1919999998</v>
      </c>
      <c r="Q452" s="2">
        <f>Table1[[#This Row],[Emission Factor (kg CO2/ mmBtu)]]*Table1[[#This Row],[Fuel Consumption (mmBtu)]]*10^3</f>
        <v>360258756848.63995</v>
      </c>
      <c r="R452" s="2">
        <f>(Table1[[#This Row],[CO2 Emissions (g CO2)]])/(Table1[[#This Row],[Generation (TWh)]]*10^9)</f>
        <v>1903.9550399999998</v>
      </c>
    </row>
    <row r="453" spans="1:18" hidden="1">
      <c r="A453" t="s">
        <v>411</v>
      </c>
      <c r="B453" t="s">
        <v>25</v>
      </c>
      <c r="C453" t="str">
        <f>SUBSTITUTE(Table1[[#This Row],[Fuel]],", ",",")</f>
        <v>bioenergy: wood &amp; other biomass (solids)</v>
      </c>
      <c r="D453" t="s">
        <v>25</v>
      </c>
      <c r="G453">
        <v>51</v>
      </c>
      <c r="H453" t="s">
        <v>27</v>
      </c>
      <c r="I453">
        <v>2022</v>
      </c>
      <c r="J453" t="s">
        <v>21</v>
      </c>
      <c r="K453">
        <v>36.8008703</v>
      </c>
      <c r="L453">
        <v>137.0650023</v>
      </c>
      <c r="M453" t="s">
        <v>51</v>
      </c>
      <c r="N453" s="2">
        <f>Table1[[#This Row],[Capacity (MW)]]*8760*0.72*10^-6</f>
        <v>0.32166719999999999</v>
      </c>
      <c r="O453" s="2" cm="1">
        <f t="array" ref="O453">AVERAGE(VLOOKUP(_xlfn.TEXTSPLIT(Table1[[#This Row],[Fuel (no space after comma)]], ","), FuelList_Final_EF!$A$2:$B$32, 2, FALSE))</f>
        <v>93.8</v>
      </c>
      <c r="P453" s="2">
        <f>(16112*Table1[[#This Row],[Generation (TWh)]]*10^9)/10^6</f>
        <v>5182701.9264000002</v>
      </c>
      <c r="Q453" s="2">
        <f>Table1[[#This Row],[Emission Factor (kg CO2/ mmBtu)]]*Table1[[#This Row],[Fuel Consumption (mmBtu)]]*10^3</f>
        <v>486137440696.32001</v>
      </c>
      <c r="R453" s="2">
        <f>(Table1[[#This Row],[CO2 Emissions (g CO2)]])/(Table1[[#This Row],[Generation (TWh)]]*10^9)</f>
        <v>1511.3055999999999</v>
      </c>
    </row>
    <row r="454" spans="1:18" hidden="1">
      <c r="A454" t="s">
        <v>412</v>
      </c>
      <c r="B454" t="s">
        <v>46</v>
      </c>
      <c r="C454" t="str">
        <f>SUBSTITUTE(Table1[[#This Row],[Fuel]],", ",",")</f>
        <v>bioenergy: agricultural waste (solids)</v>
      </c>
      <c r="D454" t="s">
        <v>46</v>
      </c>
      <c r="G454">
        <v>35</v>
      </c>
      <c r="H454" t="s">
        <v>27</v>
      </c>
      <c r="I454">
        <v>2009</v>
      </c>
      <c r="J454" t="s">
        <v>21</v>
      </c>
      <c r="K454">
        <v>55.429411999999999</v>
      </c>
      <c r="L454">
        <v>10.410212</v>
      </c>
      <c r="M454" t="s">
        <v>83</v>
      </c>
      <c r="N454" s="2">
        <f>Table1[[#This Row],[Capacity (MW)]]*8760*0.72*10^-6</f>
        <v>0.220752</v>
      </c>
      <c r="O454" s="2" cm="1">
        <f t="array" ref="O454">AVERAGE(VLOOKUP(_xlfn.TEXTSPLIT(Table1[[#This Row],[Fuel (no space after comma)]], ","), FuelList_Final_EF!$A$2:$B$32, 2, FALSE))</f>
        <v>118.17</v>
      </c>
      <c r="P454" s="2">
        <f>(16112*Table1[[#This Row],[Generation (TWh)]]*10^9)/10^6</f>
        <v>3556756.2239999999</v>
      </c>
      <c r="Q454" s="2">
        <f>Table1[[#This Row],[Emission Factor (kg CO2/ mmBtu)]]*Table1[[#This Row],[Fuel Consumption (mmBtu)]]*10^3</f>
        <v>420301882990.08002</v>
      </c>
      <c r="R454" s="2">
        <f>(Table1[[#This Row],[CO2 Emissions (g CO2)]])/(Table1[[#This Row],[Generation (TWh)]]*10^9)</f>
        <v>1903.9550400000001</v>
      </c>
    </row>
    <row r="455" spans="1:18">
      <c r="A455" t="s">
        <v>412</v>
      </c>
      <c r="B455" t="s">
        <v>43</v>
      </c>
      <c r="C455" t="str">
        <f>SUBSTITUTE(Table1[[#This Row],[Fuel]],", ",",")</f>
        <v>bioenergy: agricultural waste (biogas)</v>
      </c>
      <c r="D455" t="s">
        <v>43</v>
      </c>
      <c r="G455">
        <v>362</v>
      </c>
      <c r="H455" t="s">
        <v>97</v>
      </c>
      <c r="I455">
        <v>2030</v>
      </c>
      <c r="J455" t="s">
        <v>21</v>
      </c>
      <c r="K455">
        <v>55.429411999999999</v>
      </c>
      <c r="L455">
        <v>10.410212</v>
      </c>
      <c r="M455" t="s">
        <v>83</v>
      </c>
      <c r="N455" s="2">
        <f>Table1[[#This Row],[Capacity (MW)]]*8760*0.72*10^-6</f>
        <v>2.2832063999999996</v>
      </c>
      <c r="O455" s="2" cm="1">
        <f t="array" ref="O455">AVERAGE(VLOOKUP(_xlfn.TEXTSPLIT(Table1[[#This Row],[Fuel (no space after comma)]], ","), FuelList_Final_EF!$A$2:$B$32, 2, FALSE))</f>
        <v>52.07</v>
      </c>
      <c r="P455" s="2">
        <f>(16112*Table1[[#This Row],[Generation (TWh)]]*10^9)/10^6</f>
        <v>36787021.516799994</v>
      </c>
      <c r="Q455" s="2">
        <f>Table1[[#This Row],[Emission Factor (kg CO2/ mmBtu)]]*Table1[[#This Row],[Fuel Consumption (mmBtu)]]*10^3</f>
        <v>1915500210379.7759</v>
      </c>
      <c r="R455" s="2">
        <f>(Table1[[#This Row],[CO2 Emissions (g CO2)]])/(Table1[[#This Row],[Generation (TWh)]]*10^9)</f>
        <v>838.95184000000017</v>
      </c>
    </row>
    <row r="456" spans="1:18" hidden="1">
      <c r="A456" t="s">
        <v>413</v>
      </c>
      <c r="B456" t="s">
        <v>19</v>
      </c>
      <c r="C456" t="str">
        <f>SUBSTITUTE(Table1[[#This Row],[Fuel]],", ",",")</f>
        <v>bioenergy: refuse (municipal and industrial wastes)</v>
      </c>
      <c r="D456" t="s">
        <v>19</v>
      </c>
      <c r="G456">
        <v>42</v>
      </c>
      <c r="H456" t="s">
        <v>27</v>
      </c>
      <c r="I456">
        <v>2022</v>
      </c>
      <c r="J456" t="s">
        <v>21</v>
      </c>
      <c r="K456">
        <v>23.9999</v>
      </c>
      <c r="L456">
        <v>90.420299999999997</v>
      </c>
      <c r="M456" t="s">
        <v>92</v>
      </c>
      <c r="N456" s="2">
        <f>Table1[[#This Row],[Capacity (MW)]]*8760*0.72*10^-6</f>
        <v>0.26490239999999993</v>
      </c>
      <c r="O456" s="2" cm="1">
        <f t="array" ref="O456">AVERAGE(VLOOKUP(_xlfn.TEXTSPLIT(Table1[[#This Row],[Fuel (no space after comma)]], ","), FuelList_Final_EF!$A$2:$B$32, 2, FALSE))</f>
        <v>105.42962572482868</v>
      </c>
      <c r="P456" s="2">
        <f>(16112*Table1[[#This Row],[Generation (TWh)]]*10^9)/10^6</f>
        <v>4268107.468799999</v>
      </c>
      <c r="Q456" s="2">
        <f>Table1[[#This Row],[Emission Factor (kg CO2/ mmBtu)]]*Table1[[#This Row],[Fuel Consumption (mmBtu)]]*10^3</f>
        <v>449984972988.92981</v>
      </c>
      <c r="R456" s="2">
        <f>(Table1[[#This Row],[CO2 Emissions (g CO2)]])/(Table1[[#This Row],[Generation (TWh)]]*10^9)</f>
        <v>1698.6821296784397</v>
      </c>
    </row>
    <row r="457" spans="1:18" hidden="1">
      <c r="A457" t="s">
        <v>227</v>
      </c>
      <c r="B457" t="s">
        <v>105</v>
      </c>
      <c r="C457" t="str">
        <f>SUBSTITUTE(Table1[[#This Row],[Fuel]],", ",",")</f>
        <v>bioenergy: agricultural waste (solids),bioenergy: wood &amp; other biomass (solids)</v>
      </c>
      <c r="D457" t="s">
        <v>46</v>
      </c>
      <c r="E457" t="s">
        <v>25</v>
      </c>
      <c r="G457">
        <v>40</v>
      </c>
      <c r="H457" t="s">
        <v>27</v>
      </c>
      <c r="I457">
        <v>2018</v>
      </c>
      <c r="J457" t="s">
        <v>21</v>
      </c>
      <c r="K457">
        <v>14.7182</v>
      </c>
      <c r="L457">
        <v>-60.947099999999999</v>
      </c>
      <c r="M457" t="s">
        <v>414</v>
      </c>
      <c r="N457" s="2">
        <f>Table1[[#This Row],[Capacity (MW)]]*8760*0.72*10^-6</f>
        <v>0.25228800000000001</v>
      </c>
      <c r="O457" s="2" cm="1">
        <f t="array" ref="O457">AVERAGE(VLOOKUP(_xlfn.TEXTSPLIT(Table1[[#This Row],[Fuel (no space after comma)]], ","), FuelList_Final_EF!$A$2:$B$32, 2, FALSE))</f>
        <v>105.985</v>
      </c>
      <c r="P457" s="2">
        <f>(16112*Table1[[#This Row],[Generation (TWh)]]*10^9)/10^6</f>
        <v>4064864.2560000005</v>
      </c>
      <c r="Q457" s="2">
        <f>Table1[[#This Row],[Emission Factor (kg CO2/ mmBtu)]]*Table1[[#This Row],[Fuel Consumption (mmBtu)]]*10^3</f>
        <v>430814638172.16003</v>
      </c>
      <c r="R457" s="2">
        <f>(Table1[[#This Row],[CO2 Emissions (g CO2)]])/(Table1[[#This Row],[Generation (TWh)]]*10^9)</f>
        <v>1707.6303200000002</v>
      </c>
    </row>
    <row r="458" spans="1:18" hidden="1">
      <c r="A458" t="s">
        <v>415</v>
      </c>
      <c r="B458" t="s">
        <v>19</v>
      </c>
      <c r="C458" t="str">
        <f>SUBSTITUTE(Table1[[#This Row],[Fuel]],", ",",")</f>
        <v>bioenergy: refuse (municipal and industrial wastes)</v>
      </c>
      <c r="D458" t="s">
        <v>19</v>
      </c>
      <c r="G458">
        <v>38</v>
      </c>
      <c r="H458" t="s">
        <v>27</v>
      </c>
      <c r="I458">
        <v>2001</v>
      </c>
      <c r="J458" t="s">
        <v>21</v>
      </c>
      <c r="K458">
        <v>22.811</v>
      </c>
      <c r="L458">
        <v>120.2694</v>
      </c>
      <c r="M458" t="s">
        <v>171</v>
      </c>
      <c r="N458" s="2">
        <f>Table1[[#This Row],[Capacity (MW)]]*8760*0.72*10^-6</f>
        <v>0.23967359999999996</v>
      </c>
      <c r="O458" s="2" cm="1">
        <f t="array" ref="O458">AVERAGE(VLOOKUP(_xlfn.TEXTSPLIT(Table1[[#This Row],[Fuel (no space after comma)]], ","), FuelList_Final_EF!$A$2:$B$32, 2, FALSE))</f>
        <v>105.42962572482868</v>
      </c>
      <c r="P458" s="2">
        <f>(16112*Table1[[#This Row],[Generation (TWh)]]*10^9)/10^6</f>
        <v>3861621.0431999997</v>
      </c>
      <c r="Q458" s="2">
        <f>Table1[[#This Row],[Emission Factor (kg CO2/ mmBtu)]]*Table1[[#This Row],[Fuel Consumption (mmBtu)]]*10^3</f>
        <v>407129261275.69849</v>
      </c>
      <c r="R458" s="2">
        <f>(Table1[[#This Row],[CO2 Emissions (g CO2)]])/(Table1[[#This Row],[Generation (TWh)]]*10^9)</f>
        <v>1698.6821296784399</v>
      </c>
    </row>
    <row r="459" spans="1:18" hidden="1">
      <c r="A459" t="s">
        <v>416</v>
      </c>
      <c r="B459" t="s">
        <v>19</v>
      </c>
      <c r="C459" t="str">
        <f>SUBSTITUTE(Table1[[#This Row],[Fuel]],", ",",")</f>
        <v>bioenergy: refuse (municipal and industrial wastes)</v>
      </c>
      <c r="D459" t="s">
        <v>19</v>
      </c>
      <c r="G459">
        <v>36</v>
      </c>
      <c r="H459" t="s">
        <v>53</v>
      </c>
      <c r="I459">
        <v>2024</v>
      </c>
      <c r="J459" t="s">
        <v>21</v>
      </c>
      <c r="K459">
        <v>36.148400000000002</v>
      </c>
      <c r="L459">
        <v>103.7933</v>
      </c>
      <c r="M459" t="s">
        <v>102</v>
      </c>
      <c r="N459" s="2">
        <f>Table1[[#This Row],[Capacity (MW)]]*8760*0.72*10^-6</f>
        <v>0.22705919999999996</v>
      </c>
      <c r="O459" s="2" cm="1">
        <f t="array" ref="O459">AVERAGE(VLOOKUP(_xlfn.TEXTSPLIT(Table1[[#This Row],[Fuel (no space after comma)]], ","), FuelList_Final_EF!$A$2:$B$32, 2, FALSE))</f>
        <v>105.42962572482868</v>
      </c>
      <c r="P459" s="2">
        <f>(16112*Table1[[#This Row],[Generation (TWh)]]*10^9)/10^6</f>
        <v>3658377.8303999994</v>
      </c>
      <c r="Q459" s="2">
        <f>Table1[[#This Row],[Emission Factor (kg CO2/ mmBtu)]]*Table1[[#This Row],[Fuel Consumption (mmBtu)]]*10^3</f>
        <v>385701405419.0827</v>
      </c>
      <c r="R459" s="2">
        <f>(Table1[[#This Row],[CO2 Emissions (g CO2)]])/(Table1[[#This Row],[Generation (TWh)]]*10^9)</f>
        <v>1698.6821296784397</v>
      </c>
    </row>
    <row r="460" spans="1:18">
      <c r="A460" t="s">
        <v>417</v>
      </c>
      <c r="B460" t="s">
        <v>75</v>
      </c>
      <c r="C460" t="str">
        <f>SUBSTITUTE(Table1[[#This Row],[Fuel]],", ",",")</f>
        <v>bioenergy: agricultural waste (unknown)</v>
      </c>
      <c r="D460" t="s">
        <v>75</v>
      </c>
      <c r="G460">
        <v>30</v>
      </c>
      <c r="H460" t="s">
        <v>53</v>
      </c>
      <c r="I460" t="s">
        <v>21</v>
      </c>
      <c r="J460" t="s">
        <v>21</v>
      </c>
      <c r="K460">
        <v>37.570300000000003</v>
      </c>
      <c r="L460">
        <v>102.8991</v>
      </c>
      <c r="M460" t="s">
        <v>102</v>
      </c>
      <c r="N460" s="2">
        <f>Table1[[#This Row],[Capacity (MW)]]*8760*0.72*10^-6</f>
        <v>0.189216</v>
      </c>
      <c r="O460" s="2" cm="1">
        <f t="array" ref="O460">AVERAGE(VLOOKUP(_xlfn.TEXTSPLIT(Table1[[#This Row],[Fuel (no space after comma)]], ","), FuelList_Final_EF!$A$2:$B$32, 2, FALSE))</f>
        <v>72.350251273941311</v>
      </c>
      <c r="P460" s="2">
        <f>(16112*Table1[[#This Row],[Generation (TWh)]]*10^9)/10^6</f>
        <v>3048648.1919999998</v>
      </c>
      <c r="Q460" s="2">
        <f>Table1[[#This Row],[Emission Factor (kg CO2/ mmBtu)]]*Table1[[#This Row],[Fuel Consumption (mmBtu)]]*10^3</f>
        <v>220570462737.04688</v>
      </c>
      <c r="R460" s="2">
        <f>(Table1[[#This Row],[CO2 Emissions (g CO2)]])/(Table1[[#This Row],[Generation (TWh)]]*10^9)</f>
        <v>1165.7072485257424</v>
      </c>
    </row>
    <row r="461" spans="1:18" hidden="1">
      <c r="A461" t="s">
        <v>120</v>
      </c>
      <c r="B461" t="s">
        <v>25</v>
      </c>
      <c r="C461" t="str">
        <f>SUBSTITUTE(Table1[[#This Row],[Fuel]],", ",",")</f>
        <v>bioenergy: wood &amp; other biomass (solids)</v>
      </c>
      <c r="D461" t="s">
        <v>25</v>
      </c>
      <c r="G461">
        <v>30</v>
      </c>
      <c r="H461" t="s">
        <v>27</v>
      </c>
      <c r="I461">
        <v>2014</v>
      </c>
      <c r="J461" t="s">
        <v>21</v>
      </c>
      <c r="K461">
        <v>34.544800000000002</v>
      </c>
      <c r="L461">
        <v>106.00279999999999</v>
      </c>
      <c r="M461" t="s">
        <v>102</v>
      </c>
      <c r="N461" s="2">
        <f>Table1[[#This Row],[Capacity (MW)]]*8760*0.72*10^-6</f>
        <v>0.189216</v>
      </c>
      <c r="O461" s="2" cm="1">
        <f t="array" ref="O461">AVERAGE(VLOOKUP(_xlfn.TEXTSPLIT(Table1[[#This Row],[Fuel (no space after comma)]], ","), FuelList_Final_EF!$A$2:$B$32, 2, FALSE))</f>
        <v>93.8</v>
      </c>
      <c r="P461" s="2">
        <f>(16112*Table1[[#This Row],[Generation (TWh)]]*10^9)/10^6</f>
        <v>3048648.1919999998</v>
      </c>
      <c r="Q461" s="2">
        <f>Table1[[#This Row],[Emission Factor (kg CO2/ mmBtu)]]*Table1[[#This Row],[Fuel Consumption (mmBtu)]]*10^3</f>
        <v>285963200409.59998</v>
      </c>
      <c r="R461" s="2">
        <f>(Table1[[#This Row],[CO2 Emissions (g CO2)]])/(Table1[[#This Row],[Generation (TWh)]]*10^9)</f>
        <v>1511.3055999999999</v>
      </c>
    </row>
    <row r="462" spans="1:18">
      <c r="A462" t="s">
        <v>418</v>
      </c>
      <c r="B462" t="s">
        <v>46</v>
      </c>
      <c r="C462" t="str">
        <f>SUBSTITUTE(Table1[[#This Row],[Fuel]],", ",",")</f>
        <v>bioenergy: agricultural waste (solids)</v>
      </c>
      <c r="D462" t="s">
        <v>46</v>
      </c>
      <c r="G462">
        <v>15.3</v>
      </c>
      <c r="H462" t="s">
        <v>97</v>
      </c>
      <c r="I462" t="s">
        <v>21</v>
      </c>
      <c r="J462" t="s">
        <v>21</v>
      </c>
      <c r="K462">
        <v>38.958799999999997</v>
      </c>
      <c r="L462">
        <v>100.4979</v>
      </c>
      <c r="M462" t="s">
        <v>102</v>
      </c>
      <c r="N462" s="2">
        <f>Table1[[#This Row],[Capacity (MW)]]*8760*0.72*10^-6</f>
        <v>9.6500160000000001E-2</v>
      </c>
      <c r="O462" s="2" cm="1">
        <f t="array" ref="O462">AVERAGE(VLOOKUP(_xlfn.TEXTSPLIT(Table1[[#This Row],[Fuel (no space after comma)]], ","), FuelList_Final_EF!$A$2:$B$32, 2, FALSE))</f>
        <v>118.17</v>
      </c>
      <c r="P462" s="2">
        <f>(16112*Table1[[#This Row],[Generation (TWh)]]*10^9)/10^6</f>
        <v>1554810.5779200001</v>
      </c>
      <c r="Q462" s="2">
        <f>Table1[[#This Row],[Emission Factor (kg CO2/ mmBtu)]]*Table1[[#This Row],[Fuel Consumption (mmBtu)]]*10^3</f>
        <v>183731965992.8064</v>
      </c>
      <c r="R462" s="2">
        <f>(Table1[[#This Row],[CO2 Emissions (g CO2)]])/(Table1[[#This Row],[Generation (TWh)]]*10^9)</f>
        <v>1903.9550400000001</v>
      </c>
    </row>
    <row r="463" spans="1:18">
      <c r="A463" t="s">
        <v>54</v>
      </c>
      <c r="B463" t="s">
        <v>46</v>
      </c>
      <c r="C463" t="str">
        <f>SUBSTITUTE(Table1[[#This Row],[Fuel]],", ",",")</f>
        <v>bioenergy: agricultural waste (solids)</v>
      </c>
      <c r="D463" t="s">
        <v>46</v>
      </c>
      <c r="G463">
        <v>14.7</v>
      </c>
      <c r="H463" t="s">
        <v>97</v>
      </c>
      <c r="I463" t="s">
        <v>21</v>
      </c>
      <c r="J463" t="s">
        <v>21</v>
      </c>
      <c r="K463">
        <v>38.958799999999997</v>
      </c>
      <c r="L463">
        <v>100.4979</v>
      </c>
      <c r="M463" t="s">
        <v>102</v>
      </c>
      <c r="N463" s="2">
        <f>Table1[[#This Row],[Capacity (MW)]]*8760*0.72*10^-6</f>
        <v>9.2715839999999994E-2</v>
      </c>
      <c r="O463" s="2" cm="1">
        <f t="array" ref="O463">AVERAGE(VLOOKUP(_xlfn.TEXTSPLIT(Table1[[#This Row],[Fuel (no space after comma)]], ","), FuelList_Final_EF!$A$2:$B$32, 2, FALSE))</f>
        <v>118.17</v>
      </c>
      <c r="P463" s="2">
        <f>(16112*Table1[[#This Row],[Generation (TWh)]]*10^9)/10^6</f>
        <v>1493837.6140799997</v>
      </c>
      <c r="Q463" s="2">
        <f>Table1[[#This Row],[Emission Factor (kg CO2/ mmBtu)]]*Table1[[#This Row],[Fuel Consumption (mmBtu)]]*10^3</f>
        <v>176526790855.83356</v>
      </c>
      <c r="R463" s="2">
        <f>(Table1[[#This Row],[CO2 Emissions (g CO2)]])/(Table1[[#This Row],[Generation (TWh)]]*10^9)</f>
        <v>1903.9550399999996</v>
      </c>
    </row>
    <row r="464" spans="1:18" hidden="1">
      <c r="A464" t="s">
        <v>419</v>
      </c>
      <c r="B464" t="s">
        <v>46</v>
      </c>
      <c r="C464" t="str">
        <f>SUBSTITUTE(Table1[[#This Row],[Fuel]],", ",",")</f>
        <v>bioenergy: agricultural waste (solids)</v>
      </c>
      <c r="D464" t="s">
        <v>46</v>
      </c>
      <c r="G464">
        <v>34</v>
      </c>
      <c r="H464" t="s">
        <v>27</v>
      </c>
      <c r="I464">
        <v>2010</v>
      </c>
      <c r="J464" t="s">
        <v>21</v>
      </c>
      <c r="K464">
        <v>-20.7699</v>
      </c>
      <c r="L464">
        <v>-51.258699999999997</v>
      </c>
      <c r="M464" t="s">
        <v>49</v>
      </c>
      <c r="N464" s="2">
        <f>Table1[[#This Row],[Capacity (MW)]]*8760*0.72*10^-6</f>
        <v>0.21444479999999999</v>
      </c>
      <c r="O464" s="2" cm="1">
        <f t="array" ref="O464">AVERAGE(VLOOKUP(_xlfn.TEXTSPLIT(Table1[[#This Row],[Fuel (no space after comma)]], ","), FuelList_Final_EF!$A$2:$B$32, 2, FALSE))</f>
        <v>118.17</v>
      </c>
      <c r="P464" s="2">
        <f>(16112*Table1[[#This Row],[Generation (TWh)]]*10^9)/10^6</f>
        <v>3455134.6175999995</v>
      </c>
      <c r="Q464" s="2">
        <f>Table1[[#This Row],[Emission Factor (kg CO2/ mmBtu)]]*Table1[[#This Row],[Fuel Consumption (mmBtu)]]*10^3</f>
        <v>408293257761.79193</v>
      </c>
      <c r="R464" s="2">
        <f>(Table1[[#This Row],[CO2 Emissions (g CO2)]])/(Table1[[#This Row],[Generation (TWh)]]*10^9)</f>
        <v>1903.9550399999996</v>
      </c>
    </row>
    <row r="465" spans="1:18" hidden="1">
      <c r="A465" t="s">
        <v>419</v>
      </c>
      <c r="B465" t="s">
        <v>46</v>
      </c>
      <c r="C465" t="str">
        <f>SUBSTITUTE(Table1[[#This Row],[Fuel]],", ",",")</f>
        <v>bioenergy: agricultural waste (solids)</v>
      </c>
      <c r="D465" t="s">
        <v>46</v>
      </c>
      <c r="G465">
        <v>44</v>
      </c>
      <c r="H465" t="s">
        <v>27</v>
      </c>
      <c r="I465">
        <v>2008</v>
      </c>
      <c r="J465" t="s">
        <v>21</v>
      </c>
      <c r="K465">
        <v>-20.7699</v>
      </c>
      <c r="L465">
        <v>-51.258699999999997</v>
      </c>
      <c r="M465" t="s">
        <v>49</v>
      </c>
      <c r="N465" s="2">
        <f>Table1[[#This Row],[Capacity (MW)]]*8760*0.72*10^-6</f>
        <v>0.27751679999999995</v>
      </c>
      <c r="O465" s="2" cm="1">
        <f t="array" ref="O465">AVERAGE(VLOOKUP(_xlfn.TEXTSPLIT(Table1[[#This Row],[Fuel (no space after comma)]], ","), FuelList_Final_EF!$A$2:$B$32, 2, FALSE))</f>
        <v>118.17</v>
      </c>
      <c r="P465" s="2">
        <f>(16112*Table1[[#This Row],[Generation (TWh)]]*10^9)/10^6</f>
        <v>4471350.6815999988</v>
      </c>
      <c r="Q465" s="2">
        <f>Table1[[#This Row],[Emission Factor (kg CO2/ mmBtu)]]*Table1[[#This Row],[Fuel Consumption (mmBtu)]]*10^3</f>
        <v>528379510044.67188</v>
      </c>
      <c r="R465" s="2">
        <f>(Table1[[#This Row],[CO2 Emissions (g CO2)]])/(Table1[[#This Row],[Generation (TWh)]]*10^9)</f>
        <v>1903.9550400000001</v>
      </c>
    </row>
    <row r="466" spans="1:18" hidden="1">
      <c r="A466" t="s">
        <v>54</v>
      </c>
      <c r="B466" t="s">
        <v>420</v>
      </c>
      <c r="C466" t="str">
        <f>SUBSTITUTE(Table1[[#This Row],[Fuel]],", ",",")</f>
        <v>bioenergy: wood &amp; other biomass (solids),other: other,fossil gas: natural gas</v>
      </c>
      <c r="D466" t="s">
        <v>25</v>
      </c>
      <c r="E466" t="s">
        <v>216</v>
      </c>
      <c r="F466" t="s">
        <v>69</v>
      </c>
      <c r="G466">
        <v>20</v>
      </c>
      <c r="H466" t="s">
        <v>27</v>
      </c>
      <c r="I466">
        <v>1995</v>
      </c>
      <c r="J466" t="s">
        <v>21</v>
      </c>
      <c r="K466">
        <v>43.085099999999997</v>
      </c>
      <c r="L466">
        <v>-83.669399999999996</v>
      </c>
      <c r="M466" t="s">
        <v>62</v>
      </c>
      <c r="N466" s="2">
        <f>Table1[[#This Row],[Capacity (MW)]]*8760*0.72*10^-6</f>
        <v>0.12614400000000001</v>
      </c>
      <c r="O466" s="2" cm="1">
        <f t="array" ref="O466">AVERAGE(VLOOKUP(_xlfn.TEXTSPLIT(Table1[[#This Row],[Fuel (no space after comma)]], ","), FuelList_Final_EF!$A$2:$B$32, 2, FALSE))</f>
        <v>77.61</v>
      </c>
      <c r="P466" s="2">
        <f>(16112*Table1[[#This Row],[Generation (TWh)]]*10^9)/10^6</f>
        <v>2032432.1280000003</v>
      </c>
      <c r="Q466" s="2">
        <f>Table1[[#This Row],[Emission Factor (kg CO2/ mmBtu)]]*Table1[[#This Row],[Fuel Consumption (mmBtu)]]*10^3</f>
        <v>157737057454.08002</v>
      </c>
      <c r="R466" s="2">
        <f>(Table1[[#This Row],[CO2 Emissions (g CO2)]])/(Table1[[#This Row],[Generation (TWh)]]*10^9)</f>
        <v>1250.4523200000001</v>
      </c>
    </row>
    <row r="467" spans="1:18" hidden="1">
      <c r="A467" t="s">
        <v>421</v>
      </c>
      <c r="B467" t="s">
        <v>420</v>
      </c>
      <c r="C467" t="str">
        <f>SUBSTITUTE(Table1[[#This Row],[Fuel]],", ",",")</f>
        <v>bioenergy: wood &amp; other biomass (solids),other: other,fossil gas: natural gas</v>
      </c>
      <c r="D467" t="s">
        <v>25</v>
      </c>
      <c r="E467" t="s">
        <v>216</v>
      </c>
      <c r="F467" t="s">
        <v>69</v>
      </c>
      <c r="G467">
        <v>20</v>
      </c>
      <c r="H467" t="s">
        <v>27</v>
      </c>
      <c r="I467">
        <v>1995</v>
      </c>
      <c r="J467" t="s">
        <v>21</v>
      </c>
      <c r="K467">
        <v>43.085099999999997</v>
      </c>
      <c r="L467">
        <v>-83.669399999999996</v>
      </c>
      <c r="M467" t="s">
        <v>62</v>
      </c>
      <c r="N467" s="2">
        <f>Table1[[#This Row],[Capacity (MW)]]*8760*0.72*10^-6</f>
        <v>0.12614400000000001</v>
      </c>
      <c r="O467" s="2" cm="1">
        <f t="array" ref="O467">AVERAGE(VLOOKUP(_xlfn.TEXTSPLIT(Table1[[#This Row],[Fuel (no space after comma)]], ","), FuelList_Final_EF!$A$2:$B$32, 2, FALSE))</f>
        <v>77.61</v>
      </c>
      <c r="P467" s="2">
        <f>(16112*Table1[[#This Row],[Generation (TWh)]]*10^9)/10^6</f>
        <v>2032432.1280000003</v>
      </c>
      <c r="Q467" s="2">
        <f>Table1[[#This Row],[Emission Factor (kg CO2/ mmBtu)]]*Table1[[#This Row],[Fuel Consumption (mmBtu)]]*10^3</f>
        <v>157737057454.08002</v>
      </c>
      <c r="R467" s="2">
        <f>(Table1[[#This Row],[CO2 Emissions (g CO2)]])/(Table1[[#This Row],[Generation (TWh)]]*10^9)</f>
        <v>1250.4523200000001</v>
      </c>
    </row>
    <row r="468" spans="1:18" hidden="1">
      <c r="A468" t="s">
        <v>225</v>
      </c>
      <c r="B468" t="s">
        <v>420</v>
      </c>
      <c r="C468" t="str">
        <f>SUBSTITUTE(Table1[[#This Row],[Fuel]],", ",",")</f>
        <v>bioenergy: wood &amp; other biomass (solids),other: other,fossil gas: natural gas</v>
      </c>
      <c r="D468" t="s">
        <v>25</v>
      </c>
      <c r="E468" t="s">
        <v>216</v>
      </c>
      <c r="F468" t="s">
        <v>69</v>
      </c>
      <c r="G468">
        <v>30</v>
      </c>
      <c r="H468" t="s">
        <v>27</v>
      </c>
      <c r="I468">
        <v>1984</v>
      </c>
      <c r="J468" t="s">
        <v>21</v>
      </c>
      <c r="K468">
        <v>33.360199999999999</v>
      </c>
      <c r="L468">
        <v>-79.302599999999998</v>
      </c>
      <c r="M468" t="s">
        <v>62</v>
      </c>
      <c r="N468" s="2">
        <f>Table1[[#This Row],[Capacity (MW)]]*8760*0.72*10^-6</f>
        <v>0.189216</v>
      </c>
      <c r="O468" s="2" cm="1">
        <f t="array" ref="O468">AVERAGE(VLOOKUP(_xlfn.TEXTSPLIT(Table1[[#This Row],[Fuel (no space after comma)]], ","), FuelList_Final_EF!$A$2:$B$32, 2, FALSE))</f>
        <v>77.61</v>
      </c>
      <c r="P468" s="2">
        <f>(16112*Table1[[#This Row],[Generation (TWh)]]*10^9)/10^6</f>
        <v>3048648.1919999998</v>
      </c>
      <c r="Q468" s="2">
        <f>Table1[[#This Row],[Emission Factor (kg CO2/ mmBtu)]]*Table1[[#This Row],[Fuel Consumption (mmBtu)]]*10^3</f>
        <v>236605586181.11996</v>
      </c>
      <c r="R468" s="2">
        <f>(Table1[[#This Row],[CO2 Emissions (g CO2)]])/(Table1[[#This Row],[Generation (TWh)]]*10^9)</f>
        <v>1250.4523199999999</v>
      </c>
    </row>
    <row r="469" spans="1:18" hidden="1">
      <c r="A469" t="s">
        <v>225</v>
      </c>
      <c r="B469" t="s">
        <v>420</v>
      </c>
      <c r="C469" t="str">
        <f>SUBSTITUTE(Table1[[#This Row],[Fuel]],", ",",")</f>
        <v>bioenergy: wood &amp; other biomass (solids),other: other,fossil gas: natural gas</v>
      </c>
      <c r="D469" t="s">
        <v>25</v>
      </c>
      <c r="E469" t="s">
        <v>216</v>
      </c>
      <c r="F469" t="s">
        <v>69</v>
      </c>
      <c r="G469">
        <v>41</v>
      </c>
      <c r="H469" t="s">
        <v>27</v>
      </c>
      <c r="I469">
        <v>1984</v>
      </c>
      <c r="J469" t="s">
        <v>21</v>
      </c>
      <c r="K469">
        <v>33.360199999999999</v>
      </c>
      <c r="L469">
        <v>-79.302599999999998</v>
      </c>
      <c r="M469" t="s">
        <v>62</v>
      </c>
      <c r="N469" s="2">
        <f>Table1[[#This Row],[Capacity (MW)]]*8760*0.72*10^-6</f>
        <v>0.25859519999999997</v>
      </c>
      <c r="O469" s="2" cm="1">
        <f t="array" ref="O469">AVERAGE(VLOOKUP(_xlfn.TEXTSPLIT(Table1[[#This Row],[Fuel (no space after comma)]], ","), FuelList_Final_EF!$A$2:$B$32, 2, FALSE))</f>
        <v>77.61</v>
      </c>
      <c r="P469" s="2">
        <f>(16112*Table1[[#This Row],[Generation (TWh)]]*10^9)/10^6</f>
        <v>4166485.8624</v>
      </c>
      <c r="Q469" s="2">
        <f>Table1[[#This Row],[Emission Factor (kg CO2/ mmBtu)]]*Table1[[#This Row],[Fuel Consumption (mmBtu)]]*10^3</f>
        <v>323360967780.86401</v>
      </c>
      <c r="R469" s="2">
        <f>(Table1[[#This Row],[CO2 Emissions (g CO2)]])/(Table1[[#This Row],[Generation (TWh)]]*10^9)</f>
        <v>1250.4523200000001</v>
      </c>
    </row>
    <row r="470" spans="1:18" hidden="1">
      <c r="A470" t="s">
        <v>422</v>
      </c>
      <c r="B470" t="s">
        <v>46</v>
      </c>
      <c r="C470" t="str">
        <f>SUBSTITUTE(Table1[[#This Row],[Fuel]],", ",",")</f>
        <v>bioenergy: agricultural waste (solids)</v>
      </c>
      <c r="D470" t="s">
        <v>46</v>
      </c>
      <c r="G470">
        <v>30</v>
      </c>
      <c r="H470" t="s">
        <v>27</v>
      </c>
      <c r="I470">
        <v>2003</v>
      </c>
      <c r="J470" t="s">
        <v>21</v>
      </c>
      <c r="K470">
        <v>-7.3532999999999999</v>
      </c>
      <c r="L470">
        <v>-35.029699999999998</v>
      </c>
      <c r="M470" t="s">
        <v>49</v>
      </c>
      <c r="N470" s="2">
        <f>Table1[[#This Row],[Capacity (MW)]]*8760*0.72*10^-6</f>
        <v>0.189216</v>
      </c>
      <c r="O470" s="2" cm="1">
        <f t="array" ref="O470">AVERAGE(VLOOKUP(_xlfn.TEXTSPLIT(Table1[[#This Row],[Fuel (no space after comma)]], ","), FuelList_Final_EF!$A$2:$B$32, 2, FALSE))</f>
        <v>118.17</v>
      </c>
      <c r="P470" s="2">
        <f>(16112*Table1[[#This Row],[Generation (TWh)]]*10^9)/10^6</f>
        <v>3048648.1919999998</v>
      </c>
      <c r="Q470" s="2">
        <f>Table1[[#This Row],[Emission Factor (kg CO2/ mmBtu)]]*Table1[[#This Row],[Fuel Consumption (mmBtu)]]*10^3</f>
        <v>360258756848.63995</v>
      </c>
      <c r="R470" s="2">
        <f>(Table1[[#This Row],[CO2 Emissions (g CO2)]])/(Table1[[#This Row],[Generation (TWh)]]*10^9)</f>
        <v>1903.9550399999998</v>
      </c>
    </row>
    <row r="471" spans="1:18" hidden="1">
      <c r="A471" t="s">
        <v>423</v>
      </c>
      <c r="B471" t="s">
        <v>46</v>
      </c>
      <c r="C471" t="str">
        <f>SUBSTITUTE(Table1[[#This Row],[Fuel]],", ",",")</f>
        <v>bioenergy: agricultural waste (solids)</v>
      </c>
      <c r="D471" t="s">
        <v>46</v>
      </c>
      <c r="G471">
        <v>50</v>
      </c>
      <c r="H471" t="s">
        <v>97</v>
      </c>
      <c r="I471">
        <v>2026</v>
      </c>
      <c r="J471" t="s">
        <v>21</v>
      </c>
      <c r="K471">
        <v>12.975967519999999</v>
      </c>
      <c r="L471">
        <v>77.579067280000004</v>
      </c>
      <c r="M471" t="s">
        <v>66</v>
      </c>
      <c r="N471" s="2">
        <f>Table1[[#This Row],[Capacity (MW)]]*8760*0.72*10^-6</f>
        <v>0.31535999999999997</v>
      </c>
      <c r="O471" s="2" cm="1">
        <f t="array" ref="O471">AVERAGE(VLOOKUP(_xlfn.TEXTSPLIT(Table1[[#This Row],[Fuel (no space after comma)]], ","), FuelList_Final_EF!$A$2:$B$32, 2, FALSE))</f>
        <v>118.17</v>
      </c>
      <c r="P471" s="2">
        <f>(16112*Table1[[#This Row],[Generation (TWh)]]*10^9)/10^6</f>
        <v>5081080.32</v>
      </c>
      <c r="Q471" s="2">
        <f>Table1[[#This Row],[Emission Factor (kg CO2/ mmBtu)]]*Table1[[#This Row],[Fuel Consumption (mmBtu)]]*10^3</f>
        <v>600431261414.40015</v>
      </c>
      <c r="R471" s="2">
        <f>(Table1[[#This Row],[CO2 Emissions (g CO2)]])/(Table1[[#This Row],[Generation (TWh)]]*10^9)</f>
        <v>1903.9550400000005</v>
      </c>
    </row>
    <row r="472" spans="1:18" hidden="1">
      <c r="A472" t="s">
        <v>424</v>
      </c>
      <c r="B472" t="s">
        <v>46</v>
      </c>
      <c r="C472" t="str">
        <f>SUBSTITUTE(Table1[[#This Row],[Fuel]],", ",",")</f>
        <v>bioenergy: agricultural waste (solids)</v>
      </c>
      <c r="D472" t="s">
        <v>46</v>
      </c>
      <c r="G472">
        <v>47</v>
      </c>
      <c r="H472" t="s">
        <v>27</v>
      </c>
      <c r="I472">
        <v>2005</v>
      </c>
      <c r="J472" t="s">
        <v>21</v>
      </c>
      <c r="K472">
        <v>-18.070799999999998</v>
      </c>
      <c r="L472">
        <v>-49.6708</v>
      </c>
      <c r="M472" t="s">
        <v>49</v>
      </c>
      <c r="N472" s="2">
        <f>Table1[[#This Row],[Capacity (MW)]]*8760*0.72*10^-6</f>
        <v>0.29643839999999994</v>
      </c>
      <c r="O472" s="2" cm="1">
        <f t="array" ref="O472">AVERAGE(VLOOKUP(_xlfn.TEXTSPLIT(Table1[[#This Row],[Fuel (no space after comma)]], ","), FuelList_Final_EF!$A$2:$B$32, 2, FALSE))</f>
        <v>118.17</v>
      </c>
      <c r="P472" s="2">
        <f>(16112*Table1[[#This Row],[Generation (TWh)]]*10^9)/10^6</f>
        <v>4776215.5007999986</v>
      </c>
      <c r="Q472" s="2">
        <f>Table1[[#This Row],[Emission Factor (kg CO2/ mmBtu)]]*Table1[[#This Row],[Fuel Consumption (mmBtu)]]*10^3</f>
        <v>564405385729.53577</v>
      </c>
      <c r="R472" s="2">
        <f>(Table1[[#This Row],[CO2 Emissions (g CO2)]])/(Table1[[#This Row],[Generation (TWh)]]*10^9)</f>
        <v>1903.9550399999996</v>
      </c>
    </row>
    <row r="473" spans="1:18">
      <c r="A473" t="s">
        <v>425</v>
      </c>
      <c r="B473" t="s">
        <v>19</v>
      </c>
      <c r="C473" t="str">
        <f>SUBSTITUTE(Table1[[#This Row],[Fuel]],", ",",")</f>
        <v>bioenergy: refuse (municipal and industrial wastes)</v>
      </c>
      <c r="D473" t="s">
        <v>19</v>
      </c>
      <c r="G473">
        <v>90</v>
      </c>
      <c r="H473" t="s">
        <v>138</v>
      </c>
      <c r="I473" t="s">
        <v>21</v>
      </c>
      <c r="J473" t="s">
        <v>21</v>
      </c>
      <c r="K473">
        <v>49.682699999999997</v>
      </c>
      <c r="L473">
        <v>-126.1253</v>
      </c>
      <c r="M473" t="s">
        <v>79</v>
      </c>
      <c r="N473" s="2">
        <f>Table1[[#This Row],[Capacity (MW)]]*8760*0.72*10^-6</f>
        <v>0.56764799999999993</v>
      </c>
      <c r="O473" s="2" cm="1">
        <f t="array" ref="O473">AVERAGE(VLOOKUP(_xlfn.TEXTSPLIT(Table1[[#This Row],[Fuel (no space after comma)]], ","), FuelList_Final_EF!$A$2:$B$32, 2, FALSE))</f>
        <v>105.42962572482868</v>
      </c>
      <c r="P473" s="2">
        <f>(16112*Table1[[#This Row],[Generation (TWh)]]*10^9)/10^6</f>
        <v>9145944.5759999976</v>
      </c>
      <c r="Q473" s="2">
        <f>Table1[[#This Row],[Emission Factor (kg CO2/ mmBtu)]]*Table1[[#This Row],[Fuel Consumption (mmBtu)]]*10^3</f>
        <v>964253513547.70667</v>
      </c>
      <c r="R473" s="2">
        <f>(Table1[[#This Row],[CO2 Emissions (g CO2)]])/(Table1[[#This Row],[Generation (TWh)]]*10^9)</f>
        <v>1698.6821296784397</v>
      </c>
    </row>
    <row r="474" spans="1:18">
      <c r="A474" t="s">
        <v>21</v>
      </c>
      <c r="B474" t="s">
        <v>36</v>
      </c>
      <c r="C474" t="str">
        <f>SUBSTITUTE(Table1[[#This Row],[Fuel]],", ",",")</f>
        <v>bioenergy: biodiesel</v>
      </c>
      <c r="D474" t="s">
        <v>36</v>
      </c>
      <c r="G474">
        <v>34</v>
      </c>
      <c r="H474" t="s">
        <v>138</v>
      </c>
      <c r="I474" t="s">
        <v>21</v>
      </c>
      <c r="J474" t="s">
        <v>21</v>
      </c>
      <c r="K474">
        <v>45.938200000000002</v>
      </c>
      <c r="L474">
        <v>13.6206</v>
      </c>
      <c r="M474" t="s">
        <v>37</v>
      </c>
      <c r="N474" s="2">
        <f>Table1[[#This Row],[Capacity (MW)]]*8760*0.72*10^-6</f>
        <v>0.21444479999999999</v>
      </c>
      <c r="O474" s="2" cm="1">
        <f t="array" ref="O474">AVERAGE(VLOOKUP(_xlfn.TEXTSPLIT(Table1[[#This Row],[Fuel (no space after comma)]], ","), FuelList_Final_EF!$A$2:$B$32, 2, FALSE))</f>
        <v>73.84</v>
      </c>
      <c r="P474" s="2">
        <f>(16112*Table1[[#This Row],[Generation (TWh)]]*10^9)/10^6</f>
        <v>3455134.6175999995</v>
      </c>
      <c r="Q474" s="2">
        <f>Table1[[#This Row],[Emission Factor (kg CO2/ mmBtu)]]*Table1[[#This Row],[Fuel Consumption (mmBtu)]]*10^3</f>
        <v>255127140163.58395</v>
      </c>
      <c r="R474" s="2">
        <f>(Table1[[#This Row],[CO2 Emissions (g CO2)]])/(Table1[[#This Row],[Generation (TWh)]]*10^9)</f>
        <v>1189.7100799999998</v>
      </c>
    </row>
    <row r="475" spans="1:18">
      <c r="A475" t="s">
        <v>426</v>
      </c>
      <c r="B475" t="s">
        <v>43</v>
      </c>
      <c r="C475" t="str">
        <f>SUBSTITUTE(Table1[[#This Row],[Fuel]],", ",",")</f>
        <v>bioenergy: agricultural waste (biogas)</v>
      </c>
      <c r="D475" t="s">
        <v>43</v>
      </c>
      <c r="G475">
        <v>75</v>
      </c>
      <c r="H475" t="s">
        <v>71</v>
      </c>
      <c r="I475" t="s">
        <v>21</v>
      </c>
      <c r="J475" t="s">
        <v>21</v>
      </c>
      <c r="K475">
        <v>44.8187</v>
      </c>
      <c r="L475">
        <v>-95.538499999999999</v>
      </c>
      <c r="M475" t="s">
        <v>62</v>
      </c>
      <c r="N475" s="2">
        <f>Table1[[#This Row],[Capacity (MW)]]*8760*0.72*10^-6</f>
        <v>0.47303999999999996</v>
      </c>
      <c r="O475" s="2" cm="1">
        <f t="array" ref="O475">AVERAGE(VLOOKUP(_xlfn.TEXTSPLIT(Table1[[#This Row],[Fuel (no space after comma)]], ","), FuelList_Final_EF!$A$2:$B$32, 2, FALSE))</f>
        <v>52.07</v>
      </c>
      <c r="P475" s="2">
        <f>(16112*Table1[[#This Row],[Generation (TWh)]]*10^9)/10^6</f>
        <v>7621620.4800000004</v>
      </c>
      <c r="Q475" s="2">
        <f>Table1[[#This Row],[Emission Factor (kg CO2/ mmBtu)]]*Table1[[#This Row],[Fuel Consumption (mmBtu)]]*10^3</f>
        <v>396857778393.60004</v>
      </c>
      <c r="R475" s="2">
        <f>(Table1[[#This Row],[CO2 Emissions (g CO2)]])/(Table1[[#This Row],[Generation (TWh)]]*10^9)</f>
        <v>838.95184000000017</v>
      </c>
    </row>
    <row r="476" spans="1:18" hidden="1">
      <c r="A476" t="s">
        <v>320</v>
      </c>
      <c r="B476" t="s">
        <v>420</v>
      </c>
      <c r="C476" t="str">
        <f>SUBSTITUTE(Table1[[#This Row],[Fuel]],", ",",")</f>
        <v>bioenergy: wood &amp; other biomass (solids),other: other,fossil gas: natural gas</v>
      </c>
      <c r="D476" t="s">
        <v>25</v>
      </c>
      <c r="E476" t="s">
        <v>216</v>
      </c>
      <c r="F476" t="s">
        <v>69</v>
      </c>
      <c r="G476">
        <v>19.5</v>
      </c>
      <c r="H476" t="s">
        <v>27</v>
      </c>
      <c r="I476">
        <v>1992</v>
      </c>
      <c r="J476" t="s">
        <v>21</v>
      </c>
      <c r="K476">
        <v>44.604900000000001</v>
      </c>
      <c r="L476">
        <v>-84.690600000000003</v>
      </c>
      <c r="M476" t="s">
        <v>62</v>
      </c>
      <c r="N476" s="2">
        <f>Table1[[#This Row],[Capacity (MW)]]*8760*0.72*10^-6</f>
        <v>0.12299039999999999</v>
      </c>
      <c r="O476" s="2" cm="1">
        <f t="array" ref="O476">AVERAGE(VLOOKUP(_xlfn.TEXTSPLIT(Table1[[#This Row],[Fuel (no space after comma)]], ","), FuelList_Final_EF!$A$2:$B$32, 2, FALSE))</f>
        <v>77.61</v>
      </c>
      <c r="P476" s="2">
        <f>(16112*Table1[[#This Row],[Generation (TWh)]]*10^9)/10^6</f>
        <v>1981621.3247999998</v>
      </c>
      <c r="Q476" s="2">
        <f>Table1[[#This Row],[Emission Factor (kg CO2/ mmBtu)]]*Table1[[#This Row],[Fuel Consumption (mmBtu)]]*10^3</f>
        <v>153793631017.72797</v>
      </c>
      <c r="R476" s="2">
        <f>(Table1[[#This Row],[CO2 Emissions (g CO2)]])/(Table1[[#This Row],[Generation (TWh)]]*10^9)</f>
        <v>1250.4523199999999</v>
      </c>
    </row>
    <row r="477" spans="1:18" hidden="1">
      <c r="A477" t="s">
        <v>427</v>
      </c>
      <c r="B477" t="s">
        <v>420</v>
      </c>
      <c r="C477" t="str">
        <f>SUBSTITUTE(Table1[[#This Row],[Fuel]],", ",",")</f>
        <v>bioenergy: wood &amp; other biomass (solids),other: other,fossil gas: natural gas</v>
      </c>
      <c r="D477" t="s">
        <v>25</v>
      </c>
      <c r="E477" t="s">
        <v>216</v>
      </c>
      <c r="F477" t="s">
        <v>69</v>
      </c>
      <c r="G477">
        <v>7.8000000000000007</v>
      </c>
      <c r="H477" t="s">
        <v>27</v>
      </c>
      <c r="I477">
        <v>1992</v>
      </c>
      <c r="J477" t="s">
        <v>21</v>
      </c>
      <c r="K477">
        <v>44.604900000000001</v>
      </c>
      <c r="L477">
        <v>-84.690600000000003</v>
      </c>
      <c r="M477" t="s">
        <v>62</v>
      </c>
      <c r="N477" s="2">
        <f>Table1[[#This Row],[Capacity (MW)]]*8760*0.72*10^-6</f>
        <v>4.9196159999999996E-2</v>
      </c>
      <c r="O477" s="2" cm="1">
        <f t="array" ref="O477">AVERAGE(VLOOKUP(_xlfn.TEXTSPLIT(Table1[[#This Row],[Fuel (no space after comma)]], ","), FuelList_Final_EF!$A$2:$B$32, 2, FALSE))</f>
        <v>77.61</v>
      </c>
      <c r="P477" s="2">
        <f>(16112*Table1[[#This Row],[Generation (TWh)]]*10^9)/10^6</f>
        <v>792648.52992</v>
      </c>
      <c r="Q477" s="2">
        <f>Table1[[#This Row],[Emission Factor (kg CO2/ mmBtu)]]*Table1[[#This Row],[Fuel Consumption (mmBtu)]]*10^3</f>
        <v>61517452407.091202</v>
      </c>
      <c r="R477" s="2">
        <f>(Table1[[#This Row],[CO2 Emissions (g CO2)]])/(Table1[[#This Row],[Generation (TWh)]]*10^9)</f>
        <v>1250.4523200000003</v>
      </c>
    </row>
    <row r="478" spans="1:18" hidden="1">
      <c r="A478" t="s">
        <v>250</v>
      </c>
      <c r="B478" t="s">
        <v>420</v>
      </c>
      <c r="C478" t="str">
        <f>SUBSTITUTE(Table1[[#This Row],[Fuel]],", ",",")</f>
        <v>bioenergy: wood &amp; other biomass (solids),other: other,fossil gas: natural gas</v>
      </c>
      <c r="D478" t="s">
        <v>25</v>
      </c>
      <c r="E478" t="s">
        <v>216</v>
      </c>
      <c r="F478" t="s">
        <v>69</v>
      </c>
      <c r="G478">
        <v>11.7</v>
      </c>
      <c r="H478" t="s">
        <v>27</v>
      </c>
      <c r="I478">
        <v>1992</v>
      </c>
      <c r="J478" t="s">
        <v>21</v>
      </c>
      <c r="K478">
        <v>44.604900000000001</v>
      </c>
      <c r="L478">
        <v>-84.690600000000003</v>
      </c>
      <c r="M478" t="s">
        <v>62</v>
      </c>
      <c r="N478" s="2">
        <f>Table1[[#This Row],[Capacity (MW)]]*8760*0.72*10^-6</f>
        <v>7.3794239999999983E-2</v>
      </c>
      <c r="O478" s="2" cm="1">
        <f t="array" ref="O478">AVERAGE(VLOOKUP(_xlfn.TEXTSPLIT(Table1[[#This Row],[Fuel (no space after comma)]], ","), FuelList_Final_EF!$A$2:$B$32, 2, FALSE))</f>
        <v>77.61</v>
      </c>
      <c r="P478" s="2">
        <f>(16112*Table1[[#This Row],[Generation (TWh)]]*10^9)/10^6</f>
        <v>1188972.7948799997</v>
      </c>
      <c r="Q478" s="2">
        <f>Table1[[#This Row],[Emission Factor (kg CO2/ mmBtu)]]*Table1[[#This Row],[Fuel Consumption (mmBtu)]]*10^3</f>
        <v>92276178610.636765</v>
      </c>
      <c r="R478" s="2">
        <f>(Table1[[#This Row],[CO2 Emissions (g CO2)]])/(Table1[[#This Row],[Generation (TWh)]]*10^9)</f>
        <v>1250.4523199999999</v>
      </c>
    </row>
    <row r="479" spans="1:18">
      <c r="A479" t="s">
        <v>21</v>
      </c>
      <c r="B479" t="s">
        <v>19</v>
      </c>
      <c r="C479" t="str">
        <f>SUBSTITUTE(Table1[[#This Row],[Fuel]],", ",",")</f>
        <v>bioenergy: refuse (municipal and industrial wastes)</v>
      </c>
      <c r="D479" t="s">
        <v>19</v>
      </c>
      <c r="G479">
        <v>46</v>
      </c>
      <c r="H479" t="s">
        <v>307</v>
      </c>
      <c r="I479" t="s">
        <v>21</v>
      </c>
      <c r="J479" t="s">
        <v>21</v>
      </c>
      <c r="K479">
        <v>54.645800000000001</v>
      </c>
      <c r="L479">
        <v>-1.1991000000000001</v>
      </c>
      <c r="M479" t="s">
        <v>22</v>
      </c>
      <c r="N479" s="2">
        <f>Table1[[#This Row],[Capacity (MW)]]*8760*0.72*10^-6</f>
        <v>0.29013119999999998</v>
      </c>
      <c r="O479" s="2" cm="1">
        <f t="array" ref="O479">AVERAGE(VLOOKUP(_xlfn.TEXTSPLIT(Table1[[#This Row],[Fuel (no space after comma)]], ","), FuelList_Final_EF!$A$2:$B$32, 2, FALSE))</f>
        <v>105.42962572482868</v>
      </c>
      <c r="P479" s="2">
        <f>(16112*Table1[[#This Row],[Generation (TWh)]]*10^9)/10^6</f>
        <v>4674593.8943999996</v>
      </c>
      <c r="Q479" s="2">
        <f>Table1[[#This Row],[Emission Factor (kg CO2/ mmBtu)]]*Table1[[#This Row],[Fuel Consumption (mmBtu)]]*10^3</f>
        <v>492840684702.16132</v>
      </c>
      <c r="R479" s="2">
        <f>(Table1[[#This Row],[CO2 Emissions (g CO2)]])/(Table1[[#This Row],[Generation (TWh)]]*10^9)</f>
        <v>1698.6821296784397</v>
      </c>
    </row>
    <row r="480" spans="1:18">
      <c r="A480" t="s">
        <v>54</v>
      </c>
      <c r="B480" t="s">
        <v>46</v>
      </c>
      <c r="C480" t="str">
        <f>SUBSTITUTE(Table1[[#This Row],[Fuel]],", ",",")</f>
        <v>bioenergy: agricultural waste (solids)</v>
      </c>
      <c r="D480" t="s">
        <v>46</v>
      </c>
      <c r="G480">
        <v>60</v>
      </c>
      <c r="H480" t="s">
        <v>138</v>
      </c>
      <c r="I480" t="s">
        <v>21</v>
      </c>
      <c r="J480" t="s">
        <v>21</v>
      </c>
      <c r="K480">
        <v>24.182300000000001</v>
      </c>
      <c r="L480">
        <v>96.330799999999996</v>
      </c>
      <c r="M480" t="s">
        <v>428</v>
      </c>
      <c r="N480" s="2">
        <f>Table1[[#This Row],[Capacity (MW)]]*8760*0.72*10^-6</f>
        <v>0.37843199999999999</v>
      </c>
      <c r="O480" s="2" cm="1">
        <f t="array" ref="O480">AVERAGE(VLOOKUP(_xlfn.TEXTSPLIT(Table1[[#This Row],[Fuel (no space after comma)]], ","), FuelList_Final_EF!$A$2:$B$32, 2, FALSE))</f>
        <v>118.17</v>
      </c>
      <c r="P480" s="2">
        <f>(16112*Table1[[#This Row],[Generation (TWh)]]*10^9)/10^6</f>
        <v>6097296.3839999996</v>
      </c>
      <c r="Q480" s="2">
        <f>Table1[[#This Row],[Emission Factor (kg CO2/ mmBtu)]]*Table1[[#This Row],[Fuel Consumption (mmBtu)]]*10^3</f>
        <v>720517513697.27991</v>
      </c>
      <c r="R480" s="2">
        <f>(Table1[[#This Row],[CO2 Emissions (g CO2)]])/(Table1[[#This Row],[Generation (TWh)]]*10^9)</f>
        <v>1903.9550399999998</v>
      </c>
    </row>
    <row r="481" spans="1:18" hidden="1">
      <c r="A481" t="s">
        <v>429</v>
      </c>
      <c r="B481" t="s">
        <v>46</v>
      </c>
      <c r="C481" t="str">
        <f>SUBSTITUTE(Table1[[#This Row],[Fuel]],", ",",")</f>
        <v>bioenergy: agricultural waste (solids)</v>
      </c>
      <c r="D481" t="s">
        <v>46</v>
      </c>
      <c r="G481">
        <v>49.9</v>
      </c>
      <c r="H481" t="s">
        <v>27</v>
      </c>
      <c r="I481">
        <v>2013</v>
      </c>
      <c r="J481" t="s">
        <v>21</v>
      </c>
      <c r="K481">
        <v>35.5458918</v>
      </c>
      <c r="L481">
        <v>140.09543239999999</v>
      </c>
      <c r="M481" t="s">
        <v>51</v>
      </c>
      <c r="N481" s="2">
        <f>Table1[[#This Row],[Capacity (MW)]]*8760*0.72*10^-6</f>
        <v>0.31472927999999994</v>
      </c>
      <c r="O481" s="2" cm="1">
        <f t="array" ref="O481">AVERAGE(VLOOKUP(_xlfn.TEXTSPLIT(Table1[[#This Row],[Fuel (no space after comma)]], ","), FuelList_Final_EF!$A$2:$B$32, 2, FALSE))</f>
        <v>118.17</v>
      </c>
      <c r="P481" s="2">
        <f>(16112*Table1[[#This Row],[Generation (TWh)]]*10^9)/10^6</f>
        <v>5070918.159359999</v>
      </c>
      <c r="Q481" s="2">
        <f>Table1[[#This Row],[Emission Factor (kg CO2/ mmBtu)]]*Table1[[#This Row],[Fuel Consumption (mmBtu)]]*10^3</f>
        <v>599230398891.57104</v>
      </c>
      <c r="R481" s="2">
        <f>(Table1[[#This Row],[CO2 Emissions (g CO2)]])/(Table1[[#This Row],[Generation (TWh)]]*10^9)</f>
        <v>1903.9550399999998</v>
      </c>
    </row>
    <row r="482" spans="1:18" hidden="1">
      <c r="A482" t="s">
        <v>430</v>
      </c>
      <c r="B482" t="s">
        <v>25</v>
      </c>
      <c r="C482" t="str">
        <f>SUBSTITUTE(Table1[[#This Row],[Fuel]],", ",",")</f>
        <v>bioenergy: wood &amp; other biomass (solids)</v>
      </c>
      <c r="D482" t="s">
        <v>25</v>
      </c>
      <c r="G482">
        <v>58</v>
      </c>
      <c r="H482" t="s">
        <v>27</v>
      </c>
      <c r="I482">
        <v>2019</v>
      </c>
      <c r="J482" t="s">
        <v>21</v>
      </c>
      <c r="K482">
        <v>34.376100000000001</v>
      </c>
      <c r="L482">
        <v>-83.330600000000004</v>
      </c>
      <c r="M482" t="s">
        <v>62</v>
      </c>
      <c r="N482" s="2">
        <f>Table1[[#This Row],[Capacity (MW)]]*8760*0.72*10^-6</f>
        <v>0.36581759999999997</v>
      </c>
      <c r="O482" s="2" cm="1">
        <f t="array" ref="O482">AVERAGE(VLOOKUP(_xlfn.TEXTSPLIT(Table1[[#This Row],[Fuel (no space after comma)]], ","), FuelList_Final_EF!$A$2:$B$32, 2, FALSE))</f>
        <v>93.8</v>
      </c>
      <c r="P482" s="2">
        <f>(16112*Table1[[#This Row],[Generation (TWh)]]*10^9)/10^6</f>
        <v>5894053.1711999988</v>
      </c>
      <c r="Q482" s="2">
        <f>Table1[[#This Row],[Emission Factor (kg CO2/ mmBtu)]]*Table1[[#This Row],[Fuel Consumption (mmBtu)]]*10^3</f>
        <v>552862187458.55981</v>
      </c>
      <c r="R482" s="2">
        <f>(Table1[[#This Row],[CO2 Emissions (g CO2)]])/(Table1[[#This Row],[Generation (TWh)]]*10^9)</f>
        <v>1511.3055999999997</v>
      </c>
    </row>
    <row r="483" spans="1:18" hidden="1">
      <c r="A483" t="s">
        <v>431</v>
      </c>
      <c r="B483" t="s">
        <v>25</v>
      </c>
      <c r="C483" t="str">
        <f>SUBSTITUTE(Table1[[#This Row],[Fuel]],", ",",")</f>
        <v>bioenergy: wood &amp; other biomass (solids)</v>
      </c>
      <c r="D483" t="s">
        <v>25</v>
      </c>
      <c r="G483">
        <v>58</v>
      </c>
      <c r="H483" t="s">
        <v>27</v>
      </c>
      <c r="I483">
        <v>2019</v>
      </c>
      <c r="J483" t="s">
        <v>21</v>
      </c>
      <c r="K483">
        <v>34.040599999999998</v>
      </c>
      <c r="L483">
        <v>-83.192899999999995</v>
      </c>
      <c r="M483" t="s">
        <v>62</v>
      </c>
      <c r="N483" s="2">
        <f>Table1[[#This Row],[Capacity (MW)]]*8760*0.72*10^-6</f>
        <v>0.36581759999999997</v>
      </c>
      <c r="O483" s="2" cm="1">
        <f t="array" ref="O483">AVERAGE(VLOOKUP(_xlfn.TEXTSPLIT(Table1[[#This Row],[Fuel (no space after comma)]], ","), FuelList_Final_EF!$A$2:$B$32, 2, FALSE))</f>
        <v>93.8</v>
      </c>
      <c r="P483" s="2">
        <f>(16112*Table1[[#This Row],[Generation (TWh)]]*10^9)/10^6</f>
        <v>5894053.1711999988</v>
      </c>
      <c r="Q483" s="2">
        <f>Table1[[#This Row],[Emission Factor (kg CO2/ mmBtu)]]*Table1[[#This Row],[Fuel Consumption (mmBtu)]]*10^3</f>
        <v>552862187458.55981</v>
      </c>
      <c r="R483" s="2">
        <f>(Table1[[#This Row],[CO2 Emissions (g CO2)]])/(Table1[[#This Row],[Generation (TWh)]]*10^9)</f>
        <v>1511.3055999999997</v>
      </c>
    </row>
    <row r="484" spans="1:18">
      <c r="A484" t="s">
        <v>432</v>
      </c>
      <c r="B484" t="s">
        <v>61</v>
      </c>
      <c r="C484" t="str">
        <f>SUBSTITUTE(Table1[[#This Row],[Fuel]],", ",",")</f>
        <v>bioenergy: paper mill wastes</v>
      </c>
      <c r="D484" t="s">
        <v>61</v>
      </c>
      <c r="G484">
        <v>40</v>
      </c>
      <c r="H484" t="s">
        <v>27</v>
      </c>
      <c r="I484" t="s">
        <v>21</v>
      </c>
      <c r="J484" t="s">
        <v>21</v>
      </c>
      <c r="K484">
        <v>59.3399</v>
      </c>
      <c r="L484">
        <v>13.116899999999999</v>
      </c>
      <c r="M484" t="s">
        <v>34</v>
      </c>
      <c r="N484" s="2">
        <f>Table1[[#This Row],[Capacity (MW)]]*8760*0.72*10^-6</f>
        <v>0.25228800000000001</v>
      </c>
      <c r="O484" s="2" cm="1">
        <f t="array" ref="O484">AVERAGE(VLOOKUP(_xlfn.TEXTSPLIT(Table1[[#This Row],[Fuel (no space after comma)]], ","), FuelList_Final_EF!$A$2:$B$32, 2, FALSE))</f>
        <v>100.47443331576173</v>
      </c>
      <c r="P484" s="2">
        <f>(16112*Table1[[#This Row],[Generation (TWh)]]*10^9)/10^6</f>
        <v>4064864.2560000005</v>
      </c>
      <c r="Q484" s="2">
        <f>Table1[[#This Row],[Emission Factor (kg CO2/ mmBtu)]]*Table1[[#This Row],[Fuel Consumption (mmBtu)]]*10^3</f>
        <v>408414932627.09546</v>
      </c>
      <c r="R484" s="2">
        <f>(Table1[[#This Row],[CO2 Emissions (g CO2)]])/(Table1[[#This Row],[Generation (TWh)]]*10^9)</f>
        <v>1618.8440695835532</v>
      </c>
    </row>
    <row r="485" spans="1:18" hidden="1">
      <c r="A485" t="s">
        <v>433</v>
      </c>
      <c r="B485" t="s">
        <v>25</v>
      </c>
      <c r="C485" t="str">
        <f>SUBSTITUTE(Table1[[#This Row],[Fuel]],", ",",")</f>
        <v>bioenergy: wood &amp; other biomass (solids)</v>
      </c>
      <c r="D485" t="s">
        <v>25</v>
      </c>
      <c r="G485">
        <v>30</v>
      </c>
      <c r="H485" t="s">
        <v>27</v>
      </c>
      <c r="I485">
        <v>2013</v>
      </c>
      <c r="J485" t="s">
        <v>21</v>
      </c>
      <c r="K485">
        <v>-10.185499999999999</v>
      </c>
      <c r="L485">
        <v>-59.460299999999997</v>
      </c>
      <c r="M485" t="s">
        <v>49</v>
      </c>
      <c r="N485" s="2">
        <f>Table1[[#This Row],[Capacity (MW)]]*8760*0.72*10^-6</f>
        <v>0.189216</v>
      </c>
      <c r="O485" s="2" cm="1">
        <f t="array" ref="O485">AVERAGE(VLOOKUP(_xlfn.TEXTSPLIT(Table1[[#This Row],[Fuel (no space after comma)]], ","), FuelList_Final_EF!$A$2:$B$32, 2, FALSE))</f>
        <v>93.8</v>
      </c>
      <c r="P485" s="2">
        <f>(16112*Table1[[#This Row],[Generation (TWh)]]*10^9)/10^6</f>
        <v>3048648.1919999998</v>
      </c>
      <c r="Q485" s="2">
        <f>Table1[[#This Row],[Emission Factor (kg CO2/ mmBtu)]]*Table1[[#This Row],[Fuel Consumption (mmBtu)]]*10^3</f>
        <v>285963200409.59998</v>
      </c>
      <c r="R485" s="2">
        <f>(Table1[[#This Row],[CO2 Emissions (g CO2)]])/(Table1[[#This Row],[Generation (TWh)]]*10^9)</f>
        <v>1511.3055999999999</v>
      </c>
    </row>
    <row r="486" spans="1:18" hidden="1">
      <c r="A486" t="s">
        <v>434</v>
      </c>
      <c r="B486" t="s">
        <v>46</v>
      </c>
      <c r="C486" t="str">
        <f>SUBSTITUTE(Table1[[#This Row],[Fuel]],", ",",")</f>
        <v>bioenergy: agricultural waste (solids)</v>
      </c>
      <c r="D486" t="s">
        <v>46</v>
      </c>
      <c r="G486">
        <v>55</v>
      </c>
      <c r="H486" t="s">
        <v>27</v>
      </c>
      <c r="I486">
        <v>2010</v>
      </c>
      <c r="J486" t="s">
        <v>21</v>
      </c>
      <c r="K486">
        <v>-20.418399999999998</v>
      </c>
      <c r="L486">
        <v>-48.211399999999998</v>
      </c>
      <c r="M486" t="s">
        <v>49</v>
      </c>
      <c r="N486" s="2">
        <f>Table1[[#This Row],[Capacity (MW)]]*8760*0.72*10^-6</f>
        <v>0.34689599999999998</v>
      </c>
      <c r="O486" s="2" cm="1">
        <f t="array" ref="O486">AVERAGE(VLOOKUP(_xlfn.TEXTSPLIT(Table1[[#This Row],[Fuel (no space after comma)]], ","), FuelList_Final_EF!$A$2:$B$32, 2, FALSE))</f>
        <v>118.17</v>
      </c>
      <c r="P486" s="2">
        <f>(16112*Table1[[#This Row],[Generation (TWh)]]*10^9)/10^6</f>
        <v>5589188.352</v>
      </c>
      <c r="Q486" s="2">
        <f>Table1[[#This Row],[Emission Factor (kg CO2/ mmBtu)]]*Table1[[#This Row],[Fuel Consumption (mmBtu)]]*10^3</f>
        <v>660474387555.83997</v>
      </c>
      <c r="R486" s="2">
        <f>(Table1[[#This Row],[CO2 Emissions (g CO2)]])/(Table1[[#This Row],[Generation (TWh)]]*10^9)</f>
        <v>1903.9550399999998</v>
      </c>
    </row>
    <row r="487" spans="1:18" hidden="1">
      <c r="A487" t="s">
        <v>127</v>
      </c>
      <c r="B487" t="s">
        <v>19</v>
      </c>
      <c r="C487" t="str">
        <f>SUBSTITUTE(Table1[[#This Row],[Fuel]],", ",",")</f>
        <v>bioenergy: refuse (municipal and industrial wastes)</v>
      </c>
      <c r="D487" t="s">
        <v>19</v>
      </c>
      <c r="G487">
        <v>32</v>
      </c>
      <c r="H487" t="s">
        <v>27</v>
      </c>
      <c r="I487">
        <v>2020</v>
      </c>
      <c r="J487" t="s">
        <v>21</v>
      </c>
      <c r="K487">
        <v>23.659199999999998</v>
      </c>
      <c r="L487">
        <v>116.77249999999999</v>
      </c>
      <c r="M487" t="s">
        <v>102</v>
      </c>
      <c r="N487" s="2">
        <f>Table1[[#This Row],[Capacity (MW)]]*8760*0.72*10^-6</f>
        <v>0.20183039999999999</v>
      </c>
      <c r="O487" s="2" cm="1">
        <f t="array" ref="O487">AVERAGE(VLOOKUP(_xlfn.TEXTSPLIT(Table1[[#This Row],[Fuel (no space after comma)]], ","), FuelList_Final_EF!$A$2:$B$32, 2, FALSE))</f>
        <v>105.42962572482868</v>
      </c>
      <c r="P487" s="2">
        <f>(16112*Table1[[#This Row],[Generation (TWh)]]*10^9)/10^6</f>
        <v>3251891.4047999997</v>
      </c>
      <c r="Q487" s="2">
        <f>Table1[[#This Row],[Emission Factor (kg CO2/ mmBtu)]]*Table1[[#This Row],[Fuel Consumption (mmBtu)]]*10^3</f>
        <v>342845693705.85132</v>
      </c>
      <c r="R487" s="2">
        <f>(Table1[[#This Row],[CO2 Emissions (g CO2)]])/(Table1[[#This Row],[Generation (TWh)]]*10^9)</f>
        <v>1698.6821296784394</v>
      </c>
    </row>
    <row r="488" spans="1:18" hidden="1">
      <c r="A488" t="s">
        <v>435</v>
      </c>
      <c r="B488" t="s">
        <v>19</v>
      </c>
      <c r="C488" t="str">
        <f>SUBSTITUTE(Table1[[#This Row],[Fuel]],", ",",")</f>
        <v>bioenergy: refuse (municipal and industrial wastes)</v>
      </c>
      <c r="D488" t="s">
        <v>19</v>
      </c>
      <c r="G488">
        <v>50</v>
      </c>
      <c r="H488" t="s">
        <v>27</v>
      </c>
      <c r="I488">
        <v>2022</v>
      </c>
      <c r="J488" t="s">
        <v>21</v>
      </c>
      <c r="K488">
        <v>23.6464</v>
      </c>
      <c r="L488">
        <v>113.503</v>
      </c>
      <c r="M488" t="s">
        <v>102</v>
      </c>
      <c r="N488" s="2">
        <f>Table1[[#This Row],[Capacity (MW)]]*8760*0.72*10^-6</f>
        <v>0.31535999999999997</v>
      </c>
      <c r="O488" s="2" cm="1">
        <f t="array" ref="O488">AVERAGE(VLOOKUP(_xlfn.TEXTSPLIT(Table1[[#This Row],[Fuel (no space after comma)]], ","), FuelList_Final_EF!$A$2:$B$32, 2, FALSE))</f>
        <v>105.42962572482868</v>
      </c>
      <c r="P488" s="2">
        <f>(16112*Table1[[#This Row],[Generation (TWh)]]*10^9)/10^6</f>
        <v>5081080.32</v>
      </c>
      <c r="Q488" s="2">
        <f>Table1[[#This Row],[Emission Factor (kg CO2/ mmBtu)]]*Table1[[#This Row],[Fuel Consumption (mmBtu)]]*10^3</f>
        <v>535696396415.39276</v>
      </c>
      <c r="R488" s="2">
        <f>(Table1[[#This Row],[CO2 Emissions (g CO2)]])/(Table1[[#This Row],[Generation (TWh)]]*10^9)</f>
        <v>1698.6821296784397</v>
      </c>
    </row>
    <row r="489" spans="1:18" hidden="1">
      <c r="A489" t="s">
        <v>435</v>
      </c>
      <c r="B489" t="s">
        <v>19</v>
      </c>
      <c r="C489" t="str">
        <f>SUBSTITUTE(Table1[[#This Row],[Fuel]],", ",",")</f>
        <v>bioenergy: refuse (municipal and industrial wastes)</v>
      </c>
      <c r="D489" t="s">
        <v>19</v>
      </c>
      <c r="G489">
        <v>50</v>
      </c>
      <c r="H489" t="s">
        <v>27</v>
      </c>
      <c r="I489">
        <v>2022</v>
      </c>
      <c r="J489" t="s">
        <v>21</v>
      </c>
      <c r="K489">
        <v>23.6464</v>
      </c>
      <c r="L489">
        <v>113.503</v>
      </c>
      <c r="M489" t="s">
        <v>102</v>
      </c>
      <c r="N489" s="2">
        <f>Table1[[#This Row],[Capacity (MW)]]*8760*0.72*10^-6</f>
        <v>0.31535999999999997</v>
      </c>
      <c r="O489" s="2" cm="1">
        <f t="array" ref="O489">AVERAGE(VLOOKUP(_xlfn.TEXTSPLIT(Table1[[#This Row],[Fuel (no space after comma)]], ","), FuelList_Final_EF!$A$2:$B$32, 2, FALSE))</f>
        <v>105.42962572482868</v>
      </c>
      <c r="P489" s="2">
        <f>(16112*Table1[[#This Row],[Generation (TWh)]]*10^9)/10^6</f>
        <v>5081080.32</v>
      </c>
      <c r="Q489" s="2">
        <f>Table1[[#This Row],[Emission Factor (kg CO2/ mmBtu)]]*Table1[[#This Row],[Fuel Consumption (mmBtu)]]*10^3</f>
        <v>535696396415.39276</v>
      </c>
      <c r="R489" s="2">
        <f>(Table1[[#This Row],[CO2 Emissions (g CO2)]])/(Table1[[#This Row],[Generation (TWh)]]*10^9)</f>
        <v>1698.6821296784397</v>
      </c>
    </row>
    <row r="490" spans="1:18" hidden="1">
      <c r="A490" t="s">
        <v>436</v>
      </c>
      <c r="B490" t="s">
        <v>19</v>
      </c>
      <c r="C490" t="str">
        <f>SUBSTITUTE(Table1[[#This Row],[Fuel]],", ",",")</f>
        <v>bioenergy: refuse (municipal and industrial wastes)</v>
      </c>
      <c r="D490" t="s">
        <v>19</v>
      </c>
      <c r="G490">
        <v>19.600000000000001</v>
      </c>
      <c r="H490" t="s">
        <v>27</v>
      </c>
      <c r="I490">
        <v>2021</v>
      </c>
      <c r="J490" t="s">
        <v>21</v>
      </c>
      <c r="K490">
        <v>23.009899999999998</v>
      </c>
      <c r="L490">
        <v>113.5909</v>
      </c>
      <c r="M490" t="s">
        <v>102</v>
      </c>
      <c r="N490" s="2">
        <f>Table1[[#This Row],[Capacity (MW)]]*8760*0.72*10^-6</f>
        <v>0.12362111999999999</v>
      </c>
      <c r="O490" s="2" cm="1">
        <f t="array" ref="O490">AVERAGE(VLOOKUP(_xlfn.TEXTSPLIT(Table1[[#This Row],[Fuel (no space after comma)]], ","), FuelList_Final_EF!$A$2:$B$32, 2, FALSE))</f>
        <v>105.42962572482868</v>
      </c>
      <c r="P490" s="2">
        <f>(16112*Table1[[#This Row],[Generation (TWh)]]*10^9)/10^6</f>
        <v>1991783.4854399997</v>
      </c>
      <c r="Q490" s="2">
        <f>Table1[[#This Row],[Emission Factor (kg CO2/ mmBtu)]]*Table1[[#This Row],[Fuel Consumption (mmBtu)]]*10^3</f>
        <v>209992987394.83392</v>
      </c>
      <c r="R490" s="2">
        <f>(Table1[[#This Row],[CO2 Emissions (g CO2)]])/(Table1[[#This Row],[Generation (TWh)]]*10^9)</f>
        <v>1698.6821296784397</v>
      </c>
    </row>
    <row r="491" spans="1:18" hidden="1">
      <c r="A491" t="s">
        <v>437</v>
      </c>
      <c r="B491" t="s">
        <v>19</v>
      </c>
      <c r="C491" t="str">
        <f>SUBSTITUTE(Table1[[#This Row],[Fuel]],", ",",")</f>
        <v>bioenergy: refuse (municipal and industrial wastes)</v>
      </c>
      <c r="D491" t="s">
        <v>19</v>
      </c>
      <c r="G491">
        <v>20.399999999999999</v>
      </c>
      <c r="H491" t="s">
        <v>27</v>
      </c>
      <c r="I491">
        <v>2021</v>
      </c>
      <c r="J491" t="s">
        <v>21</v>
      </c>
      <c r="K491">
        <v>23.009899999999998</v>
      </c>
      <c r="L491">
        <v>113.5909</v>
      </c>
      <c r="M491" t="s">
        <v>102</v>
      </c>
      <c r="N491" s="2">
        <f>Table1[[#This Row],[Capacity (MW)]]*8760*0.72*10^-6</f>
        <v>0.12866687999999998</v>
      </c>
      <c r="O491" s="2" cm="1">
        <f t="array" ref="O491">AVERAGE(VLOOKUP(_xlfn.TEXTSPLIT(Table1[[#This Row],[Fuel (no space after comma)]], ","), FuelList_Final_EF!$A$2:$B$32, 2, FALSE))</f>
        <v>105.42962572482868</v>
      </c>
      <c r="P491" s="2">
        <f>(16112*Table1[[#This Row],[Generation (TWh)]]*10^9)/10^6</f>
        <v>2073080.7705599996</v>
      </c>
      <c r="Q491" s="2">
        <f>Table1[[#This Row],[Emission Factor (kg CO2/ mmBtu)]]*Table1[[#This Row],[Fuel Consumption (mmBtu)]]*10^3</f>
        <v>218564129737.48019</v>
      </c>
      <c r="R491" s="2">
        <f>(Table1[[#This Row],[CO2 Emissions (g CO2)]])/(Table1[[#This Row],[Generation (TWh)]]*10^9)</f>
        <v>1698.6821296784397</v>
      </c>
    </row>
    <row r="492" spans="1:18" hidden="1">
      <c r="A492" t="s">
        <v>436</v>
      </c>
      <c r="B492" t="s">
        <v>19</v>
      </c>
      <c r="C492" t="str">
        <f>SUBSTITUTE(Table1[[#This Row],[Fuel]],", ",",")</f>
        <v>bioenergy: refuse (municipal and industrial wastes)</v>
      </c>
      <c r="D492" t="s">
        <v>19</v>
      </c>
      <c r="G492">
        <v>19.600000000000001</v>
      </c>
      <c r="H492" t="s">
        <v>27</v>
      </c>
      <c r="I492">
        <v>2021</v>
      </c>
      <c r="J492" t="s">
        <v>21</v>
      </c>
      <c r="K492">
        <v>23.009899999999998</v>
      </c>
      <c r="L492">
        <v>113.5909</v>
      </c>
      <c r="M492" t="s">
        <v>102</v>
      </c>
      <c r="N492" s="2">
        <f>Table1[[#This Row],[Capacity (MW)]]*8760*0.72*10^-6</f>
        <v>0.12362111999999999</v>
      </c>
      <c r="O492" s="2" cm="1">
        <f t="array" ref="O492">AVERAGE(VLOOKUP(_xlfn.TEXTSPLIT(Table1[[#This Row],[Fuel (no space after comma)]], ","), FuelList_Final_EF!$A$2:$B$32, 2, FALSE))</f>
        <v>105.42962572482868</v>
      </c>
      <c r="P492" s="2">
        <f>(16112*Table1[[#This Row],[Generation (TWh)]]*10^9)/10^6</f>
        <v>1991783.4854399997</v>
      </c>
      <c r="Q492" s="2">
        <f>Table1[[#This Row],[Emission Factor (kg CO2/ mmBtu)]]*Table1[[#This Row],[Fuel Consumption (mmBtu)]]*10^3</f>
        <v>209992987394.83392</v>
      </c>
      <c r="R492" s="2">
        <f>(Table1[[#This Row],[CO2 Emissions (g CO2)]])/(Table1[[#This Row],[Generation (TWh)]]*10^9)</f>
        <v>1698.6821296784397</v>
      </c>
    </row>
    <row r="493" spans="1:18" hidden="1">
      <c r="A493" t="s">
        <v>437</v>
      </c>
      <c r="B493" t="s">
        <v>19</v>
      </c>
      <c r="C493" t="str">
        <f>SUBSTITUTE(Table1[[#This Row],[Fuel]],", ",",")</f>
        <v>bioenergy: refuse (municipal and industrial wastes)</v>
      </c>
      <c r="D493" t="s">
        <v>19</v>
      </c>
      <c r="G493">
        <v>20.399999999999999</v>
      </c>
      <c r="H493" t="s">
        <v>27</v>
      </c>
      <c r="I493">
        <v>2021</v>
      </c>
      <c r="J493" t="s">
        <v>21</v>
      </c>
      <c r="K493">
        <v>23.009899999999998</v>
      </c>
      <c r="L493">
        <v>113.5909</v>
      </c>
      <c r="M493" t="s">
        <v>102</v>
      </c>
      <c r="N493" s="2">
        <f>Table1[[#This Row],[Capacity (MW)]]*8760*0.72*10^-6</f>
        <v>0.12866687999999998</v>
      </c>
      <c r="O493" s="2" cm="1">
        <f t="array" ref="O493">AVERAGE(VLOOKUP(_xlfn.TEXTSPLIT(Table1[[#This Row],[Fuel (no space after comma)]], ","), FuelList_Final_EF!$A$2:$B$32, 2, FALSE))</f>
        <v>105.42962572482868</v>
      </c>
      <c r="P493" s="2">
        <f>(16112*Table1[[#This Row],[Generation (TWh)]]*10^9)/10^6</f>
        <v>2073080.7705599996</v>
      </c>
      <c r="Q493" s="2">
        <f>Table1[[#This Row],[Emission Factor (kg CO2/ mmBtu)]]*Table1[[#This Row],[Fuel Consumption (mmBtu)]]*10^3</f>
        <v>218564129737.48019</v>
      </c>
      <c r="R493" s="2">
        <f>(Table1[[#This Row],[CO2 Emissions (g CO2)]])/(Table1[[#This Row],[Generation (TWh)]]*10^9)</f>
        <v>1698.6821296784397</v>
      </c>
    </row>
    <row r="494" spans="1:18" hidden="1">
      <c r="A494" t="s">
        <v>438</v>
      </c>
      <c r="B494" t="s">
        <v>19</v>
      </c>
      <c r="C494" t="str">
        <f>SUBSTITUTE(Table1[[#This Row],[Fuel]],", ",",")</f>
        <v>bioenergy: refuse (municipal and industrial wastes)</v>
      </c>
      <c r="D494" t="s">
        <v>19</v>
      </c>
      <c r="G494">
        <v>30</v>
      </c>
      <c r="H494" t="s">
        <v>27</v>
      </c>
      <c r="I494">
        <v>2020</v>
      </c>
      <c r="J494" t="s">
        <v>21</v>
      </c>
      <c r="K494">
        <v>22.898064000000002</v>
      </c>
      <c r="L494">
        <v>113.676344</v>
      </c>
      <c r="M494" t="s">
        <v>102</v>
      </c>
      <c r="N494" s="2">
        <f>Table1[[#This Row],[Capacity (MW)]]*8760*0.72*10^-6</f>
        <v>0.189216</v>
      </c>
      <c r="O494" s="2" cm="1">
        <f t="array" ref="O494">AVERAGE(VLOOKUP(_xlfn.TEXTSPLIT(Table1[[#This Row],[Fuel (no space after comma)]], ","), FuelList_Final_EF!$A$2:$B$32, 2, FALSE))</f>
        <v>105.42962572482868</v>
      </c>
      <c r="P494" s="2">
        <f>(16112*Table1[[#This Row],[Generation (TWh)]]*10^9)/10^6</f>
        <v>3048648.1919999998</v>
      </c>
      <c r="Q494" s="2">
        <f>Table1[[#This Row],[Emission Factor (kg CO2/ mmBtu)]]*Table1[[#This Row],[Fuel Consumption (mmBtu)]]*10^3</f>
        <v>321417837849.23566</v>
      </c>
      <c r="R494" s="2">
        <f>(Table1[[#This Row],[CO2 Emissions (g CO2)]])/(Table1[[#This Row],[Generation (TWh)]]*10^9)</f>
        <v>1698.6821296784397</v>
      </c>
    </row>
    <row r="495" spans="1:18" hidden="1">
      <c r="A495" t="s">
        <v>439</v>
      </c>
      <c r="B495" t="s">
        <v>19</v>
      </c>
      <c r="C495" t="str">
        <f>SUBSTITUTE(Table1[[#This Row],[Fuel]],", ",",")</f>
        <v>bioenergy: refuse (municipal and industrial wastes)</v>
      </c>
      <c r="D495" t="s">
        <v>19</v>
      </c>
      <c r="G495">
        <v>35</v>
      </c>
      <c r="H495" t="s">
        <v>27</v>
      </c>
      <c r="I495">
        <v>2021</v>
      </c>
      <c r="J495" t="s">
        <v>21</v>
      </c>
      <c r="K495">
        <v>22.8005</v>
      </c>
      <c r="L495">
        <v>112.681</v>
      </c>
      <c r="M495" t="s">
        <v>102</v>
      </c>
      <c r="N495" s="2">
        <f>Table1[[#This Row],[Capacity (MW)]]*8760*0.72*10^-6</f>
        <v>0.220752</v>
      </c>
      <c r="O495" s="2" cm="1">
        <f t="array" ref="O495">AVERAGE(VLOOKUP(_xlfn.TEXTSPLIT(Table1[[#This Row],[Fuel (no space after comma)]], ","), FuelList_Final_EF!$A$2:$B$32, 2, FALSE))</f>
        <v>105.42962572482868</v>
      </c>
      <c r="P495" s="2">
        <f>(16112*Table1[[#This Row],[Generation (TWh)]]*10^9)/10^6</f>
        <v>3556756.2239999999</v>
      </c>
      <c r="Q495" s="2">
        <f>Table1[[#This Row],[Emission Factor (kg CO2/ mmBtu)]]*Table1[[#This Row],[Fuel Consumption (mmBtu)]]*10^3</f>
        <v>374987477490.7749</v>
      </c>
      <c r="R495" s="2">
        <f>(Table1[[#This Row],[CO2 Emissions (g CO2)]])/(Table1[[#This Row],[Generation (TWh)]]*10^9)</f>
        <v>1698.6821296784397</v>
      </c>
    </row>
    <row r="496" spans="1:18" hidden="1">
      <c r="A496" t="s">
        <v>439</v>
      </c>
      <c r="B496" t="s">
        <v>19</v>
      </c>
      <c r="C496" t="str">
        <f>SUBSTITUTE(Table1[[#This Row],[Fuel]],", ",",")</f>
        <v>bioenergy: refuse (municipal and industrial wastes)</v>
      </c>
      <c r="D496" t="s">
        <v>19</v>
      </c>
      <c r="G496">
        <v>35</v>
      </c>
      <c r="H496" t="s">
        <v>27</v>
      </c>
      <c r="I496">
        <v>2021</v>
      </c>
      <c r="J496" t="s">
        <v>21</v>
      </c>
      <c r="K496">
        <v>22.8005</v>
      </c>
      <c r="L496">
        <v>112.681</v>
      </c>
      <c r="M496" t="s">
        <v>102</v>
      </c>
      <c r="N496" s="2">
        <f>Table1[[#This Row],[Capacity (MW)]]*8760*0.72*10^-6</f>
        <v>0.220752</v>
      </c>
      <c r="O496" s="2" cm="1">
        <f t="array" ref="O496">AVERAGE(VLOOKUP(_xlfn.TEXTSPLIT(Table1[[#This Row],[Fuel (no space after comma)]], ","), FuelList_Final_EF!$A$2:$B$32, 2, FALSE))</f>
        <v>105.42962572482868</v>
      </c>
      <c r="P496" s="2">
        <f>(16112*Table1[[#This Row],[Generation (TWh)]]*10^9)/10^6</f>
        <v>3556756.2239999999</v>
      </c>
      <c r="Q496" s="2">
        <f>Table1[[#This Row],[Emission Factor (kg CO2/ mmBtu)]]*Table1[[#This Row],[Fuel Consumption (mmBtu)]]*10^3</f>
        <v>374987477490.7749</v>
      </c>
      <c r="R496" s="2">
        <f>(Table1[[#This Row],[CO2 Emissions (g CO2)]])/(Table1[[#This Row],[Generation (TWh)]]*10^9)</f>
        <v>1698.6821296784397</v>
      </c>
    </row>
    <row r="497" spans="1:18">
      <c r="A497" t="s">
        <v>439</v>
      </c>
      <c r="B497" t="s">
        <v>19</v>
      </c>
      <c r="C497" t="str">
        <f>SUBSTITUTE(Table1[[#This Row],[Fuel]],", ",",")</f>
        <v>bioenergy: refuse (municipal and industrial wastes)</v>
      </c>
      <c r="D497" t="s">
        <v>19</v>
      </c>
      <c r="G497">
        <v>40</v>
      </c>
      <c r="H497" t="s">
        <v>20</v>
      </c>
      <c r="I497" t="s">
        <v>21</v>
      </c>
      <c r="J497" t="s">
        <v>21</v>
      </c>
      <c r="K497">
        <v>22.8005</v>
      </c>
      <c r="L497">
        <v>112.681</v>
      </c>
      <c r="M497" t="s">
        <v>102</v>
      </c>
      <c r="N497" s="2">
        <f>Table1[[#This Row],[Capacity (MW)]]*8760*0.72*10^-6</f>
        <v>0.25228800000000001</v>
      </c>
      <c r="O497" s="2" cm="1">
        <f t="array" ref="O497">AVERAGE(VLOOKUP(_xlfn.TEXTSPLIT(Table1[[#This Row],[Fuel (no space after comma)]], ","), FuelList_Final_EF!$A$2:$B$32, 2, FALSE))</f>
        <v>105.42962572482868</v>
      </c>
      <c r="P497" s="2">
        <f>(16112*Table1[[#This Row],[Generation (TWh)]]*10^9)/10^6</f>
        <v>4064864.2560000005</v>
      </c>
      <c r="Q497" s="2">
        <f>Table1[[#This Row],[Emission Factor (kg CO2/ mmBtu)]]*Table1[[#This Row],[Fuel Consumption (mmBtu)]]*10^3</f>
        <v>428557117132.31427</v>
      </c>
      <c r="R497" s="2">
        <f>(Table1[[#This Row],[CO2 Emissions (g CO2)]])/(Table1[[#This Row],[Generation (TWh)]]*10^9)</f>
        <v>1698.6821296784401</v>
      </c>
    </row>
    <row r="498" spans="1:18" hidden="1">
      <c r="A498" t="s">
        <v>54</v>
      </c>
      <c r="B498" t="s">
        <v>41</v>
      </c>
      <c r="C498" t="str">
        <f>SUBSTITUTE(Table1[[#This Row],[Fuel]],", ",",")</f>
        <v>bioenergy: refuse (municipal and industrial wastes),bioenergy: wastewater and sewage sludge (solids or biogas)</v>
      </c>
      <c r="D498" t="s">
        <v>19</v>
      </c>
      <c r="E498" t="s">
        <v>42</v>
      </c>
      <c r="G498">
        <v>50</v>
      </c>
      <c r="H498" t="s">
        <v>53</v>
      </c>
      <c r="I498">
        <v>2024</v>
      </c>
      <c r="J498" t="s">
        <v>21</v>
      </c>
      <c r="K498">
        <v>23.405000000000001</v>
      </c>
      <c r="L498">
        <v>112.85250000000001</v>
      </c>
      <c r="M498" t="s">
        <v>102</v>
      </c>
      <c r="N498" s="2">
        <f>Table1[[#This Row],[Capacity (MW)]]*8760*0.72*10^-6</f>
        <v>0.31535999999999997</v>
      </c>
      <c r="O498" s="2" cm="1">
        <f t="array" ref="O498">AVERAGE(VLOOKUP(_xlfn.TEXTSPLIT(Table1[[#This Row],[Fuel (no space after comma)]], ","), FuelList_Final_EF!$A$2:$B$32, 2, FALSE))</f>
        <v>81.497100685292565</v>
      </c>
      <c r="P498" s="2">
        <f>(16112*Table1[[#This Row],[Generation (TWh)]]*10^9)/10^6</f>
        <v>5081080.32</v>
      </c>
      <c r="Q498" s="2">
        <f>Table1[[#This Row],[Emission Factor (kg CO2/ mmBtu)]]*Table1[[#This Row],[Fuel Consumption (mmBtu)]]*10^3</f>
        <v>414093314429.09863</v>
      </c>
      <c r="R498" s="2">
        <f>(Table1[[#This Row],[CO2 Emissions (g CO2)]])/(Table1[[#This Row],[Generation (TWh)]]*10^9)</f>
        <v>1313.0812862414341</v>
      </c>
    </row>
    <row r="499" spans="1:18" hidden="1">
      <c r="A499" t="s">
        <v>435</v>
      </c>
      <c r="B499" t="s">
        <v>19</v>
      </c>
      <c r="C499" t="str">
        <f>SUBSTITUTE(Table1[[#This Row],[Fuel]],", ",",")</f>
        <v>bioenergy: refuse (municipal and industrial wastes)</v>
      </c>
      <c r="D499" t="s">
        <v>19</v>
      </c>
      <c r="G499">
        <v>50</v>
      </c>
      <c r="H499" t="s">
        <v>27</v>
      </c>
      <c r="I499">
        <v>2023</v>
      </c>
      <c r="J499" t="s">
        <v>21</v>
      </c>
      <c r="K499">
        <v>23.286799999999999</v>
      </c>
      <c r="L499">
        <v>113.5063</v>
      </c>
      <c r="M499" t="s">
        <v>102</v>
      </c>
      <c r="N499" s="2">
        <f>Table1[[#This Row],[Capacity (MW)]]*8760*0.72*10^-6</f>
        <v>0.31535999999999997</v>
      </c>
      <c r="O499" s="2" cm="1">
        <f t="array" ref="O499">AVERAGE(VLOOKUP(_xlfn.TEXTSPLIT(Table1[[#This Row],[Fuel (no space after comma)]], ","), FuelList_Final_EF!$A$2:$B$32, 2, FALSE))</f>
        <v>105.42962572482868</v>
      </c>
      <c r="P499" s="2">
        <f>(16112*Table1[[#This Row],[Generation (TWh)]]*10^9)/10^6</f>
        <v>5081080.32</v>
      </c>
      <c r="Q499" s="2">
        <f>Table1[[#This Row],[Emission Factor (kg CO2/ mmBtu)]]*Table1[[#This Row],[Fuel Consumption (mmBtu)]]*10^3</f>
        <v>535696396415.39276</v>
      </c>
      <c r="R499" s="2">
        <f>(Table1[[#This Row],[CO2 Emissions (g CO2)]])/(Table1[[#This Row],[Generation (TWh)]]*10^9)</f>
        <v>1698.6821296784397</v>
      </c>
    </row>
    <row r="500" spans="1:18" hidden="1">
      <c r="A500" t="s">
        <v>435</v>
      </c>
      <c r="B500" t="s">
        <v>19</v>
      </c>
      <c r="C500" t="str">
        <f>SUBSTITUTE(Table1[[#This Row],[Fuel]],", ",",")</f>
        <v>bioenergy: refuse (municipal and industrial wastes)</v>
      </c>
      <c r="D500" t="s">
        <v>19</v>
      </c>
      <c r="G500">
        <v>50</v>
      </c>
      <c r="H500" t="s">
        <v>27</v>
      </c>
      <c r="I500">
        <v>2023</v>
      </c>
      <c r="J500" t="s">
        <v>21</v>
      </c>
      <c r="K500">
        <v>23.286799999999999</v>
      </c>
      <c r="L500">
        <v>113.5063</v>
      </c>
      <c r="M500" t="s">
        <v>102</v>
      </c>
      <c r="N500" s="2">
        <f>Table1[[#This Row],[Capacity (MW)]]*8760*0.72*10^-6</f>
        <v>0.31535999999999997</v>
      </c>
      <c r="O500" s="2" cm="1">
        <f t="array" ref="O500">AVERAGE(VLOOKUP(_xlfn.TEXTSPLIT(Table1[[#This Row],[Fuel (no space after comma)]], ","), FuelList_Final_EF!$A$2:$B$32, 2, FALSE))</f>
        <v>105.42962572482868</v>
      </c>
      <c r="P500" s="2">
        <f>(16112*Table1[[#This Row],[Generation (TWh)]]*10^9)/10^6</f>
        <v>5081080.32</v>
      </c>
      <c r="Q500" s="2">
        <f>Table1[[#This Row],[Emission Factor (kg CO2/ mmBtu)]]*Table1[[#This Row],[Fuel Consumption (mmBtu)]]*10^3</f>
        <v>535696396415.39276</v>
      </c>
      <c r="R500" s="2">
        <f>(Table1[[#This Row],[CO2 Emissions (g CO2)]])/(Table1[[#This Row],[Generation (TWh)]]*10^9)</f>
        <v>1698.6821296784397</v>
      </c>
    </row>
    <row r="501" spans="1:18" hidden="1">
      <c r="A501" t="s">
        <v>435</v>
      </c>
      <c r="B501" t="s">
        <v>19</v>
      </c>
      <c r="C501" t="str">
        <f>SUBSTITUTE(Table1[[#This Row],[Fuel]],", ",",")</f>
        <v>bioenergy: refuse (municipal and industrial wastes)</v>
      </c>
      <c r="D501" t="s">
        <v>19</v>
      </c>
      <c r="G501">
        <v>50</v>
      </c>
      <c r="H501" t="s">
        <v>27</v>
      </c>
      <c r="I501">
        <v>2023</v>
      </c>
      <c r="J501" t="s">
        <v>21</v>
      </c>
      <c r="K501">
        <v>23.286799999999999</v>
      </c>
      <c r="L501">
        <v>113.5063</v>
      </c>
      <c r="M501" t="s">
        <v>102</v>
      </c>
      <c r="N501" s="2">
        <f>Table1[[#This Row],[Capacity (MW)]]*8760*0.72*10^-6</f>
        <v>0.31535999999999997</v>
      </c>
      <c r="O501" s="2" cm="1">
        <f t="array" ref="O501">AVERAGE(VLOOKUP(_xlfn.TEXTSPLIT(Table1[[#This Row],[Fuel (no space after comma)]], ","), FuelList_Final_EF!$A$2:$B$32, 2, FALSE))</f>
        <v>105.42962572482868</v>
      </c>
      <c r="P501" s="2">
        <f>(16112*Table1[[#This Row],[Generation (TWh)]]*10^9)/10^6</f>
        <v>5081080.32</v>
      </c>
      <c r="Q501" s="2">
        <f>Table1[[#This Row],[Emission Factor (kg CO2/ mmBtu)]]*Table1[[#This Row],[Fuel Consumption (mmBtu)]]*10^3</f>
        <v>535696396415.39276</v>
      </c>
      <c r="R501" s="2">
        <f>(Table1[[#This Row],[CO2 Emissions (g CO2)]])/(Table1[[#This Row],[Generation (TWh)]]*10^9)</f>
        <v>1698.6821296784397</v>
      </c>
    </row>
    <row r="502" spans="1:18">
      <c r="A502" t="s">
        <v>54</v>
      </c>
      <c r="B502" t="s">
        <v>19</v>
      </c>
      <c r="C502" t="str">
        <f>SUBSTITUTE(Table1[[#This Row],[Fuel]],", ",",")</f>
        <v>bioenergy: refuse (municipal and industrial wastes)</v>
      </c>
      <c r="D502" t="s">
        <v>19</v>
      </c>
      <c r="G502">
        <v>30</v>
      </c>
      <c r="H502" t="s">
        <v>20</v>
      </c>
      <c r="I502" t="s">
        <v>21</v>
      </c>
      <c r="J502" t="s">
        <v>21</v>
      </c>
      <c r="K502">
        <v>23.6571</v>
      </c>
      <c r="L502">
        <v>114.69110000000001</v>
      </c>
      <c r="M502" t="s">
        <v>102</v>
      </c>
      <c r="N502" s="2">
        <f>Table1[[#This Row],[Capacity (MW)]]*8760*0.72*10^-6</f>
        <v>0.189216</v>
      </c>
      <c r="O502" s="2" cm="1">
        <f t="array" ref="O502">AVERAGE(VLOOKUP(_xlfn.TEXTSPLIT(Table1[[#This Row],[Fuel (no space after comma)]], ","), FuelList_Final_EF!$A$2:$B$32, 2, FALSE))</f>
        <v>105.42962572482868</v>
      </c>
      <c r="P502" s="2">
        <f>(16112*Table1[[#This Row],[Generation (TWh)]]*10^9)/10^6</f>
        <v>3048648.1919999998</v>
      </c>
      <c r="Q502" s="2">
        <f>Table1[[#This Row],[Emission Factor (kg CO2/ mmBtu)]]*Table1[[#This Row],[Fuel Consumption (mmBtu)]]*10^3</f>
        <v>321417837849.23566</v>
      </c>
      <c r="R502" s="2">
        <f>(Table1[[#This Row],[CO2 Emissions (g CO2)]])/(Table1[[#This Row],[Generation (TWh)]]*10^9)</f>
        <v>1698.6821296784397</v>
      </c>
    </row>
    <row r="503" spans="1:18" hidden="1">
      <c r="A503" t="s">
        <v>440</v>
      </c>
      <c r="B503" t="s">
        <v>19</v>
      </c>
      <c r="C503" t="str">
        <f>SUBSTITUTE(Table1[[#This Row],[Fuel]],", ",",")</f>
        <v>bioenergy: refuse (municipal and industrial wastes)</v>
      </c>
      <c r="D503" t="s">
        <v>19</v>
      </c>
      <c r="G503">
        <v>50</v>
      </c>
      <c r="H503" t="s">
        <v>27</v>
      </c>
      <c r="I503">
        <v>2021</v>
      </c>
      <c r="J503" t="s">
        <v>21</v>
      </c>
      <c r="K503">
        <v>23.3933</v>
      </c>
      <c r="L503">
        <v>113.02249999999999</v>
      </c>
      <c r="M503" t="s">
        <v>102</v>
      </c>
      <c r="N503" s="2">
        <f>Table1[[#This Row],[Capacity (MW)]]*8760*0.72*10^-6</f>
        <v>0.31535999999999997</v>
      </c>
      <c r="O503" s="2" cm="1">
        <f t="array" ref="O503">AVERAGE(VLOOKUP(_xlfn.TEXTSPLIT(Table1[[#This Row],[Fuel (no space after comma)]], ","), FuelList_Final_EF!$A$2:$B$32, 2, FALSE))</f>
        <v>105.42962572482868</v>
      </c>
      <c r="P503" s="2">
        <f>(16112*Table1[[#This Row],[Generation (TWh)]]*10^9)/10^6</f>
        <v>5081080.32</v>
      </c>
      <c r="Q503" s="2">
        <f>Table1[[#This Row],[Emission Factor (kg CO2/ mmBtu)]]*Table1[[#This Row],[Fuel Consumption (mmBtu)]]*10^3</f>
        <v>535696396415.39276</v>
      </c>
      <c r="R503" s="2">
        <f>(Table1[[#This Row],[CO2 Emissions (g CO2)]])/(Table1[[#This Row],[Generation (TWh)]]*10^9)</f>
        <v>1698.6821296784397</v>
      </c>
    </row>
    <row r="504" spans="1:18" hidden="1">
      <c r="A504" t="s">
        <v>440</v>
      </c>
      <c r="B504" t="s">
        <v>19</v>
      </c>
      <c r="C504" t="str">
        <f>SUBSTITUTE(Table1[[#This Row],[Fuel]],", ",",")</f>
        <v>bioenergy: refuse (municipal and industrial wastes)</v>
      </c>
      <c r="D504" t="s">
        <v>19</v>
      </c>
      <c r="G504">
        <v>50</v>
      </c>
      <c r="H504" t="s">
        <v>27</v>
      </c>
      <c r="I504">
        <v>2021</v>
      </c>
      <c r="J504" t="s">
        <v>21</v>
      </c>
      <c r="K504">
        <v>23.3933</v>
      </c>
      <c r="L504">
        <v>113.02249999999999</v>
      </c>
      <c r="M504" t="s">
        <v>102</v>
      </c>
      <c r="N504" s="2">
        <f>Table1[[#This Row],[Capacity (MW)]]*8760*0.72*10^-6</f>
        <v>0.31535999999999997</v>
      </c>
      <c r="O504" s="2" cm="1">
        <f t="array" ref="O504">AVERAGE(VLOOKUP(_xlfn.TEXTSPLIT(Table1[[#This Row],[Fuel (no space after comma)]], ","), FuelList_Final_EF!$A$2:$B$32, 2, FALSE))</f>
        <v>105.42962572482868</v>
      </c>
      <c r="P504" s="2">
        <f>(16112*Table1[[#This Row],[Generation (TWh)]]*10^9)/10^6</f>
        <v>5081080.32</v>
      </c>
      <c r="Q504" s="2">
        <f>Table1[[#This Row],[Emission Factor (kg CO2/ mmBtu)]]*Table1[[#This Row],[Fuel Consumption (mmBtu)]]*10^3</f>
        <v>535696396415.39276</v>
      </c>
      <c r="R504" s="2">
        <f>(Table1[[#This Row],[CO2 Emissions (g CO2)]])/(Table1[[#This Row],[Generation (TWh)]]*10^9)</f>
        <v>1698.6821296784397</v>
      </c>
    </row>
    <row r="505" spans="1:18" hidden="1">
      <c r="A505" t="s">
        <v>436</v>
      </c>
      <c r="B505" t="s">
        <v>19</v>
      </c>
      <c r="C505" t="str">
        <f>SUBSTITUTE(Table1[[#This Row],[Fuel]],", ",",")</f>
        <v>bioenergy: refuse (municipal and industrial wastes)</v>
      </c>
      <c r="D505" t="s">
        <v>19</v>
      </c>
      <c r="G505">
        <v>15.3</v>
      </c>
      <c r="H505" t="s">
        <v>27</v>
      </c>
      <c r="I505">
        <v>2023</v>
      </c>
      <c r="J505" t="s">
        <v>21</v>
      </c>
      <c r="K505">
        <v>23.0793</v>
      </c>
      <c r="L505">
        <v>114.2246</v>
      </c>
      <c r="M505" t="s">
        <v>102</v>
      </c>
      <c r="N505" s="2">
        <f>Table1[[#This Row],[Capacity (MW)]]*8760*0.72*10^-6</f>
        <v>9.6500160000000001E-2</v>
      </c>
      <c r="O505" s="2" cm="1">
        <f t="array" ref="O505">AVERAGE(VLOOKUP(_xlfn.TEXTSPLIT(Table1[[#This Row],[Fuel (no space after comma)]], ","), FuelList_Final_EF!$A$2:$B$32, 2, FALSE))</f>
        <v>105.42962572482868</v>
      </c>
      <c r="P505" s="2">
        <f>(16112*Table1[[#This Row],[Generation (TWh)]]*10^9)/10^6</f>
        <v>1554810.5779200001</v>
      </c>
      <c r="Q505" s="2">
        <f>Table1[[#This Row],[Emission Factor (kg CO2/ mmBtu)]]*Table1[[#This Row],[Fuel Consumption (mmBtu)]]*10^3</f>
        <v>163923097303.11017</v>
      </c>
      <c r="R505" s="2">
        <f>(Table1[[#This Row],[CO2 Emissions (g CO2)]])/(Table1[[#This Row],[Generation (TWh)]]*10^9)</f>
        <v>1698.6821296784397</v>
      </c>
    </row>
    <row r="506" spans="1:18" hidden="1">
      <c r="A506" t="s">
        <v>441</v>
      </c>
      <c r="B506" t="s">
        <v>19</v>
      </c>
      <c r="C506" t="str">
        <f>SUBSTITUTE(Table1[[#This Row],[Fuel]],", ",",")</f>
        <v>bioenergy: refuse (municipal and industrial wastes)</v>
      </c>
      <c r="D506" t="s">
        <v>19</v>
      </c>
      <c r="G506">
        <v>10.199999999999999</v>
      </c>
      <c r="H506" t="s">
        <v>27</v>
      </c>
      <c r="I506">
        <v>2023</v>
      </c>
      <c r="J506" t="s">
        <v>21</v>
      </c>
      <c r="K506">
        <v>23.0793</v>
      </c>
      <c r="L506">
        <v>114.2246</v>
      </c>
      <c r="M506" t="s">
        <v>102</v>
      </c>
      <c r="N506" s="2">
        <f>Table1[[#This Row],[Capacity (MW)]]*8760*0.72*10^-6</f>
        <v>6.4333439999999992E-2</v>
      </c>
      <c r="O506" s="2" cm="1">
        <f t="array" ref="O506">AVERAGE(VLOOKUP(_xlfn.TEXTSPLIT(Table1[[#This Row],[Fuel (no space after comma)]], ","), FuelList_Final_EF!$A$2:$B$32, 2, FALSE))</f>
        <v>105.42962572482868</v>
      </c>
      <c r="P506" s="2">
        <f>(16112*Table1[[#This Row],[Generation (TWh)]]*10^9)/10^6</f>
        <v>1036540.3852799998</v>
      </c>
      <c r="Q506" s="2">
        <f>Table1[[#This Row],[Emission Factor (kg CO2/ mmBtu)]]*Table1[[#This Row],[Fuel Consumption (mmBtu)]]*10^3</f>
        <v>109282064868.7401</v>
      </c>
      <c r="R506" s="2">
        <f>(Table1[[#This Row],[CO2 Emissions (g CO2)]])/(Table1[[#This Row],[Generation (TWh)]]*10^9)</f>
        <v>1698.6821296784397</v>
      </c>
    </row>
    <row r="507" spans="1:18" hidden="1">
      <c r="A507" t="s">
        <v>442</v>
      </c>
      <c r="B507" t="s">
        <v>19</v>
      </c>
      <c r="C507" t="str">
        <f>SUBSTITUTE(Table1[[#This Row],[Fuel]],", ",",")</f>
        <v>bioenergy: refuse (municipal and industrial wastes)</v>
      </c>
      <c r="D507" t="s">
        <v>19</v>
      </c>
      <c r="G507">
        <v>4.5</v>
      </c>
      <c r="H507" t="s">
        <v>27</v>
      </c>
      <c r="I507">
        <v>2023</v>
      </c>
      <c r="J507" t="s">
        <v>21</v>
      </c>
      <c r="K507">
        <v>23.0793</v>
      </c>
      <c r="L507">
        <v>114.2246</v>
      </c>
      <c r="M507" t="s">
        <v>102</v>
      </c>
      <c r="N507" s="2">
        <f>Table1[[#This Row],[Capacity (MW)]]*8760*0.72*10^-6</f>
        <v>2.8382399999999995E-2</v>
      </c>
      <c r="O507" s="2" cm="1">
        <f t="array" ref="O507">AVERAGE(VLOOKUP(_xlfn.TEXTSPLIT(Table1[[#This Row],[Fuel (no space after comma)]], ","), FuelList_Final_EF!$A$2:$B$32, 2, FALSE))</f>
        <v>105.42962572482868</v>
      </c>
      <c r="P507" s="2">
        <f>(16112*Table1[[#This Row],[Generation (TWh)]]*10^9)/10^6</f>
        <v>457297.22879999992</v>
      </c>
      <c r="Q507" s="2">
        <f>Table1[[#This Row],[Emission Factor (kg CO2/ mmBtu)]]*Table1[[#This Row],[Fuel Consumption (mmBtu)]]*10^3</f>
        <v>48212675677.385338</v>
      </c>
      <c r="R507" s="2">
        <f>(Table1[[#This Row],[CO2 Emissions (g CO2)]])/(Table1[[#This Row],[Generation (TWh)]]*10^9)</f>
        <v>1698.6821296784397</v>
      </c>
    </row>
    <row r="508" spans="1:18" hidden="1">
      <c r="A508" t="s">
        <v>192</v>
      </c>
      <c r="B508" t="s">
        <v>19</v>
      </c>
      <c r="C508" t="str">
        <f>SUBSTITUTE(Table1[[#This Row],[Fuel]],", ",",")</f>
        <v>bioenergy: refuse (municipal and industrial wastes)</v>
      </c>
      <c r="D508" t="s">
        <v>19</v>
      </c>
      <c r="G508">
        <v>35</v>
      </c>
      <c r="H508" t="s">
        <v>27</v>
      </c>
      <c r="I508">
        <v>2021</v>
      </c>
      <c r="J508" t="s">
        <v>21</v>
      </c>
      <c r="K508">
        <v>22.853999999999999</v>
      </c>
      <c r="L508">
        <v>114.512</v>
      </c>
      <c r="M508" t="s">
        <v>102</v>
      </c>
      <c r="N508" s="2">
        <f>Table1[[#This Row],[Capacity (MW)]]*8760*0.72*10^-6</f>
        <v>0.220752</v>
      </c>
      <c r="O508" s="2" cm="1">
        <f t="array" ref="O508">AVERAGE(VLOOKUP(_xlfn.TEXTSPLIT(Table1[[#This Row],[Fuel (no space after comma)]], ","), FuelList_Final_EF!$A$2:$B$32, 2, FALSE))</f>
        <v>105.42962572482868</v>
      </c>
      <c r="P508" s="2">
        <f>(16112*Table1[[#This Row],[Generation (TWh)]]*10^9)/10^6</f>
        <v>3556756.2239999999</v>
      </c>
      <c r="Q508" s="2">
        <f>Table1[[#This Row],[Emission Factor (kg CO2/ mmBtu)]]*Table1[[#This Row],[Fuel Consumption (mmBtu)]]*10^3</f>
        <v>374987477490.7749</v>
      </c>
      <c r="R508" s="2">
        <f>(Table1[[#This Row],[CO2 Emissions (g CO2)]])/(Table1[[#This Row],[Generation (TWh)]]*10^9)</f>
        <v>1698.6821296784397</v>
      </c>
    </row>
    <row r="509" spans="1:18" hidden="1">
      <c r="A509" t="s">
        <v>192</v>
      </c>
      <c r="B509" t="s">
        <v>19</v>
      </c>
      <c r="C509" t="str">
        <f>SUBSTITUTE(Table1[[#This Row],[Fuel]],", ",",")</f>
        <v>bioenergy: refuse (municipal and industrial wastes)</v>
      </c>
      <c r="D509" t="s">
        <v>19</v>
      </c>
      <c r="G509">
        <v>35</v>
      </c>
      <c r="H509" t="s">
        <v>27</v>
      </c>
      <c r="I509">
        <v>2021</v>
      </c>
      <c r="J509" t="s">
        <v>21</v>
      </c>
      <c r="K509">
        <v>22.853999999999999</v>
      </c>
      <c r="L509">
        <v>114.512</v>
      </c>
      <c r="M509" t="s">
        <v>102</v>
      </c>
      <c r="N509" s="2">
        <f>Table1[[#This Row],[Capacity (MW)]]*8760*0.72*10^-6</f>
        <v>0.220752</v>
      </c>
      <c r="O509" s="2" cm="1">
        <f t="array" ref="O509">AVERAGE(VLOOKUP(_xlfn.TEXTSPLIT(Table1[[#This Row],[Fuel (no space after comma)]], ","), FuelList_Final_EF!$A$2:$B$32, 2, FALSE))</f>
        <v>105.42962572482868</v>
      </c>
      <c r="P509" s="2">
        <f>(16112*Table1[[#This Row],[Generation (TWh)]]*10^9)/10^6</f>
        <v>3556756.2239999999</v>
      </c>
      <c r="Q509" s="2">
        <f>Table1[[#This Row],[Emission Factor (kg CO2/ mmBtu)]]*Table1[[#This Row],[Fuel Consumption (mmBtu)]]*10^3</f>
        <v>374987477490.7749</v>
      </c>
      <c r="R509" s="2">
        <f>(Table1[[#This Row],[CO2 Emissions (g CO2)]])/(Table1[[#This Row],[Generation (TWh)]]*10^9)</f>
        <v>1698.6821296784397</v>
      </c>
    </row>
    <row r="510" spans="1:18" hidden="1">
      <c r="A510" t="s">
        <v>192</v>
      </c>
      <c r="B510" t="s">
        <v>19</v>
      </c>
      <c r="C510" t="str">
        <f>SUBSTITUTE(Table1[[#This Row],[Fuel]],", ",",")</f>
        <v>bioenergy: refuse (municipal and industrial wastes)</v>
      </c>
      <c r="D510" t="s">
        <v>19</v>
      </c>
      <c r="G510">
        <v>40</v>
      </c>
      <c r="H510" t="s">
        <v>27</v>
      </c>
      <c r="I510">
        <v>2021</v>
      </c>
      <c r="J510" t="s">
        <v>21</v>
      </c>
      <c r="K510">
        <v>22.853400000000001</v>
      </c>
      <c r="L510">
        <v>114.51220000000001</v>
      </c>
      <c r="M510" t="s">
        <v>102</v>
      </c>
      <c r="N510" s="2">
        <f>Table1[[#This Row],[Capacity (MW)]]*8760*0.72*10^-6</f>
        <v>0.25228800000000001</v>
      </c>
      <c r="O510" s="2" cm="1">
        <f t="array" ref="O510">AVERAGE(VLOOKUP(_xlfn.TEXTSPLIT(Table1[[#This Row],[Fuel (no space after comma)]], ","), FuelList_Final_EF!$A$2:$B$32, 2, FALSE))</f>
        <v>105.42962572482868</v>
      </c>
      <c r="P510" s="2">
        <f>(16112*Table1[[#This Row],[Generation (TWh)]]*10^9)/10^6</f>
        <v>4064864.2560000005</v>
      </c>
      <c r="Q510" s="2">
        <f>Table1[[#This Row],[Emission Factor (kg CO2/ mmBtu)]]*Table1[[#This Row],[Fuel Consumption (mmBtu)]]*10^3</f>
        <v>428557117132.31427</v>
      </c>
      <c r="R510" s="2">
        <f>(Table1[[#This Row],[CO2 Emissions (g CO2)]])/(Table1[[#This Row],[Generation (TWh)]]*10^9)</f>
        <v>1698.6821296784401</v>
      </c>
    </row>
    <row r="511" spans="1:18" hidden="1">
      <c r="A511" t="s">
        <v>443</v>
      </c>
      <c r="B511" t="s">
        <v>19</v>
      </c>
      <c r="C511" t="str">
        <f>SUBSTITUTE(Table1[[#This Row],[Fuel]],", ",",")</f>
        <v>bioenergy: refuse (municipal and industrial wastes)</v>
      </c>
      <c r="D511" t="s">
        <v>19</v>
      </c>
      <c r="G511">
        <v>11.25</v>
      </c>
      <c r="H511" t="s">
        <v>27</v>
      </c>
      <c r="I511">
        <v>2023</v>
      </c>
      <c r="J511" t="s">
        <v>21</v>
      </c>
      <c r="K511">
        <v>22.657800000000002</v>
      </c>
      <c r="L511">
        <v>113.0076</v>
      </c>
      <c r="M511" t="s">
        <v>102</v>
      </c>
      <c r="N511" s="2">
        <f>Table1[[#This Row],[Capacity (MW)]]*8760*0.72*10^-6</f>
        <v>7.0955999999999991E-2</v>
      </c>
      <c r="O511" s="2" cm="1">
        <f t="array" ref="O511">AVERAGE(VLOOKUP(_xlfn.TEXTSPLIT(Table1[[#This Row],[Fuel (no space after comma)]], ","), FuelList_Final_EF!$A$2:$B$32, 2, FALSE))</f>
        <v>105.42962572482868</v>
      </c>
      <c r="P511" s="2">
        <f>(16112*Table1[[#This Row],[Generation (TWh)]]*10^9)/10^6</f>
        <v>1143243.0719999997</v>
      </c>
      <c r="Q511" s="2">
        <f>Table1[[#This Row],[Emission Factor (kg CO2/ mmBtu)]]*Table1[[#This Row],[Fuel Consumption (mmBtu)]]*10^3</f>
        <v>120531689193.46333</v>
      </c>
      <c r="R511" s="2">
        <f>(Table1[[#This Row],[CO2 Emissions (g CO2)]])/(Table1[[#This Row],[Generation (TWh)]]*10^9)</f>
        <v>1698.6821296784397</v>
      </c>
    </row>
    <row r="512" spans="1:18" hidden="1">
      <c r="A512" t="s">
        <v>444</v>
      </c>
      <c r="B512" t="s">
        <v>19</v>
      </c>
      <c r="C512" t="str">
        <f>SUBSTITUTE(Table1[[#This Row],[Fuel]],", ",",")</f>
        <v>bioenergy: refuse (municipal and industrial wastes)</v>
      </c>
      <c r="D512" t="s">
        <v>19</v>
      </c>
      <c r="G512">
        <v>18</v>
      </c>
      <c r="H512" t="s">
        <v>27</v>
      </c>
      <c r="I512">
        <v>2023</v>
      </c>
      <c r="J512" t="s">
        <v>21</v>
      </c>
      <c r="K512">
        <v>22.657800000000002</v>
      </c>
      <c r="L512">
        <v>113.0076</v>
      </c>
      <c r="M512" t="s">
        <v>102</v>
      </c>
      <c r="N512" s="2">
        <f>Table1[[#This Row],[Capacity (MW)]]*8760*0.72*10^-6</f>
        <v>0.11352959999999998</v>
      </c>
      <c r="O512" s="2" cm="1">
        <f t="array" ref="O512">AVERAGE(VLOOKUP(_xlfn.TEXTSPLIT(Table1[[#This Row],[Fuel (no space after comma)]], ","), FuelList_Final_EF!$A$2:$B$32, 2, FALSE))</f>
        <v>105.42962572482868</v>
      </c>
      <c r="P512" s="2">
        <f>(16112*Table1[[#This Row],[Generation (TWh)]]*10^9)/10^6</f>
        <v>1829188.9151999997</v>
      </c>
      <c r="Q512" s="2">
        <f>Table1[[#This Row],[Emission Factor (kg CO2/ mmBtu)]]*Table1[[#This Row],[Fuel Consumption (mmBtu)]]*10^3</f>
        <v>192850702709.54135</v>
      </c>
      <c r="R512" s="2">
        <f>(Table1[[#This Row],[CO2 Emissions (g CO2)]])/(Table1[[#This Row],[Generation (TWh)]]*10^9)</f>
        <v>1698.6821296784397</v>
      </c>
    </row>
    <row r="513" spans="1:18" hidden="1">
      <c r="A513" t="s">
        <v>445</v>
      </c>
      <c r="B513" t="s">
        <v>19</v>
      </c>
      <c r="C513" t="str">
        <f>SUBSTITUTE(Table1[[#This Row],[Fuel]],", ",",")</f>
        <v>bioenergy: refuse (municipal and industrial wastes)</v>
      </c>
      <c r="D513" t="s">
        <v>19</v>
      </c>
      <c r="G513">
        <v>15.75</v>
      </c>
      <c r="H513" t="s">
        <v>27</v>
      </c>
      <c r="I513">
        <v>2023</v>
      </c>
      <c r="J513" t="s">
        <v>21</v>
      </c>
      <c r="K513">
        <v>22.657800000000002</v>
      </c>
      <c r="L513">
        <v>113.0076</v>
      </c>
      <c r="M513" t="s">
        <v>102</v>
      </c>
      <c r="N513" s="2">
        <f>Table1[[#This Row],[Capacity (MW)]]*8760*0.72*10^-6</f>
        <v>9.9338399999999993E-2</v>
      </c>
      <c r="O513" s="2" cm="1">
        <f t="array" ref="O513">AVERAGE(VLOOKUP(_xlfn.TEXTSPLIT(Table1[[#This Row],[Fuel (no space after comma)]], ","), FuelList_Final_EF!$A$2:$B$32, 2, FALSE))</f>
        <v>105.42962572482868</v>
      </c>
      <c r="P513" s="2">
        <f>(16112*Table1[[#This Row],[Generation (TWh)]]*10^9)/10^6</f>
        <v>1600540.3007999999</v>
      </c>
      <c r="Q513" s="2">
        <f>Table1[[#This Row],[Emission Factor (kg CO2/ mmBtu)]]*Table1[[#This Row],[Fuel Consumption (mmBtu)]]*10^3</f>
        <v>168744364870.84872</v>
      </c>
      <c r="R513" s="2">
        <f>(Table1[[#This Row],[CO2 Emissions (g CO2)]])/(Table1[[#This Row],[Generation (TWh)]]*10^9)</f>
        <v>1698.6821296784399</v>
      </c>
    </row>
    <row r="514" spans="1:18">
      <c r="A514" t="s">
        <v>443</v>
      </c>
      <c r="B514" t="s">
        <v>19</v>
      </c>
      <c r="C514" t="str">
        <f>SUBSTITUTE(Table1[[#This Row],[Fuel]],", ",",")</f>
        <v>bioenergy: refuse (municipal and industrial wastes)</v>
      </c>
      <c r="D514" t="s">
        <v>19</v>
      </c>
      <c r="G514">
        <v>40</v>
      </c>
      <c r="H514" t="s">
        <v>53</v>
      </c>
      <c r="I514" t="s">
        <v>21</v>
      </c>
      <c r="J514" t="s">
        <v>21</v>
      </c>
      <c r="K514">
        <v>23.657291000000001</v>
      </c>
      <c r="L514">
        <v>116.486069</v>
      </c>
      <c r="M514" t="s">
        <v>102</v>
      </c>
      <c r="N514" s="2">
        <f>Table1[[#This Row],[Capacity (MW)]]*8760*0.72*10^-6</f>
        <v>0.25228800000000001</v>
      </c>
      <c r="O514" s="2" cm="1">
        <f t="array" ref="O514">AVERAGE(VLOOKUP(_xlfn.TEXTSPLIT(Table1[[#This Row],[Fuel (no space after comma)]], ","), FuelList_Final_EF!$A$2:$B$32, 2, FALSE))</f>
        <v>105.42962572482868</v>
      </c>
      <c r="P514" s="2">
        <f>(16112*Table1[[#This Row],[Generation (TWh)]]*10^9)/10^6</f>
        <v>4064864.2560000005</v>
      </c>
      <c r="Q514" s="2">
        <f>Table1[[#This Row],[Emission Factor (kg CO2/ mmBtu)]]*Table1[[#This Row],[Fuel Consumption (mmBtu)]]*10^3</f>
        <v>428557117132.31427</v>
      </c>
      <c r="R514" s="2">
        <f>(Table1[[#This Row],[CO2 Emissions (g CO2)]])/(Table1[[#This Row],[Generation (TWh)]]*10^9)</f>
        <v>1698.6821296784401</v>
      </c>
    </row>
    <row r="515" spans="1:18" hidden="1">
      <c r="A515" t="s">
        <v>446</v>
      </c>
      <c r="B515" t="s">
        <v>19</v>
      </c>
      <c r="C515" t="str">
        <f>SUBSTITUTE(Table1[[#This Row],[Fuel]],", ",",")</f>
        <v>bioenergy: refuse (municipal and industrial wastes)</v>
      </c>
      <c r="D515" t="s">
        <v>19</v>
      </c>
      <c r="G515">
        <v>50</v>
      </c>
      <c r="H515" t="s">
        <v>27</v>
      </c>
      <c r="I515">
        <v>2013</v>
      </c>
      <c r="J515" t="s">
        <v>21</v>
      </c>
      <c r="K515">
        <v>23.293800000000001</v>
      </c>
      <c r="L515">
        <v>113.3554</v>
      </c>
      <c r="M515" t="s">
        <v>102</v>
      </c>
      <c r="N515" s="2">
        <f>Table1[[#This Row],[Capacity (MW)]]*8760*0.72*10^-6</f>
        <v>0.31535999999999997</v>
      </c>
      <c r="O515" s="2" cm="1">
        <f t="array" ref="O515">AVERAGE(VLOOKUP(_xlfn.TEXTSPLIT(Table1[[#This Row],[Fuel (no space after comma)]], ","), FuelList_Final_EF!$A$2:$B$32, 2, FALSE))</f>
        <v>105.42962572482868</v>
      </c>
      <c r="P515" s="2">
        <f>(16112*Table1[[#This Row],[Generation (TWh)]]*10^9)/10^6</f>
        <v>5081080.32</v>
      </c>
      <c r="Q515" s="2">
        <f>Table1[[#This Row],[Emission Factor (kg CO2/ mmBtu)]]*Table1[[#This Row],[Fuel Consumption (mmBtu)]]*10^3</f>
        <v>535696396415.39276</v>
      </c>
      <c r="R515" s="2">
        <f>(Table1[[#This Row],[CO2 Emissions (g CO2)]])/(Table1[[#This Row],[Generation (TWh)]]*10^9)</f>
        <v>1698.6821296784397</v>
      </c>
    </row>
    <row r="516" spans="1:18" hidden="1">
      <c r="A516" t="s">
        <v>435</v>
      </c>
      <c r="B516" t="s">
        <v>19</v>
      </c>
      <c r="C516" t="str">
        <f>SUBSTITUTE(Table1[[#This Row],[Fuel]],", ",",")</f>
        <v>bioenergy: refuse (municipal and industrial wastes)</v>
      </c>
      <c r="D516" t="s">
        <v>19</v>
      </c>
      <c r="G516">
        <v>50</v>
      </c>
      <c r="H516" t="s">
        <v>27</v>
      </c>
      <c r="I516">
        <v>2021</v>
      </c>
      <c r="J516" t="s">
        <v>21</v>
      </c>
      <c r="K516">
        <v>22.759</v>
      </c>
      <c r="L516">
        <v>113.4598</v>
      </c>
      <c r="M516" t="s">
        <v>102</v>
      </c>
      <c r="N516" s="2">
        <f>Table1[[#This Row],[Capacity (MW)]]*8760*0.72*10^-6</f>
        <v>0.31535999999999997</v>
      </c>
      <c r="O516" s="2" cm="1">
        <f t="array" ref="O516">AVERAGE(VLOOKUP(_xlfn.TEXTSPLIT(Table1[[#This Row],[Fuel (no space after comma)]], ","), FuelList_Final_EF!$A$2:$B$32, 2, FALSE))</f>
        <v>105.42962572482868</v>
      </c>
      <c r="P516" s="2">
        <f>(16112*Table1[[#This Row],[Generation (TWh)]]*10^9)/10^6</f>
        <v>5081080.32</v>
      </c>
      <c r="Q516" s="2">
        <f>Table1[[#This Row],[Emission Factor (kg CO2/ mmBtu)]]*Table1[[#This Row],[Fuel Consumption (mmBtu)]]*10^3</f>
        <v>535696396415.39276</v>
      </c>
      <c r="R516" s="2">
        <f>(Table1[[#This Row],[CO2 Emissions (g CO2)]])/(Table1[[#This Row],[Generation (TWh)]]*10^9)</f>
        <v>1698.6821296784397</v>
      </c>
    </row>
    <row r="517" spans="1:18" hidden="1">
      <c r="A517" t="s">
        <v>435</v>
      </c>
      <c r="B517" t="s">
        <v>19</v>
      </c>
      <c r="C517" t="str">
        <f>SUBSTITUTE(Table1[[#This Row],[Fuel]],", ",",")</f>
        <v>bioenergy: refuse (municipal and industrial wastes)</v>
      </c>
      <c r="D517" t="s">
        <v>19</v>
      </c>
      <c r="G517">
        <v>50</v>
      </c>
      <c r="H517" t="s">
        <v>27</v>
      </c>
      <c r="I517">
        <v>2021</v>
      </c>
      <c r="J517" t="s">
        <v>21</v>
      </c>
      <c r="K517">
        <v>22.759</v>
      </c>
      <c r="L517">
        <v>113.4598</v>
      </c>
      <c r="M517" t="s">
        <v>102</v>
      </c>
      <c r="N517" s="2">
        <f>Table1[[#This Row],[Capacity (MW)]]*8760*0.72*10^-6</f>
        <v>0.31535999999999997</v>
      </c>
      <c r="O517" s="2" cm="1">
        <f t="array" ref="O517">AVERAGE(VLOOKUP(_xlfn.TEXTSPLIT(Table1[[#This Row],[Fuel (no space after comma)]], ","), FuelList_Final_EF!$A$2:$B$32, 2, FALSE))</f>
        <v>105.42962572482868</v>
      </c>
      <c r="P517" s="2">
        <f>(16112*Table1[[#This Row],[Generation (TWh)]]*10^9)/10^6</f>
        <v>5081080.32</v>
      </c>
      <c r="Q517" s="2">
        <f>Table1[[#This Row],[Emission Factor (kg CO2/ mmBtu)]]*Table1[[#This Row],[Fuel Consumption (mmBtu)]]*10^3</f>
        <v>535696396415.39276</v>
      </c>
      <c r="R517" s="2">
        <f>(Table1[[#This Row],[CO2 Emissions (g CO2)]])/(Table1[[#This Row],[Generation (TWh)]]*10^9)</f>
        <v>1698.6821296784397</v>
      </c>
    </row>
    <row r="518" spans="1:18" hidden="1">
      <c r="A518" t="s">
        <v>192</v>
      </c>
      <c r="B518" t="s">
        <v>19</v>
      </c>
      <c r="C518" t="str">
        <f>SUBSTITUTE(Table1[[#This Row],[Fuel]],", ",",")</f>
        <v>bioenergy: refuse (municipal and industrial wastes)</v>
      </c>
      <c r="D518" t="s">
        <v>19</v>
      </c>
      <c r="G518">
        <v>26.25</v>
      </c>
      <c r="H518" t="s">
        <v>27</v>
      </c>
      <c r="I518">
        <v>2019</v>
      </c>
      <c r="J518" t="s">
        <v>21</v>
      </c>
      <c r="K518">
        <v>23.305499999999999</v>
      </c>
      <c r="L518">
        <v>116.4969</v>
      </c>
      <c r="M518" t="s">
        <v>102</v>
      </c>
      <c r="N518" s="2">
        <f>Table1[[#This Row],[Capacity (MW)]]*8760*0.72*10^-6</f>
        <v>0.16556399999999999</v>
      </c>
      <c r="O518" s="2" cm="1">
        <f t="array" ref="O518">AVERAGE(VLOOKUP(_xlfn.TEXTSPLIT(Table1[[#This Row],[Fuel (no space after comma)]], ","), FuelList_Final_EF!$A$2:$B$32, 2, FALSE))</f>
        <v>105.42962572482868</v>
      </c>
      <c r="P518" s="2">
        <f>(16112*Table1[[#This Row],[Generation (TWh)]]*10^9)/10^6</f>
        <v>2667567.1680000001</v>
      </c>
      <c r="Q518" s="2">
        <f>Table1[[#This Row],[Emission Factor (kg CO2/ mmBtu)]]*Table1[[#This Row],[Fuel Consumption (mmBtu)]]*10^3</f>
        <v>281240608118.08124</v>
      </c>
      <c r="R518" s="2">
        <f>(Table1[[#This Row],[CO2 Emissions (g CO2)]])/(Table1[[#This Row],[Generation (TWh)]]*10^9)</f>
        <v>1698.6821296784399</v>
      </c>
    </row>
    <row r="519" spans="1:18" hidden="1">
      <c r="A519" t="s">
        <v>447</v>
      </c>
      <c r="B519" t="s">
        <v>19</v>
      </c>
      <c r="C519" t="str">
        <f>SUBSTITUTE(Table1[[#This Row],[Fuel]],", ",",")</f>
        <v>bioenergy: refuse (municipal and industrial wastes)</v>
      </c>
      <c r="D519" t="s">
        <v>19</v>
      </c>
      <c r="G519">
        <v>8.75</v>
      </c>
      <c r="H519" t="s">
        <v>27</v>
      </c>
      <c r="I519">
        <v>2019</v>
      </c>
      <c r="J519" t="s">
        <v>21</v>
      </c>
      <c r="K519">
        <v>23.305499999999999</v>
      </c>
      <c r="L519">
        <v>116.4969</v>
      </c>
      <c r="M519" t="s">
        <v>102</v>
      </c>
      <c r="N519" s="2">
        <f>Table1[[#This Row],[Capacity (MW)]]*8760*0.72*10^-6</f>
        <v>5.5188000000000001E-2</v>
      </c>
      <c r="O519" s="2" cm="1">
        <f t="array" ref="O519">AVERAGE(VLOOKUP(_xlfn.TEXTSPLIT(Table1[[#This Row],[Fuel (no space after comma)]], ","), FuelList_Final_EF!$A$2:$B$32, 2, FALSE))</f>
        <v>105.42962572482868</v>
      </c>
      <c r="P519" s="2">
        <f>(16112*Table1[[#This Row],[Generation (TWh)]]*10^9)/10^6</f>
        <v>889189.05599999998</v>
      </c>
      <c r="Q519" s="2">
        <f>Table1[[#This Row],[Emission Factor (kg CO2/ mmBtu)]]*Table1[[#This Row],[Fuel Consumption (mmBtu)]]*10^3</f>
        <v>93746869372.693726</v>
      </c>
      <c r="R519" s="2">
        <f>(Table1[[#This Row],[CO2 Emissions (g CO2)]])/(Table1[[#This Row],[Generation (TWh)]]*10^9)</f>
        <v>1698.6821296784397</v>
      </c>
    </row>
    <row r="520" spans="1:18" hidden="1">
      <c r="A520" t="s">
        <v>448</v>
      </c>
      <c r="B520" t="s">
        <v>19</v>
      </c>
      <c r="C520" t="str">
        <f>SUBSTITUTE(Table1[[#This Row],[Fuel]],", ",",")</f>
        <v>bioenergy: refuse (municipal and industrial wastes)</v>
      </c>
      <c r="D520" t="s">
        <v>19</v>
      </c>
      <c r="G520">
        <v>45</v>
      </c>
      <c r="H520" t="s">
        <v>27</v>
      </c>
      <c r="I520">
        <v>2023</v>
      </c>
      <c r="J520" t="s">
        <v>21</v>
      </c>
      <c r="K520">
        <v>23.4466</v>
      </c>
      <c r="L520">
        <v>116.5963</v>
      </c>
      <c r="M520" t="s">
        <v>102</v>
      </c>
      <c r="N520" s="2">
        <f>Table1[[#This Row],[Capacity (MW)]]*8760*0.72*10^-6</f>
        <v>0.28382399999999997</v>
      </c>
      <c r="O520" s="2" cm="1">
        <f t="array" ref="O520">AVERAGE(VLOOKUP(_xlfn.TEXTSPLIT(Table1[[#This Row],[Fuel (no space after comma)]], ","), FuelList_Final_EF!$A$2:$B$32, 2, FALSE))</f>
        <v>105.42962572482868</v>
      </c>
      <c r="P520" s="2">
        <f>(16112*Table1[[#This Row],[Generation (TWh)]]*10^9)/10^6</f>
        <v>4572972.2879999988</v>
      </c>
      <c r="Q520" s="2">
        <f>Table1[[#This Row],[Emission Factor (kg CO2/ mmBtu)]]*Table1[[#This Row],[Fuel Consumption (mmBtu)]]*10^3</f>
        <v>482126756773.85333</v>
      </c>
      <c r="R520" s="2">
        <f>(Table1[[#This Row],[CO2 Emissions (g CO2)]])/(Table1[[#This Row],[Generation (TWh)]]*10^9)</f>
        <v>1698.6821296784397</v>
      </c>
    </row>
    <row r="521" spans="1:18" hidden="1">
      <c r="A521" t="s">
        <v>449</v>
      </c>
      <c r="B521" t="s">
        <v>105</v>
      </c>
      <c r="C521" t="str">
        <f>SUBSTITUTE(Table1[[#This Row],[Fuel]],", ",",")</f>
        <v>bioenergy: agricultural waste (solids),bioenergy: wood &amp; other biomass (solids)</v>
      </c>
      <c r="D521" t="s">
        <v>46</v>
      </c>
      <c r="E521" t="s">
        <v>25</v>
      </c>
      <c r="G521">
        <v>30</v>
      </c>
      <c r="H521" t="s">
        <v>27</v>
      </c>
      <c r="I521">
        <v>2014</v>
      </c>
      <c r="J521" t="s">
        <v>21</v>
      </c>
      <c r="K521">
        <v>24.725200000000001</v>
      </c>
      <c r="L521">
        <v>113.5723</v>
      </c>
      <c r="M521" t="s">
        <v>102</v>
      </c>
      <c r="N521" s="2">
        <f>Table1[[#This Row],[Capacity (MW)]]*8760*0.72*10^-6</f>
        <v>0.189216</v>
      </c>
      <c r="O521" s="2" cm="1">
        <f t="array" ref="O521">AVERAGE(VLOOKUP(_xlfn.TEXTSPLIT(Table1[[#This Row],[Fuel (no space after comma)]], ","), FuelList_Final_EF!$A$2:$B$32, 2, FALSE))</f>
        <v>105.985</v>
      </c>
      <c r="P521" s="2">
        <f>(16112*Table1[[#This Row],[Generation (TWh)]]*10^9)/10^6</f>
        <v>3048648.1919999998</v>
      </c>
      <c r="Q521" s="2">
        <f>Table1[[#This Row],[Emission Factor (kg CO2/ mmBtu)]]*Table1[[#This Row],[Fuel Consumption (mmBtu)]]*10^3</f>
        <v>323110978629.12</v>
      </c>
      <c r="R521" s="2">
        <f>(Table1[[#This Row],[CO2 Emissions (g CO2)]])/(Table1[[#This Row],[Generation (TWh)]]*10^9)</f>
        <v>1707.63032</v>
      </c>
    </row>
    <row r="522" spans="1:18" hidden="1">
      <c r="A522" t="s">
        <v>449</v>
      </c>
      <c r="B522" t="s">
        <v>105</v>
      </c>
      <c r="C522" t="str">
        <f>SUBSTITUTE(Table1[[#This Row],[Fuel]],", ",",")</f>
        <v>bioenergy: agricultural waste (solids),bioenergy: wood &amp; other biomass (solids)</v>
      </c>
      <c r="D522" t="s">
        <v>46</v>
      </c>
      <c r="E522" t="s">
        <v>25</v>
      </c>
      <c r="G522">
        <v>30</v>
      </c>
      <c r="H522" t="s">
        <v>27</v>
      </c>
      <c r="I522">
        <v>2014</v>
      </c>
      <c r="J522" t="s">
        <v>21</v>
      </c>
      <c r="K522">
        <v>24.725200000000001</v>
      </c>
      <c r="L522">
        <v>113.5723</v>
      </c>
      <c r="M522" t="s">
        <v>102</v>
      </c>
      <c r="N522" s="2">
        <f>Table1[[#This Row],[Capacity (MW)]]*8760*0.72*10^-6</f>
        <v>0.189216</v>
      </c>
      <c r="O522" s="2" cm="1">
        <f t="array" ref="O522">AVERAGE(VLOOKUP(_xlfn.TEXTSPLIT(Table1[[#This Row],[Fuel (no space after comma)]], ","), FuelList_Final_EF!$A$2:$B$32, 2, FALSE))</f>
        <v>105.985</v>
      </c>
      <c r="P522" s="2">
        <f>(16112*Table1[[#This Row],[Generation (TWh)]]*10^9)/10^6</f>
        <v>3048648.1919999998</v>
      </c>
      <c r="Q522" s="2">
        <f>Table1[[#This Row],[Emission Factor (kg CO2/ mmBtu)]]*Table1[[#This Row],[Fuel Consumption (mmBtu)]]*10^3</f>
        <v>323110978629.12</v>
      </c>
      <c r="R522" s="2">
        <f>(Table1[[#This Row],[CO2 Emissions (g CO2)]])/(Table1[[#This Row],[Generation (TWh)]]*10^9)</f>
        <v>1707.63032</v>
      </c>
    </row>
    <row r="523" spans="1:18" hidden="1">
      <c r="A523" t="s">
        <v>450</v>
      </c>
      <c r="B523" t="s">
        <v>19</v>
      </c>
      <c r="C523" t="str">
        <f>SUBSTITUTE(Table1[[#This Row],[Fuel]],", ",",")</f>
        <v>bioenergy: refuse (municipal and industrial wastes)</v>
      </c>
      <c r="D523" t="s">
        <v>19</v>
      </c>
      <c r="G523">
        <v>0.32</v>
      </c>
      <c r="H523" t="s">
        <v>27</v>
      </c>
      <c r="I523">
        <v>2012</v>
      </c>
      <c r="J523" t="s">
        <v>21</v>
      </c>
      <c r="K523">
        <v>22.831</v>
      </c>
      <c r="L523">
        <v>113.8454</v>
      </c>
      <c r="M523" t="s">
        <v>102</v>
      </c>
      <c r="N523" s="2">
        <f>Table1[[#This Row],[Capacity (MW)]]*8760*0.72*10^-6</f>
        <v>2.0183039999999998E-3</v>
      </c>
      <c r="O523" s="2" cm="1">
        <f t="array" ref="O523">AVERAGE(VLOOKUP(_xlfn.TEXTSPLIT(Table1[[#This Row],[Fuel (no space after comma)]], ","), FuelList_Final_EF!$A$2:$B$32, 2, FALSE))</f>
        <v>105.42962572482868</v>
      </c>
      <c r="P523" s="2">
        <f>(16112*Table1[[#This Row],[Generation (TWh)]]*10^9)/10^6</f>
        <v>32518.914047999999</v>
      </c>
      <c r="Q523" s="2">
        <f>Table1[[#This Row],[Emission Factor (kg CO2/ mmBtu)]]*Table1[[#This Row],[Fuel Consumption (mmBtu)]]*10^3</f>
        <v>3428456937.0585136</v>
      </c>
      <c r="R523" s="2">
        <f>(Table1[[#This Row],[CO2 Emissions (g CO2)]])/(Table1[[#This Row],[Generation (TWh)]]*10^9)</f>
        <v>1698.6821296784399</v>
      </c>
    </row>
    <row r="524" spans="1:18" hidden="1">
      <c r="A524" t="s">
        <v>451</v>
      </c>
      <c r="B524" t="s">
        <v>19</v>
      </c>
      <c r="C524" t="str">
        <f>SUBSTITUTE(Table1[[#This Row],[Fuel]],", ",",")</f>
        <v>bioenergy: refuse (municipal and industrial wastes)</v>
      </c>
      <c r="D524" t="s">
        <v>19</v>
      </c>
      <c r="G524">
        <v>31.68</v>
      </c>
      <c r="H524" t="s">
        <v>27</v>
      </c>
      <c r="I524">
        <v>2012</v>
      </c>
      <c r="J524" t="s">
        <v>21</v>
      </c>
      <c r="K524">
        <v>22.831</v>
      </c>
      <c r="L524">
        <v>113.8454</v>
      </c>
      <c r="M524" t="s">
        <v>102</v>
      </c>
      <c r="N524" s="2">
        <f>Table1[[#This Row],[Capacity (MW)]]*8760*0.72*10^-6</f>
        <v>0.19981209599999999</v>
      </c>
      <c r="O524" s="2" cm="1">
        <f t="array" ref="O524">AVERAGE(VLOOKUP(_xlfn.TEXTSPLIT(Table1[[#This Row],[Fuel (no space after comma)]], ","), FuelList_Final_EF!$A$2:$B$32, 2, FALSE))</f>
        <v>105.42962572482868</v>
      </c>
      <c r="P524" s="2">
        <f>(16112*Table1[[#This Row],[Generation (TWh)]]*10^9)/10^6</f>
        <v>3219372.4907519999</v>
      </c>
      <c r="Q524" s="2">
        <f>Table1[[#This Row],[Emission Factor (kg CO2/ mmBtu)]]*Table1[[#This Row],[Fuel Consumption (mmBtu)]]*10^3</f>
        <v>339417236768.79279</v>
      </c>
      <c r="R524" s="2">
        <f>(Table1[[#This Row],[CO2 Emissions (g CO2)]])/(Table1[[#This Row],[Generation (TWh)]]*10^9)</f>
        <v>1698.6821296784394</v>
      </c>
    </row>
    <row r="525" spans="1:18" hidden="1">
      <c r="A525" t="s">
        <v>450</v>
      </c>
      <c r="B525" t="s">
        <v>19</v>
      </c>
      <c r="C525" t="str">
        <f>SUBSTITUTE(Table1[[#This Row],[Fuel]],", ",",")</f>
        <v>bioenergy: refuse (municipal and industrial wastes)</v>
      </c>
      <c r="D525" t="s">
        <v>19</v>
      </c>
      <c r="G525">
        <v>0.32</v>
      </c>
      <c r="H525" t="s">
        <v>27</v>
      </c>
      <c r="I525">
        <v>2012</v>
      </c>
      <c r="J525" t="s">
        <v>21</v>
      </c>
      <c r="K525">
        <v>22.831</v>
      </c>
      <c r="L525">
        <v>113.8454</v>
      </c>
      <c r="M525" t="s">
        <v>102</v>
      </c>
      <c r="N525" s="2">
        <f>Table1[[#This Row],[Capacity (MW)]]*8760*0.72*10^-6</f>
        <v>2.0183039999999998E-3</v>
      </c>
      <c r="O525" s="2" cm="1">
        <f t="array" ref="O525">AVERAGE(VLOOKUP(_xlfn.TEXTSPLIT(Table1[[#This Row],[Fuel (no space after comma)]], ","), FuelList_Final_EF!$A$2:$B$32, 2, FALSE))</f>
        <v>105.42962572482868</v>
      </c>
      <c r="P525" s="2">
        <f>(16112*Table1[[#This Row],[Generation (TWh)]]*10^9)/10^6</f>
        <v>32518.914047999999</v>
      </c>
      <c r="Q525" s="2">
        <f>Table1[[#This Row],[Emission Factor (kg CO2/ mmBtu)]]*Table1[[#This Row],[Fuel Consumption (mmBtu)]]*10^3</f>
        <v>3428456937.0585136</v>
      </c>
      <c r="R525" s="2">
        <f>(Table1[[#This Row],[CO2 Emissions (g CO2)]])/(Table1[[#This Row],[Generation (TWh)]]*10^9)</f>
        <v>1698.6821296784399</v>
      </c>
    </row>
    <row r="526" spans="1:18" hidden="1">
      <c r="A526" t="s">
        <v>451</v>
      </c>
      <c r="B526" t="s">
        <v>19</v>
      </c>
      <c r="C526" t="str">
        <f>SUBSTITUTE(Table1[[#This Row],[Fuel]],", ",",")</f>
        <v>bioenergy: refuse (municipal and industrial wastes)</v>
      </c>
      <c r="D526" t="s">
        <v>19</v>
      </c>
      <c r="G526">
        <v>31.68</v>
      </c>
      <c r="H526" t="s">
        <v>27</v>
      </c>
      <c r="I526">
        <v>2012</v>
      </c>
      <c r="J526" t="s">
        <v>21</v>
      </c>
      <c r="K526">
        <v>22.831</v>
      </c>
      <c r="L526">
        <v>113.8454</v>
      </c>
      <c r="M526" t="s">
        <v>102</v>
      </c>
      <c r="N526" s="2">
        <f>Table1[[#This Row],[Capacity (MW)]]*8760*0.72*10^-6</f>
        <v>0.19981209599999999</v>
      </c>
      <c r="O526" s="2" cm="1">
        <f t="array" ref="O526">AVERAGE(VLOOKUP(_xlfn.TEXTSPLIT(Table1[[#This Row],[Fuel (no space after comma)]], ","), FuelList_Final_EF!$A$2:$B$32, 2, FALSE))</f>
        <v>105.42962572482868</v>
      </c>
      <c r="P526" s="2">
        <f>(16112*Table1[[#This Row],[Generation (TWh)]]*10^9)/10^6</f>
        <v>3219372.4907519999</v>
      </c>
      <c r="Q526" s="2">
        <f>Table1[[#This Row],[Emission Factor (kg CO2/ mmBtu)]]*Table1[[#This Row],[Fuel Consumption (mmBtu)]]*10^3</f>
        <v>339417236768.79279</v>
      </c>
      <c r="R526" s="2">
        <f>(Table1[[#This Row],[CO2 Emissions (g CO2)]])/(Table1[[#This Row],[Generation (TWh)]]*10^9)</f>
        <v>1698.6821296784394</v>
      </c>
    </row>
    <row r="527" spans="1:18" hidden="1">
      <c r="A527" t="s">
        <v>450</v>
      </c>
      <c r="B527" t="s">
        <v>19</v>
      </c>
      <c r="C527" t="str">
        <f>SUBSTITUTE(Table1[[#This Row],[Fuel]],", ",",")</f>
        <v>bioenergy: refuse (municipal and industrial wastes)</v>
      </c>
      <c r="D527" t="s">
        <v>19</v>
      </c>
      <c r="G527">
        <v>0.45</v>
      </c>
      <c r="H527" t="s">
        <v>27</v>
      </c>
      <c r="I527">
        <v>2019</v>
      </c>
      <c r="J527" t="s">
        <v>21</v>
      </c>
      <c r="K527">
        <v>22.831</v>
      </c>
      <c r="L527">
        <v>113.8454</v>
      </c>
      <c r="M527" t="s">
        <v>102</v>
      </c>
      <c r="N527" s="2">
        <f>Table1[[#This Row],[Capacity (MW)]]*8760*0.72*10^-6</f>
        <v>2.8382399999999997E-3</v>
      </c>
      <c r="O527" s="2" cm="1">
        <f t="array" ref="O527">AVERAGE(VLOOKUP(_xlfn.TEXTSPLIT(Table1[[#This Row],[Fuel (no space after comma)]], ","), FuelList_Final_EF!$A$2:$B$32, 2, FALSE))</f>
        <v>105.42962572482868</v>
      </c>
      <c r="P527" s="2">
        <f>(16112*Table1[[#This Row],[Generation (TWh)]]*10^9)/10^6</f>
        <v>45729.722880000001</v>
      </c>
      <c r="Q527" s="2">
        <f>Table1[[#This Row],[Emission Factor (kg CO2/ mmBtu)]]*Table1[[#This Row],[Fuel Consumption (mmBtu)]]*10^3</f>
        <v>4821267567.7385349</v>
      </c>
      <c r="R527" s="2">
        <f>(Table1[[#This Row],[CO2 Emissions (g CO2)]])/(Table1[[#This Row],[Generation (TWh)]]*10^9)</f>
        <v>1698.6821296784401</v>
      </c>
    </row>
    <row r="528" spans="1:18" hidden="1">
      <c r="A528" t="s">
        <v>451</v>
      </c>
      <c r="B528" t="s">
        <v>19</v>
      </c>
      <c r="C528" t="str">
        <f>SUBSTITUTE(Table1[[#This Row],[Fuel]],", ",",")</f>
        <v>bioenergy: refuse (municipal and industrial wastes)</v>
      </c>
      <c r="D528" t="s">
        <v>19</v>
      </c>
      <c r="G528">
        <v>44.55</v>
      </c>
      <c r="H528" t="s">
        <v>27</v>
      </c>
      <c r="I528">
        <v>2019</v>
      </c>
      <c r="J528" t="s">
        <v>21</v>
      </c>
      <c r="K528">
        <v>22.831</v>
      </c>
      <c r="L528">
        <v>113.8454</v>
      </c>
      <c r="M528" t="s">
        <v>102</v>
      </c>
      <c r="N528" s="2">
        <f>Table1[[#This Row],[Capacity (MW)]]*8760*0.72*10^-6</f>
        <v>0.28098575999999997</v>
      </c>
      <c r="O528" s="2" cm="1">
        <f t="array" ref="O528">AVERAGE(VLOOKUP(_xlfn.TEXTSPLIT(Table1[[#This Row],[Fuel (no space after comma)]], ","), FuelList_Final_EF!$A$2:$B$32, 2, FALSE))</f>
        <v>105.42962572482868</v>
      </c>
      <c r="P528" s="2">
        <f>(16112*Table1[[#This Row],[Generation (TWh)]]*10^9)/10^6</f>
        <v>4527242.5651199995</v>
      </c>
      <c r="Q528" s="2">
        <f>Table1[[#This Row],[Emission Factor (kg CO2/ mmBtu)]]*Table1[[#This Row],[Fuel Consumption (mmBtu)]]*10^3</f>
        <v>477305489206.11487</v>
      </c>
      <c r="R528" s="2">
        <f>(Table1[[#This Row],[CO2 Emissions (g CO2)]])/(Table1[[#This Row],[Generation (TWh)]]*10^9)</f>
        <v>1698.6821296784394</v>
      </c>
    </row>
    <row r="529" spans="1:18" hidden="1">
      <c r="A529" t="s">
        <v>450</v>
      </c>
      <c r="B529" t="s">
        <v>19</v>
      </c>
      <c r="C529" t="str">
        <f>SUBSTITUTE(Table1[[#This Row],[Fuel]],", ",",")</f>
        <v>bioenergy: refuse (municipal and industrial wastes)</v>
      </c>
      <c r="D529" t="s">
        <v>19</v>
      </c>
      <c r="G529">
        <v>0.45</v>
      </c>
      <c r="H529" t="s">
        <v>27</v>
      </c>
      <c r="I529">
        <v>2019</v>
      </c>
      <c r="J529" t="s">
        <v>21</v>
      </c>
      <c r="K529">
        <v>22.831</v>
      </c>
      <c r="L529">
        <v>113.8454</v>
      </c>
      <c r="M529" t="s">
        <v>102</v>
      </c>
      <c r="N529" s="2">
        <f>Table1[[#This Row],[Capacity (MW)]]*8760*0.72*10^-6</f>
        <v>2.8382399999999997E-3</v>
      </c>
      <c r="O529" s="2" cm="1">
        <f t="array" ref="O529">AVERAGE(VLOOKUP(_xlfn.TEXTSPLIT(Table1[[#This Row],[Fuel (no space after comma)]], ","), FuelList_Final_EF!$A$2:$B$32, 2, FALSE))</f>
        <v>105.42962572482868</v>
      </c>
      <c r="P529" s="2">
        <f>(16112*Table1[[#This Row],[Generation (TWh)]]*10^9)/10^6</f>
        <v>45729.722880000001</v>
      </c>
      <c r="Q529" s="2">
        <f>Table1[[#This Row],[Emission Factor (kg CO2/ mmBtu)]]*Table1[[#This Row],[Fuel Consumption (mmBtu)]]*10^3</f>
        <v>4821267567.7385349</v>
      </c>
      <c r="R529" s="2">
        <f>(Table1[[#This Row],[CO2 Emissions (g CO2)]])/(Table1[[#This Row],[Generation (TWh)]]*10^9)</f>
        <v>1698.6821296784401</v>
      </c>
    </row>
    <row r="530" spans="1:18" hidden="1">
      <c r="A530" t="s">
        <v>451</v>
      </c>
      <c r="B530" t="s">
        <v>19</v>
      </c>
      <c r="C530" t="str">
        <f>SUBSTITUTE(Table1[[#This Row],[Fuel]],", ",",")</f>
        <v>bioenergy: refuse (municipal and industrial wastes)</v>
      </c>
      <c r="D530" t="s">
        <v>19</v>
      </c>
      <c r="G530">
        <v>44.55</v>
      </c>
      <c r="H530" t="s">
        <v>27</v>
      </c>
      <c r="I530">
        <v>2019</v>
      </c>
      <c r="J530" t="s">
        <v>21</v>
      </c>
      <c r="K530">
        <v>22.831</v>
      </c>
      <c r="L530">
        <v>113.8454</v>
      </c>
      <c r="M530" t="s">
        <v>102</v>
      </c>
      <c r="N530" s="2">
        <f>Table1[[#This Row],[Capacity (MW)]]*8760*0.72*10^-6</f>
        <v>0.28098575999999997</v>
      </c>
      <c r="O530" s="2" cm="1">
        <f t="array" ref="O530">AVERAGE(VLOOKUP(_xlfn.TEXTSPLIT(Table1[[#This Row],[Fuel (no space after comma)]], ","), FuelList_Final_EF!$A$2:$B$32, 2, FALSE))</f>
        <v>105.42962572482868</v>
      </c>
      <c r="P530" s="2">
        <f>(16112*Table1[[#This Row],[Generation (TWh)]]*10^9)/10^6</f>
        <v>4527242.5651199995</v>
      </c>
      <c r="Q530" s="2">
        <f>Table1[[#This Row],[Emission Factor (kg CO2/ mmBtu)]]*Table1[[#This Row],[Fuel Consumption (mmBtu)]]*10^3</f>
        <v>477305489206.11487</v>
      </c>
      <c r="R530" s="2">
        <f>(Table1[[#This Row],[CO2 Emissions (g CO2)]])/(Table1[[#This Row],[Generation (TWh)]]*10^9)</f>
        <v>1698.6821296784394</v>
      </c>
    </row>
    <row r="531" spans="1:18" hidden="1">
      <c r="A531" t="s">
        <v>450</v>
      </c>
      <c r="B531" t="s">
        <v>19</v>
      </c>
      <c r="C531" t="str">
        <f>SUBSTITUTE(Table1[[#This Row],[Fuel]],", ",",")</f>
        <v>bioenergy: refuse (municipal and industrial wastes)</v>
      </c>
      <c r="D531" t="s">
        <v>19</v>
      </c>
      <c r="G531">
        <v>0.45</v>
      </c>
      <c r="H531" t="s">
        <v>27</v>
      </c>
      <c r="I531">
        <v>2019</v>
      </c>
      <c r="J531" t="s">
        <v>21</v>
      </c>
      <c r="K531">
        <v>22.831</v>
      </c>
      <c r="L531">
        <v>113.8454</v>
      </c>
      <c r="M531" t="s">
        <v>102</v>
      </c>
      <c r="N531" s="2">
        <f>Table1[[#This Row],[Capacity (MW)]]*8760*0.72*10^-6</f>
        <v>2.8382399999999997E-3</v>
      </c>
      <c r="O531" s="2" cm="1">
        <f t="array" ref="O531">AVERAGE(VLOOKUP(_xlfn.TEXTSPLIT(Table1[[#This Row],[Fuel (no space after comma)]], ","), FuelList_Final_EF!$A$2:$B$32, 2, FALSE))</f>
        <v>105.42962572482868</v>
      </c>
      <c r="P531" s="2">
        <f>(16112*Table1[[#This Row],[Generation (TWh)]]*10^9)/10^6</f>
        <v>45729.722880000001</v>
      </c>
      <c r="Q531" s="2">
        <f>Table1[[#This Row],[Emission Factor (kg CO2/ mmBtu)]]*Table1[[#This Row],[Fuel Consumption (mmBtu)]]*10^3</f>
        <v>4821267567.7385349</v>
      </c>
      <c r="R531" s="2">
        <f>(Table1[[#This Row],[CO2 Emissions (g CO2)]])/(Table1[[#This Row],[Generation (TWh)]]*10^9)</f>
        <v>1698.6821296784401</v>
      </c>
    </row>
    <row r="532" spans="1:18" hidden="1">
      <c r="A532" t="s">
        <v>451</v>
      </c>
      <c r="B532" t="s">
        <v>19</v>
      </c>
      <c r="C532" t="str">
        <f>SUBSTITUTE(Table1[[#This Row],[Fuel]],", ",",")</f>
        <v>bioenergy: refuse (municipal and industrial wastes)</v>
      </c>
      <c r="D532" t="s">
        <v>19</v>
      </c>
      <c r="G532">
        <v>44.55</v>
      </c>
      <c r="H532" t="s">
        <v>27</v>
      </c>
      <c r="I532">
        <v>2019</v>
      </c>
      <c r="J532" t="s">
        <v>21</v>
      </c>
      <c r="K532">
        <v>22.831</v>
      </c>
      <c r="L532">
        <v>113.8454</v>
      </c>
      <c r="M532" t="s">
        <v>102</v>
      </c>
      <c r="N532" s="2">
        <f>Table1[[#This Row],[Capacity (MW)]]*8760*0.72*10^-6</f>
        <v>0.28098575999999997</v>
      </c>
      <c r="O532" s="2" cm="1">
        <f t="array" ref="O532">AVERAGE(VLOOKUP(_xlfn.TEXTSPLIT(Table1[[#This Row],[Fuel (no space after comma)]], ","), FuelList_Final_EF!$A$2:$B$32, 2, FALSE))</f>
        <v>105.42962572482868</v>
      </c>
      <c r="P532" s="2">
        <f>(16112*Table1[[#This Row],[Generation (TWh)]]*10^9)/10^6</f>
        <v>4527242.5651199995</v>
      </c>
      <c r="Q532" s="2">
        <f>Table1[[#This Row],[Emission Factor (kg CO2/ mmBtu)]]*Table1[[#This Row],[Fuel Consumption (mmBtu)]]*10^3</f>
        <v>477305489206.11487</v>
      </c>
      <c r="R532" s="2">
        <f>(Table1[[#This Row],[CO2 Emissions (g CO2)]])/(Table1[[#This Row],[Generation (TWh)]]*10^9)</f>
        <v>1698.6821296784394</v>
      </c>
    </row>
    <row r="533" spans="1:18" hidden="1">
      <c r="A533" t="s">
        <v>450</v>
      </c>
      <c r="B533" t="s">
        <v>19</v>
      </c>
      <c r="C533" t="str">
        <f>SUBSTITUTE(Table1[[#This Row],[Fuel]],", ",",")</f>
        <v>bioenergy: refuse (municipal and industrial wastes)</v>
      </c>
      <c r="D533" t="s">
        <v>19</v>
      </c>
      <c r="G533">
        <v>0.6</v>
      </c>
      <c r="H533" t="s">
        <v>27</v>
      </c>
      <c r="I533">
        <v>2019</v>
      </c>
      <c r="J533" t="s">
        <v>21</v>
      </c>
      <c r="K533">
        <v>22.7498</v>
      </c>
      <c r="L533">
        <v>114.31870000000001</v>
      </c>
      <c r="M533" t="s">
        <v>102</v>
      </c>
      <c r="N533" s="2">
        <f>Table1[[#This Row],[Capacity (MW)]]*8760*0.72*10^-6</f>
        <v>3.7843199999999994E-3</v>
      </c>
      <c r="O533" s="2" cm="1">
        <f t="array" ref="O533">AVERAGE(VLOOKUP(_xlfn.TEXTSPLIT(Table1[[#This Row],[Fuel (no space after comma)]], ","), FuelList_Final_EF!$A$2:$B$32, 2, FALSE))</f>
        <v>105.42962572482868</v>
      </c>
      <c r="P533" s="2">
        <f>(16112*Table1[[#This Row],[Generation (TWh)]]*10^9)/10^6</f>
        <v>60972.963839999989</v>
      </c>
      <c r="Q533" s="2">
        <f>Table1[[#This Row],[Emission Factor (kg CO2/ mmBtu)]]*Table1[[#This Row],[Fuel Consumption (mmBtu)]]*10^3</f>
        <v>6428356756.9847116</v>
      </c>
      <c r="R533" s="2">
        <f>(Table1[[#This Row],[CO2 Emissions (g CO2)]])/(Table1[[#This Row],[Generation (TWh)]]*10^9)</f>
        <v>1698.6821296784397</v>
      </c>
    </row>
    <row r="534" spans="1:18" hidden="1">
      <c r="A534" t="s">
        <v>451</v>
      </c>
      <c r="B534" t="s">
        <v>19</v>
      </c>
      <c r="C534" t="str">
        <f>SUBSTITUTE(Table1[[#This Row],[Fuel]],", ",",")</f>
        <v>bioenergy: refuse (municipal and industrial wastes)</v>
      </c>
      <c r="D534" t="s">
        <v>19</v>
      </c>
      <c r="G534">
        <v>59.4</v>
      </c>
      <c r="H534" t="s">
        <v>27</v>
      </c>
      <c r="I534">
        <v>2019</v>
      </c>
      <c r="J534" t="s">
        <v>21</v>
      </c>
      <c r="K534">
        <v>22.7498</v>
      </c>
      <c r="L534">
        <v>114.31870000000001</v>
      </c>
      <c r="M534" t="s">
        <v>102</v>
      </c>
      <c r="N534" s="2">
        <f>Table1[[#This Row],[Capacity (MW)]]*8760*0.72*10^-6</f>
        <v>0.37464767999999998</v>
      </c>
      <c r="O534" s="2" cm="1">
        <f t="array" ref="O534">AVERAGE(VLOOKUP(_xlfn.TEXTSPLIT(Table1[[#This Row],[Fuel (no space after comma)]], ","), FuelList_Final_EF!$A$2:$B$32, 2, FALSE))</f>
        <v>105.42962572482868</v>
      </c>
      <c r="P534" s="2">
        <f>(16112*Table1[[#This Row],[Generation (TWh)]]*10^9)/10^6</f>
        <v>6036323.4201600002</v>
      </c>
      <c r="Q534" s="2">
        <f>Table1[[#This Row],[Emission Factor (kg CO2/ mmBtu)]]*Table1[[#This Row],[Fuel Consumption (mmBtu)]]*10^3</f>
        <v>636407318941.48657</v>
      </c>
      <c r="R534" s="2">
        <f>(Table1[[#This Row],[CO2 Emissions (g CO2)]])/(Table1[[#This Row],[Generation (TWh)]]*10^9)</f>
        <v>1698.6821296784397</v>
      </c>
    </row>
    <row r="535" spans="1:18" hidden="1">
      <c r="A535" t="s">
        <v>450</v>
      </c>
      <c r="B535" t="s">
        <v>19</v>
      </c>
      <c r="C535" t="str">
        <f>SUBSTITUTE(Table1[[#This Row],[Fuel]],", ",",")</f>
        <v>bioenergy: refuse (municipal and industrial wastes)</v>
      </c>
      <c r="D535" t="s">
        <v>19</v>
      </c>
      <c r="G535">
        <v>0.6</v>
      </c>
      <c r="H535" t="s">
        <v>27</v>
      </c>
      <c r="I535">
        <v>2019</v>
      </c>
      <c r="J535" t="s">
        <v>21</v>
      </c>
      <c r="K535">
        <v>22.7498</v>
      </c>
      <c r="L535">
        <v>114.31870000000001</v>
      </c>
      <c r="M535" t="s">
        <v>102</v>
      </c>
      <c r="N535" s="2">
        <f>Table1[[#This Row],[Capacity (MW)]]*8760*0.72*10^-6</f>
        <v>3.7843199999999994E-3</v>
      </c>
      <c r="O535" s="2" cm="1">
        <f t="array" ref="O535">AVERAGE(VLOOKUP(_xlfn.TEXTSPLIT(Table1[[#This Row],[Fuel (no space after comma)]], ","), FuelList_Final_EF!$A$2:$B$32, 2, FALSE))</f>
        <v>105.42962572482868</v>
      </c>
      <c r="P535" s="2">
        <f>(16112*Table1[[#This Row],[Generation (TWh)]]*10^9)/10^6</f>
        <v>60972.963839999989</v>
      </c>
      <c r="Q535" s="2">
        <f>Table1[[#This Row],[Emission Factor (kg CO2/ mmBtu)]]*Table1[[#This Row],[Fuel Consumption (mmBtu)]]*10^3</f>
        <v>6428356756.9847116</v>
      </c>
      <c r="R535" s="2">
        <f>(Table1[[#This Row],[CO2 Emissions (g CO2)]])/(Table1[[#This Row],[Generation (TWh)]]*10^9)</f>
        <v>1698.6821296784397</v>
      </c>
    </row>
    <row r="536" spans="1:18" hidden="1">
      <c r="A536" t="s">
        <v>451</v>
      </c>
      <c r="B536" t="s">
        <v>19</v>
      </c>
      <c r="C536" t="str">
        <f>SUBSTITUTE(Table1[[#This Row],[Fuel]],", ",",")</f>
        <v>bioenergy: refuse (municipal and industrial wastes)</v>
      </c>
      <c r="D536" t="s">
        <v>19</v>
      </c>
      <c r="G536">
        <v>59.4</v>
      </c>
      <c r="H536" t="s">
        <v>27</v>
      </c>
      <c r="I536">
        <v>2019</v>
      </c>
      <c r="J536" t="s">
        <v>21</v>
      </c>
      <c r="K536">
        <v>22.7498</v>
      </c>
      <c r="L536">
        <v>114.31870000000001</v>
      </c>
      <c r="M536" t="s">
        <v>102</v>
      </c>
      <c r="N536" s="2">
        <f>Table1[[#This Row],[Capacity (MW)]]*8760*0.72*10^-6</f>
        <v>0.37464767999999998</v>
      </c>
      <c r="O536" s="2" cm="1">
        <f t="array" ref="O536">AVERAGE(VLOOKUP(_xlfn.TEXTSPLIT(Table1[[#This Row],[Fuel (no space after comma)]], ","), FuelList_Final_EF!$A$2:$B$32, 2, FALSE))</f>
        <v>105.42962572482868</v>
      </c>
      <c r="P536" s="2">
        <f>(16112*Table1[[#This Row],[Generation (TWh)]]*10^9)/10^6</f>
        <v>6036323.4201600002</v>
      </c>
      <c r="Q536" s="2">
        <f>Table1[[#This Row],[Emission Factor (kg CO2/ mmBtu)]]*Table1[[#This Row],[Fuel Consumption (mmBtu)]]*10^3</f>
        <v>636407318941.48657</v>
      </c>
      <c r="R536" s="2">
        <f>(Table1[[#This Row],[CO2 Emissions (g CO2)]])/(Table1[[#This Row],[Generation (TWh)]]*10^9)</f>
        <v>1698.6821296784397</v>
      </c>
    </row>
    <row r="537" spans="1:18" hidden="1">
      <c r="A537" t="s">
        <v>450</v>
      </c>
      <c r="B537" t="s">
        <v>19</v>
      </c>
      <c r="C537" t="str">
        <f>SUBSTITUTE(Table1[[#This Row],[Fuel]],", ",",")</f>
        <v>bioenergy: refuse (municipal and industrial wastes)</v>
      </c>
      <c r="D537" t="s">
        <v>19</v>
      </c>
      <c r="G537">
        <v>0.6</v>
      </c>
      <c r="H537" t="s">
        <v>27</v>
      </c>
      <c r="I537">
        <v>2019</v>
      </c>
      <c r="J537" t="s">
        <v>21</v>
      </c>
      <c r="K537">
        <v>22.7498</v>
      </c>
      <c r="L537">
        <v>114.31870000000001</v>
      </c>
      <c r="M537" t="s">
        <v>102</v>
      </c>
      <c r="N537" s="2">
        <f>Table1[[#This Row],[Capacity (MW)]]*8760*0.72*10^-6</f>
        <v>3.7843199999999994E-3</v>
      </c>
      <c r="O537" s="2" cm="1">
        <f t="array" ref="O537">AVERAGE(VLOOKUP(_xlfn.TEXTSPLIT(Table1[[#This Row],[Fuel (no space after comma)]], ","), FuelList_Final_EF!$A$2:$B$32, 2, FALSE))</f>
        <v>105.42962572482868</v>
      </c>
      <c r="P537" s="2">
        <f>(16112*Table1[[#This Row],[Generation (TWh)]]*10^9)/10^6</f>
        <v>60972.963839999989</v>
      </c>
      <c r="Q537" s="2">
        <f>Table1[[#This Row],[Emission Factor (kg CO2/ mmBtu)]]*Table1[[#This Row],[Fuel Consumption (mmBtu)]]*10^3</f>
        <v>6428356756.9847116</v>
      </c>
      <c r="R537" s="2">
        <f>(Table1[[#This Row],[CO2 Emissions (g CO2)]])/(Table1[[#This Row],[Generation (TWh)]]*10^9)</f>
        <v>1698.6821296784397</v>
      </c>
    </row>
    <row r="538" spans="1:18" hidden="1">
      <c r="A538" t="s">
        <v>451</v>
      </c>
      <c r="B538" t="s">
        <v>19</v>
      </c>
      <c r="C538" t="str">
        <f>SUBSTITUTE(Table1[[#This Row],[Fuel]],", ",",")</f>
        <v>bioenergy: refuse (municipal and industrial wastes)</v>
      </c>
      <c r="D538" t="s">
        <v>19</v>
      </c>
      <c r="G538">
        <v>59.4</v>
      </c>
      <c r="H538" t="s">
        <v>27</v>
      </c>
      <c r="I538">
        <v>2019</v>
      </c>
      <c r="J538" t="s">
        <v>21</v>
      </c>
      <c r="K538">
        <v>22.7498</v>
      </c>
      <c r="L538">
        <v>114.31870000000001</v>
      </c>
      <c r="M538" t="s">
        <v>102</v>
      </c>
      <c r="N538" s="2">
        <f>Table1[[#This Row],[Capacity (MW)]]*8760*0.72*10^-6</f>
        <v>0.37464767999999998</v>
      </c>
      <c r="O538" s="2" cm="1">
        <f t="array" ref="O538">AVERAGE(VLOOKUP(_xlfn.TEXTSPLIT(Table1[[#This Row],[Fuel (no space after comma)]], ","), FuelList_Final_EF!$A$2:$B$32, 2, FALSE))</f>
        <v>105.42962572482868</v>
      </c>
      <c r="P538" s="2">
        <f>(16112*Table1[[#This Row],[Generation (TWh)]]*10^9)/10^6</f>
        <v>6036323.4201600002</v>
      </c>
      <c r="Q538" s="2">
        <f>Table1[[#This Row],[Emission Factor (kg CO2/ mmBtu)]]*Table1[[#This Row],[Fuel Consumption (mmBtu)]]*10^3</f>
        <v>636407318941.48657</v>
      </c>
      <c r="R538" s="2">
        <f>(Table1[[#This Row],[CO2 Emissions (g CO2)]])/(Table1[[#This Row],[Generation (TWh)]]*10^9)</f>
        <v>1698.6821296784397</v>
      </c>
    </row>
    <row r="539" spans="1:18">
      <c r="A539" t="s">
        <v>127</v>
      </c>
      <c r="B539" t="s">
        <v>19</v>
      </c>
      <c r="C539" t="str">
        <f>SUBSTITUTE(Table1[[#This Row],[Fuel]],", ",",")</f>
        <v>bioenergy: refuse (municipal and industrial wastes)</v>
      </c>
      <c r="D539" t="s">
        <v>19</v>
      </c>
      <c r="G539">
        <v>30</v>
      </c>
      <c r="H539" t="s">
        <v>97</v>
      </c>
      <c r="I539" t="s">
        <v>21</v>
      </c>
      <c r="J539" t="s">
        <v>21</v>
      </c>
      <c r="K539">
        <v>22.8156</v>
      </c>
      <c r="L539">
        <v>113.91370000000001</v>
      </c>
      <c r="M539" t="s">
        <v>102</v>
      </c>
      <c r="N539" s="2">
        <f>Table1[[#This Row],[Capacity (MW)]]*8760*0.72*10^-6</f>
        <v>0.189216</v>
      </c>
      <c r="O539" s="2" cm="1">
        <f t="array" ref="O539">AVERAGE(VLOOKUP(_xlfn.TEXTSPLIT(Table1[[#This Row],[Fuel (no space after comma)]], ","), FuelList_Final_EF!$A$2:$B$32, 2, FALSE))</f>
        <v>105.42962572482868</v>
      </c>
      <c r="P539" s="2">
        <f>(16112*Table1[[#This Row],[Generation (TWh)]]*10^9)/10^6</f>
        <v>3048648.1919999998</v>
      </c>
      <c r="Q539" s="2">
        <f>Table1[[#This Row],[Emission Factor (kg CO2/ mmBtu)]]*Table1[[#This Row],[Fuel Consumption (mmBtu)]]*10^3</f>
        <v>321417837849.23566</v>
      </c>
      <c r="R539" s="2">
        <f>(Table1[[#This Row],[CO2 Emissions (g CO2)]])/(Table1[[#This Row],[Generation (TWh)]]*10^9)</f>
        <v>1698.6821296784397</v>
      </c>
    </row>
    <row r="540" spans="1:18">
      <c r="A540" t="s">
        <v>127</v>
      </c>
      <c r="B540" t="s">
        <v>19</v>
      </c>
      <c r="C540" t="str">
        <f>SUBSTITUTE(Table1[[#This Row],[Fuel]],", ",",")</f>
        <v>bioenergy: refuse (municipal and industrial wastes)</v>
      </c>
      <c r="D540" t="s">
        <v>19</v>
      </c>
      <c r="G540">
        <v>60</v>
      </c>
      <c r="H540" t="s">
        <v>53</v>
      </c>
      <c r="I540" t="s">
        <v>21</v>
      </c>
      <c r="J540" t="s">
        <v>21</v>
      </c>
      <c r="K540">
        <v>22.8156</v>
      </c>
      <c r="L540">
        <v>113.91370000000001</v>
      </c>
      <c r="M540" t="s">
        <v>102</v>
      </c>
      <c r="N540" s="2">
        <f>Table1[[#This Row],[Capacity (MW)]]*8760*0.72*10^-6</f>
        <v>0.37843199999999999</v>
      </c>
      <c r="O540" s="2" cm="1">
        <f t="array" ref="O540">AVERAGE(VLOOKUP(_xlfn.TEXTSPLIT(Table1[[#This Row],[Fuel (no space after comma)]], ","), FuelList_Final_EF!$A$2:$B$32, 2, FALSE))</f>
        <v>105.42962572482868</v>
      </c>
      <c r="P540" s="2">
        <f>(16112*Table1[[#This Row],[Generation (TWh)]]*10^9)/10^6</f>
        <v>6097296.3839999996</v>
      </c>
      <c r="Q540" s="2">
        <f>Table1[[#This Row],[Emission Factor (kg CO2/ mmBtu)]]*Table1[[#This Row],[Fuel Consumption (mmBtu)]]*10^3</f>
        <v>642835675698.47131</v>
      </c>
      <c r="R540" s="2">
        <f>(Table1[[#This Row],[CO2 Emissions (g CO2)]])/(Table1[[#This Row],[Generation (TWh)]]*10^9)</f>
        <v>1698.6821296784397</v>
      </c>
    </row>
    <row r="541" spans="1:18" hidden="1">
      <c r="A541" t="s">
        <v>127</v>
      </c>
      <c r="B541" t="s">
        <v>19</v>
      </c>
      <c r="C541" t="str">
        <f>SUBSTITUTE(Table1[[#This Row],[Fuel]],", ",",")</f>
        <v>bioenergy: refuse (municipal and industrial wastes)</v>
      </c>
      <c r="D541" t="s">
        <v>19</v>
      </c>
      <c r="G541">
        <v>80</v>
      </c>
      <c r="H541" t="s">
        <v>20</v>
      </c>
      <c r="I541">
        <v>2026</v>
      </c>
      <c r="J541" t="s">
        <v>21</v>
      </c>
      <c r="K541">
        <v>22.7057</v>
      </c>
      <c r="L541">
        <v>113.9828</v>
      </c>
      <c r="M541" t="s">
        <v>102</v>
      </c>
      <c r="N541" s="2">
        <f>Table1[[#This Row],[Capacity (MW)]]*8760*0.72*10^-6</f>
        <v>0.50457600000000002</v>
      </c>
      <c r="O541" s="2" cm="1">
        <f t="array" ref="O541">AVERAGE(VLOOKUP(_xlfn.TEXTSPLIT(Table1[[#This Row],[Fuel (no space after comma)]], ","), FuelList_Final_EF!$A$2:$B$32, 2, FALSE))</f>
        <v>105.42962572482868</v>
      </c>
      <c r="P541" s="2">
        <f>(16112*Table1[[#This Row],[Generation (TWh)]]*10^9)/10^6</f>
        <v>8129728.512000001</v>
      </c>
      <c r="Q541" s="2">
        <f>Table1[[#This Row],[Emission Factor (kg CO2/ mmBtu)]]*Table1[[#This Row],[Fuel Consumption (mmBtu)]]*10^3</f>
        <v>857114234264.62854</v>
      </c>
      <c r="R541" s="2">
        <f>(Table1[[#This Row],[CO2 Emissions (g CO2)]])/(Table1[[#This Row],[Generation (TWh)]]*10^9)</f>
        <v>1698.6821296784401</v>
      </c>
    </row>
    <row r="542" spans="1:18" hidden="1">
      <c r="A542" t="s">
        <v>127</v>
      </c>
      <c r="B542" t="s">
        <v>19</v>
      </c>
      <c r="C542" t="str">
        <f>SUBSTITUTE(Table1[[#This Row],[Fuel]],", ",",")</f>
        <v>bioenergy: refuse (municipal and industrial wastes)</v>
      </c>
      <c r="D542" t="s">
        <v>19</v>
      </c>
      <c r="G542">
        <v>80</v>
      </c>
      <c r="H542" t="s">
        <v>20</v>
      </c>
      <c r="I542">
        <v>2026</v>
      </c>
      <c r="J542" t="s">
        <v>21</v>
      </c>
      <c r="K542">
        <v>22.7057</v>
      </c>
      <c r="L542">
        <v>113.9828</v>
      </c>
      <c r="M542" t="s">
        <v>102</v>
      </c>
      <c r="N542" s="2">
        <f>Table1[[#This Row],[Capacity (MW)]]*8760*0.72*10^-6</f>
        <v>0.50457600000000002</v>
      </c>
      <c r="O542" s="2" cm="1">
        <f t="array" ref="O542">AVERAGE(VLOOKUP(_xlfn.TEXTSPLIT(Table1[[#This Row],[Fuel (no space after comma)]], ","), FuelList_Final_EF!$A$2:$B$32, 2, FALSE))</f>
        <v>105.42962572482868</v>
      </c>
      <c r="P542" s="2">
        <f>(16112*Table1[[#This Row],[Generation (TWh)]]*10^9)/10^6</f>
        <v>8129728.512000001</v>
      </c>
      <c r="Q542" s="2">
        <f>Table1[[#This Row],[Emission Factor (kg CO2/ mmBtu)]]*Table1[[#This Row],[Fuel Consumption (mmBtu)]]*10^3</f>
        <v>857114234264.62854</v>
      </c>
      <c r="R542" s="2">
        <f>(Table1[[#This Row],[CO2 Emissions (g CO2)]])/(Table1[[#This Row],[Generation (TWh)]]*10^9)</f>
        <v>1698.6821296784401</v>
      </c>
    </row>
    <row r="543" spans="1:18">
      <c r="A543" t="s">
        <v>443</v>
      </c>
      <c r="B543" t="s">
        <v>19</v>
      </c>
      <c r="C543" t="str">
        <f>SUBSTITUTE(Table1[[#This Row],[Fuel]],", ",",")</f>
        <v>bioenergy: refuse (municipal and industrial wastes)</v>
      </c>
      <c r="D543" t="s">
        <v>19</v>
      </c>
      <c r="G543">
        <v>50</v>
      </c>
      <c r="H543" t="s">
        <v>53</v>
      </c>
      <c r="I543" t="s">
        <v>21</v>
      </c>
      <c r="J543" t="s">
        <v>21</v>
      </c>
      <c r="K543">
        <v>22.683969999999999</v>
      </c>
      <c r="L543">
        <v>114.096943</v>
      </c>
      <c r="M543" t="s">
        <v>102</v>
      </c>
      <c r="N543" s="2">
        <f>Table1[[#This Row],[Capacity (MW)]]*8760*0.72*10^-6</f>
        <v>0.31535999999999997</v>
      </c>
      <c r="O543" s="2" cm="1">
        <f t="array" ref="O543">AVERAGE(VLOOKUP(_xlfn.TEXTSPLIT(Table1[[#This Row],[Fuel (no space after comma)]], ","), FuelList_Final_EF!$A$2:$B$32, 2, FALSE))</f>
        <v>105.42962572482868</v>
      </c>
      <c r="P543" s="2">
        <f>(16112*Table1[[#This Row],[Generation (TWh)]]*10^9)/10^6</f>
        <v>5081080.32</v>
      </c>
      <c r="Q543" s="2">
        <f>Table1[[#This Row],[Emission Factor (kg CO2/ mmBtu)]]*Table1[[#This Row],[Fuel Consumption (mmBtu)]]*10^3</f>
        <v>535696396415.39276</v>
      </c>
      <c r="R543" s="2">
        <f>(Table1[[#This Row],[CO2 Emissions (g CO2)]])/(Table1[[#This Row],[Generation (TWh)]]*10^9)</f>
        <v>1698.6821296784397</v>
      </c>
    </row>
    <row r="544" spans="1:18" hidden="1">
      <c r="A544" t="s">
        <v>452</v>
      </c>
      <c r="B544" t="s">
        <v>19</v>
      </c>
      <c r="C544" t="str">
        <f>SUBSTITUTE(Table1[[#This Row],[Fuel]],", ",",")</f>
        <v>bioenergy: refuse (municipal and industrial wastes)</v>
      </c>
      <c r="D544" t="s">
        <v>19</v>
      </c>
      <c r="G544">
        <v>17.850000000000001</v>
      </c>
      <c r="H544" t="s">
        <v>27</v>
      </c>
      <c r="I544">
        <v>2018</v>
      </c>
      <c r="J544" t="s">
        <v>21</v>
      </c>
      <c r="K544">
        <v>22.7867</v>
      </c>
      <c r="L544">
        <v>113.0767</v>
      </c>
      <c r="M544" t="s">
        <v>102</v>
      </c>
      <c r="N544" s="2">
        <f>Table1[[#This Row],[Capacity (MW)]]*8760*0.72*10^-6</f>
        <v>0.11258351999999998</v>
      </c>
      <c r="O544" s="2" cm="1">
        <f t="array" ref="O544">AVERAGE(VLOOKUP(_xlfn.TEXTSPLIT(Table1[[#This Row],[Fuel (no space after comma)]], ","), FuelList_Final_EF!$A$2:$B$32, 2, FALSE))</f>
        <v>105.42962572482868</v>
      </c>
      <c r="P544" s="2">
        <f>(16112*Table1[[#This Row],[Generation (TWh)]]*10^9)/10^6</f>
        <v>1813945.6742399996</v>
      </c>
      <c r="Q544" s="2">
        <f>Table1[[#This Row],[Emission Factor (kg CO2/ mmBtu)]]*Table1[[#This Row],[Fuel Consumption (mmBtu)]]*10^3</f>
        <v>191243613520.29517</v>
      </c>
      <c r="R544" s="2">
        <f>(Table1[[#This Row],[CO2 Emissions (g CO2)]])/(Table1[[#This Row],[Generation (TWh)]]*10^9)</f>
        <v>1698.6821296784397</v>
      </c>
    </row>
    <row r="545" spans="1:18" hidden="1">
      <c r="A545" t="s">
        <v>453</v>
      </c>
      <c r="B545" t="s">
        <v>19</v>
      </c>
      <c r="C545" t="str">
        <f>SUBSTITUTE(Table1[[#This Row],[Fuel]],", ",",")</f>
        <v>bioenergy: refuse (municipal and industrial wastes)</v>
      </c>
      <c r="D545" t="s">
        <v>19</v>
      </c>
      <c r="G545">
        <v>11.9</v>
      </c>
      <c r="H545" t="s">
        <v>27</v>
      </c>
      <c r="I545">
        <v>2018</v>
      </c>
      <c r="J545" t="s">
        <v>21</v>
      </c>
      <c r="K545">
        <v>22.7867</v>
      </c>
      <c r="L545">
        <v>113.0767</v>
      </c>
      <c r="M545" t="s">
        <v>102</v>
      </c>
      <c r="N545" s="2">
        <f>Table1[[#This Row],[Capacity (MW)]]*8760*0.72*10^-6</f>
        <v>7.5055679999999986E-2</v>
      </c>
      <c r="O545" s="2" cm="1">
        <f t="array" ref="O545">AVERAGE(VLOOKUP(_xlfn.TEXTSPLIT(Table1[[#This Row],[Fuel (no space after comma)]], ","), FuelList_Final_EF!$A$2:$B$32, 2, FALSE))</f>
        <v>105.42962572482868</v>
      </c>
      <c r="P545" s="2">
        <f>(16112*Table1[[#This Row],[Generation (TWh)]]*10^9)/10^6</f>
        <v>1209297.1161599997</v>
      </c>
      <c r="Q545" s="2">
        <f>Table1[[#This Row],[Emission Factor (kg CO2/ mmBtu)]]*Table1[[#This Row],[Fuel Consumption (mmBtu)]]*10^3</f>
        <v>127495742346.86345</v>
      </c>
      <c r="R545" s="2">
        <f>(Table1[[#This Row],[CO2 Emissions (g CO2)]])/(Table1[[#This Row],[Generation (TWh)]]*10^9)</f>
        <v>1698.6821296784397</v>
      </c>
    </row>
    <row r="546" spans="1:18" hidden="1">
      <c r="A546" t="s">
        <v>454</v>
      </c>
      <c r="B546" t="s">
        <v>19</v>
      </c>
      <c r="C546" t="str">
        <f>SUBSTITUTE(Table1[[#This Row],[Fuel]],", ",",")</f>
        <v>bioenergy: refuse (municipal and industrial wastes)</v>
      </c>
      <c r="D546" t="s">
        <v>19</v>
      </c>
      <c r="G546">
        <v>5.25</v>
      </c>
      <c r="H546" t="s">
        <v>27</v>
      </c>
      <c r="I546">
        <v>2018</v>
      </c>
      <c r="J546" t="s">
        <v>21</v>
      </c>
      <c r="K546">
        <v>22.7867</v>
      </c>
      <c r="L546">
        <v>113.0767</v>
      </c>
      <c r="M546" t="s">
        <v>102</v>
      </c>
      <c r="N546" s="2">
        <f>Table1[[#This Row],[Capacity (MW)]]*8760*0.72*10^-6</f>
        <v>3.3112799999999991E-2</v>
      </c>
      <c r="O546" s="2" cm="1">
        <f t="array" ref="O546">AVERAGE(VLOOKUP(_xlfn.TEXTSPLIT(Table1[[#This Row],[Fuel (no space after comma)]], ","), FuelList_Final_EF!$A$2:$B$32, 2, FALSE))</f>
        <v>105.42962572482868</v>
      </c>
      <c r="P546" s="2">
        <f>(16112*Table1[[#This Row],[Generation (TWh)]]*10^9)/10^6</f>
        <v>533513.43359999987</v>
      </c>
      <c r="Q546" s="2">
        <f>Table1[[#This Row],[Emission Factor (kg CO2/ mmBtu)]]*Table1[[#This Row],[Fuel Consumption (mmBtu)]]*10^3</f>
        <v>56248121623.616226</v>
      </c>
      <c r="R546" s="2">
        <f>(Table1[[#This Row],[CO2 Emissions (g CO2)]])/(Table1[[#This Row],[Generation (TWh)]]*10^9)</f>
        <v>1698.6821296784397</v>
      </c>
    </row>
    <row r="547" spans="1:18" hidden="1">
      <c r="A547" t="s">
        <v>453</v>
      </c>
      <c r="B547" t="s">
        <v>19</v>
      </c>
      <c r="C547" t="str">
        <f>SUBSTITUTE(Table1[[#This Row],[Fuel]],", ",",")</f>
        <v>bioenergy: refuse (municipal and industrial wastes)</v>
      </c>
      <c r="D547" t="s">
        <v>19</v>
      </c>
      <c r="G547">
        <v>11.9</v>
      </c>
      <c r="H547" t="s">
        <v>27</v>
      </c>
      <c r="I547">
        <v>2018</v>
      </c>
      <c r="J547" t="s">
        <v>21</v>
      </c>
      <c r="K547">
        <v>22.7867</v>
      </c>
      <c r="L547">
        <v>113.0767</v>
      </c>
      <c r="M547" t="s">
        <v>102</v>
      </c>
      <c r="N547" s="2">
        <f>Table1[[#This Row],[Capacity (MW)]]*8760*0.72*10^-6</f>
        <v>7.5055679999999986E-2</v>
      </c>
      <c r="O547" s="2" cm="1">
        <f t="array" ref="O547">AVERAGE(VLOOKUP(_xlfn.TEXTSPLIT(Table1[[#This Row],[Fuel (no space after comma)]], ","), FuelList_Final_EF!$A$2:$B$32, 2, FALSE))</f>
        <v>105.42962572482868</v>
      </c>
      <c r="P547" s="2">
        <f>(16112*Table1[[#This Row],[Generation (TWh)]]*10^9)/10^6</f>
        <v>1209297.1161599997</v>
      </c>
      <c r="Q547" s="2">
        <f>Table1[[#This Row],[Emission Factor (kg CO2/ mmBtu)]]*Table1[[#This Row],[Fuel Consumption (mmBtu)]]*10^3</f>
        <v>127495742346.86345</v>
      </c>
      <c r="R547" s="2">
        <f>(Table1[[#This Row],[CO2 Emissions (g CO2)]])/(Table1[[#This Row],[Generation (TWh)]]*10^9)</f>
        <v>1698.6821296784397</v>
      </c>
    </row>
    <row r="548" spans="1:18" hidden="1">
      <c r="A548" t="s">
        <v>452</v>
      </c>
      <c r="B548" t="s">
        <v>19</v>
      </c>
      <c r="C548" t="str">
        <f>SUBSTITUTE(Table1[[#This Row],[Fuel]],", ",",")</f>
        <v>bioenergy: refuse (municipal and industrial wastes)</v>
      </c>
      <c r="D548" t="s">
        <v>19</v>
      </c>
      <c r="G548">
        <v>17.850000000000001</v>
      </c>
      <c r="H548" t="s">
        <v>27</v>
      </c>
      <c r="I548">
        <v>2018</v>
      </c>
      <c r="J548" t="s">
        <v>21</v>
      </c>
      <c r="K548">
        <v>22.7867</v>
      </c>
      <c r="L548">
        <v>113.0767</v>
      </c>
      <c r="M548" t="s">
        <v>102</v>
      </c>
      <c r="N548" s="2">
        <f>Table1[[#This Row],[Capacity (MW)]]*8760*0.72*10^-6</f>
        <v>0.11258351999999998</v>
      </c>
      <c r="O548" s="2" cm="1">
        <f t="array" ref="O548">AVERAGE(VLOOKUP(_xlfn.TEXTSPLIT(Table1[[#This Row],[Fuel (no space after comma)]], ","), FuelList_Final_EF!$A$2:$B$32, 2, FALSE))</f>
        <v>105.42962572482868</v>
      </c>
      <c r="P548" s="2">
        <f>(16112*Table1[[#This Row],[Generation (TWh)]]*10^9)/10^6</f>
        <v>1813945.6742399996</v>
      </c>
      <c r="Q548" s="2">
        <f>Table1[[#This Row],[Emission Factor (kg CO2/ mmBtu)]]*Table1[[#This Row],[Fuel Consumption (mmBtu)]]*10^3</f>
        <v>191243613520.29517</v>
      </c>
      <c r="R548" s="2">
        <f>(Table1[[#This Row],[CO2 Emissions (g CO2)]])/(Table1[[#This Row],[Generation (TWh)]]*10^9)</f>
        <v>1698.6821296784397</v>
      </c>
    </row>
    <row r="549" spans="1:18" hidden="1">
      <c r="A549" t="s">
        <v>454</v>
      </c>
      <c r="B549" t="s">
        <v>19</v>
      </c>
      <c r="C549" t="str">
        <f>SUBSTITUTE(Table1[[#This Row],[Fuel]],", ",",")</f>
        <v>bioenergy: refuse (municipal and industrial wastes)</v>
      </c>
      <c r="D549" t="s">
        <v>19</v>
      </c>
      <c r="G549">
        <v>5.25</v>
      </c>
      <c r="H549" t="s">
        <v>27</v>
      </c>
      <c r="I549">
        <v>2018</v>
      </c>
      <c r="J549" t="s">
        <v>21</v>
      </c>
      <c r="K549">
        <v>22.7867</v>
      </c>
      <c r="L549">
        <v>113.0767</v>
      </c>
      <c r="M549" t="s">
        <v>102</v>
      </c>
      <c r="N549" s="2">
        <f>Table1[[#This Row],[Capacity (MW)]]*8760*0.72*10^-6</f>
        <v>3.3112799999999991E-2</v>
      </c>
      <c r="O549" s="2" cm="1">
        <f t="array" ref="O549">AVERAGE(VLOOKUP(_xlfn.TEXTSPLIT(Table1[[#This Row],[Fuel (no space after comma)]], ","), FuelList_Final_EF!$A$2:$B$32, 2, FALSE))</f>
        <v>105.42962572482868</v>
      </c>
      <c r="P549" s="2">
        <f>(16112*Table1[[#This Row],[Generation (TWh)]]*10^9)/10^6</f>
        <v>533513.43359999987</v>
      </c>
      <c r="Q549" s="2">
        <f>Table1[[#This Row],[Emission Factor (kg CO2/ mmBtu)]]*Table1[[#This Row],[Fuel Consumption (mmBtu)]]*10^3</f>
        <v>56248121623.616226</v>
      </c>
      <c r="R549" s="2">
        <f>(Table1[[#This Row],[CO2 Emissions (g CO2)]])/(Table1[[#This Row],[Generation (TWh)]]*10^9)</f>
        <v>1698.6821296784397</v>
      </c>
    </row>
    <row r="550" spans="1:18" hidden="1">
      <c r="A550" t="s">
        <v>455</v>
      </c>
      <c r="B550" t="s">
        <v>105</v>
      </c>
      <c r="C550" t="str">
        <f>SUBSTITUTE(Table1[[#This Row],[Fuel]],", ",",")</f>
        <v>bioenergy: agricultural waste (solids),bioenergy: wood &amp; other biomass (solids)</v>
      </c>
      <c r="D550" t="s">
        <v>46</v>
      </c>
      <c r="E550" t="s">
        <v>25</v>
      </c>
      <c r="G550">
        <v>6</v>
      </c>
      <c r="H550" t="s">
        <v>27</v>
      </c>
      <c r="I550">
        <v>2020</v>
      </c>
      <c r="J550" t="s">
        <v>21</v>
      </c>
      <c r="K550">
        <v>24.306100000000001</v>
      </c>
      <c r="L550">
        <v>113.90819999999999</v>
      </c>
      <c r="M550" t="s">
        <v>102</v>
      </c>
      <c r="N550" s="2">
        <f>Table1[[#This Row],[Capacity (MW)]]*8760*0.72*10^-6</f>
        <v>3.7843199999999994E-2</v>
      </c>
      <c r="O550" s="2" cm="1">
        <f t="array" ref="O550">AVERAGE(VLOOKUP(_xlfn.TEXTSPLIT(Table1[[#This Row],[Fuel (no space after comma)]], ","), FuelList_Final_EF!$A$2:$B$32, 2, FALSE))</f>
        <v>105.985</v>
      </c>
      <c r="P550" s="2">
        <f>(16112*Table1[[#This Row],[Generation (TWh)]]*10^9)/10^6</f>
        <v>609729.63839999982</v>
      </c>
      <c r="Q550" s="2">
        <f>Table1[[#This Row],[Emission Factor (kg CO2/ mmBtu)]]*Table1[[#This Row],[Fuel Consumption (mmBtu)]]*10^3</f>
        <v>64622195725.823982</v>
      </c>
      <c r="R550" s="2">
        <f>(Table1[[#This Row],[CO2 Emissions (g CO2)]])/(Table1[[#This Row],[Generation (TWh)]]*10^9)</f>
        <v>1707.6303199999998</v>
      </c>
    </row>
    <row r="551" spans="1:18" hidden="1">
      <c r="A551" t="s">
        <v>449</v>
      </c>
      <c r="B551" t="s">
        <v>105</v>
      </c>
      <c r="C551" t="str">
        <f>SUBSTITUTE(Table1[[#This Row],[Fuel]],", ",",")</f>
        <v>bioenergy: agricultural waste (solids),bioenergy: wood &amp; other biomass (solids)</v>
      </c>
      <c r="D551" t="s">
        <v>46</v>
      </c>
      <c r="E551" t="s">
        <v>25</v>
      </c>
      <c r="G551">
        <v>24</v>
      </c>
      <c r="H551" t="s">
        <v>27</v>
      </c>
      <c r="I551">
        <v>2020</v>
      </c>
      <c r="J551" t="s">
        <v>21</v>
      </c>
      <c r="K551">
        <v>24.306100000000001</v>
      </c>
      <c r="L551">
        <v>113.90819999999999</v>
      </c>
      <c r="M551" t="s">
        <v>102</v>
      </c>
      <c r="N551" s="2">
        <f>Table1[[#This Row],[Capacity (MW)]]*8760*0.72*10^-6</f>
        <v>0.15137279999999997</v>
      </c>
      <c r="O551" s="2" cm="1">
        <f t="array" ref="O551">AVERAGE(VLOOKUP(_xlfn.TEXTSPLIT(Table1[[#This Row],[Fuel (no space after comma)]], ","), FuelList_Final_EF!$A$2:$B$32, 2, FALSE))</f>
        <v>105.985</v>
      </c>
      <c r="P551" s="2">
        <f>(16112*Table1[[#This Row],[Generation (TWh)]]*10^9)/10^6</f>
        <v>2438918.5535999993</v>
      </c>
      <c r="Q551" s="2">
        <f>Table1[[#This Row],[Emission Factor (kg CO2/ mmBtu)]]*Table1[[#This Row],[Fuel Consumption (mmBtu)]]*10^3</f>
        <v>258488782903.29593</v>
      </c>
      <c r="R551" s="2">
        <f>(Table1[[#This Row],[CO2 Emissions (g CO2)]])/(Table1[[#This Row],[Generation (TWh)]]*10^9)</f>
        <v>1707.6303199999998</v>
      </c>
    </row>
    <row r="552" spans="1:18" hidden="1">
      <c r="A552" t="s">
        <v>449</v>
      </c>
      <c r="B552" t="s">
        <v>105</v>
      </c>
      <c r="C552" t="str">
        <f>SUBSTITUTE(Table1[[#This Row],[Fuel]],", ",",")</f>
        <v>bioenergy: agricultural waste (solids),bioenergy: wood &amp; other biomass (solids)</v>
      </c>
      <c r="D552" t="s">
        <v>46</v>
      </c>
      <c r="E552" t="s">
        <v>25</v>
      </c>
      <c r="G552">
        <v>24</v>
      </c>
      <c r="H552" t="s">
        <v>27</v>
      </c>
      <c r="I552">
        <v>2020</v>
      </c>
      <c r="J552" t="s">
        <v>21</v>
      </c>
      <c r="K552">
        <v>24.306100000000001</v>
      </c>
      <c r="L552">
        <v>113.90819999999999</v>
      </c>
      <c r="M552" t="s">
        <v>102</v>
      </c>
      <c r="N552" s="2">
        <f>Table1[[#This Row],[Capacity (MW)]]*8760*0.72*10^-6</f>
        <v>0.15137279999999997</v>
      </c>
      <c r="O552" s="2" cm="1">
        <f t="array" ref="O552">AVERAGE(VLOOKUP(_xlfn.TEXTSPLIT(Table1[[#This Row],[Fuel (no space after comma)]], ","), FuelList_Final_EF!$A$2:$B$32, 2, FALSE))</f>
        <v>105.985</v>
      </c>
      <c r="P552" s="2">
        <f>(16112*Table1[[#This Row],[Generation (TWh)]]*10^9)/10^6</f>
        <v>2438918.5535999993</v>
      </c>
      <c r="Q552" s="2">
        <f>Table1[[#This Row],[Emission Factor (kg CO2/ mmBtu)]]*Table1[[#This Row],[Fuel Consumption (mmBtu)]]*10^3</f>
        <v>258488782903.29593</v>
      </c>
      <c r="R552" s="2">
        <f>(Table1[[#This Row],[CO2 Emissions (g CO2)]])/(Table1[[#This Row],[Generation (TWh)]]*10^9)</f>
        <v>1707.6303199999998</v>
      </c>
    </row>
    <row r="553" spans="1:18" hidden="1">
      <c r="A553" t="s">
        <v>455</v>
      </c>
      <c r="B553" t="s">
        <v>105</v>
      </c>
      <c r="C553" t="str">
        <f>SUBSTITUTE(Table1[[#This Row],[Fuel]],", ",",")</f>
        <v>bioenergy: agricultural waste (solids),bioenergy: wood &amp; other biomass (solids)</v>
      </c>
      <c r="D553" t="s">
        <v>46</v>
      </c>
      <c r="E553" t="s">
        <v>25</v>
      </c>
      <c r="G553">
        <v>6</v>
      </c>
      <c r="H553" t="s">
        <v>27</v>
      </c>
      <c r="I553">
        <v>2020</v>
      </c>
      <c r="J553" t="s">
        <v>21</v>
      </c>
      <c r="K553">
        <v>24.306100000000001</v>
      </c>
      <c r="L553">
        <v>113.90819999999999</v>
      </c>
      <c r="M553" t="s">
        <v>102</v>
      </c>
      <c r="N553" s="2">
        <f>Table1[[#This Row],[Capacity (MW)]]*8760*0.72*10^-6</f>
        <v>3.7843199999999994E-2</v>
      </c>
      <c r="O553" s="2" cm="1">
        <f t="array" ref="O553">AVERAGE(VLOOKUP(_xlfn.TEXTSPLIT(Table1[[#This Row],[Fuel (no space after comma)]], ","), FuelList_Final_EF!$A$2:$B$32, 2, FALSE))</f>
        <v>105.985</v>
      </c>
      <c r="P553" s="2">
        <f>(16112*Table1[[#This Row],[Generation (TWh)]]*10^9)/10^6</f>
        <v>609729.63839999982</v>
      </c>
      <c r="Q553" s="2">
        <f>Table1[[#This Row],[Emission Factor (kg CO2/ mmBtu)]]*Table1[[#This Row],[Fuel Consumption (mmBtu)]]*10^3</f>
        <v>64622195725.823982</v>
      </c>
      <c r="R553" s="2">
        <f>(Table1[[#This Row],[CO2 Emissions (g CO2)]])/(Table1[[#This Row],[Generation (TWh)]]*10^9)</f>
        <v>1707.6303199999998</v>
      </c>
    </row>
    <row r="554" spans="1:18" hidden="1">
      <c r="A554" t="s">
        <v>449</v>
      </c>
      <c r="B554" t="s">
        <v>105</v>
      </c>
      <c r="C554" t="str">
        <f>SUBSTITUTE(Table1[[#This Row],[Fuel]],", ",",")</f>
        <v>bioenergy: agricultural waste (solids),bioenergy: wood &amp; other biomass (solids)</v>
      </c>
      <c r="D554" t="s">
        <v>46</v>
      </c>
      <c r="E554" t="s">
        <v>25</v>
      </c>
      <c r="G554">
        <v>24</v>
      </c>
      <c r="H554" t="s">
        <v>27</v>
      </c>
      <c r="I554">
        <v>2020</v>
      </c>
      <c r="J554" t="s">
        <v>21</v>
      </c>
      <c r="K554">
        <v>24.306100000000001</v>
      </c>
      <c r="L554">
        <v>113.90819999999999</v>
      </c>
      <c r="M554" t="s">
        <v>102</v>
      </c>
      <c r="N554" s="2">
        <f>Table1[[#This Row],[Capacity (MW)]]*8760*0.72*10^-6</f>
        <v>0.15137279999999997</v>
      </c>
      <c r="O554" s="2" cm="1">
        <f t="array" ref="O554">AVERAGE(VLOOKUP(_xlfn.TEXTSPLIT(Table1[[#This Row],[Fuel (no space after comma)]], ","), FuelList_Final_EF!$A$2:$B$32, 2, FALSE))</f>
        <v>105.985</v>
      </c>
      <c r="P554" s="2">
        <f>(16112*Table1[[#This Row],[Generation (TWh)]]*10^9)/10^6</f>
        <v>2438918.5535999993</v>
      </c>
      <c r="Q554" s="2">
        <f>Table1[[#This Row],[Emission Factor (kg CO2/ mmBtu)]]*Table1[[#This Row],[Fuel Consumption (mmBtu)]]*10^3</f>
        <v>258488782903.29593</v>
      </c>
      <c r="R554" s="2">
        <f>(Table1[[#This Row],[CO2 Emissions (g CO2)]])/(Table1[[#This Row],[Generation (TWh)]]*10^9)</f>
        <v>1707.6303199999998</v>
      </c>
    </row>
    <row r="555" spans="1:18" hidden="1">
      <c r="A555" t="s">
        <v>455</v>
      </c>
      <c r="B555" t="s">
        <v>105</v>
      </c>
      <c r="C555" t="str">
        <f>SUBSTITUTE(Table1[[#This Row],[Fuel]],", ",",")</f>
        <v>bioenergy: agricultural waste (solids),bioenergy: wood &amp; other biomass (solids)</v>
      </c>
      <c r="D555" t="s">
        <v>46</v>
      </c>
      <c r="E555" t="s">
        <v>25</v>
      </c>
      <c r="G555">
        <v>6</v>
      </c>
      <c r="H555" t="s">
        <v>27</v>
      </c>
      <c r="I555">
        <v>2020</v>
      </c>
      <c r="J555" t="s">
        <v>21</v>
      </c>
      <c r="K555">
        <v>24.306100000000001</v>
      </c>
      <c r="L555">
        <v>113.90819999999999</v>
      </c>
      <c r="M555" t="s">
        <v>102</v>
      </c>
      <c r="N555" s="2">
        <f>Table1[[#This Row],[Capacity (MW)]]*8760*0.72*10^-6</f>
        <v>3.7843199999999994E-2</v>
      </c>
      <c r="O555" s="2" cm="1">
        <f t="array" ref="O555">AVERAGE(VLOOKUP(_xlfn.TEXTSPLIT(Table1[[#This Row],[Fuel (no space after comma)]], ","), FuelList_Final_EF!$A$2:$B$32, 2, FALSE))</f>
        <v>105.985</v>
      </c>
      <c r="P555" s="2">
        <f>(16112*Table1[[#This Row],[Generation (TWh)]]*10^9)/10^6</f>
        <v>609729.63839999982</v>
      </c>
      <c r="Q555" s="2">
        <f>Table1[[#This Row],[Emission Factor (kg CO2/ mmBtu)]]*Table1[[#This Row],[Fuel Consumption (mmBtu)]]*10^3</f>
        <v>64622195725.823982</v>
      </c>
      <c r="R555" s="2">
        <f>(Table1[[#This Row],[CO2 Emissions (g CO2)]])/(Table1[[#This Row],[Generation (TWh)]]*10^9)</f>
        <v>1707.6303199999998</v>
      </c>
    </row>
    <row r="556" spans="1:18" hidden="1">
      <c r="A556" t="s">
        <v>449</v>
      </c>
      <c r="B556" t="s">
        <v>105</v>
      </c>
      <c r="C556" t="str">
        <f>SUBSTITUTE(Table1[[#This Row],[Fuel]],", ",",")</f>
        <v>bioenergy: agricultural waste (solids),bioenergy: wood &amp; other biomass (solids)</v>
      </c>
      <c r="D556" t="s">
        <v>46</v>
      </c>
      <c r="E556" t="s">
        <v>25</v>
      </c>
      <c r="G556">
        <v>24</v>
      </c>
      <c r="H556" t="s">
        <v>27</v>
      </c>
      <c r="I556">
        <v>2020</v>
      </c>
      <c r="J556" t="s">
        <v>21</v>
      </c>
      <c r="K556">
        <v>24.306100000000001</v>
      </c>
      <c r="L556">
        <v>113.90819999999999</v>
      </c>
      <c r="M556" t="s">
        <v>102</v>
      </c>
      <c r="N556" s="2">
        <f>Table1[[#This Row],[Capacity (MW)]]*8760*0.72*10^-6</f>
        <v>0.15137279999999997</v>
      </c>
      <c r="O556" s="2" cm="1">
        <f t="array" ref="O556">AVERAGE(VLOOKUP(_xlfn.TEXTSPLIT(Table1[[#This Row],[Fuel (no space after comma)]], ","), FuelList_Final_EF!$A$2:$B$32, 2, FALSE))</f>
        <v>105.985</v>
      </c>
      <c r="P556" s="2">
        <f>(16112*Table1[[#This Row],[Generation (TWh)]]*10^9)/10^6</f>
        <v>2438918.5535999993</v>
      </c>
      <c r="Q556" s="2">
        <f>Table1[[#This Row],[Emission Factor (kg CO2/ mmBtu)]]*Table1[[#This Row],[Fuel Consumption (mmBtu)]]*10^3</f>
        <v>258488782903.29593</v>
      </c>
      <c r="R556" s="2">
        <f>(Table1[[#This Row],[CO2 Emissions (g CO2)]])/(Table1[[#This Row],[Generation (TWh)]]*10^9)</f>
        <v>1707.6303199999998</v>
      </c>
    </row>
    <row r="557" spans="1:18" hidden="1">
      <c r="A557" t="s">
        <v>455</v>
      </c>
      <c r="B557" t="s">
        <v>105</v>
      </c>
      <c r="C557" t="str">
        <f>SUBSTITUTE(Table1[[#This Row],[Fuel]],", ",",")</f>
        <v>bioenergy: agricultural waste (solids),bioenergy: wood &amp; other biomass (solids)</v>
      </c>
      <c r="D557" t="s">
        <v>46</v>
      </c>
      <c r="E557" t="s">
        <v>25</v>
      </c>
      <c r="G557">
        <v>6</v>
      </c>
      <c r="H557" t="s">
        <v>27</v>
      </c>
      <c r="I557">
        <v>2020</v>
      </c>
      <c r="J557" t="s">
        <v>21</v>
      </c>
      <c r="K557">
        <v>24.306100000000001</v>
      </c>
      <c r="L557">
        <v>113.90819999999999</v>
      </c>
      <c r="M557" t="s">
        <v>102</v>
      </c>
      <c r="N557" s="2">
        <f>Table1[[#This Row],[Capacity (MW)]]*8760*0.72*10^-6</f>
        <v>3.7843199999999994E-2</v>
      </c>
      <c r="O557" s="2" cm="1">
        <f t="array" ref="O557">AVERAGE(VLOOKUP(_xlfn.TEXTSPLIT(Table1[[#This Row],[Fuel (no space after comma)]], ","), FuelList_Final_EF!$A$2:$B$32, 2, FALSE))</f>
        <v>105.985</v>
      </c>
      <c r="P557" s="2">
        <f>(16112*Table1[[#This Row],[Generation (TWh)]]*10^9)/10^6</f>
        <v>609729.63839999982</v>
      </c>
      <c r="Q557" s="2">
        <f>Table1[[#This Row],[Emission Factor (kg CO2/ mmBtu)]]*Table1[[#This Row],[Fuel Consumption (mmBtu)]]*10^3</f>
        <v>64622195725.823982</v>
      </c>
      <c r="R557" s="2">
        <f>(Table1[[#This Row],[CO2 Emissions (g CO2)]])/(Table1[[#This Row],[Generation (TWh)]]*10^9)</f>
        <v>1707.6303199999998</v>
      </c>
    </row>
    <row r="558" spans="1:18" hidden="1">
      <c r="A558" t="s">
        <v>449</v>
      </c>
      <c r="B558" t="s">
        <v>456</v>
      </c>
      <c r="C558" t="str">
        <f>SUBSTITUTE(Table1[[#This Row],[Fuel]],", ",",")</f>
        <v>bioenergy: agricultural waste (solids),bioenergy: refuse (municipal and industrial wastes)</v>
      </c>
      <c r="D558" t="s">
        <v>46</v>
      </c>
      <c r="E558" t="s">
        <v>19</v>
      </c>
      <c r="G558">
        <v>30</v>
      </c>
      <c r="H558" t="s">
        <v>27</v>
      </c>
      <c r="I558">
        <v>2017</v>
      </c>
      <c r="J558" t="s">
        <v>21</v>
      </c>
      <c r="K558">
        <v>24.134499999999999</v>
      </c>
      <c r="L558">
        <v>114.31740000000001</v>
      </c>
      <c r="M558" t="s">
        <v>102</v>
      </c>
      <c r="N558" s="2">
        <f>Table1[[#This Row],[Capacity (MW)]]*8760*0.72*10^-6</f>
        <v>0.189216</v>
      </c>
      <c r="O558" s="2" cm="1">
        <f t="array" ref="O558">AVERAGE(VLOOKUP(_xlfn.TEXTSPLIT(Table1[[#This Row],[Fuel (no space after comma)]], ","), FuelList_Final_EF!$A$2:$B$32, 2, FALSE))</f>
        <v>111.79981286241434</v>
      </c>
      <c r="P558" s="2">
        <f>(16112*Table1[[#This Row],[Generation (TWh)]]*10^9)/10^6</f>
        <v>3048648.1919999998</v>
      </c>
      <c r="Q558" s="2">
        <f>Table1[[#This Row],[Emission Factor (kg CO2/ mmBtu)]]*Table1[[#This Row],[Fuel Consumption (mmBtu)]]*10^3</f>
        <v>340838297348.93781</v>
      </c>
      <c r="R558" s="2">
        <f>(Table1[[#This Row],[CO2 Emissions (g CO2)]])/(Table1[[#This Row],[Generation (TWh)]]*10^9)</f>
        <v>1801.3185848392197</v>
      </c>
    </row>
    <row r="559" spans="1:18" hidden="1">
      <c r="A559" t="s">
        <v>449</v>
      </c>
      <c r="B559" t="s">
        <v>456</v>
      </c>
      <c r="C559" t="str">
        <f>SUBSTITUTE(Table1[[#This Row],[Fuel]],", ",",")</f>
        <v>bioenergy: agricultural waste (solids),bioenergy: refuse (municipal and industrial wastes)</v>
      </c>
      <c r="D559" t="s">
        <v>46</v>
      </c>
      <c r="E559" t="s">
        <v>19</v>
      </c>
      <c r="G559">
        <v>30</v>
      </c>
      <c r="H559" t="s">
        <v>27</v>
      </c>
      <c r="I559">
        <v>2017</v>
      </c>
      <c r="J559" t="s">
        <v>21</v>
      </c>
      <c r="K559">
        <v>24.134499999999999</v>
      </c>
      <c r="L559">
        <v>114.31740000000001</v>
      </c>
      <c r="M559" t="s">
        <v>102</v>
      </c>
      <c r="N559" s="2">
        <f>Table1[[#This Row],[Capacity (MW)]]*8760*0.72*10^-6</f>
        <v>0.189216</v>
      </c>
      <c r="O559" s="2" cm="1">
        <f t="array" ref="O559">AVERAGE(VLOOKUP(_xlfn.TEXTSPLIT(Table1[[#This Row],[Fuel (no space after comma)]], ","), FuelList_Final_EF!$A$2:$B$32, 2, FALSE))</f>
        <v>111.79981286241434</v>
      </c>
      <c r="P559" s="2">
        <f>(16112*Table1[[#This Row],[Generation (TWh)]]*10^9)/10^6</f>
        <v>3048648.1919999998</v>
      </c>
      <c r="Q559" s="2">
        <f>Table1[[#This Row],[Emission Factor (kg CO2/ mmBtu)]]*Table1[[#This Row],[Fuel Consumption (mmBtu)]]*10^3</f>
        <v>340838297348.93781</v>
      </c>
      <c r="R559" s="2">
        <f>(Table1[[#This Row],[CO2 Emissions (g CO2)]])/(Table1[[#This Row],[Generation (TWh)]]*10^9)</f>
        <v>1801.3185848392197</v>
      </c>
    </row>
    <row r="560" spans="1:18" hidden="1">
      <c r="A560" t="s">
        <v>449</v>
      </c>
      <c r="B560" t="s">
        <v>456</v>
      </c>
      <c r="C560" t="str">
        <f>SUBSTITUTE(Table1[[#This Row],[Fuel]],", ",",")</f>
        <v>bioenergy: agricultural waste (solids),bioenergy: refuse (municipal and industrial wastes)</v>
      </c>
      <c r="D560" t="s">
        <v>46</v>
      </c>
      <c r="E560" t="s">
        <v>19</v>
      </c>
      <c r="G560">
        <v>30</v>
      </c>
      <c r="H560" t="s">
        <v>27</v>
      </c>
      <c r="I560">
        <v>2019</v>
      </c>
      <c r="J560" t="s">
        <v>21</v>
      </c>
      <c r="K560">
        <v>24.134499999999999</v>
      </c>
      <c r="L560">
        <v>114.31740000000001</v>
      </c>
      <c r="M560" t="s">
        <v>102</v>
      </c>
      <c r="N560" s="2">
        <f>Table1[[#This Row],[Capacity (MW)]]*8760*0.72*10^-6</f>
        <v>0.189216</v>
      </c>
      <c r="O560" s="2" cm="1">
        <f t="array" ref="O560">AVERAGE(VLOOKUP(_xlfn.TEXTSPLIT(Table1[[#This Row],[Fuel (no space after comma)]], ","), FuelList_Final_EF!$A$2:$B$32, 2, FALSE))</f>
        <v>111.79981286241434</v>
      </c>
      <c r="P560" s="2">
        <f>(16112*Table1[[#This Row],[Generation (TWh)]]*10^9)/10^6</f>
        <v>3048648.1919999998</v>
      </c>
      <c r="Q560" s="2">
        <f>Table1[[#This Row],[Emission Factor (kg CO2/ mmBtu)]]*Table1[[#This Row],[Fuel Consumption (mmBtu)]]*10^3</f>
        <v>340838297348.93781</v>
      </c>
      <c r="R560" s="2">
        <f>(Table1[[#This Row],[CO2 Emissions (g CO2)]])/(Table1[[#This Row],[Generation (TWh)]]*10^9)</f>
        <v>1801.3185848392197</v>
      </c>
    </row>
    <row r="561" spans="1:18" hidden="1">
      <c r="A561" t="s">
        <v>449</v>
      </c>
      <c r="B561" t="s">
        <v>456</v>
      </c>
      <c r="C561" t="str">
        <f>SUBSTITUTE(Table1[[#This Row],[Fuel]],", ",",")</f>
        <v>bioenergy: agricultural waste (solids),bioenergy: refuse (municipal and industrial wastes)</v>
      </c>
      <c r="D561" t="s">
        <v>46</v>
      </c>
      <c r="E561" t="s">
        <v>19</v>
      </c>
      <c r="G561">
        <v>30</v>
      </c>
      <c r="H561" t="s">
        <v>27</v>
      </c>
      <c r="I561">
        <v>2019</v>
      </c>
      <c r="J561" t="s">
        <v>21</v>
      </c>
      <c r="K561">
        <v>24.134499999999999</v>
      </c>
      <c r="L561">
        <v>114.31740000000001</v>
      </c>
      <c r="M561" t="s">
        <v>102</v>
      </c>
      <c r="N561" s="2">
        <f>Table1[[#This Row],[Capacity (MW)]]*8760*0.72*10^-6</f>
        <v>0.189216</v>
      </c>
      <c r="O561" s="2" cm="1">
        <f t="array" ref="O561">AVERAGE(VLOOKUP(_xlfn.TEXTSPLIT(Table1[[#This Row],[Fuel (no space after comma)]], ","), FuelList_Final_EF!$A$2:$B$32, 2, FALSE))</f>
        <v>111.79981286241434</v>
      </c>
      <c r="P561" s="2">
        <f>(16112*Table1[[#This Row],[Generation (TWh)]]*10^9)/10^6</f>
        <v>3048648.1919999998</v>
      </c>
      <c r="Q561" s="2">
        <f>Table1[[#This Row],[Emission Factor (kg CO2/ mmBtu)]]*Table1[[#This Row],[Fuel Consumption (mmBtu)]]*10^3</f>
        <v>340838297348.93781</v>
      </c>
      <c r="R561" s="2">
        <f>(Table1[[#This Row],[CO2 Emissions (g CO2)]])/(Table1[[#This Row],[Generation (TWh)]]*10^9)</f>
        <v>1801.3185848392197</v>
      </c>
    </row>
    <row r="562" spans="1:18" hidden="1">
      <c r="A562" t="s">
        <v>449</v>
      </c>
      <c r="B562" t="s">
        <v>456</v>
      </c>
      <c r="C562" t="str">
        <f>SUBSTITUTE(Table1[[#This Row],[Fuel]],", ",",")</f>
        <v>bioenergy: agricultural waste (solids),bioenergy: refuse (municipal and industrial wastes)</v>
      </c>
      <c r="D562" t="s">
        <v>46</v>
      </c>
      <c r="E562" t="s">
        <v>19</v>
      </c>
      <c r="G562">
        <v>30</v>
      </c>
      <c r="H562" t="s">
        <v>27</v>
      </c>
      <c r="I562">
        <v>2020</v>
      </c>
      <c r="J562" t="s">
        <v>21</v>
      </c>
      <c r="K562">
        <v>24.134499999999999</v>
      </c>
      <c r="L562">
        <v>114.31740000000001</v>
      </c>
      <c r="M562" t="s">
        <v>102</v>
      </c>
      <c r="N562" s="2">
        <f>Table1[[#This Row],[Capacity (MW)]]*8760*0.72*10^-6</f>
        <v>0.189216</v>
      </c>
      <c r="O562" s="2" cm="1">
        <f t="array" ref="O562">AVERAGE(VLOOKUP(_xlfn.TEXTSPLIT(Table1[[#This Row],[Fuel (no space after comma)]], ","), FuelList_Final_EF!$A$2:$B$32, 2, FALSE))</f>
        <v>111.79981286241434</v>
      </c>
      <c r="P562" s="2">
        <f>(16112*Table1[[#This Row],[Generation (TWh)]]*10^9)/10^6</f>
        <v>3048648.1919999998</v>
      </c>
      <c r="Q562" s="2">
        <f>Table1[[#This Row],[Emission Factor (kg CO2/ mmBtu)]]*Table1[[#This Row],[Fuel Consumption (mmBtu)]]*10^3</f>
        <v>340838297348.93781</v>
      </c>
      <c r="R562" s="2">
        <f>(Table1[[#This Row],[CO2 Emissions (g CO2)]])/(Table1[[#This Row],[Generation (TWh)]]*10^9)</f>
        <v>1801.3185848392197</v>
      </c>
    </row>
    <row r="563" spans="1:18" hidden="1">
      <c r="A563" t="s">
        <v>449</v>
      </c>
      <c r="B563" t="s">
        <v>456</v>
      </c>
      <c r="C563" t="str">
        <f>SUBSTITUTE(Table1[[#This Row],[Fuel]],", ",",")</f>
        <v>bioenergy: agricultural waste (solids),bioenergy: refuse (municipal and industrial wastes)</v>
      </c>
      <c r="D563" t="s">
        <v>46</v>
      </c>
      <c r="E563" t="s">
        <v>19</v>
      </c>
      <c r="G563">
        <v>30</v>
      </c>
      <c r="H563" t="s">
        <v>27</v>
      </c>
      <c r="I563">
        <v>2020</v>
      </c>
      <c r="J563" t="s">
        <v>21</v>
      </c>
      <c r="K563">
        <v>24.134499999999999</v>
      </c>
      <c r="L563">
        <v>114.31740000000001</v>
      </c>
      <c r="M563" t="s">
        <v>102</v>
      </c>
      <c r="N563" s="2">
        <f>Table1[[#This Row],[Capacity (MW)]]*8760*0.72*10^-6</f>
        <v>0.189216</v>
      </c>
      <c r="O563" s="2" cm="1">
        <f t="array" ref="O563">AVERAGE(VLOOKUP(_xlfn.TEXTSPLIT(Table1[[#This Row],[Fuel (no space after comma)]], ","), FuelList_Final_EF!$A$2:$B$32, 2, FALSE))</f>
        <v>111.79981286241434</v>
      </c>
      <c r="P563" s="2">
        <f>(16112*Table1[[#This Row],[Generation (TWh)]]*10^9)/10^6</f>
        <v>3048648.1919999998</v>
      </c>
      <c r="Q563" s="2">
        <f>Table1[[#This Row],[Emission Factor (kg CO2/ mmBtu)]]*Table1[[#This Row],[Fuel Consumption (mmBtu)]]*10^3</f>
        <v>340838297348.93781</v>
      </c>
      <c r="R563" s="2">
        <f>(Table1[[#This Row],[CO2 Emissions (g CO2)]])/(Table1[[#This Row],[Generation (TWh)]]*10^9)</f>
        <v>1801.3185848392197</v>
      </c>
    </row>
    <row r="564" spans="1:18" hidden="1">
      <c r="A564" t="s">
        <v>21</v>
      </c>
      <c r="B564" t="s">
        <v>41</v>
      </c>
      <c r="C564" t="str">
        <f>SUBSTITUTE(Table1[[#This Row],[Fuel]],", ",",")</f>
        <v>bioenergy: refuse (municipal and industrial wastes),bioenergy: wastewater and sewage sludge (solids or biogas)</v>
      </c>
      <c r="D564" t="s">
        <v>19</v>
      </c>
      <c r="E564" t="s">
        <v>42</v>
      </c>
      <c r="G564">
        <v>35</v>
      </c>
      <c r="H564" t="s">
        <v>27</v>
      </c>
      <c r="I564">
        <v>2023</v>
      </c>
      <c r="J564" t="s">
        <v>21</v>
      </c>
      <c r="K564">
        <v>21.858651999999999</v>
      </c>
      <c r="L564">
        <v>111.79285299999999</v>
      </c>
      <c r="M564" t="s">
        <v>102</v>
      </c>
      <c r="N564" s="2">
        <f>Table1[[#This Row],[Capacity (MW)]]*8760*0.72*10^-6</f>
        <v>0.220752</v>
      </c>
      <c r="O564" s="2" cm="1">
        <f t="array" ref="O564">AVERAGE(VLOOKUP(_xlfn.TEXTSPLIT(Table1[[#This Row],[Fuel (no space after comma)]], ","), FuelList_Final_EF!$A$2:$B$32, 2, FALSE))</f>
        <v>81.497100685292565</v>
      </c>
      <c r="P564" s="2">
        <f>(16112*Table1[[#This Row],[Generation (TWh)]]*10^9)/10^6</f>
        <v>3556756.2239999999</v>
      </c>
      <c r="Q564" s="2">
        <f>Table1[[#This Row],[Emission Factor (kg CO2/ mmBtu)]]*Table1[[#This Row],[Fuel Consumption (mmBtu)]]*10^3</f>
        <v>289865320100.36896</v>
      </c>
      <c r="R564" s="2">
        <f>(Table1[[#This Row],[CO2 Emissions (g CO2)]])/(Table1[[#This Row],[Generation (TWh)]]*10^9)</f>
        <v>1313.0812862414336</v>
      </c>
    </row>
    <row r="565" spans="1:18" hidden="1">
      <c r="A565" t="s">
        <v>440</v>
      </c>
      <c r="B565" t="s">
        <v>19</v>
      </c>
      <c r="C565" t="str">
        <f>SUBSTITUTE(Table1[[#This Row],[Fuel]],", ",",")</f>
        <v>bioenergy: refuse (municipal and industrial wastes)</v>
      </c>
      <c r="D565" t="s">
        <v>19</v>
      </c>
      <c r="G565">
        <v>50</v>
      </c>
      <c r="H565" t="s">
        <v>27</v>
      </c>
      <c r="I565">
        <v>2022</v>
      </c>
      <c r="J565" t="s">
        <v>21</v>
      </c>
      <c r="K565">
        <v>23.210799999999999</v>
      </c>
      <c r="L565">
        <v>113.7167</v>
      </c>
      <c r="M565" t="s">
        <v>102</v>
      </c>
      <c r="N565" s="2">
        <f>Table1[[#This Row],[Capacity (MW)]]*8760*0.72*10^-6</f>
        <v>0.31535999999999997</v>
      </c>
      <c r="O565" s="2" cm="1">
        <f t="array" ref="O565">AVERAGE(VLOOKUP(_xlfn.TEXTSPLIT(Table1[[#This Row],[Fuel (no space after comma)]], ","), FuelList_Final_EF!$A$2:$B$32, 2, FALSE))</f>
        <v>105.42962572482868</v>
      </c>
      <c r="P565" s="2">
        <f>(16112*Table1[[#This Row],[Generation (TWh)]]*10^9)/10^6</f>
        <v>5081080.32</v>
      </c>
      <c r="Q565" s="2">
        <f>Table1[[#This Row],[Emission Factor (kg CO2/ mmBtu)]]*Table1[[#This Row],[Fuel Consumption (mmBtu)]]*10^3</f>
        <v>535696396415.39276</v>
      </c>
      <c r="R565" s="2">
        <f>(Table1[[#This Row],[CO2 Emissions (g CO2)]])/(Table1[[#This Row],[Generation (TWh)]]*10^9)</f>
        <v>1698.6821296784397</v>
      </c>
    </row>
    <row r="566" spans="1:18" hidden="1">
      <c r="A566" t="s">
        <v>440</v>
      </c>
      <c r="B566" t="s">
        <v>19</v>
      </c>
      <c r="C566" t="str">
        <f>SUBSTITUTE(Table1[[#This Row],[Fuel]],", ",",")</f>
        <v>bioenergy: refuse (municipal and industrial wastes)</v>
      </c>
      <c r="D566" t="s">
        <v>19</v>
      </c>
      <c r="G566">
        <v>50</v>
      </c>
      <c r="H566" t="s">
        <v>27</v>
      </c>
      <c r="I566">
        <v>2022</v>
      </c>
      <c r="J566" t="s">
        <v>21</v>
      </c>
      <c r="K566">
        <v>23.210799999999999</v>
      </c>
      <c r="L566">
        <v>113.7167</v>
      </c>
      <c r="M566" t="s">
        <v>102</v>
      </c>
      <c r="N566" s="2">
        <f>Table1[[#This Row],[Capacity (MW)]]*8760*0.72*10^-6</f>
        <v>0.31535999999999997</v>
      </c>
      <c r="O566" s="2" cm="1">
        <f t="array" ref="O566">AVERAGE(VLOOKUP(_xlfn.TEXTSPLIT(Table1[[#This Row],[Fuel (no space after comma)]], ","), FuelList_Final_EF!$A$2:$B$32, 2, FALSE))</f>
        <v>105.42962572482868</v>
      </c>
      <c r="P566" s="2">
        <f>(16112*Table1[[#This Row],[Generation (TWh)]]*10^9)/10^6</f>
        <v>5081080.32</v>
      </c>
      <c r="Q566" s="2">
        <f>Table1[[#This Row],[Emission Factor (kg CO2/ mmBtu)]]*Table1[[#This Row],[Fuel Consumption (mmBtu)]]*10^3</f>
        <v>535696396415.39276</v>
      </c>
      <c r="R566" s="2">
        <f>(Table1[[#This Row],[CO2 Emissions (g CO2)]])/(Table1[[#This Row],[Generation (TWh)]]*10^9)</f>
        <v>1698.6821296784397</v>
      </c>
    </row>
    <row r="567" spans="1:18" hidden="1">
      <c r="A567" t="s">
        <v>457</v>
      </c>
      <c r="B567" t="s">
        <v>61</v>
      </c>
      <c r="C567" t="str">
        <f>SUBSTITUTE(Table1[[#This Row],[Fuel]],", ",",")</f>
        <v>bioenergy: paper mill wastes</v>
      </c>
      <c r="D567" t="s">
        <v>61</v>
      </c>
      <c r="G567">
        <v>38.5</v>
      </c>
      <c r="H567" t="s">
        <v>27</v>
      </c>
      <c r="I567">
        <v>2019</v>
      </c>
      <c r="J567" t="s">
        <v>21</v>
      </c>
      <c r="K567">
        <v>21.104700000000001</v>
      </c>
      <c r="L567">
        <v>110.1596</v>
      </c>
      <c r="M567" t="s">
        <v>102</v>
      </c>
      <c r="N567" s="2">
        <f>Table1[[#This Row],[Capacity (MW)]]*8760*0.72*10^-6</f>
        <v>0.24282719999999997</v>
      </c>
      <c r="O567" s="2" cm="1">
        <f t="array" ref="O567">AVERAGE(VLOOKUP(_xlfn.TEXTSPLIT(Table1[[#This Row],[Fuel (no space after comma)]], ","), FuelList_Final_EF!$A$2:$B$32, 2, FALSE))</f>
        <v>100.47443331576173</v>
      </c>
      <c r="P567" s="2">
        <f>(16112*Table1[[#This Row],[Generation (TWh)]]*10^9)/10^6</f>
        <v>3912431.8463999997</v>
      </c>
      <c r="Q567" s="2">
        <f>Table1[[#This Row],[Emission Factor (kg CO2/ mmBtu)]]*Table1[[#This Row],[Fuel Consumption (mmBtu)]]*10^3</f>
        <v>393099372653.57928</v>
      </c>
      <c r="R567" s="2">
        <f>(Table1[[#This Row],[CO2 Emissions (g CO2)]])/(Table1[[#This Row],[Generation (TWh)]]*10^9)</f>
        <v>1618.8440695835529</v>
      </c>
    </row>
    <row r="568" spans="1:18" hidden="1">
      <c r="A568" t="s">
        <v>54</v>
      </c>
      <c r="B568" t="s">
        <v>61</v>
      </c>
      <c r="C568" t="str">
        <f>SUBSTITUTE(Table1[[#This Row],[Fuel]],", ",",")</f>
        <v>bioenergy: paper mill wastes</v>
      </c>
      <c r="D568" t="s">
        <v>61</v>
      </c>
      <c r="G568">
        <v>8.5</v>
      </c>
      <c r="H568" t="s">
        <v>27</v>
      </c>
      <c r="I568">
        <v>2019</v>
      </c>
      <c r="J568" t="s">
        <v>21</v>
      </c>
      <c r="K568">
        <v>21.104700000000001</v>
      </c>
      <c r="L568">
        <v>110.1596</v>
      </c>
      <c r="M568" t="s">
        <v>102</v>
      </c>
      <c r="N568" s="2">
        <f>Table1[[#This Row],[Capacity (MW)]]*8760*0.72*10^-6</f>
        <v>5.3611199999999998E-2</v>
      </c>
      <c r="O568" s="2" cm="1">
        <f t="array" ref="O568">AVERAGE(VLOOKUP(_xlfn.TEXTSPLIT(Table1[[#This Row],[Fuel (no space after comma)]], ","), FuelList_Final_EF!$A$2:$B$32, 2, FALSE))</f>
        <v>100.47443331576173</v>
      </c>
      <c r="P568" s="2">
        <f>(16112*Table1[[#This Row],[Generation (TWh)]]*10^9)/10^6</f>
        <v>863783.65439999988</v>
      </c>
      <c r="Q568" s="2">
        <f>Table1[[#This Row],[Emission Factor (kg CO2/ mmBtu)]]*Table1[[#This Row],[Fuel Consumption (mmBtu)]]*10^3</f>
        <v>86788173183.257751</v>
      </c>
      <c r="R568" s="2">
        <f>(Table1[[#This Row],[CO2 Emissions (g CO2)]])/(Table1[[#This Row],[Generation (TWh)]]*10^9)</f>
        <v>1618.8440695835525</v>
      </c>
    </row>
    <row r="569" spans="1:18" hidden="1">
      <c r="A569" t="s">
        <v>458</v>
      </c>
      <c r="B569" t="s">
        <v>61</v>
      </c>
      <c r="C569" t="str">
        <f>SUBSTITUTE(Table1[[#This Row],[Fuel]],", ",",")</f>
        <v>bioenergy: paper mill wastes</v>
      </c>
      <c r="D569" t="s">
        <v>61</v>
      </c>
      <c r="G569">
        <v>3</v>
      </c>
      <c r="H569" t="s">
        <v>27</v>
      </c>
      <c r="I569">
        <v>2019</v>
      </c>
      <c r="J569" t="s">
        <v>21</v>
      </c>
      <c r="K569">
        <v>21.104700000000001</v>
      </c>
      <c r="L569">
        <v>110.1596</v>
      </c>
      <c r="M569" t="s">
        <v>102</v>
      </c>
      <c r="N569" s="2">
        <f>Table1[[#This Row],[Capacity (MW)]]*8760*0.72*10^-6</f>
        <v>1.8921599999999997E-2</v>
      </c>
      <c r="O569" s="2" cm="1">
        <f t="array" ref="O569">AVERAGE(VLOOKUP(_xlfn.TEXTSPLIT(Table1[[#This Row],[Fuel (no space after comma)]], ","), FuelList_Final_EF!$A$2:$B$32, 2, FALSE))</f>
        <v>100.47443331576173</v>
      </c>
      <c r="P569" s="2">
        <f>(16112*Table1[[#This Row],[Generation (TWh)]]*10^9)/10^6</f>
        <v>304864.81919999991</v>
      </c>
      <c r="Q569" s="2">
        <f>Table1[[#This Row],[Emission Factor (kg CO2/ mmBtu)]]*Table1[[#This Row],[Fuel Consumption (mmBtu)]]*10^3</f>
        <v>30631119947.032146</v>
      </c>
      <c r="R569" s="2">
        <f>(Table1[[#This Row],[CO2 Emissions (g CO2)]])/(Table1[[#This Row],[Generation (TWh)]]*10^9)</f>
        <v>1618.8440695835527</v>
      </c>
    </row>
    <row r="570" spans="1:18" hidden="1">
      <c r="A570" t="s">
        <v>458</v>
      </c>
      <c r="B570" t="s">
        <v>61</v>
      </c>
      <c r="C570" t="str">
        <f>SUBSTITUTE(Table1[[#This Row],[Fuel]],", ",",")</f>
        <v>bioenergy: paper mill wastes</v>
      </c>
      <c r="D570" t="s">
        <v>61</v>
      </c>
      <c r="G570">
        <v>3.6</v>
      </c>
      <c r="H570" t="s">
        <v>27</v>
      </c>
      <c r="I570">
        <v>2011</v>
      </c>
      <c r="J570" t="s">
        <v>21</v>
      </c>
      <c r="K570">
        <v>21.104700000000001</v>
      </c>
      <c r="L570">
        <v>110.1596</v>
      </c>
      <c r="M570" t="s">
        <v>102</v>
      </c>
      <c r="N570" s="2">
        <f>Table1[[#This Row],[Capacity (MW)]]*8760*0.72*10^-6</f>
        <v>2.2705919999999997E-2</v>
      </c>
      <c r="O570" s="2" cm="1">
        <f t="array" ref="O570">AVERAGE(VLOOKUP(_xlfn.TEXTSPLIT(Table1[[#This Row],[Fuel (no space after comma)]], ","), FuelList_Final_EF!$A$2:$B$32, 2, FALSE))</f>
        <v>100.47443331576173</v>
      </c>
      <c r="P570" s="2">
        <f>(16112*Table1[[#This Row],[Generation (TWh)]]*10^9)/10^6</f>
        <v>365837.78304000001</v>
      </c>
      <c r="Q570" s="2">
        <f>Table1[[#This Row],[Emission Factor (kg CO2/ mmBtu)]]*Table1[[#This Row],[Fuel Consumption (mmBtu)]]*10^3</f>
        <v>36757343936.438591</v>
      </c>
      <c r="R570" s="2">
        <f>(Table1[[#This Row],[CO2 Emissions (g CO2)]])/(Table1[[#This Row],[Generation (TWh)]]*10^9)</f>
        <v>1618.8440695835534</v>
      </c>
    </row>
    <row r="571" spans="1:18" hidden="1">
      <c r="A571" t="s">
        <v>457</v>
      </c>
      <c r="B571" t="s">
        <v>61</v>
      </c>
      <c r="C571" t="str">
        <f>SUBSTITUTE(Table1[[#This Row],[Fuel]],", ",",")</f>
        <v>bioenergy: paper mill wastes</v>
      </c>
      <c r="D571" t="s">
        <v>61</v>
      </c>
      <c r="G571">
        <v>46.2</v>
      </c>
      <c r="H571" t="s">
        <v>27</v>
      </c>
      <c r="I571">
        <v>2011</v>
      </c>
      <c r="J571" t="s">
        <v>21</v>
      </c>
      <c r="K571">
        <v>21.104700000000001</v>
      </c>
      <c r="L571">
        <v>110.1596</v>
      </c>
      <c r="M571" t="s">
        <v>102</v>
      </c>
      <c r="N571" s="2">
        <f>Table1[[#This Row],[Capacity (MW)]]*8760*0.72*10^-6</f>
        <v>0.29139263999999998</v>
      </c>
      <c r="O571" s="2" cm="1">
        <f t="array" ref="O571">AVERAGE(VLOOKUP(_xlfn.TEXTSPLIT(Table1[[#This Row],[Fuel (no space after comma)]], ","), FuelList_Final_EF!$A$2:$B$32, 2, FALSE))</f>
        <v>100.47443331576173</v>
      </c>
      <c r="P571" s="2">
        <f>(16112*Table1[[#This Row],[Generation (TWh)]]*10^9)/10^6</f>
        <v>4694918.2156800004</v>
      </c>
      <c r="Q571" s="2">
        <f>Table1[[#This Row],[Emission Factor (kg CO2/ mmBtu)]]*Table1[[#This Row],[Fuel Consumption (mmBtu)]]*10^3</f>
        <v>471719247184.29523</v>
      </c>
      <c r="R571" s="2">
        <f>(Table1[[#This Row],[CO2 Emissions (g CO2)]])/(Table1[[#This Row],[Generation (TWh)]]*10^9)</f>
        <v>1618.8440695835532</v>
      </c>
    </row>
    <row r="572" spans="1:18" hidden="1">
      <c r="A572" t="s">
        <v>54</v>
      </c>
      <c r="B572" t="s">
        <v>61</v>
      </c>
      <c r="C572" t="str">
        <f>SUBSTITUTE(Table1[[#This Row],[Fuel]],", ",",")</f>
        <v>bioenergy: paper mill wastes</v>
      </c>
      <c r="D572" t="s">
        <v>61</v>
      </c>
      <c r="G572">
        <v>10.199999999999999</v>
      </c>
      <c r="H572" t="s">
        <v>27</v>
      </c>
      <c r="I572">
        <v>2011</v>
      </c>
      <c r="J572" t="s">
        <v>21</v>
      </c>
      <c r="K572">
        <v>21.104700000000001</v>
      </c>
      <c r="L572">
        <v>110.1596</v>
      </c>
      <c r="M572" t="s">
        <v>102</v>
      </c>
      <c r="N572" s="2">
        <f>Table1[[#This Row],[Capacity (MW)]]*8760*0.72*10^-6</f>
        <v>6.4333439999999992E-2</v>
      </c>
      <c r="O572" s="2" cm="1">
        <f t="array" ref="O572">AVERAGE(VLOOKUP(_xlfn.TEXTSPLIT(Table1[[#This Row],[Fuel (no space after comma)]], ","), FuelList_Final_EF!$A$2:$B$32, 2, FALSE))</f>
        <v>100.47443331576173</v>
      </c>
      <c r="P572" s="2">
        <f>(16112*Table1[[#This Row],[Generation (TWh)]]*10^9)/10^6</f>
        <v>1036540.3852799998</v>
      </c>
      <c r="Q572" s="2">
        <f>Table1[[#This Row],[Emission Factor (kg CO2/ mmBtu)]]*Table1[[#This Row],[Fuel Consumption (mmBtu)]]*10^3</f>
        <v>104145807819.9093</v>
      </c>
      <c r="R572" s="2">
        <f>(Table1[[#This Row],[CO2 Emissions (g CO2)]])/(Table1[[#This Row],[Generation (TWh)]]*10^9)</f>
        <v>1618.8440695835527</v>
      </c>
    </row>
    <row r="573" spans="1:18" hidden="1">
      <c r="A573" t="s">
        <v>458</v>
      </c>
      <c r="B573" t="s">
        <v>61</v>
      </c>
      <c r="C573" t="str">
        <f>SUBSTITUTE(Table1[[#This Row],[Fuel]],", ",",")</f>
        <v>bioenergy: paper mill wastes</v>
      </c>
      <c r="D573" t="s">
        <v>61</v>
      </c>
      <c r="G573">
        <v>3.6</v>
      </c>
      <c r="H573" t="s">
        <v>27</v>
      </c>
      <c r="I573">
        <v>2011</v>
      </c>
      <c r="J573" t="s">
        <v>21</v>
      </c>
      <c r="K573">
        <v>21.104700000000001</v>
      </c>
      <c r="L573">
        <v>110.1596</v>
      </c>
      <c r="M573" t="s">
        <v>102</v>
      </c>
      <c r="N573" s="2">
        <f>Table1[[#This Row],[Capacity (MW)]]*8760*0.72*10^-6</f>
        <v>2.2705919999999997E-2</v>
      </c>
      <c r="O573" s="2" cm="1">
        <f t="array" ref="O573">AVERAGE(VLOOKUP(_xlfn.TEXTSPLIT(Table1[[#This Row],[Fuel (no space after comma)]], ","), FuelList_Final_EF!$A$2:$B$32, 2, FALSE))</f>
        <v>100.47443331576173</v>
      </c>
      <c r="P573" s="2">
        <f>(16112*Table1[[#This Row],[Generation (TWh)]]*10^9)/10^6</f>
        <v>365837.78304000001</v>
      </c>
      <c r="Q573" s="2">
        <f>Table1[[#This Row],[Emission Factor (kg CO2/ mmBtu)]]*Table1[[#This Row],[Fuel Consumption (mmBtu)]]*10^3</f>
        <v>36757343936.438591</v>
      </c>
      <c r="R573" s="2">
        <f>(Table1[[#This Row],[CO2 Emissions (g CO2)]])/(Table1[[#This Row],[Generation (TWh)]]*10^9)</f>
        <v>1618.8440695835534</v>
      </c>
    </row>
    <row r="574" spans="1:18" hidden="1">
      <c r="A574" t="s">
        <v>457</v>
      </c>
      <c r="B574" t="s">
        <v>61</v>
      </c>
      <c r="C574" t="str">
        <f>SUBSTITUTE(Table1[[#This Row],[Fuel]],", ",",")</f>
        <v>bioenergy: paper mill wastes</v>
      </c>
      <c r="D574" t="s">
        <v>61</v>
      </c>
      <c r="G574">
        <v>46.2</v>
      </c>
      <c r="H574" t="s">
        <v>27</v>
      </c>
      <c r="I574">
        <v>2011</v>
      </c>
      <c r="J574" t="s">
        <v>21</v>
      </c>
      <c r="K574">
        <v>21.104700000000001</v>
      </c>
      <c r="L574">
        <v>110.1596</v>
      </c>
      <c r="M574" t="s">
        <v>102</v>
      </c>
      <c r="N574" s="2">
        <f>Table1[[#This Row],[Capacity (MW)]]*8760*0.72*10^-6</f>
        <v>0.29139263999999998</v>
      </c>
      <c r="O574" s="2" cm="1">
        <f t="array" ref="O574">AVERAGE(VLOOKUP(_xlfn.TEXTSPLIT(Table1[[#This Row],[Fuel (no space after comma)]], ","), FuelList_Final_EF!$A$2:$B$32, 2, FALSE))</f>
        <v>100.47443331576173</v>
      </c>
      <c r="P574" s="2">
        <f>(16112*Table1[[#This Row],[Generation (TWh)]]*10^9)/10^6</f>
        <v>4694918.2156800004</v>
      </c>
      <c r="Q574" s="2">
        <f>Table1[[#This Row],[Emission Factor (kg CO2/ mmBtu)]]*Table1[[#This Row],[Fuel Consumption (mmBtu)]]*10^3</f>
        <v>471719247184.29523</v>
      </c>
      <c r="R574" s="2">
        <f>(Table1[[#This Row],[CO2 Emissions (g CO2)]])/(Table1[[#This Row],[Generation (TWh)]]*10^9)</f>
        <v>1618.8440695835532</v>
      </c>
    </row>
    <row r="575" spans="1:18" hidden="1">
      <c r="A575" t="s">
        <v>54</v>
      </c>
      <c r="B575" t="s">
        <v>61</v>
      </c>
      <c r="C575" t="str">
        <f>SUBSTITUTE(Table1[[#This Row],[Fuel]],", ",",")</f>
        <v>bioenergy: paper mill wastes</v>
      </c>
      <c r="D575" t="s">
        <v>61</v>
      </c>
      <c r="G575">
        <v>10.199999999999999</v>
      </c>
      <c r="H575" t="s">
        <v>27</v>
      </c>
      <c r="I575">
        <v>2011</v>
      </c>
      <c r="J575" t="s">
        <v>21</v>
      </c>
      <c r="K575">
        <v>21.104700000000001</v>
      </c>
      <c r="L575">
        <v>110.1596</v>
      </c>
      <c r="M575" t="s">
        <v>102</v>
      </c>
      <c r="N575" s="2">
        <f>Table1[[#This Row],[Capacity (MW)]]*8760*0.72*10^-6</f>
        <v>6.4333439999999992E-2</v>
      </c>
      <c r="O575" s="2" cm="1">
        <f t="array" ref="O575">AVERAGE(VLOOKUP(_xlfn.TEXTSPLIT(Table1[[#This Row],[Fuel (no space after comma)]], ","), FuelList_Final_EF!$A$2:$B$32, 2, FALSE))</f>
        <v>100.47443331576173</v>
      </c>
      <c r="P575" s="2">
        <f>(16112*Table1[[#This Row],[Generation (TWh)]]*10^9)/10^6</f>
        <v>1036540.3852799998</v>
      </c>
      <c r="Q575" s="2">
        <f>Table1[[#This Row],[Emission Factor (kg CO2/ mmBtu)]]*Table1[[#This Row],[Fuel Consumption (mmBtu)]]*10^3</f>
        <v>104145807819.9093</v>
      </c>
      <c r="R575" s="2">
        <f>(Table1[[#This Row],[CO2 Emissions (g CO2)]])/(Table1[[#This Row],[Generation (TWh)]]*10^9)</f>
        <v>1618.8440695835527</v>
      </c>
    </row>
    <row r="576" spans="1:18" hidden="1">
      <c r="A576" t="s">
        <v>458</v>
      </c>
      <c r="B576" t="s">
        <v>61</v>
      </c>
      <c r="C576" t="str">
        <f>SUBSTITUTE(Table1[[#This Row],[Fuel]],", ",",")</f>
        <v>bioenergy: paper mill wastes</v>
      </c>
      <c r="D576" t="s">
        <v>61</v>
      </c>
      <c r="G576">
        <v>3.6</v>
      </c>
      <c r="H576" t="s">
        <v>27</v>
      </c>
      <c r="I576">
        <v>2011</v>
      </c>
      <c r="J576" t="s">
        <v>21</v>
      </c>
      <c r="K576">
        <v>21.104700000000001</v>
      </c>
      <c r="L576">
        <v>110.1596</v>
      </c>
      <c r="M576" t="s">
        <v>102</v>
      </c>
      <c r="N576" s="2">
        <f>Table1[[#This Row],[Capacity (MW)]]*8760*0.72*10^-6</f>
        <v>2.2705919999999997E-2</v>
      </c>
      <c r="O576" s="2" cm="1">
        <f t="array" ref="O576">AVERAGE(VLOOKUP(_xlfn.TEXTSPLIT(Table1[[#This Row],[Fuel (no space after comma)]], ","), FuelList_Final_EF!$A$2:$B$32, 2, FALSE))</f>
        <v>100.47443331576173</v>
      </c>
      <c r="P576" s="2">
        <f>(16112*Table1[[#This Row],[Generation (TWh)]]*10^9)/10^6</f>
        <v>365837.78304000001</v>
      </c>
      <c r="Q576" s="2">
        <f>Table1[[#This Row],[Emission Factor (kg CO2/ mmBtu)]]*Table1[[#This Row],[Fuel Consumption (mmBtu)]]*10^3</f>
        <v>36757343936.438591</v>
      </c>
      <c r="R576" s="2">
        <f>(Table1[[#This Row],[CO2 Emissions (g CO2)]])/(Table1[[#This Row],[Generation (TWh)]]*10^9)</f>
        <v>1618.8440695835534</v>
      </c>
    </row>
    <row r="577" spans="1:18" hidden="1">
      <c r="A577" t="s">
        <v>54</v>
      </c>
      <c r="B577" t="s">
        <v>61</v>
      </c>
      <c r="C577" t="str">
        <f>SUBSTITUTE(Table1[[#This Row],[Fuel]],", ",",")</f>
        <v>bioenergy: paper mill wastes</v>
      </c>
      <c r="D577" t="s">
        <v>61</v>
      </c>
      <c r="G577">
        <v>10.199999999999999</v>
      </c>
      <c r="H577" t="s">
        <v>27</v>
      </c>
      <c r="I577">
        <v>2011</v>
      </c>
      <c r="J577" t="s">
        <v>21</v>
      </c>
      <c r="K577">
        <v>21.104700000000001</v>
      </c>
      <c r="L577">
        <v>110.1596</v>
      </c>
      <c r="M577" t="s">
        <v>102</v>
      </c>
      <c r="N577" s="2">
        <f>Table1[[#This Row],[Capacity (MW)]]*8760*0.72*10^-6</f>
        <v>6.4333439999999992E-2</v>
      </c>
      <c r="O577" s="2" cm="1">
        <f t="array" ref="O577">AVERAGE(VLOOKUP(_xlfn.TEXTSPLIT(Table1[[#This Row],[Fuel (no space after comma)]], ","), FuelList_Final_EF!$A$2:$B$32, 2, FALSE))</f>
        <v>100.47443331576173</v>
      </c>
      <c r="P577" s="2">
        <f>(16112*Table1[[#This Row],[Generation (TWh)]]*10^9)/10^6</f>
        <v>1036540.3852799998</v>
      </c>
      <c r="Q577" s="2">
        <f>Table1[[#This Row],[Emission Factor (kg CO2/ mmBtu)]]*Table1[[#This Row],[Fuel Consumption (mmBtu)]]*10^3</f>
        <v>104145807819.9093</v>
      </c>
      <c r="R577" s="2">
        <f>(Table1[[#This Row],[CO2 Emissions (g CO2)]])/(Table1[[#This Row],[Generation (TWh)]]*10^9)</f>
        <v>1618.8440695835527</v>
      </c>
    </row>
    <row r="578" spans="1:18" hidden="1">
      <c r="A578" t="s">
        <v>457</v>
      </c>
      <c r="B578" t="s">
        <v>61</v>
      </c>
      <c r="C578" t="str">
        <f>SUBSTITUTE(Table1[[#This Row],[Fuel]],", ",",")</f>
        <v>bioenergy: paper mill wastes</v>
      </c>
      <c r="D578" t="s">
        <v>61</v>
      </c>
      <c r="G578">
        <v>46.2</v>
      </c>
      <c r="H578" t="s">
        <v>27</v>
      </c>
      <c r="I578">
        <v>2011</v>
      </c>
      <c r="J578" t="s">
        <v>21</v>
      </c>
      <c r="K578">
        <v>21.104700000000001</v>
      </c>
      <c r="L578">
        <v>110.1596</v>
      </c>
      <c r="M578" t="s">
        <v>102</v>
      </c>
      <c r="N578" s="2">
        <f>Table1[[#This Row],[Capacity (MW)]]*8760*0.72*10^-6</f>
        <v>0.29139263999999998</v>
      </c>
      <c r="O578" s="2" cm="1">
        <f t="array" ref="O578">AVERAGE(VLOOKUP(_xlfn.TEXTSPLIT(Table1[[#This Row],[Fuel (no space after comma)]], ","), FuelList_Final_EF!$A$2:$B$32, 2, FALSE))</f>
        <v>100.47443331576173</v>
      </c>
      <c r="P578" s="2">
        <f>(16112*Table1[[#This Row],[Generation (TWh)]]*10^9)/10^6</f>
        <v>4694918.2156800004</v>
      </c>
      <c r="Q578" s="2">
        <f>Table1[[#This Row],[Emission Factor (kg CO2/ mmBtu)]]*Table1[[#This Row],[Fuel Consumption (mmBtu)]]*10^3</f>
        <v>471719247184.29523</v>
      </c>
      <c r="R578" s="2">
        <f>(Table1[[#This Row],[CO2 Emissions (g CO2)]])/(Table1[[#This Row],[Generation (TWh)]]*10^9)</f>
        <v>1618.8440695835532</v>
      </c>
    </row>
    <row r="579" spans="1:18">
      <c r="A579" t="s">
        <v>457</v>
      </c>
      <c r="B579" t="s">
        <v>61</v>
      </c>
      <c r="C579" t="str">
        <f>SUBSTITUTE(Table1[[#This Row],[Fuel]],", ",",")</f>
        <v>bioenergy: paper mill wastes</v>
      </c>
      <c r="D579" t="s">
        <v>61</v>
      </c>
      <c r="G579">
        <v>46.2</v>
      </c>
      <c r="H579" t="s">
        <v>138</v>
      </c>
      <c r="I579" t="s">
        <v>21</v>
      </c>
      <c r="J579" t="s">
        <v>21</v>
      </c>
      <c r="K579">
        <v>21.104700000000001</v>
      </c>
      <c r="L579">
        <v>110.1596</v>
      </c>
      <c r="M579" t="s">
        <v>102</v>
      </c>
      <c r="N579" s="2">
        <f>Table1[[#This Row],[Capacity (MW)]]*8760*0.72*10^-6</f>
        <v>0.29139263999999998</v>
      </c>
      <c r="O579" s="2" cm="1">
        <f t="array" ref="O579">AVERAGE(VLOOKUP(_xlfn.TEXTSPLIT(Table1[[#This Row],[Fuel (no space after comma)]], ","), FuelList_Final_EF!$A$2:$B$32, 2, FALSE))</f>
        <v>100.47443331576173</v>
      </c>
      <c r="P579" s="2">
        <f>(16112*Table1[[#This Row],[Generation (TWh)]]*10^9)/10^6</f>
        <v>4694918.2156800004</v>
      </c>
      <c r="Q579" s="2">
        <f>Table1[[#This Row],[Emission Factor (kg CO2/ mmBtu)]]*Table1[[#This Row],[Fuel Consumption (mmBtu)]]*10^3</f>
        <v>471719247184.29523</v>
      </c>
      <c r="R579" s="2">
        <f>(Table1[[#This Row],[CO2 Emissions (g CO2)]])/(Table1[[#This Row],[Generation (TWh)]]*10^9)</f>
        <v>1618.8440695835532</v>
      </c>
    </row>
    <row r="580" spans="1:18">
      <c r="A580" t="s">
        <v>458</v>
      </c>
      <c r="B580" t="s">
        <v>61</v>
      </c>
      <c r="C580" t="str">
        <f>SUBSTITUTE(Table1[[#This Row],[Fuel]],", ",",")</f>
        <v>bioenergy: paper mill wastes</v>
      </c>
      <c r="D580" t="s">
        <v>61</v>
      </c>
      <c r="G580">
        <v>3.6</v>
      </c>
      <c r="H580" t="s">
        <v>138</v>
      </c>
      <c r="I580" t="s">
        <v>21</v>
      </c>
      <c r="J580" t="s">
        <v>21</v>
      </c>
      <c r="K580">
        <v>21.104700000000001</v>
      </c>
      <c r="L580">
        <v>110.1596</v>
      </c>
      <c r="M580" t="s">
        <v>102</v>
      </c>
      <c r="N580" s="2">
        <f>Table1[[#This Row],[Capacity (MW)]]*8760*0.72*10^-6</f>
        <v>2.2705919999999997E-2</v>
      </c>
      <c r="O580" s="2" cm="1">
        <f t="array" ref="O580">AVERAGE(VLOOKUP(_xlfn.TEXTSPLIT(Table1[[#This Row],[Fuel (no space after comma)]], ","), FuelList_Final_EF!$A$2:$B$32, 2, FALSE))</f>
        <v>100.47443331576173</v>
      </c>
      <c r="P580" s="2">
        <f>(16112*Table1[[#This Row],[Generation (TWh)]]*10^9)/10^6</f>
        <v>365837.78304000001</v>
      </c>
      <c r="Q580" s="2">
        <f>Table1[[#This Row],[Emission Factor (kg CO2/ mmBtu)]]*Table1[[#This Row],[Fuel Consumption (mmBtu)]]*10^3</f>
        <v>36757343936.438591</v>
      </c>
      <c r="R580" s="2">
        <f>(Table1[[#This Row],[CO2 Emissions (g CO2)]])/(Table1[[#This Row],[Generation (TWh)]]*10^9)</f>
        <v>1618.8440695835534</v>
      </c>
    </row>
    <row r="581" spans="1:18">
      <c r="A581" t="s">
        <v>54</v>
      </c>
      <c r="B581" t="s">
        <v>61</v>
      </c>
      <c r="C581" t="str">
        <f>SUBSTITUTE(Table1[[#This Row],[Fuel]],", ",",")</f>
        <v>bioenergy: paper mill wastes</v>
      </c>
      <c r="D581" t="s">
        <v>61</v>
      </c>
      <c r="G581">
        <v>10.199999999999999</v>
      </c>
      <c r="H581" t="s">
        <v>138</v>
      </c>
      <c r="I581" t="s">
        <v>21</v>
      </c>
      <c r="J581" t="s">
        <v>21</v>
      </c>
      <c r="K581">
        <v>21.104700000000001</v>
      </c>
      <c r="L581">
        <v>110.1596</v>
      </c>
      <c r="M581" t="s">
        <v>102</v>
      </c>
      <c r="N581" s="2">
        <f>Table1[[#This Row],[Capacity (MW)]]*8760*0.72*10^-6</f>
        <v>6.4333439999999992E-2</v>
      </c>
      <c r="O581" s="2" cm="1">
        <f t="array" ref="O581">AVERAGE(VLOOKUP(_xlfn.TEXTSPLIT(Table1[[#This Row],[Fuel (no space after comma)]], ","), FuelList_Final_EF!$A$2:$B$32, 2, FALSE))</f>
        <v>100.47443331576173</v>
      </c>
      <c r="P581" s="2">
        <f>(16112*Table1[[#This Row],[Generation (TWh)]]*10^9)/10^6</f>
        <v>1036540.3852799998</v>
      </c>
      <c r="Q581" s="2">
        <f>Table1[[#This Row],[Emission Factor (kg CO2/ mmBtu)]]*Table1[[#This Row],[Fuel Consumption (mmBtu)]]*10^3</f>
        <v>104145807819.9093</v>
      </c>
      <c r="R581" s="2">
        <f>(Table1[[#This Row],[CO2 Emissions (g CO2)]])/(Table1[[#This Row],[Generation (TWh)]]*10^9)</f>
        <v>1618.8440695835527</v>
      </c>
    </row>
    <row r="582" spans="1:18" hidden="1">
      <c r="A582" t="s">
        <v>459</v>
      </c>
      <c r="B582" t="s">
        <v>25</v>
      </c>
      <c r="C582" t="str">
        <f>SUBSTITUTE(Table1[[#This Row],[Fuel]],", ",",")</f>
        <v>bioenergy: wood &amp; other biomass (solids)</v>
      </c>
      <c r="D582" t="s">
        <v>25</v>
      </c>
      <c r="G582">
        <v>50</v>
      </c>
      <c r="H582" t="s">
        <v>27</v>
      </c>
      <c r="I582">
        <v>2011</v>
      </c>
      <c r="J582" t="s">
        <v>21</v>
      </c>
      <c r="K582">
        <v>21.3414</v>
      </c>
      <c r="L582">
        <v>110.23139999999999</v>
      </c>
      <c r="M582" t="s">
        <v>102</v>
      </c>
      <c r="N582" s="2">
        <f>Table1[[#This Row],[Capacity (MW)]]*8760*0.72*10^-6</f>
        <v>0.31535999999999997</v>
      </c>
      <c r="O582" s="2" cm="1">
        <f t="array" ref="O582">AVERAGE(VLOOKUP(_xlfn.TEXTSPLIT(Table1[[#This Row],[Fuel (no space after comma)]], ","), FuelList_Final_EF!$A$2:$B$32, 2, FALSE))</f>
        <v>93.8</v>
      </c>
      <c r="P582" s="2">
        <f>(16112*Table1[[#This Row],[Generation (TWh)]]*10^9)/10^6</f>
        <v>5081080.32</v>
      </c>
      <c r="Q582" s="2">
        <f>Table1[[#This Row],[Emission Factor (kg CO2/ mmBtu)]]*Table1[[#This Row],[Fuel Consumption (mmBtu)]]*10^3</f>
        <v>476605334016.00006</v>
      </c>
      <c r="R582" s="2">
        <f>(Table1[[#This Row],[CO2 Emissions (g CO2)]])/(Table1[[#This Row],[Generation (TWh)]]*10^9)</f>
        <v>1511.3056000000001</v>
      </c>
    </row>
    <row r="583" spans="1:18" hidden="1">
      <c r="A583" t="s">
        <v>459</v>
      </c>
      <c r="B583" t="s">
        <v>25</v>
      </c>
      <c r="C583" t="str">
        <f>SUBSTITUTE(Table1[[#This Row],[Fuel]],", ",",")</f>
        <v>bioenergy: wood &amp; other biomass (solids)</v>
      </c>
      <c r="D583" t="s">
        <v>25</v>
      </c>
      <c r="G583">
        <v>50</v>
      </c>
      <c r="H583" t="s">
        <v>27</v>
      </c>
      <c r="I583">
        <v>2011</v>
      </c>
      <c r="J583" t="s">
        <v>21</v>
      </c>
      <c r="K583">
        <v>21.3414</v>
      </c>
      <c r="L583">
        <v>110.23139999999999</v>
      </c>
      <c r="M583" t="s">
        <v>102</v>
      </c>
      <c r="N583" s="2">
        <f>Table1[[#This Row],[Capacity (MW)]]*8760*0.72*10^-6</f>
        <v>0.31535999999999997</v>
      </c>
      <c r="O583" s="2" cm="1">
        <f t="array" ref="O583">AVERAGE(VLOOKUP(_xlfn.TEXTSPLIT(Table1[[#This Row],[Fuel (no space after comma)]], ","), FuelList_Final_EF!$A$2:$B$32, 2, FALSE))</f>
        <v>93.8</v>
      </c>
      <c r="P583" s="2">
        <f>(16112*Table1[[#This Row],[Generation (TWh)]]*10^9)/10^6</f>
        <v>5081080.32</v>
      </c>
      <c r="Q583" s="2">
        <f>Table1[[#This Row],[Emission Factor (kg CO2/ mmBtu)]]*Table1[[#This Row],[Fuel Consumption (mmBtu)]]*10^3</f>
        <v>476605334016.00006</v>
      </c>
      <c r="R583" s="2">
        <f>(Table1[[#This Row],[CO2 Emissions (g CO2)]])/(Table1[[#This Row],[Generation (TWh)]]*10^9)</f>
        <v>1511.3056000000001</v>
      </c>
    </row>
    <row r="584" spans="1:18" hidden="1">
      <c r="A584" t="s">
        <v>460</v>
      </c>
      <c r="B584" t="s">
        <v>19</v>
      </c>
      <c r="C584" t="str">
        <f>SUBSTITUTE(Table1[[#This Row],[Fuel]],", ",",")</f>
        <v>bioenergy: refuse (municipal and industrial wastes)</v>
      </c>
      <c r="D584" t="s">
        <v>19</v>
      </c>
      <c r="G584">
        <v>27</v>
      </c>
      <c r="H584" t="s">
        <v>27</v>
      </c>
      <c r="I584">
        <v>2020</v>
      </c>
      <c r="J584" t="s">
        <v>21</v>
      </c>
      <c r="K584">
        <v>23.299900000000001</v>
      </c>
      <c r="L584">
        <v>112.3266</v>
      </c>
      <c r="M584" t="s">
        <v>102</v>
      </c>
      <c r="N584" s="2">
        <f>Table1[[#This Row],[Capacity (MW)]]*8760*0.72*10^-6</f>
        <v>0.17029439999999998</v>
      </c>
      <c r="O584" s="2" cm="1">
        <f t="array" ref="O584">AVERAGE(VLOOKUP(_xlfn.TEXTSPLIT(Table1[[#This Row],[Fuel (no space after comma)]], ","), FuelList_Final_EF!$A$2:$B$32, 2, FALSE))</f>
        <v>105.42962572482868</v>
      </c>
      <c r="P584" s="2">
        <f>(16112*Table1[[#This Row],[Generation (TWh)]]*10^9)/10^6</f>
        <v>2743783.3727999995</v>
      </c>
      <c r="Q584" s="2">
        <f>Table1[[#This Row],[Emission Factor (kg CO2/ mmBtu)]]*Table1[[#This Row],[Fuel Consumption (mmBtu)]]*10^3</f>
        <v>289276054064.31201</v>
      </c>
      <c r="R584" s="2">
        <f>(Table1[[#This Row],[CO2 Emissions (g CO2)]])/(Table1[[#This Row],[Generation (TWh)]]*10^9)</f>
        <v>1698.6821296784397</v>
      </c>
    </row>
    <row r="585" spans="1:18" hidden="1">
      <c r="A585" t="s">
        <v>440</v>
      </c>
      <c r="B585" t="s">
        <v>19</v>
      </c>
      <c r="C585" t="str">
        <f>SUBSTITUTE(Table1[[#This Row],[Fuel]],", ",",")</f>
        <v>bioenergy: refuse (municipal and industrial wastes)</v>
      </c>
      <c r="D585" t="s">
        <v>19</v>
      </c>
      <c r="G585">
        <v>18</v>
      </c>
      <c r="H585" t="s">
        <v>27</v>
      </c>
      <c r="I585">
        <v>2020</v>
      </c>
      <c r="J585" t="s">
        <v>21</v>
      </c>
      <c r="K585">
        <v>23.299900000000001</v>
      </c>
      <c r="L585">
        <v>112.3266</v>
      </c>
      <c r="M585" t="s">
        <v>102</v>
      </c>
      <c r="N585" s="2">
        <f>Table1[[#This Row],[Capacity (MW)]]*8760*0.72*10^-6</f>
        <v>0.11352959999999998</v>
      </c>
      <c r="O585" s="2" cm="1">
        <f t="array" ref="O585">AVERAGE(VLOOKUP(_xlfn.TEXTSPLIT(Table1[[#This Row],[Fuel (no space after comma)]], ","), FuelList_Final_EF!$A$2:$B$32, 2, FALSE))</f>
        <v>105.42962572482868</v>
      </c>
      <c r="P585" s="2">
        <f>(16112*Table1[[#This Row],[Generation (TWh)]]*10^9)/10^6</f>
        <v>1829188.9151999997</v>
      </c>
      <c r="Q585" s="2">
        <f>Table1[[#This Row],[Emission Factor (kg CO2/ mmBtu)]]*Table1[[#This Row],[Fuel Consumption (mmBtu)]]*10^3</f>
        <v>192850702709.54135</v>
      </c>
      <c r="R585" s="2">
        <f>(Table1[[#This Row],[CO2 Emissions (g CO2)]])/(Table1[[#This Row],[Generation (TWh)]]*10^9)</f>
        <v>1698.6821296784397</v>
      </c>
    </row>
    <row r="586" spans="1:18" hidden="1">
      <c r="A586" t="s">
        <v>436</v>
      </c>
      <c r="B586" t="s">
        <v>19</v>
      </c>
      <c r="C586" t="str">
        <f>SUBSTITUTE(Table1[[#This Row],[Fuel]],", ",",")</f>
        <v>bioenergy: refuse (municipal and industrial wastes)</v>
      </c>
      <c r="D586" t="s">
        <v>19</v>
      </c>
      <c r="G586">
        <v>35</v>
      </c>
      <c r="H586" t="s">
        <v>27</v>
      </c>
      <c r="I586">
        <v>2021</v>
      </c>
      <c r="J586" t="s">
        <v>21</v>
      </c>
      <c r="K586">
        <v>22.360800000000001</v>
      </c>
      <c r="L586">
        <v>113.3248</v>
      </c>
      <c r="M586" t="s">
        <v>102</v>
      </c>
      <c r="N586" s="2">
        <f>Table1[[#This Row],[Capacity (MW)]]*8760*0.72*10^-6</f>
        <v>0.220752</v>
      </c>
      <c r="O586" s="2" cm="1">
        <f t="array" ref="O586">AVERAGE(VLOOKUP(_xlfn.TEXTSPLIT(Table1[[#This Row],[Fuel (no space after comma)]], ","), FuelList_Final_EF!$A$2:$B$32, 2, FALSE))</f>
        <v>105.42962572482868</v>
      </c>
      <c r="P586" s="2">
        <f>(16112*Table1[[#This Row],[Generation (TWh)]]*10^9)/10^6</f>
        <v>3556756.2239999999</v>
      </c>
      <c r="Q586" s="2">
        <f>Table1[[#This Row],[Emission Factor (kg CO2/ mmBtu)]]*Table1[[#This Row],[Fuel Consumption (mmBtu)]]*10^3</f>
        <v>374987477490.7749</v>
      </c>
      <c r="R586" s="2">
        <f>(Table1[[#This Row],[CO2 Emissions (g CO2)]])/(Table1[[#This Row],[Generation (TWh)]]*10^9)</f>
        <v>1698.6821296784397</v>
      </c>
    </row>
    <row r="587" spans="1:18" hidden="1">
      <c r="A587" t="s">
        <v>436</v>
      </c>
      <c r="B587" t="s">
        <v>19</v>
      </c>
      <c r="C587" t="str">
        <f>SUBSTITUTE(Table1[[#This Row],[Fuel]],", ",",")</f>
        <v>bioenergy: refuse (municipal and industrial wastes)</v>
      </c>
      <c r="D587" t="s">
        <v>19</v>
      </c>
      <c r="G587">
        <v>35</v>
      </c>
      <c r="H587" t="s">
        <v>27</v>
      </c>
      <c r="I587">
        <v>2021</v>
      </c>
      <c r="J587" t="s">
        <v>21</v>
      </c>
      <c r="K587">
        <v>22.360800000000001</v>
      </c>
      <c r="L587">
        <v>113.3248</v>
      </c>
      <c r="M587" t="s">
        <v>102</v>
      </c>
      <c r="N587" s="2">
        <f>Table1[[#This Row],[Capacity (MW)]]*8760*0.72*10^-6</f>
        <v>0.220752</v>
      </c>
      <c r="O587" s="2" cm="1">
        <f t="array" ref="O587">AVERAGE(VLOOKUP(_xlfn.TEXTSPLIT(Table1[[#This Row],[Fuel (no space after comma)]], ","), FuelList_Final_EF!$A$2:$B$32, 2, FALSE))</f>
        <v>105.42962572482868</v>
      </c>
      <c r="P587" s="2">
        <f>(16112*Table1[[#This Row],[Generation (TWh)]]*10^9)/10^6</f>
        <v>3556756.2239999999</v>
      </c>
      <c r="Q587" s="2">
        <f>Table1[[#This Row],[Emission Factor (kg CO2/ mmBtu)]]*Table1[[#This Row],[Fuel Consumption (mmBtu)]]*10^3</f>
        <v>374987477490.7749</v>
      </c>
      <c r="R587" s="2">
        <f>(Table1[[#This Row],[CO2 Emissions (g CO2)]])/(Table1[[#This Row],[Generation (TWh)]]*10^9)</f>
        <v>1698.6821296784397</v>
      </c>
    </row>
    <row r="588" spans="1:18" hidden="1">
      <c r="A588" t="s">
        <v>21</v>
      </c>
      <c r="B588" t="s">
        <v>19</v>
      </c>
      <c r="C588" t="str">
        <f>SUBSTITUTE(Table1[[#This Row],[Fuel]],", ",",")</f>
        <v>bioenergy: refuse (municipal and industrial wastes)</v>
      </c>
      <c r="D588" t="s">
        <v>19</v>
      </c>
      <c r="G588">
        <v>30</v>
      </c>
      <c r="H588" t="s">
        <v>27</v>
      </c>
      <c r="I588">
        <v>2020</v>
      </c>
      <c r="J588" t="s">
        <v>21</v>
      </c>
      <c r="K588">
        <v>22.204027</v>
      </c>
      <c r="L588">
        <v>113.119269</v>
      </c>
      <c r="M588" t="s">
        <v>102</v>
      </c>
      <c r="N588" s="2">
        <f>Table1[[#This Row],[Capacity (MW)]]*8760*0.72*10^-6</f>
        <v>0.189216</v>
      </c>
      <c r="O588" s="2" cm="1">
        <f t="array" ref="O588">AVERAGE(VLOOKUP(_xlfn.TEXTSPLIT(Table1[[#This Row],[Fuel (no space after comma)]], ","), FuelList_Final_EF!$A$2:$B$32, 2, FALSE))</f>
        <v>105.42962572482868</v>
      </c>
      <c r="P588" s="2">
        <f>(16112*Table1[[#This Row],[Generation (TWh)]]*10^9)/10^6</f>
        <v>3048648.1919999998</v>
      </c>
      <c r="Q588" s="2">
        <f>Table1[[#This Row],[Emission Factor (kg CO2/ mmBtu)]]*Table1[[#This Row],[Fuel Consumption (mmBtu)]]*10^3</f>
        <v>321417837849.23566</v>
      </c>
      <c r="R588" s="2">
        <f>(Table1[[#This Row],[CO2 Emissions (g CO2)]])/(Table1[[#This Row],[Generation (TWh)]]*10^9)</f>
        <v>1698.6821296784397</v>
      </c>
    </row>
    <row r="589" spans="1:18" hidden="1">
      <c r="A589" t="s">
        <v>21</v>
      </c>
      <c r="B589" t="s">
        <v>19</v>
      </c>
      <c r="C589" t="str">
        <f>SUBSTITUTE(Table1[[#This Row],[Fuel]],", ",",")</f>
        <v>bioenergy: refuse (municipal and industrial wastes)</v>
      </c>
      <c r="D589" t="s">
        <v>19</v>
      </c>
      <c r="G589">
        <v>30</v>
      </c>
      <c r="H589" t="s">
        <v>27</v>
      </c>
      <c r="I589">
        <v>2020</v>
      </c>
      <c r="J589" t="s">
        <v>21</v>
      </c>
      <c r="K589">
        <v>22.204027</v>
      </c>
      <c r="L589">
        <v>113.119269</v>
      </c>
      <c r="M589" t="s">
        <v>102</v>
      </c>
      <c r="N589" s="2">
        <f>Table1[[#This Row],[Capacity (MW)]]*8760*0.72*10^-6</f>
        <v>0.189216</v>
      </c>
      <c r="O589" s="2" cm="1">
        <f t="array" ref="O589">AVERAGE(VLOOKUP(_xlfn.TEXTSPLIT(Table1[[#This Row],[Fuel (no space after comma)]], ","), FuelList_Final_EF!$A$2:$B$32, 2, FALSE))</f>
        <v>105.42962572482868</v>
      </c>
      <c r="P589" s="2">
        <f>(16112*Table1[[#This Row],[Generation (TWh)]]*10^9)/10^6</f>
        <v>3048648.1919999998</v>
      </c>
      <c r="Q589" s="2">
        <f>Table1[[#This Row],[Emission Factor (kg CO2/ mmBtu)]]*Table1[[#This Row],[Fuel Consumption (mmBtu)]]*10^3</f>
        <v>321417837849.23566</v>
      </c>
      <c r="R589" s="2">
        <f>(Table1[[#This Row],[CO2 Emissions (g CO2)]])/(Table1[[#This Row],[Generation (TWh)]]*10^9)</f>
        <v>1698.6821296784397</v>
      </c>
    </row>
    <row r="590" spans="1:18" hidden="1">
      <c r="A590" t="s">
        <v>458</v>
      </c>
      <c r="B590" t="s">
        <v>19</v>
      </c>
      <c r="C590" t="str">
        <f>SUBSTITUTE(Table1[[#This Row],[Fuel]],", ",",")</f>
        <v>bioenergy: refuse (municipal and industrial wastes)</v>
      </c>
      <c r="D590" t="s">
        <v>19</v>
      </c>
      <c r="G590">
        <v>10.5</v>
      </c>
      <c r="H590" t="s">
        <v>20</v>
      </c>
      <c r="I590">
        <v>2025</v>
      </c>
      <c r="J590" t="s">
        <v>21</v>
      </c>
      <c r="K590">
        <v>22.204027</v>
      </c>
      <c r="L590">
        <v>113.119269</v>
      </c>
      <c r="M590" t="s">
        <v>102</v>
      </c>
      <c r="N590" s="2">
        <f>Table1[[#This Row],[Capacity (MW)]]*8760*0.72*10^-6</f>
        <v>6.6225599999999982E-2</v>
      </c>
      <c r="O590" s="2" cm="1">
        <f t="array" ref="O590">AVERAGE(VLOOKUP(_xlfn.TEXTSPLIT(Table1[[#This Row],[Fuel (no space after comma)]], ","), FuelList_Final_EF!$A$2:$B$32, 2, FALSE))</f>
        <v>105.42962572482868</v>
      </c>
      <c r="P590" s="2">
        <f>(16112*Table1[[#This Row],[Generation (TWh)]]*10^9)/10^6</f>
        <v>1067026.8671999997</v>
      </c>
      <c r="Q590" s="2">
        <f>Table1[[#This Row],[Emission Factor (kg CO2/ mmBtu)]]*Table1[[#This Row],[Fuel Consumption (mmBtu)]]*10^3</f>
        <v>112496243247.23245</v>
      </c>
      <c r="R590" s="2">
        <f>(Table1[[#This Row],[CO2 Emissions (g CO2)]])/(Table1[[#This Row],[Generation (TWh)]]*10^9)</f>
        <v>1698.6821296784397</v>
      </c>
    </row>
    <row r="591" spans="1:18" hidden="1">
      <c r="A591" t="s">
        <v>461</v>
      </c>
      <c r="B591" t="s">
        <v>19</v>
      </c>
      <c r="C591" t="str">
        <f>SUBSTITUTE(Table1[[#This Row],[Fuel]],", ",",")</f>
        <v>bioenergy: refuse (municipal and industrial wastes)</v>
      </c>
      <c r="D591" t="s">
        <v>19</v>
      </c>
      <c r="G591">
        <v>0.35</v>
      </c>
      <c r="H591" t="s">
        <v>20</v>
      </c>
      <c r="I591">
        <v>2025</v>
      </c>
      <c r="J591" t="s">
        <v>21</v>
      </c>
      <c r="K591">
        <v>22.204027</v>
      </c>
      <c r="L591">
        <v>113.119269</v>
      </c>
      <c r="M591" t="s">
        <v>102</v>
      </c>
      <c r="N591" s="2">
        <f>Table1[[#This Row],[Capacity (MW)]]*8760*0.72*10^-6</f>
        <v>2.2075199999999997E-3</v>
      </c>
      <c r="O591" s="2" cm="1">
        <f t="array" ref="O591">AVERAGE(VLOOKUP(_xlfn.TEXTSPLIT(Table1[[#This Row],[Fuel (no space after comma)]], ","), FuelList_Final_EF!$A$2:$B$32, 2, FALSE))</f>
        <v>105.42962572482868</v>
      </c>
      <c r="P591" s="2">
        <f>(16112*Table1[[#This Row],[Generation (TWh)]]*10^9)/10^6</f>
        <v>35567.562239999992</v>
      </c>
      <c r="Q591" s="2">
        <f>Table1[[#This Row],[Emission Factor (kg CO2/ mmBtu)]]*Table1[[#This Row],[Fuel Consumption (mmBtu)]]*10^3</f>
        <v>3749874774.9077482</v>
      </c>
      <c r="R591" s="2">
        <f>(Table1[[#This Row],[CO2 Emissions (g CO2)]])/(Table1[[#This Row],[Generation (TWh)]]*10^9)</f>
        <v>1698.6821296784397</v>
      </c>
    </row>
    <row r="592" spans="1:18" hidden="1">
      <c r="A592" t="s">
        <v>462</v>
      </c>
      <c r="B592" t="s">
        <v>19</v>
      </c>
      <c r="C592" t="str">
        <f>SUBSTITUTE(Table1[[#This Row],[Fuel]],", ",",")</f>
        <v>bioenergy: refuse (municipal and industrial wastes)</v>
      </c>
      <c r="D592" t="s">
        <v>19</v>
      </c>
      <c r="G592">
        <v>24.15</v>
      </c>
      <c r="H592" t="s">
        <v>20</v>
      </c>
      <c r="I592">
        <v>2025</v>
      </c>
      <c r="J592" t="s">
        <v>21</v>
      </c>
      <c r="K592">
        <v>22.204027</v>
      </c>
      <c r="L592">
        <v>113.119269</v>
      </c>
      <c r="M592" t="s">
        <v>102</v>
      </c>
      <c r="N592" s="2">
        <f>Table1[[#This Row],[Capacity (MW)]]*8760*0.72*10^-6</f>
        <v>0.15231887999999999</v>
      </c>
      <c r="O592" s="2" cm="1">
        <f t="array" ref="O592">AVERAGE(VLOOKUP(_xlfn.TEXTSPLIT(Table1[[#This Row],[Fuel (no space after comma)]], ","), FuelList_Final_EF!$A$2:$B$32, 2, FALSE))</f>
        <v>105.42962572482868</v>
      </c>
      <c r="P592" s="2">
        <f>(16112*Table1[[#This Row],[Generation (TWh)]]*10^9)/10^6</f>
        <v>2454161.7945599994</v>
      </c>
      <c r="Q592" s="2">
        <f>Table1[[#This Row],[Emission Factor (kg CO2/ mmBtu)]]*Table1[[#This Row],[Fuel Consumption (mmBtu)]]*10^3</f>
        <v>258741359468.63464</v>
      </c>
      <c r="R592" s="2">
        <f>(Table1[[#This Row],[CO2 Emissions (g CO2)]])/(Table1[[#This Row],[Generation (TWh)]]*10^9)</f>
        <v>1698.6821296784394</v>
      </c>
    </row>
    <row r="593" spans="1:18">
      <c r="A593" t="s">
        <v>21</v>
      </c>
      <c r="B593" t="s">
        <v>19</v>
      </c>
      <c r="C593" t="str">
        <f>SUBSTITUTE(Table1[[#This Row],[Fuel]],", ",",")</f>
        <v>bioenergy: refuse (municipal and industrial wastes)</v>
      </c>
      <c r="D593" t="s">
        <v>19</v>
      </c>
      <c r="G593">
        <v>35</v>
      </c>
      <c r="H593" t="s">
        <v>20</v>
      </c>
      <c r="I593" t="s">
        <v>21</v>
      </c>
      <c r="J593" t="s">
        <v>21</v>
      </c>
      <c r="K593">
        <v>22.204027</v>
      </c>
      <c r="L593">
        <v>113.119269</v>
      </c>
      <c r="M593" t="s">
        <v>102</v>
      </c>
      <c r="N593" s="2">
        <f>Table1[[#This Row],[Capacity (MW)]]*8760*0.72*10^-6</f>
        <v>0.220752</v>
      </c>
      <c r="O593" s="2" cm="1">
        <f t="array" ref="O593">AVERAGE(VLOOKUP(_xlfn.TEXTSPLIT(Table1[[#This Row],[Fuel (no space after comma)]], ","), FuelList_Final_EF!$A$2:$B$32, 2, FALSE))</f>
        <v>105.42962572482868</v>
      </c>
      <c r="P593" s="2">
        <f>(16112*Table1[[#This Row],[Generation (TWh)]]*10^9)/10^6</f>
        <v>3556756.2239999999</v>
      </c>
      <c r="Q593" s="2">
        <f>Table1[[#This Row],[Emission Factor (kg CO2/ mmBtu)]]*Table1[[#This Row],[Fuel Consumption (mmBtu)]]*10^3</f>
        <v>374987477490.7749</v>
      </c>
      <c r="R593" s="2">
        <f>(Table1[[#This Row],[CO2 Emissions (g CO2)]])/(Table1[[#This Row],[Generation (TWh)]]*10^9)</f>
        <v>1698.6821296784397</v>
      </c>
    </row>
    <row r="594" spans="1:18">
      <c r="A594" t="s">
        <v>463</v>
      </c>
      <c r="B594" t="s">
        <v>464</v>
      </c>
      <c r="C594" t="str">
        <f>SUBSTITUTE(Table1[[#This Row],[Fuel]],", ",",")</f>
        <v>bioenergy: paper mill wastes,bioenergy: wastewater and sewage sludge (solids or biogas),bioenergy: wood &amp; other biomass (solids)</v>
      </c>
      <c r="D594" t="s">
        <v>61</v>
      </c>
      <c r="E594" t="s">
        <v>42</v>
      </c>
      <c r="F594" t="s">
        <v>25</v>
      </c>
      <c r="G594">
        <v>40</v>
      </c>
      <c r="H594" t="s">
        <v>97</v>
      </c>
      <c r="I594" t="s">
        <v>21</v>
      </c>
      <c r="J594" t="s">
        <v>21</v>
      </c>
      <c r="K594">
        <v>21.570900000000002</v>
      </c>
      <c r="L594">
        <v>109.5278</v>
      </c>
      <c r="M594" t="s">
        <v>102</v>
      </c>
      <c r="N594" s="2">
        <f>Table1[[#This Row],[Capacity (MW)]]*8760*0.72*10^-6</f>
        <v>0.25228800000000001</v>
      </c>
      <c r="O594" s="2" cm="1">
        <f t="array" ref="O594">AVERAGE(VLOOKUP(_xlfn.TEXTSPLIT(Table1[[#This Row],[Fuel (no space after comma)]], ","), FuelList_Final_EF!$A$2:$B$32, 2, FALSE))</f>
        <v>83.946336320506063</v>
      </c>
      <c r="P594" s="2">
        <f>(16112*Table1[[#This Row],[Generation (TWh)]]*10^9)/10^6</f>
        <v>4064864.2560000005</v>
      </c>
      <c r="Q594" s="2">
        <f>Table1[[#This Row],[Emission Factor (kg CO2/ mmBtu)]]*Table1[[#This Row],[Fuel Consumption (mmBtu)]]*10^3</f>
        <v>341230461931.3797</v>
      </c>
      <c r="R594" s="2">
        <f>(Table1[[#This Row],[CO2 Emissions (g CO2)]])/(Table1[[#This Row],[Generation (TWh)]]*10^9)</f>
        <v>1352.543370795994</v>
      </c>
    </row>
    <row r="595" spans="1:18">
      <c r="A595" t="s">
        <v>463</v>
      </c>
      <c r="B595" t="s">
        <v>464</v>
      </c>
      <c r="C595" t="str">
        <f>SUBSTITUTE(Table1[[#This Row],[Fuel]],", ",",")</f>
        <v>bioenergy: paper mill wastes,bioenergy: wastewater and sewage sludge (solids or biogas),bioenergy: wood &amp; other biomass (solids)</v>
      </c>
      <c r="D595" t="s">
        <v>61</v>
      </c>
      <c r="E595" t="s">
        <v>42</v>
      </c>
      <c r="F595" t="s">
        <v>25</v>
      </c>
      <c r="G595">
        <v>50</v>
      </c>
      <c r="H595" t="s">
        <v>53</v>
      </c>
      <c r="I595" t="s">
        <v>21</v>
      </c>
      <c r="J595" t="s">
        <v>21</v>
      </c>
      <c r="K595">
        <v>21.570900000000002</v>
      </c>
      <c r="L595">
        <v>109.5278</v>
      </c>
      <c r="M595" t="s">
        <v>102</v>
      </c>
      <c r="N595" s="2">
        <f>Table1[[#This Row],[Capacity (MW)]]*8760*0.72*10^-6</f>
        <v>0.31535999999999997</v>
      </c>
      <c r="O595" s="2" cm="1">
        <f t="array" ref="O595">AVERAGE(VLOOKUP(_xlfn.TEXTSPLIT(Table1[[#This Row],[Fuel (no space after comma)]], ","), FuelList_Final_EF!$A$2:$B$32, 2, FALSE))</f>
        <v>83.946336320506063</v>
      </c>
      <c r="P595" s="2">
        <f>(16112*Table1[[#This Row],[Generation (TWh)]]*10^9)/10^6</f>
        <v>5081080.32</v>
      </c>
      <c r="Q595" s="2">
        <f>Table1[[#This Row],[Emission Factor (kg CO2/ mmBtu)]]*Table1[[#This Row],[Fuel Consumption (mmBtu)]]*10^3</f>
        <v>426538077414.22455</v>
      </c>
      <c r="R595" s="2">
        <f>(Table1[[#This Row],[CO2 Emissions (g CO2)]])/(Table1[[#This Row],[Generation (TWh)]]*10^9)</f>
        <v>1352.5433707959937</v>
      </c>
    </row>
    <row r="596" spans="1:18">
      <c r="A596" t="s">
        <v>463</v>
      </c>
      <c r="B596" t="s">
        <v>61</v>
      </c>
      <c r="C596" t="str">
        <f>SUBSTITUTE(Table1[[#This Row],[Fuel]],", ",",")</f>
        <v>bioenergy: paper mill wastes</v>
      </c>
      <c r="D596" t="s">
        <v>61</v>
      </c>
      <c r="G596">
        <v>100</v>
      </c>
      <c r="H596" t="s">
        <v>53</v>
      </c>
      <c r="I596" t="s">
        <v>21</v>
      </c>
      <c r="J596" t="s">
        <v>21</v>
      </c>
      <c r="K596">
        <v>21.570900000000002</v>
      </c>
      <c r="L596">
        <v>109.5278</v>
      </c>
      <c r="M596" t="s">
        <v>102</v>
      </c>
      <c r="N596" s="2">
        <f>Table1[[#This Row],[Capacity (MW)]]*8760*0.72*10^-6</f>
        <v>0.63071999999999995</v>
      </c>
      <c r="O596" s="2" cm="1">
        <f t="array" ref="O596">AVERAGE(VLOOKUP(_xlfn.TEXTSPLIT(Table1[[#This Row],[Fuel (no space after comma)]], ","), FuelList_Final_EF!$A$2:$B$32, 2, FALSE))</f>
        <v>100.47443331576173</v>
      </c>
      <c r="P596" s="2">
        <f>(16112*Table1[[#This Row],[Generation (TWh)]]*10^9)/10^6</f>
        <v>10162160.640000001</v>
      </c>
      <c r="Q596" s="2">
        <f>Table1[[#This Row],[Emission Factor (kg CO2/ mmBtu)]]*Table1[[#This Row],[Fuel Consumption (mmBtu)]]*10^3</f>
        <v>1021037331567.7386</v>
      </c>
      <c r="R596" s="2">
        <f>(Table1[[#This Row],[CO2 Emissions (g CO2)]])/(Table1[[#This Row],[Generation (TWh)]]*10^9)</f>
        <v>1618.8440695835532</v>
      </c>
    </row>
    <row r="597" spans="1:18">
      <c r="A597" t="s">
        <v>463</v>
      </c>
      <c r="B597" t="s">
        <v>61</v>
      </c>
      <c r="C597" t="str">
        <f>SUBSTITUTE(Table1[[#This Row],[Fuel]],", ",",")</f>
        <v>bioenergy: paper mill wastes</v>
      </c>
      <c r="D597" t="s">
        <v>61</v>
      </c>
      <c r="G597">
        <v>100</v>
      </c>
      <c r="H597" t="s">
        <v>53</v>
      </c>
      <c r="I597" t="s">
        <v>21</v>
      </c>
      <c r="J597" t="s">
        <v>21</v>
      </c>
      <c r="K597">
        <v>21.570900000000002</v>
      </c>
      <c r="L597">
        <v>109.5278</v>
      </c>
      <c r="M597" t="s">
        <v>102</v>
      </c>
      <c r="N597" s="2">
        <f>Table1[[#This Row],[Capacity (MW)]]*8760*0.72*10^-6</f>
        <v>0.63071999999999995</v>
      </c>
      <c r="O597" s="2" cm="1">
        <f t="array" ref="O597">AVERAGE(VLOOKUP(_xlfn.TEXTSPLIT(Table1[[#This Row],[Fuel (no space after comma)]], ","), FuelList_Final_EF!$A$2:$B$32, 2, FALSE))</f>
        <v>100.47443331576173</v>
      </c>
      <c r="P597" s="2">
        <f>(16112*Table1[[#This Row],[Generation (TWh)]]*10^9)/10^6</f>
        <v>10162160.640000001</v>
      </c>
      <c r="Q597" s="2">
        <f>Table1[[#This Row],[Emission Factor (kg CO2/ mmBtu)]]*Table1[[#This Row],[Fuel Consumption (mmBtu)]]*10^3</f>
        <v>1021037331567.7386</v>
      </c>
      <c r="R597" s="2">
        <f>(Table1[[#This Row],[CO2 Emissions (g CO2)]])/(Table1[[#This Row],[Generation (TWh)]]*10^9)</f>
        <v>1618.8440695835532</v>
      </c>
    </row>
    <row r="598" spans="1:18">
      <c r="A598" t="s">
        <v>465</v>
      </c>
      <c r="B598" t="s">
        <v>466</v>
      </c>
      <c r="C598" t="str">
        <f>SUBSTITUTE(Table1[[#This Row],[Fuel]],", ",",")</f>
        <v>bioenergy: paper mill wastes,bioenergy: wastewater and sewage sludge (solids or biogas)</v>
      </c>
      <c r="D598" t="s">
        <v>61</v>
      </c>
      <c r="E598" t="s">
        <v>42</v>
      </c>
      <c r="G598">
        <v>50</v>
      </c>
      <c r="H598" t="s">
        <v>53</v>
      </c>
      <c r="I598" t="s">
        <v>21</v>
      </c>
      <c r="J598" t="s">
        <v>21</v>
      </c>
      <c r="K598">
        <v>21.523900000000001</v>
      </c>
      <c r="L598">
        <v>109.5466</v>
      </c>
      <c r="M598" t="s">
        <v>102</v>
      </c>
      <c r="N598" s="2">
        <f>Table1[[#This Row],[Capacity (MW)]]*8760*0.72*10^-6</f>
        <v>0.31535999999999997</v>
      </c>
      <c r="O598" s="2" cm="1">
        <f t="array" ref="O598">AVERAGE(VLOOKUP(_xlfn.TEXTSPLIT(Table1[[#This Row],[Fuel (no space after comma)]], ","), FuelList_Final_EF!$A$2:$B$32, 2, FALSE))</f>
        <v>79.019504480759096</v>
      </c>
      <c r="P598" s="2">
        <f>(16112*Table1[[#This Row],[Generation (TWh)]]*10^9)/10^6</f>
        <v>5081080.32</v>
      </c>
      <c r="Q598" s="2">
        <f>Table1[[#This Row],[Emission Factor (kg CO2/ mmBtu)]]*Table1[[#This Row],[Fuel Consumption (mmBtu)]]*10^3</f>
        <v>401504449113.33685</v>
      </c>
      <c r="R598" s="2">
        <f>(Table1[[#This Row],[CO2 Emissions (g CO2)]])/(Table1[[#This Row],[Generation (TWh)]]*10^9)</f>
        <v>1273.1622561939905</v>
      </c>
    </row>
    <row r="599" spans="1:18" hidden="1">
      <c r="A599" t="s">
        <v>465</v>
      </c>
      <c r="B599" t="s">
        <v>61</v>
      </c>
      <c r="C599" t="str">
        <f>SUBSTITUTE(Table1[[#This Row],[Fuel]],", ",",")</f>
        <v>bioenergy: paper mill wastes</v>
      </c>
      <c r="D599" t="s">
        <v>61</v>
      </c>
      <c r="G599">
        <v>80</v>
      </c>
      <c r="H599" t="s">
        <v>27</v>
      </c>
      <c r="I599">
        <v>2022</v>
      </c>
      <c r="J599" t="s">
        <v>21</v>
      </c>
      <c r="K599">
        <v>21.523900000000001</v>
      </c>
      <c r="L599">
        <v>109.5466</v>
      </c>
      <c r="M599" t="s">
        <v>102</v>
      </c>
      <c r="N599" s="2">
        <f>Table1[[#This Row],[Capacity (MW)]]*8760*0.72*10^-6</f>
        <v>0.50457600000000002</v>
      </c>
      <c r="O599" s="2" cm="1">
        <f t="array" ref="O599">AVERAGE(VLOOKUP(_xlfn.TEXTSPLIT(Table1[[#This Row],[Fuel (no space after comma)]], ","), FuelList_Final_EF!$A$2:$B$32, 2, FALSE))</f>
        <v>100.47443331576173</v>
      </c>
      <c r="P599" s="2">
        <f>(16112*Table1[[#This Row],[Generation (TWh)]]*10^9)/10^6</f>
        <v>8129728.512000001</v>
      </c>
      <c r="Q599" s="2">
        <f>Table1[[#This Row],[Emission Factor (kg CO2/ mmBtu)]]*Table1[[#This Row],[Fuel Consumption (mmBtu)]]*10^3</f>
        <v>816829865254.19092</v>
      </c>
      <c r="R599" s="2">
        <f>(Table1[[#This Row],[CO2 Emissions (g CO2)]])/(Table1[[#This Row],[Generation (TWh)]]*10^9)</f>
        <v>1618.8440695835532</v>
      </c>
    </row>
    <row r="600" spans="1:18" hidden="1">
      <c r="A600" t="s">
        <v>465</v>
      </c>
      <c r="B600" t="s">
        <v>467</v>
      </c>
      <c r="C600" t="str">
        <f>SUBSTITUTE(Table1[[#This Row],[Fuel]],", ",",")</f>
        <v>bioenergy: paper mill wastes,bioenergy: agricultural waste (solids),bioenergy: wood &amp; other biomass (solids)</v>
      </c>
      <c r="D600" t="s">
        <v>61</v>
      </c>
      <c r="E600" t="s">
        <v>46</v>
      </c>
      <c r="F600" t="s">
        <v>25</v>
      </c>
      <c r="G600">
        <v>80</v>
      </c>
      <c r="H600" t="s">
        <v>27</v>
      </c>
      <c r="I600">
        <v>2022</v>
      </c>
      <c r="J600" t="s">
        <v>21</v>
      </c>
      <c r="K600">
        <v>21.523900000000001</v>
      </c>
      <c r="L600">
        <v>109.5466</v>
      </c>
      <c r="M600" t="s">
        <v>102</v>
      </c>
      <c r="N600" s="2">
        <f>Table1[[#This Row],[Capacity (MW)]]*8760*0.72*10^-6</f>
        <v>0.50457600000000002</v>
      </c>
      <c r="O600" s="2" cm="1">
        <f t="array" ref="O600">AVERAGE(VLOOKUP(_xlfn.TEXTSPLIT(Table1[[#This Row],[Fuel (no space after comma)]], ","), FuelList_Final_EF!$A$2:$B$32, 2, FALSE))</f>
        <v>104.14814443858724</v>
      </c>
      <c r="P600" s="2">
        <f>(16112*Table1[[#This Row],[Generation (TWh)]]*10^9)/10^6</f>
        <v>8129728.512000001</v>
      </c>
      <c r="Q600" s="2">
        <f>Table1[[#This Row],[Emission Factor (kg CO2/ mmBtu)]]*Table1[[#This Row],[Fuel Consumption (mmBtu)]]*10^3</f>
        <v>846696139314.2771</v>
      </c>
      <c r="R600" s="2">
        <f>(Table1[[#This Row],[CO2 Emissions (g CO2)]])/(Table1[[#This Row],[Generation (TWh)]]*10^9)</f>
        <v>1678.0349031945179</v>
      </c>
    </row>
    <row r="601" spans="1:18" hidden="1">
      <c r="A601" t="s">
        <v>468</v>
      </c>
      <c r="B601" t="s">
        <v>19</v>
      </c>
      <c r="C601" t="str">
        <f>SUBSTITUTE(Table1[[#This Row],[Fuel]],", ",",")</f>
        <v>bioenergy: refuse (municipal and industrial wastes)</v>
      </c>
      <c r="D601" t="s">
        <v>19</v>
      </c>
      <c r="G601">
        <v>9.9</v>
      </c>
      <c r="H601" t="s">
        <v>27</v>
      </c>
      <c r="I601">
        <v>2022</v>
      </c>
      <c r="J601" t="s">
        <v>21</v>
      </c>
      <c r="K601">
        <v>21.764900000000001</v>
      </c>
      <c r="L601">
        <v>109.0339</v>
      </c>
      <c r="M601" t="s">
        <v>102</v>
      </c>
      <c r="N601" s="2">
        <f>Table1[[#This Row],[Capacity (MW)]]*8760*0.72*10^-6</f>
        <v>6.2441279999999995E-2</v>
      </c>
      <c r="O601" s="2" cm="1">
        <f t="array" ref="O601">AVERAGE(VLOOKUP(_xlfn.TEXTSPLIT(Table1[[#This Row],[Fuel (no space after comma)]], ","), FuelList_Final_EF!$A$2:$B$32, 2, FALSE))</f>
        <v>105.42962572482868</v>
      </c>
      <c r="P601" s="2">
        <f>(16112*Table1[[#This Row],[Generation (TWh)]]*10^9)/10^6</f>
        <v>1006053.9033599999</v>
      </c>
      <c r="Q601" s="2">
        <f>Table1[[#This Row],[Emission Factor (kg CO2/ mmBtu)]]*Table1[[#This Row],[Fuel Consumption (mmBtu)]]*10^3</f>
        <v>106067886490.24776</v>
      </c>
      <c r="R601" s="2">
        <f>(Table1[[#This Row],[CO2 Emissions (g CO2)]])/(Table1[[#This Row],[Generation (TWh)]]*10^9)</f>
        <v>1698.6821296784399</v>
      </c>
    </row>
    <row r="602" spans="1:18" hidden="1">
      <c r="A602" t="s">
        <v>469</v>
      </c>
      <c r="B602" t="s">
        <v>19</v>
      </c>
      <c r="C602" t="str">
        <f>SUBSTITUTE(Table1[[#This Row],[Fuel]],", ",",")</f>
        <v>bioenergy: refuse (municipal and industrial wastes)</v>
      </c>
      <c r="D602" t="s">
        <v>19</v>
      </c>
      <c r="G602">
        <v>0.6</v>
      </c>
      <c r="H602" t="s">
        <v>27</v>
      </c>
      <c r="I602">
        <v>2022</v>
      </c>
      <c r="J602" t="s">
        <v>21</v>
      </c>
      <c r="K602">
        <v>21.764900000000001</v>
      </c>
      <c r="L602">
        <v>109.0339</v>
      </c>
      <c r="M602" t="s">
        <v>102</v>
      </c>
      <c r="N602" s="2">
        <f>Table1[[#This Row],[Capacity (MW)]]*8760*0.72*10^-6</f>
        <v>3.7843199999999994E-3</v>
      </c>
      <c r="O602" s="2" cm="1">
        <f t="array" ref="O602">AVERAGE(VLOOKUP(_xlfn.TEXTSPLIT(Table1[[#This Row],[Fuel (no space after comma)]], ","), FuelList_Final_EF!$A$2:$B$32, 2, FALSE))</f>
        <v>105.42962572482868</v>
      </c>
      <c r="P602" s="2">
        <f>(16112*Table1[[#This Row],[Generation (TWh)]]*10^9)/10^6</f>
        <v>60972.963839999989</v>
      </c>
      <c r="Q602" s="2">
        <f>Table1[[#This Row],[Emission Factor (kg CO2/ mmBtu)]]*Table1[[#This Row],[Fuel Consumption (mmBtu)]]*10^3</f>
        <v>6428356756.9847116</v>
      </c>
      <c r="R602" s="2">
        <f>(Table1[[#This Row],[CO2 Emissions (g CO2)]])/(Table1[[#This Row],[Generation (TWh)]]*10^9)</f>
        <v>1698.6821296784397</v>
      </c>
    </row>
    <row r="603" spans="1:18" hidden="1">
      <c r="A603" t="s">
        <v>470</v>
      </c>
      <c r="B603" t="s">
        <v>19</v>
      </c>
      <c r="C603" t="str">
        <f>SUBSTITUTE(Table1[[#This Row],[Fuel]],", ",",")</f>
        <v>bioenergy: refuse (municipal and industrial wastes)</v>
      </c>
      <c r="D603" t="s">
        <v>19</v>
      </c>
      <c r="G603">
        <v>19.5</v>
      </c>
      <c r="H603" t="s">
        <v>27</v>
      </c>
      <c r="I603">
        <v>2022</v>
      </c>
      <c r="J603" t="s">
        <v>21</v>
      </c>
      <c r="K603">
        <v>21.764900000000001</v>
      </c>
      <c r="L603">
        <v>109.0339</v>
      </c>
      <c r="M603" t="s">
        <v>102</v>
      </c>
      <c r="N603" s="2">
        <f>Table1[[#This Row],[Capacity (MW)]]*8760*0.72*10^-6</f>
        <v>0.12299039999999999</v>
      </c>
      <c r="O603" s="2" cm="1">
        <f t="array" ref="O603">AVERAGE(VLOOKUP(_xlfn.TEXTSPLIT(Table1[[#This Row],[Fuel (no space after comma)]], ","), FuelList_Final_EF!$A$2:$B$32, 2, FALSE))</f>
        <v>105.42962572482868</v>
      </c>
      <c r="P603" s="2">
        <f>(16112*Table1[[#This Row],[Generation (TWh)]]*10^9)/10^6</f>
        <v>1981621.3247999998</v>
      </c>
      <c r="Q603" s="2">
        <f>Table1[[#This Row],[Emission Factor (kg CO2/ mmBtu)]]*Table1[[#This Row],[Fuel Consumption (mmBtu)]]*10^3</f>
        <v>208921594602.00314</v>
      </c>
      <c r="R603" s="2">
        <f>(Table1[[#This Row],[CO2 Emissions (g CO2)]])/(Table1[[#This Row],[Generation (TWh)]]*10^9)</f>
        <v>1698.6821296784397</v>
      </c>
    </row>
    <row r="604" spans="1:18" hidden="1">
      <c r="A604" t="s">
        <v>118</v>
      </c>
      <c r="B604" t="s">
        <v>46</v>
      </c>
      <c r="C604" t="str">
        <f>SUBSTITUTE(Table1[[#This Row],[Fuel]],", ",",")</f>
        <v>bioenergy: agricultural waste (solids)</v>
      </c>
      <c r="D604" t="s">
        <v>46</v>
      </c>
      <c r="G604">
        <v>30</v>
      </c>
      <c r="H604" t="s">
        <v>27</v>
      </c>
      <c r="I604">
        <v>2012</v>
      </c>
      <c r="J604" t="s">
        <v>21</v>
      </c>
      <c r="K604">
        <v>22.764700000000001</v>
      </c>
      <c r="L604">
        <v>110.42449999999999</v>
      </c>
      <c r="M604" t="s">
        <v>102</v>
      </c>
      <c r="N604" s="2">
        <f>Table1[[#This Row],[Capacity (MW)]]*8760*0.72*10^-6</f>
        <v>0.189216</v>
      </c>
      <c r="O604" s="2" cm="1">
        <f t="array" ref="O604">AVERAGE(VLOOKUP(_xlfn.TEXTSPLIT(Table1[[#This Row],[Fuel (no space after comma)]], ","), FuelList_Final_EF!$A$2:$B$32, 2, FALSE))</f>
        <v>118.17</v>
      </c>
      <c r="P604" s="2">
        <f>(16112*Table1[[#This Row],[Generation (TWh)]]*10^9)/10^6</f>
        <v>3048648.1919999998</v>
      </c>
      <c r="Q604" s="2">
        <f>Table1[[#This Row],[Emission Factor (kg CO2/ mmBtu)]]*Table1[[#This Row],[Fuel Consumption (mmBtu)]]*10^3</f>
        <v>360258756848.63995</v>
      </c>
      <c r="R604" s="2">
        <f>(Table1[[#This Row],[CO2 Emissions (g CO2)]])/(Table1[[#This Row],[Generation (TWh)]]*10^9)</f>
        <v>1903.9550399999998</v>
      </c>
    </row>
    <row r="605" spans="1:18" hidden="1">
      <c r="A605" t="s">
        <v>471</v>
      </c>
      <c r="B605" t="s">
        <v>105</v>
      </c>
      <c r="C605" t="str">
        <f>SUBSTITUTE(Table1[[#This Row],[Fuel]],", ",",")</f>
        <v>bioenergy: agricultural waste (solids),bioenergy: wood &amp; other biomass (solids)</v>
      </c>
      <c r="D605" t="s">
        <v>46</v>
      </c>
      <c r="E605" t="s">
        <v>25</v>
      </c>
      <c r="G605">
        <v>6</v>
      </c>
      <c r="H605" t="s">
        <v>27</v>
      </c>
      <c r="I605">
        <v>2020</v>
      </c>
      <c r="J605" t="s">
        <v>21</v>
      </c>
      <c r="K605">
        <v>22.416499999999999</v>
      </c>
      <c r="L605">
        <v>107.4791</v>
      </c>
      <c r="M605" t="s">
        <v>102</v>
      </c>
      <c r="N605" s="2">
        <f>Table1[[#This Row],[Capacity (MW)]]*8760*0.72*10^-6</f>
        <v>3.7843199999999994E-2</v>
      </c>
      <c r="O605" s="2" cm="1">
        <f t="array" ref="O605">AVERAGE(VLOOKUP(_xlfn.TEXTSPLIT(Table1[[#This Row],[Fuel (no space after comma)]], ","), FuelList_Final_EF!$A$2:$B$32, 2, FALSE))</f>
        <v>105.985</v>
      </c>
      <c r="P605" s="2">
        <f>(16112*Table1[[#This Row],[Generation (TWh)]]*10^9)/10^6</f>
        <v>609729.63839999982</v>
      </c>
      <c r="Q605" s="2">
        <f>Table1[[#This Row],[Emission Factor (kg CO2/ mmBtu)]]*Table1[[#This Row],[Fuel Consumption (mmBtu)]]*10^3</f>
        <v>64622195725.823982</v>
      </c>
      <c r="R605" s="2">
        <f>(Table1[[#This Row],[CO2 Emissions (g CO2)]])/(Table1[[#This Row],[Generation (TWh)]]*10^9)</f>
        <v>1707.6303199999998</v>
      </c>
    </row>
    <row r="606" spans="1:18" hidden="1">
      <c r="A606" t="s">
        <v>472</v>
      </c>
      <c r="B606" t="s">
        <v>105</v>
      </c>
      <c r="C606" t="str">
        <f>SUBSTITUTE(Table1[[#This Row],[Fuel]],", ",",")</f>
        <v>bioenergy: agricultural waste (solids),bioenergy: wood &amp; other biomass (solids)</v>
      </c>
      <c r="D606" t="s">
        <v>46</v>
      </c>
      <c r="E606" t="s">
        <v>25</v>
      </c>
      <c r="G606">
        <v>22.5</v>
      </c>
      <c r="H606" t="s">
        <v>27</v>
      </c>
      <c r="I606">
        <v>2020</v>
      </c>
      <c r="J606" t="s">
        <v>21</v>
      </c>
      <c r="K606">
        <v>22.416499999999999</v>
      </c>
      <c r="L606">
        <v>107.4791</v>
      </c>
      <c r="M606" t="s">
        <v>102</v>
      </c>
      <c r="N606" s="2">
        <f>Table1[[#This Row],[Capacity (MW)]]*8760*0.72*10^-6</f>
        <v>0.14191199999999998</v>
      </c>
      <c r="O606" s="2" cm="1">
        <f t="array" ref="O606">AVERAGE(VLOOKUP(_xlfn.TEXTSPLIT(Table1[[#This Row],[Fuel (no space after comma)]], ","), FuelList_Final_EF!$A$2:$B$32, 2, FALSE))</f>
        <v>105.985</v>
      </c>
      <c r="P606" s="2">
        <f>(16112*Table1[[#This Row],[Generation (TWh)]]*10^9)/10^6</f>
        <v>2286486.1439999994</v>
      </c>
      <c r="Q606" s="2">
        <f>Table1[[#This Row],[Emission Factor (kg CO2/ mmBtu)]]*Table1[[#This Row],[Fuel Consumption (mmBtu)]]*10^3</f>
        <v>242333233971.83994</v>
      </c>
      <c r="R606" s="2">
        <f>(Table1[[#This Row],[CO2 Emissions (g CO2)]])/(Table1[[#This Row],[Generation (TWh)]]*10^9)</f>
        <v>1707.63032</v>
      </c>
    </row>
    <row r="607" spans="1:18" hidden="1">
      <c r="A607" t="s">
        <v>54</v>
      </c>
      <c r="B607" t="s">
        <v>105</v>
      </c>
      <c r="C607" t="str">
        <f>SUBSTITUTE(Table1[[#This Row],[Fuel]],", ",",")</f>
        <v>bioenergy: agricultural waste (solids),bioenergy: wood &amp; other biomass (solids)</v>
      </c>
      <c r="D607" t="s">
        <v>46</v>
      </c>
      <c r="E607" t="s">
        <v>25</v>
      </c>
      <c r="G607">
        <v>1.5</v>
      </c>
      <c r="H607" t="s">
        <v>27</v>
      </c>
      <c r="I607">
        <v>2020</v>
      </c>
      <c r="J607" t="s">
        <v>21</v>
      </c>
      <c r="K607">
        <v>22.416499999999999</v>
      </c>
      <c r="L607">
        <v>107.4791</v>
      </c>
      <c r="M607" t="s">
        <v>102</v>
      </c>
      <c r="N607" s="2">
        <f>Table1[[#This Row],[Capacity (MW)]]*8760*0.72*10^-6</f>
        <v>9.4607999999999984E-3</v>
      </c>
      <c r="O607" s="2" cm="1">
        <f t="array" ref="O607">AVERAGE(VLOOKUP(_xlfn.TEXTSPLIT(Table1[[#This Row],[Fuel (no space after comma)]], ","), FuelList_Final_EF!$A$2:$B$32, 2, FALSE))</f>
        <v>105.985</v>
      </c>
      <c r="P607" s="2">
        <f>(16112*Table1[[#This Row],[Generation (TWh)]]*10^9)/10^6</f>
        <v>152432.40959999996</v>
      </c>
      <c r="Q607" s="2">
        <f>Table1[[#This Row],[Emission Factor (kg CO2/ mmBtu)]]*Table1[[#This Row],[Fuel Consumption (mmBtu)]]*10^3</f>
        <v>16155548931.455996</v>
      </c>
      <c r="R607" s="2">
        <f>(Table1[[#This Row],[CO2 Emissions (g CO2)]])/(Table1[[#This Row],[Generation (TWh)]]*10^9)</f>
        <v>1707.6303199999998</v>
      </c>
    </row>
    <row r="608" spans="1:18" hidden="1">
      <c r="A608" t="s">
        <v>473</v>
      </c>
      <c r="B608" t="s">
        <v>46</v>
      </c>
      <c r="C608" t="str">
        <f>SUBSTITUTE(Table1[[#This Row],[Fuel]],", ",",")</f>
        <v>bioenergy: agricultural waste (solids)</v>
      </c>
      <c r="D608" t="s">
        <v>46</v>
      </c>
      <c r="G608">
        <v>11.7</v>
      </c>
      <c r="H608" t="s">
        <v>27</v>
      </c>
      <c r="I608">
        <v>2018</v>
      </c>
      <c r="J608" t="s">
        <v>21</v>
      </c>
      <c r="K608">
        <v>22.406300000000002</v>
      </c>
      <c r="L608">
        <v>107.44589999999999</v>
      </c>
      <c r="M608" t="s">
        <v>102</v>
      </c>
      <c r="N608" s="2">
        <f>Table1[[#This Row],[Capacity (MW)]]*8760*0.72*10^-6</f>
        <v>7.3794239999999983E-2</v>
      </c>
      <c r="O608" s="2" cm="1">
        <f t="array" ref="O608">AVERAGE(VLOOKUP(_xlfn.TEXTSPLIT(Table1[[#This Row],[Fuel (no space after comma)]], ","), FuelList_Final_EF!$A$2:$B$32, 2, FALSE))</f>
        <v>118.17</v>
      </c>
      <c r="P608" s="2">
        <f>(16112*Table1[[#This Row],[Generation (TWh)]]*10^9)/10^6</f>
        <v>1188972.7948799997</v>
      </c>
      <c r="Q608" s="2">
        <f>Table1[[#This Row],[Emission Factor (kg CO2/ mmBtu)]]*Table1[[#This Row],[Fuel Consumption (mmBtu)]]*10^3</f>
        <v>140500915170.96957</v>
      </c>
      <c r="R608" s="2">
        <f>(Table1[[#This Row],[CO2 Emissions (g CO2)]])/(Table1[[#This Row],[Generation (TWh)]]*10^9)</f>
        <v>1903.9550400000001</v>
      </c>
    </row>
    <row r="609" spans="1:18" hidden="1">
      <c r="A609" t="s">
        <v>474</v>
      </c>
      <c r="B609" t="s">
        <v>46</v>
      </c>
      <c r="C609" t="str">
        <f>SUBSTITUTE(Table1[[#This Row],[Fuel]],", ",",")</f>
        <v>bioenergy: agricultural waste (solids)</v>
      </c>
      <c r="D609" t="s">
        <v>46</v>
      </c>
      <c r="G609">
        <v>9</v>
      </c>
      <c r="H609" t="s">
        <v>27</v>
      </c>
      <c r="I609">
        <v>2018</v>
      </c>
      <c r="J609" t="s">
        <v>21</v>
      </c>
      <c r="K609">
        <v>22.406300000000002</v>
      </c>
      <c r="L609">
        <v>107.44589999999999</v>
      </c>
      <c r="M609" t="s">
        <v>102</v>
      </c>
      <c r="N609" s="2">
        <f>Table1[[#This Row],[Capacity (MW)]]*8760*0.72*10^-6</f>
        <v>5.676479999999999E-2</v>
      </c>
      <c r="O609" s="2" cm="1">
        <f t="array" ref="O609">AVERAGE(VLOOKUP(_xlfn.TEXTSPLIT(Table1[[#This Row],[Fuel (no space after comma)]], ","), FuelList_Final_EF!$A$2:$B$32, 2, FALSE))</f>
        <v>118.17</v>
      </c>
      <c r="P609" s="2">
        <f>(16112*Table1[[#This Row],[Generation (TWh)]]*10^9)/10^6</f>
        <v>914594.45759999985</v>
      </c>
      <c r="Q609" s="2">
        <f>Table1[[#This Row],[Emission Factor (kg CO2/ mmBtu)]]*Table1[[#This Row],[Fuel Consumption (mmBtu)]]*10^3</f>
        <v>108077627054.59198</v>
      </c>
      <c r="R609" s="2">
        <f>(Table1[[#This Row],[CO2 Emissions (g CO2)]])/(Table1[[#This Row],[Generation (TWh)]]*10^9)</f>
        <v>1903.9550399999998</v>
      </c>
    </row>
    <row r="610" spans="1:18" hidden="1">
      <c r="A610" t="s">
        <v>475</v>
      </c>
      <c r="B610" t="s">
        <v>46</v>
      </c>
      <c r="C610" t="str">
        <f>SUBSTITUTE(Table1[[#This Row],[Fuel]],", ",",")</f>
        <v>bioenergy: agricultural waste (solids)</v>
      </c>
      <c r="D610" t="s">
        <v>46</v>
      </c>
      <c r="G610">
        <v>7.5</v>
      </c>
      <c r="H610" t="s">
        <v>27</v>
      </c>
      <c r="I610">
        <v>2018</v>
      </c>
      <c r="J610" t="s">
        <v>21</v>
      </c>
      <c r="K610">
        <v>22.406300000000002</v>
      </c>
      <c r="L610">
        <v>107.44589999999999</v>
      </c>
      <c r="M610" t="s">
        <v>102</v>
      </c>
      <c r="N610" s="2">
        <f>Table1[[#This Row],[Capacity (MW)]]*8760*0.72*10^-6</f>
        <v>4.7303999999999999E-2</v>
      </c>
      <c r="O610" s="2" cm="1">
        <f t="array" ref="O610">AVERAGE(VLOOKUP(_xlfn.TEXTSPLIT(Table1[[#This Row],[Fuel (no space after comma)]], ","), FuelList_Final_EF!$A$2:$B$32, 2, FALSE))</f>
        <v>118.17</v>
      </c>
      <c r="P610" s="2">
        <f>(16112*Table1[[#This Row],[Generation (TWh)]]*10^9)/10^6</f>
        <v>762162.04799999995</v>
      </c>
      <c r="Q610" s="2">
        <f>Table1[[#This Row],[Emission Factor (kg CO2/ mmBtu)]]*Table1[[#This Row],[Fuel Consumption (mmBtu)]]*10^3</f>
        <v>90064689212.159988</v>
      </c>
      <c r="R610" s="2">
        <f>(Table1[[#This Row],[CO2 Emissions (g CO2)]])/(Table1[[#This Row],[Generation (TWh)]]*10^9)</f>
        <v>1903.9550399999998</v>
      </c>
    </row>
    <row r="611" spans="1:18" hidden="1">
      <c r="A611" t="s">
        <v>476</v>
      </c>
      <c r="B611" t="s">
        <v>46</v>
      </c>
      <c r="C611" t="str">
        <f>SUBSTITUTE(Table1[[#This Row],[Fuel]],", ",",")</f>
        <v>bioenergy: agricultural waste (solids)</v>
      </c>
      <c r="D611" t="s">
        <v>46</v>
      </c>
      <c r="G611">
        <v>1.8</v>
      </c>
      <c r="H611" t="s">
        <v>27</v>
      </c>
      <c r="I611">
        <v>2018</v>
      </c>
      <c r="J611" t="s">
        <v>21</v>
      </c>
      <c r="K611">
        <v>22.406300000000002</v>
      </c>
      <c r="L611">
        <v>107.44589999999999</v>
      </c>
      <c r="M611" t="s">
        <v>102</v>
      </c>
      <c r="N611" s="2">
        <f>Table1[[#This Row],[Capacity (MW)]]*8760*0.72*10^-6</f>
        <v>1.1352959999999999E-2</v>
      </c>
      <c r="O611" s="2" cm="1">
        <f t="array" ref="O611">AVERAGE(VLOOKUP(_xlfn.TEXTSPLIT(Table1[[#This Row],[Fuel (no space after comma)]], ","), FuelList_Final_EF!$A$2:$B$32, 2, FALSE))</f>
        <v>118.17</v>
      </c>
      <c r="P611" s="2">
        <f>(16112*Table1[[#This Row],[Generation (TWh)]]*10^9)/10^6</f>
        <v>182918.89152</v>
      </c>
      <c r="Q611" s="2">
        <f>Table1[[#This Row],[Emission Factor (kg CO2/ mmBtu)]]*Table1[[#This Row],[Fuel Consumption (mmBtu)]]*10^3</f>
        <v>21615525410.9184</v>
      </c>
      <c r="R611" s="2">
        <f>(Table1[[#This Row],[CO2 Emissions (g CO2)]])/(Table1[[#This Row],[Generation (TWh)]]*10^9)</f>
        <v>1903.9550400000003</v>
      </c>
    </row>
    <row r="612" spans="1:18">
      <c r="A612" t="s">
        <v>477</v>
      </c>
      <c r="B612" t="s">
        <v>46</v>
      </c>
      <c r="C612" t="str">
        <f>SUBSTITUTE(Table1[[#This Row],[Fuel]],", ",",")</f>
        <v>bioenergy: agricultural waste (solids)</v>
      </c>
      <c r="D612" t="s">
        <v>46</v>
      </c>
      <c r="G612">
        <v>40</v>
      </c>
      <c r="H612" t="s">
        <v>138</v>
      </c>
      <c r="I612" t="s">
        <v>21</v>
      </c>
      <c r="J612" t="s">
        <v>21</v>
      </c>
      <c r="K612">
        <v>24.519300000000001</v>
      </c>
      <c r="L612">
        <v>107.3907</v>
      </c>
      <c r="M612" t="s">
        <v>102</v>
      </c>
      <c r="N612" s="2">
        <f>Table1[[#This Row],[Capacity (MW)]]*8760*0.72*10^-6</f>
        <v>0.25228800000000001</v>
      </c>
      <c r="O612" s="2" cm="1">
        <f t="array" ref="O612">AVERAGE(VLOOKUP(_xlfn.TEXTSPLIT(Table1[[#This Row],[Fuel (no space after comma)]], ","), FuelList_Final_EF!$A$2:$B$32, 2, FALSE))</f>
        <v>118.17</v>
      </c>
      <c r="P612" s="2">
        <f>(16112*Table1[[#This Row],[Generation (TWh)]]*10^9)/10^6</f>
        <v>4064864.2560000005</v>
      </c>
      <c r="Q612" s="2">
        <f>Table1[[#This Row],[Emission Factor (kg CO2/ mmBtu)]]*Table1[[#This Row],[Fuel Consumption (mmBtu)]]*10^3</f>
        <v>480345009131.52008</v>
      </c>
      <c r="R612" s="2">
        <f>(Table1[[#This Row],[CO2 Emissions (g CO2)]])/(Table1[[#This Row],[Generation (TWh)]]*10^9)</f>
        <v>1903.9550400000003</v>
      </c>
    </row>
    <row r="613" spans="1:18" hidden="1">
      <c r="A613" t="s">
        <v>475</v>
      </c>
      <c r="B613" t="s">
        <v>46</v>
      </c>
      <c r="C613" t="str">
        <f>SUBSTITUTE(Table1[[#This Row],[Fuel]],", ",",")</f>
        <v>bioenergy: agricultural waste (solids)</v>
      </c>
      <c r="D613" t="s">
        <v>46</v>
      </c>
      <c r="G613">
        <v>12</v>
      </c>
      <c r="H613" t="s">
        <v>27</v>
      </c>
      <c r="I613">
        <v>2010</v>
      </c>
      <c r="J613" t="s">
        <v>21</v>
      </c>
      <c r="K613">
        <v>22.6343</v>
      </c>
      <c r="L613">
        <v>107.88849999999999</v>
      </c>
      <c r="M613" t="s">
        <v>102</v>
      </c>
      <c r="N613" s="2">
        <f>Table1[[#This Row],[Capacity (MW)]]*8760*0.72*10^-6</f>
        <v>7.5686399999999987E-2</v>
      </c>
      <c r="O613" s="2" cm="1">
        <f t="array" ref="O613">AVERAGE(VLOOKUP(_xlfn.TEXTSPLIT(Table1[[#This Row],[Fuel (no space after comma)]], ","), FuelList_Final_EF!$A$2:$B$32, 2, FALSE))</f>
        <v>118.17</v>
      </c>
      <c r="P613" s="2">
        <f>(16112*Table1[[#This Row],[Generation (TWh)]]*10^9)/10^6</f>
        <v>1219459.2767999996</v>
      </c>
      <c r="Q613" s="2">
        <f>Table1[[#This Row],[Emission Factor (kg CO2/ mmBtu)]]*Table1[[#This Row],[Fuel Consumption (mmBtu)]]*10^3</f>
        <v>144103502739.45596</v>
      </c>
      <c r="R613" s="2">
        <f>(Table1[[#This Row],[CO2 Emissions (g CO2)]])/(Table1[[#This Row],[Generation (TWh)]]*10^9)</f>
        <v>1903.9550399999998</v>
      </c>
    </row>
    <row r="614" spans="1:18" hidden="1">
      <c r="A614" t="s">
        <v>478</v>
      </c>
      <c r="B614" t="s">
        <v>46</v>
      </c>
      <c r="C614" t="str">
        <f>SUBSTITUTE(Table1[[#This Row],[Fuel]],", ",",")</f>
        <v>bioenergy: agricultural waste (solids)</v>
      </c>
      <c r="D614" t="s">
        <v>46</v>
      </c>
      <c r="G614">
        <v>4.5</v>
      </c>
      <c r="H614" t="s">
        <v>27</v>
      </c>
      <c r="I614">
        <v>2010</v>
      </c>
      <c r="J614" t="s">
        <v>21</v>
      </c>
      <c r="K614">
        <v>22.6343</v>
      </c>
      <c r="L614">
        <v>107.88849999999999</v>
      </c>
      <c r="M614" t="s">
        <v>102</v>
      </c>
      <c r="N614" s="2">
        <f>Table1[[#This Row],[Capacity (MW)]]*8760*0.72*10^-6</f>
        <v>2.8382399999999995E-2</v>
      </c>
      <c r="O614" s="2" cm="1">
        <f t="array" ref="O614">AVERAGE(VLOOKUP(_xlfn.TEXTSPLIT(Table1[[#This Row],[Fuel (no space after comma)]], ","), FuelList_Final_EF!$A$2:$B$32, 2, FALSE))</f>
        <v>118.17</v>
      </c>
      <c r="P614" s="2">
        <f>(16112*Table1[[#This Row],[Generation (TWh)]]*10^9)/10^6</f>
        <v>457297.22879999992</v>
      </c>
      <c r="Q614" s="2">
        <f>Table1[[#This Row],[Emission Factor (kg CO2/ mmBtu)]]*Table1[[#This Row],[Fuel Consumption (mmBtu)]]*10^3</f>
        <v>54038813527.29599</v>
      </c>
      <c r="R614" s="2">
        <f>(Table1[[#This Row],[CO2 Emissions (g CO2)]])/(Table1[[#This Row],[Generation (TWh)]]*10^9)</f>
        <v>1903.9550399999998</v>
      </c>
    </row>
    <row r="615" spans="1:18" hidden="1">
      <c r="A615" t="s">
        <v>478</v>
      </c>
      <c r="B615" t="s">
        <v>46</v>
      </c>
      <c r="C615" t="str">
        <f>SUBSTITUTE(Table1[[#This Row],[Fuel]],", ",",")</f>
        <v>bioenergy: agricultural waste (solids)</v>
      </c>
      <c r="D615" t="s">
        <v>46</v>
      </c>
      <c r="G615">
        <v>13.5</v>
      </c>
      <c r="H615" t="s">
        <v>27</v>
      </c>
      <c r="I615">
        <v>2010</v>
      </c>
      <c r="J615" t="s">
        <v>21</v>
      </c>
      <c r="K615">
        <v>22.6343</v>
      </c>
      <c r="L615">
        <v>107.88849999999999</v>
      </c>
      <c r="M615" t="s">
        <v>102</v>
      </c>
      <c r="N615" s="2">
        <f>Table1[[#This Row],[Capacity (MW)]]*8760*0.72*10^-6</f>
        <v>8.5147199999999992E-2</v>
      </c>
      <c r="O615" s="2" cm="1">
        <f t="array" ref="O615">AVERAGE(VLOOKUP(_xlfn.TEXTSPLIT(Table1[[#This Row],[Fuel (no space after comma)]], ","), FuelList_Final_EF!$A$2:$B$32, 2, FALSE))</f>
        <v>118.17</v>
      </c>
      <c r="P615" s="2">
        <f>(16112*Table1[[#This Row],[Generation (TWh)]]*10^9)/10^6</f>
        <v>1371891.6863999998</v>
      </c>
      <c r="Q615" s="2">
        <f>Table1[[#This Row],[Emission Factor (kg CO2/ mmBtu)]]*Table1[[#This Row],[Fuel Consumption (mmBtu)]]*10^3</f>
        <v>162116440581.888</v>
      </c>
      <c r="R615" s="2">
        <f>(Table1[[#This Row],[CO2 Emissions (g CO2)]])/(Table1[[#This Row],[Generation (TWh)]]*10^9)</f>
        <v>1903.9550400000003</v>
      </c>
    </row>
    <row r="616" spans="1:18" hidden="1">
      <c r="A616" t="s">
        <v>477</v>
      </c>
      <c r="B616" t="s">
        <v>46</v>
      </c>
      <c r="C616" t="str">
        <f>SUBSTITUTE(Table1[[#This Row],[Fuel]],", ",",")</f>
        <v>bioenergy: agricultural waste (solids)</v>
      </c>
      <c r="D616" t="s">
        <v>46</v>
      </c>
      <c r="G616">
        <v>40</v>
      </c>
      <c r="H616" t="s">
        <v>27</v>
      </c>
      <c r="I616">
        <v>2018</v>
      </c>
      <c r="J616" t="s">
        <v>21</v>
      </c>
      <c r="K616">
        <v>22.542899999999999</v>
      </c>
      <c r="L616">
        <v>107.81059999999999</v>
      </c>
      <c r="M616" t="s">
        <v>102</v>
      </c>
      <c r="N616" s="2">
        <f>Table1[[#This Row],[Capacity (MW)]]*8760*0.72*10^-6</f>
        <v>0.25228800000000001</v>
      </c>
      <c r="O616" s="2" cm="1">
        <f t="array" ref="O616">AVERAGE(VLOOKUP(_xlfn.TEXTSPLIT(Table1[[#This Row],[Fuel (no space after comma)]], ","), FuelList_Final_EF!$A$2:$B$32, 2, FALSE))</f>
        <v>118.17</v>
      </c>
      <c r="P616" s="2">
        <f>(16112*Table1[[#This Row],[Generation (TWh)]]*10^9)/10^6</f>
        <v>4064864.2560000005</v>
      </c>
      <c r="Q616" s="2">
        <f>Table1[[#This Row],[Emission Factor (kg CO2/ mmBtu)]]*Table1[[#This Row],[Fuel Consumption (mmBtu)]]*10^3</f>
        <v>480345009131.52008</v>
      </c>
      <c r="R616" s="2">
        <f>(Table1[[#This Row],[CO2 Emissions (g CO2)]])/(Table1[[#This Row],[Generation (TWh)]]*10^9)</f>
        <v>1903.9550400000003</v>
      </c>
    </row>
    <row r="617" spans="1:18">
      <c r="A617" t="s">
        <v>477</v>
      </c>
      <c r="B617" t="s">
        <v>105</v>
      </c>
      <c r="C617" t="str">
        <f>SUBSTITUTE(Table1[[#This Row],[Fuel]],", ",",")</f>
        <v>bioenergy: agricultural waste (solids),bioenergy: wood &amp; other biomass (solids)</v>
      </c>
      <c r="D617" t="s">
        <v>46</v>
      </c>
      <c r="E617" t="s">
        <v>25</v>
      </c>
      <c r="G617">
        <v>40</v>
      </c>
      <c r="H617" t="s">
        <v>53</v>
      </c>
      <c r="I617" t="s">
        <v>21</v>
      </c>
      <c r="J617" t="s">
        <v>21</v>
      </c>
      <c r="K617">
        <v>23.039000000000001</v>
      </c>
      <c r="L617">
        <v>109.6641</v>
      </c>
      <c r="M617" t="s">
        <v>102</v>
      </c>
      <c r="N617" s="2">
        <f>Table1[[#This Row],[Capacity (MW)]]*8760*0.72*10^-6</f>
        <v>0.25228800000000001</v>
      </c>
      <c r="O617" s="2" cm="1">
        <f t="array" ref="O617">AVERAGE(VLOOKUP(_xlfn.TEXTSPLIT(Table1[[#This Row],[Fuel (no space after comma)]], ","), FuelList_Final_EF!$A$2:$B$32, 2, FALSE))</f>
        <v>105.985</v>
      </c>
      <c r="P617" s="2">
        <f>(16112*Table1[[#This Row],[Generation (TWh)]]*10^9)/10^6</f>
        <v>4064864.2560000005</v>
      </c>
      <c r="Q617" s="2">
        <f>Table1[[#This Row],[Emission Factor (kg CO2/ mmBtu)]]*Table1[[#This Row],[Fuel Consumption (mmBtu)]]*10^3</f>
        <v>430814638172.16003</v>
      </c>
      <c r="R617" s="2">
        <f>(Table1[[#This Row],[CO2 Emissions (g CO2)]])/(Table1[[#This Row],[Generation (TWh)]]*10^9)</f>
        <v>1707.6303200000002</v>
      </c>
    </row>
    <row r="618" spans="1:18">
      <c r="A618" t="s">
        <v>477</v>
      </c>
      <c r="B618" t="s">
        <v>105</v>
      </c>
      <c r="C618" t="str">
        <f>SUBSTITUTE(Table1[[#This Row],[Fuel]],", ",",")</f>
        <v>bioenergy: agricultural waste (solids),bioenergy: wood &amp; other biomass (solids)</v>
      </c>
      <c r="D618" t="s">
        <v>46</v>
      </c>
      <c r="E618" t="s">
        <v>25</v>
      </c>
      <c r="G618">
        <v>40</v>
      </c>
      <c r="H618" t="s">
        <v>53</v>
      </c>
      <c r="I618" t="s">
        <v>21</v>
      </c>
      <c r="J618" t="s">
        <v>21</v>
      </c>
      <c r="K618">
        <v>23.039000000000001</v>
      </c>
      <c r="L618">
        <v>109.6641</v>
      </c>
      <c r="M618" t="s">
        <v>102</v>
      </c>
      <c r="N618" s="2">
        <f>Table1[[#This Row],[Capacity (MW)]]*8760*0.72*10^-6</f>
        <v>0.25228800000000001</v>
      </c>
      <c r="O618" s="2" cm="1">
        <f t="array" ref="O618">AVERAGE(VLOOKUP(_xlfn.TEXTSPLIT(Table1[[#This Row],[Fuel (no space after comma)]], ","), FuelList_Final_EF!$A$2:$B$32, 2, FALSE))</f>
        <v>105.985</v>
      </c>
      <c r="P618" s="2">
        <f>(16112*Table1[[#This Row],[Generation (TWh)]]*10^9)/10^6</f>
        <v>4064864.2560000005</v>
      </c>
      <c r="Q618" s="2">
        <f>Table1[[#This Row],[Emission Factor (kg CO2/ mmBtu)]]*Table1[[#This Row],[Fuel Consumption (mmBtu)]]*10^3</f>
        <v>430814638172.16003</v>
      </c>
      <c r="R618" s="2">
        <f>(Table1[[#This Row],[CO2 Emissions (g CO2)]])/(Table1[[#This Row],[Generation (TWh)]]*10^9)</f>
        <v>1707.6303200000002</v>
      </c>
    </row>
    <row r="619" spans="1:18" hidden="1">
      <c r="A619" t="s">
        <v>121</v>
      </c>
      <c r="B619" t="s">
        <v>105</v>
      </c>
      <c r="C619" t="str">
        <f>SUBSTITUTE(Table1[[#This Row],[Fuel]],", ",",")</f>
        <v>bioenergy: agricultural waste (solids),bioenergy: wood &amp; other biomass (solids)</v>
      </c>
      <c r="D619" t="s">
        <v>46</v>
      </c>
      <c r="E619" t="s">
        <v>25</v>
      </c>
      <c r="G619">
        <v>30</v>
      </c>
      <c r="H619" t="s">
        <v>27</v>
      </c>
      <c r="I619">
        <v>2015</v>
      </c>
      <c r="J619" t="s">
        <v>21</v>
      </c>
      <c r="K619">
        <v>23.116900000000001</v>
      </c>
      <c r="L619">
        <v>109.4667</v>
      </c>
      <c r="M619" t="s">
        <v>102</v>
      </c>
      <c r="N619" s="2">
        <f>Table1[[#This Row],[Capacity (MW)]]*8760*0.72*10^-6</f>
        <v>0.189216</v>
      </c>
      <c r="O619" s="2" cm="1">
        <f t="array" ref="O619">AVERAGE(VLOOKUP(_xlfn.TEXTSPLIT(Table1[[#This Row],[Fuel (no space after comma)]], ","), FuelList_Final_EF!$A$2:$B$32, 2, FALSE))</f>
        <v>105.985</v>
      </c>
      <c r="P619" s="2">
        <f>(16112*Table1[[#This Row],[Generation (TWh)]]*10^9)/10^6</f>
        <v>3048648.1919999998</v>
      </c>
      <c r="Q619" s="2">
        <f>Table1[[#This Row],[Emission Factor (kg CO2/ mmBtu)]]*Table1[[#This Row],[Fuel Consumption (mmBtu)]]*10^3</f>
        <v>323110978629.12</v>
      </c>
      <c r="R619" s="2">
        <f>(Table1[[#This Row],[CO2 Emissions (g CO2)]])/(Table1[[#This Row],[Generation (TWh)]]*10^9)</f>
        <v>1707.63032</v>
      </c>
    </row>
    <row r="620" spans="1:18" hidden="1">
      <c r="A620" t="s">
        <v>127</v>
      </c>
      <c r="B620" t="s">
        <v>19</v>
      </c>
      <c r="C620" t="str">
        <f>SUBSTITUTE(Table1[[#This Row],[Fuel]],", ",",")</f>
        <v>bioenergy: refuse (municipal and industrial wastes)</v>
      </c>
      <c r="D620" t="s">
        <v>19</v>
      </c>
      <c r="G620">
        <v>35</v>
      </c>
      <c r="H620" t="s">
        <v>27</v>
      </c>
      <c r="I620">
        <v>2018</v>
      </c>
      <c r="J620" t="s">
        <v>21</v>
      </c>
      <c r="K620">
        <v>25.313500000000001</v>
      </c>
      <c r="L620">
        <v>110.11879999999999</v>
      </c>
      <c r="M620" t="s">
        <v>102</v>
      </c>
      <c r="N620" s="2">
        <f>Table1[[#This Row],[Capacity (MW)]]*8760*0.72*10^-6</f>
        <v>0.220752</v>
      </c>
      <c r="O620" s="2" cm="1">
        <f t="array" ref="O620">AVERAGE(VLOOKUP(_xlfn.TEXTSPLIT(Table1[[#This Row],[Fuel (no space after comma)]], ","), FuelList_Final_EF!$A$2:$B$32, 2, FALSE))</f>
        <v>105.42962572482868</v>
      </c>
      <c r="P620" s="2">
        <f>(16112*Table1[[#This Row],[Generation (TWh)]]*10^9)/10^6</f>
        <v>3556756.2239999999</v>
      </c>
      <c r="Q620" s="2">
        <f>Table1[[#This Row],[Emission Factor (kg CO2/ mmBtu)]]*Table1[[#This Row],[Fuel Consumption (mmBtu)]]*10^3</f>
        <v>374987477490.7749</v>
      </c>
      <c r="R620" s="2">
        <f>(Table1[[#This Row],[CO2 Emissions (g CO2)]])/(Table1[[#This Row],[Generation (TWh)]]*10^9)</f>
        <v>1698.6821296784397</v>
      </c>
    </row>
    <row r="621" spans="1:18" hidden="1">
      <c r="A621" t="s">
        <v>479</v>
      </c>
      <c r="B621" t="s">
        <v>105</v>
      </c>
      <c r="C621" t="str">
        <f>SUBSTITUTE(Table1[[#This Row],[Fuel]],", ",",")</f>
        <v>bioenergy: agricultural waste (solids),bioenergy: wood &amp; other biomass (solids)</v>
      </c>
      <c r="D621" t="s">
        <v>46</v>
      </c>
      <c r="E621" t="s">
        <v>25</v>
      </c>
      <c r="G621">
        <v>30</v>
      </c>
      <c r="H621" t="s">
        <v>27</v>
      </c>
      <c r="I621">
        <v>2022</v>
      </c>
      <c r="J621" t="s">
        <v>21</v>
      </c>
      <c r="K621">
        <v>23.541799999999999</v>
      </c>
      <c r="L621">
        <v>108.93689999999999</v>
      </c>
      <c r="M621" t="s">
        <v>102</v>
      </c>
      <c r="N621" s="2">
        <f>Table1[[#This Row],[Capacity (MW)]]*8760*0.72*10^-6</f>
        <v>0.189216</v>
      </c>
      <c r="O621" s="2" cm="1">
        <f t="array" ref="O621">AVERAGE(VLOOKUP(_xlfn.TEXTSPLIT(Table1[[#This Row],[Fuel (no space after comma)]], ","), FuelList_Final_EF!$A$2:$B$32, 2, FALSE))</f>
        <v>105.985</v>
      </c>
      <c r="P621" s="2">
        <f>(16112*Table1[[#This Row],[Generation (TWh)]]*10^9)/10^6</f>
        <v>3048648.1919999998</v>
      </c>
      <c r="Q621" s="2">
        <f>Table1[[#This Row],[Emission Factor (kg CO2/ mmBtu)]]*Table1[[#This Row],[Fuel Consumption (mmBtu)]]*10^3</f>
        <v>323110978629.12</v>
      </c>
      <c r="R621" s="2">
        <f>(Table1[[#This Row],[CO2 Emissions (g CO2)]])/(Table1[[#This Row],[Generation (TWh)]]*10^9)</f>
        <v>1707.63032</v>
      </c>
    </row>
    <row r="622" spans="1:18">
      <c r="A622" t="s">
        <v>480</v>
      </c>
      <c r="B622" t="s">
        <v>210</v>
      </c>
      <c r="C622" t="str">
        <f>SUBSTITUTE(Table1[[#This Row],[Fuel]],", ",",")</f>
        <v>bioenergy: wood &amp; other biomass (solids),bioenergy: agricultural waste (solids)</v>
      </c>
      <c r="D622" t="s">
        <v>25</v>
      </c>
      <c r="E622" t="s">
        <v>46</v>
      </c>
      <c r="G622">
        <v>30</v>
      </c>
      <c r="H622" t="s">
        <v>20</v>
      </c>
      <c r="I622" t="s">
        <v>21</v>
      </c>
      <c r="J622" t="s">
        <v>21</v>
      </c>
      <c r="K622">
        <v>24.1633</v>
      </c>
      <c r="L622">
        <v>106.5902</v>
      </c>
      <c r="M622" t="s">
        <v>102</v>
      </c>
      <c r="N622" s="2">
        <f>Table1[[#This Row],[Capacity (MW)]]*8760*0.72*10^-6</f>
        <v>0.189216</v>
      </c>
      <c r="O622" s="2" cm="1">
        <f t="array" ref="O622">AVERAGE(VLOOKUP(_xlfn.TEXTSPLIT(Table1[[#This Row],[Fuel (no space after comma)]], ","), FuelList_Final_EF!$A$2:$B$32, 2, FALSE))</f>
        <v>105.985</v>
      </c>
      <c r="P622" s="2">
        <f>(16112*Table1[[#This Row],[Generation (TWh)]]*10^9)/10^6</f>
        <v>3048648.1919999998</v>
      </c>
      <c r="Q622" s="2">
        <f>Table1[[#This Row],[Emission Factor (kg CO2/ mmBtu)]]*Table1[[#This Row],[Fuel Consumption (mmBtu)]]*10^3</f>
        <v>323110978629.12</v>
      </c>
      <c r="R622" s="2">
        <f>(Table1[[#This Row],[CO2 Emissions (g CO2)]])/(Table1[[#This Row],[Generation (TWh)]]*10^9)</f>
        <v>1707.63032</v>
      </c>
    </row>
    <row r="623" spans="1:18" hidden="1">
      <c r="A623" t="s">
        <v>481</v>
      </c>
      <c r="B623" t="s">
        <v>19</v>
      </c>
      <c r="C623" t="str">
        <f>SUBSTITUTE(Table1[[#This Row],[Fuel]],", ",",")</f>
        <v>bioenergy: refuse (municipal and industrial wastes)</v>
      </c>
      <c r="D623" t="s">
        <v>19</v>
      </c>
      <c r="G623">
        <v>10.5</v>
      </c>
      <c r="H623" t="s">
        <v>27</v>
      </c>
      <c r="I623">
        <v>2021</v>
      </c>
      <c r="J623" t="s">
        <v>21</v>
      </c>
      <c r="K623">
        <v>24.2195</v>
      </c>
      <c r="L623">
        <v>109.4743</v>
      </c>
      <c r="M623" t="s">
        <v>102</v>
      </c>
      <c r="N623" s="2">
        <f>Table1[[#This Row],[Capacity (MW)]]*8760*0.72*10^-6</f>
        <v>6.6225599999999982E-2</v>
      </c>
      <c r="O623" s="2" cm="1">
        <f t="array" ref="O623">AVERAGE(VLOOKUP(_xlfn.TEXTSPLIT(Table1[[#This Row],[Fuel (no space after comma)]], ","), FuelList_Final_EF!$A$2:$B$32, 2, FALSE))</f>
        <v>105.42962572482868</v>
      </c>
      <c r="P623" s="2">
        <f>(16112*Table1[[#This Row],[Generation (TWh)]]*10^9)/10^6</f>
        <v>1067026.8671999997</v>
      </c>
      <c r="Q623" s="2">
        <f>Table1[[#This Row],[Emission Factor (kg CO2/ mmBtu)]]*Table1[[#This Row],[Fuel Consumption (mmBtu)]]*10^3</f>
        <v>112496243247.23245</v>
      </c>
      <c r="R623" s="2">
        <f>(Table1[[#This Row],[CO2 Emissions (g CO2)]])/(Table1[[#This Row],[Generation (TWh)]]*10^9)</f>
        <v>1698.6821296784397</v>
      </c>
    </row>
    <row r="624" spans="1:18" hidden="1">
      <c r="A624" t="s">
        <v>482</v>
      </c>
      <c r="B624" t="s">
        <v>19</v>
      </c>
      <c r="C624" t="str">
        <f>SUBSTITUTE(Table1[[#This Row],[Fuel]],", ",",")</f>
        <v>bioenergy: refuse (municipal and industrial wastes)</v>
      </c>
      <c r="D624" t="s">
        <v>19</v>
      </c>
      <c r="G624">
        <v>19.5</v>
      </c>
      <c r="H624" t="s">
        <v>27</v>
      </c>
      <c r="I624">
        <v>2021</v>
      </c>
      <c r="J624" t="s">
        <v>21</v>
      </c>
      <c r="K624">
        <v>24.2195</v>
      </c>
      <c r="L624">
        <v>109.4743</v>
      </c>
      <c r="M624" t="s">
        <v>102</v>
      </c>
      <c r="N624" s="2">
        <f>Table1[[#This Row],[Capacity (MW)]]*8760*0.72*10^-6</f>
        <v>0.12299039999999999</v>
      </c>
      <c r="O624" s="2" cm="1">
        <f t="array" ref="O624">AVERAGE(VLOOKUP(_xlfn.TEXTSPLIT(Table1[[#This Row],[Fuel (no space after comma)]], ","), FuelList_Final_EF!$A$2:$B$32, 2, FALSE))</f>
        <v>105.42962572482868</v>
      </c>
      <c r="P624" s="2">
        <f>(16112*Table1[[#This Row],[Generation (TWh)]]*10^9)/10^6</f>
        <v>1981621.3247999998</v>
      </c>
      <c r="Q624" s="2">
        <f>Table1[[#This Row],[Emission Factor (kg CO2/ mmBtu)]]*Table1[[#This Row],[Fuel Consumption (mmBtu)]]*10^3</f>
        <v>208921594602.00314</v>
      </c>
      <c r="R624" s="2">
        <f>(Table1[[#This Row],[CO2 Emissions (g CO2)]])/(Table1[[#This Row],[Generation (TWh)]]*10^9)</f>
        <v>1698.6821296784397</v>
      </c>
    </row>
    <row r="625" spans="1:18" hidden="1">
      <c r="A625" t="s">
        <v>482</v>
      </c>
      <c r="B625" t="s">
        <v>19</v>
      </c>
      <c r="C625" t="str">
        <f>SUBSTITUTE(Table1[[#This Row],[Fuel]],", ",",")</f>
        <v>bioenergy: refuse (municipal and industrial wastes)</v>
      </c>
      <c r="D625" t="s">
        <v>19</v>
      </c>
      <c r="G625">
        <v>19.5</v>
      </c>
      <c r="H625" t="s">
        <v>27</v>
      </c>
      <c r="I625">
        <v>2021</v>
      </c>
      <c r="J625" t="s">
        <v>21</v>
      </c>
      <c r="K625">
        <v>24.2195</v>
      </c>
      <c r="L625">
        <v>109.4743</v>
      </c>
      <c r="M625" t="s">
        <v>102</v>
      </c>
      <c r="N625" s="2">
        <f>Table1[[#This Row],[Capacity (MW)]]*8760*0.72*10^-6</f>
        <v>0.12299039999999999</v>
      </c>
      <c r="O625" s="2" cm="1">
        <f t="array" ref="O625">AVERAGE(VLOOKUP(_xlfn.TEXTSPLIT(Table1[[#This Row],[Fuel (no space after comma)]], ","), FuelList_Final_EF!$A$2:$B$32, 2, FALSE))</f>
        <v>105.42962572482868</v>
      </c>
      <c r="P625" s="2">
        <f>(16112*Table1[[#This Row],[Generation (TWh)]]*10^9)/10^6</f>
        <v>1981621.3247999998</v>
      </c>
      <c r="Q625" s="2">
        <f>Table1[[#This Row],[Emission Factor (kg CO2/ mmBtu)]]*Table1[[#This Row],[Fuel Consumption (mmBtu)]]*10^3</f>
        <v>208921594602.00314</v>
      </c>
      <c r="R625" s="2">
        <f>(Table1[[#This Row],[CO2 Emissions (g CO2)]])/(Table1[[#This Row],[Generation (TWh)]]*10^9)</f>
        <v>1698.6821296784397</v>
      </c>
    </row>
    <row r="626" spans="1:18" hidden="1">
      <c r="A626" t="s">
        <v>481</v>
      </c>
      <c r="B626" t="s">
        <v>19</v>
      </c>
      <c r="C626" t="str">
        <f>SUBSTITUTE(Table1[[#This Row],[Fuel]],", ",",")</f>
        <v>bioenergy: refuse (municipal and industrial wastes)</v>
      </c>
      <c r="D626" t="s">
        <v>19</v>
      </c>
      <c r="G626">
        <v>10.5</v>
      </c>
      <c r="H626" t="s">
        <v>27</v>
      </c>
      <c r="I626">
        <v>2021</v>
      </c>
      <c r="J626" t="s">
        <v>21</v>
      </c>
      <c r="K626">
        <v>24.2195</v>
      </c>
      <c r="L626">
        <v>109.4743</v>
      </c>
      <c r="M626" t="s">
        <v>102</v>
      </c>
      <c r="N626" s="2">
        <f>Table1[[#This Row],[Capacity (MW)]]*8760*0.72*10^-6</f>
        <v>6.6225599999999982E-2</v>
      </c>
      <c r="O626" s="2" cm="1">
        <f t="array" ref="O626">AVERAGE(VLOOKUP(_xlfn.TEXTSPLIT(Table1[[#This Row],[Fuel (no space after comma)]], ","), FuelList_Final_EF!$A$2:$B$32, 2, FALSE))</f>
        <v>105.42962572482868</v>
      </c>
      <c r="P626" s="2">
        <f>(16112*Table1[[#This Row],[Generation (TWh)]]*10^9)/10^6</f>
        <v>1067026.8671999997</v>
      </c>
      <c r="Q626" s="2">
        <f>Table1[[#This Row],[Emission Factor (kg CO2/ mmBtu)]]*Table1[[#This Row],[Fuel Consumption (mmBtu)]]*10^3</f>
        <v>112496243247.23245</v>
      </c>
      <c r="R626" s="2">
        <f>(Table1[[#This Row],[CO2 Emissions (g CO2)]])/(Table1[[#This Row],[Generation (TWh)]]*10^9)</f>
        <v>1698.6821296784397</v>
      </c>
    </row>
    <row r="627" spans="1:18" hidden="1">
      <c r="A627" t="s">
        <v>483</v>
      </c>
      <c r="B627" t="s">
        <v>105</v>
      </c>
      <c r="C627" t="str">
        <f>SUBSTITUTE(Table1[[#This Row],[Fuel]],", ",",")</f>
        <v>bioenergy: agricultural waste (solids),bioenergy: wood &amp; other biomass (solids)</v>
      </c>
      <c r="D627" t="s">
        <v>46</v>
      </c>
      <c r="E627" t="s">
        <v>25</v>
      </c>
      <c r="G627">
        <v>30</v>
      </c>
      <c r="H627" t="s">
        <v>27</v>
      </c>
      <c r="I627">
        <v>2019</v>
      </c>
      <c r="J627" t="s">
        <v>21</v>
      </c>
      <c r="K627">
        <v>23.0718</v>
      </c>
      <c r="L627">
        <v>107.8938</v>
      </c>
      <c r="M627" t="s">
        <v>102</v>
      </c>
      <c r="N627" s="2">
        <f>Table1[[#This Row],[Capacity (MW)]]*8760*0.72*10^-6</f>
        <v>0.189216</v>
      </c>
      <c r="O627" s="2" cm="1">
        <f t="array" ref="O627">AVERAGE(VLOOKUP(_xlfn.TEXTSPLIT(Table1[[#This Row],[Fuel (no space after comma)]], ","), FuelList_Final_EF!$A$2:$B$32, 2, FALSE))</f>
        <v>105.985</v>
      </c>
      <c r="P627" s="2">
        <f>(16112*Table1[[#This Row],[Generation (TWh)]]*10^9)/10^6</f>
        <v>3048648.1919999998</v>
      </c>
      <c r="Q627" s="2">
        <f>Table1[[#This Row],[Emission Factor (kg CO2/ mmBtu)]]*Table1[[#This Row],[Fuel Consumption (mmBtu)]]*10^3</f>
        <v>323110978629.12</v>
      </c>
      <c r="R627" s="2">
        <f>(Table1[[#This Row],[CO2 Emissions (g CO2)]])/(Table1[[#This Row],[Generation (TWh)]]*10^9)</f>
        <v>1707.63032</v>
      </c>
    </row>
    <row r="628" spans="1:18">
      <c r="A628" t="s">
        <v>477</v>
      </c>
      <c r="B628" t="s">
        <v>105</v>
      </c>
      <c r="C628" t="str">
        <f>SUBSTITUTE(Table1[[#This Row],[Fuel]],", ",",")</f>
        <v>bioenergy: agricultural waste (solids),bioenergy: wood &amp; other biomass (solids)</v>
      </c>
      <c r="D628" t="s">
        <v>46</v>
      </c>
      <c r="E628" t="s">
        <v>25</v>
      </c>
      <c r="G628">
        <v>40</v>
      </c>
      <c r="H628" t="s">
        <v>138</v>
      </c>
      <c r="I628" t="s">
        <v>21</v>
      </c>
      <c r="J628" t="s">
        <v>21</v>
      </c>
      <c r="K628">
        <v>24.55</v>
      </c>
      <c r="L628">
        <v>109.8095</v>
      </c>
      <c r="M628" t="s">
        <v>102</v>
      </c>
      <c r="N628" s="2">
        <f>Table1[[#This Row],[Capacity (MW)]]*8760*0.72*10^-6</f>
        <v>0.25228800000000001</v>
      </c>
      <c r="O628" s="2" cm="1">
        <f t="array" ref="O628">AVERAGE(VLOOKUP(_xlfn.TEXTSPLIT(Table1[[#This Row],[Fuel (no space after comma)]], ","), FuelList_Final_EF!$A$2:$B$32, 2, FALSE))</f>
        <v>105.985</v>
      </c>
      <c r="P628" s="2">
        <f>(16112*Table1[[#This Row],[Generation (TWh)]]*10^9)/10^6</f>
        <v>4064864.2560000005</v>
      </c>
      <c r="Q628" s="2">
        <f>Table1[[#This Row],[Emission Factor (kg CO2/ mmBtu)]]*Table1[[#This Row],[Fuel Consumption (mmBtu)]]*10^3</f>
        <v>430814638172.16003</v>
      </c>
      <c r="R628" s="2">
        <f>(Table1[[#This Row],[CO2 Emissions (g CO2)]])/(Table1[[#This Row],[Generation (TWh)]]*10^9)</f>
        <v>1707.6303200000002</v>
      </c>
    </row>
    <row r="629" spans="1:18">
      <c r="A629" t="s">
        <v>477</v>
      </c>
      <c r="B629" t="s">
        <v>105</v>
      </c>
      <c r="C629" t="str">
        <f>SUBSTITUTE(Table1[[#This Row],[Fuel]],", ",",")</f>
        <v>bioenergy: agricultural waste (solids),bioenergy: wood &amp; other biomass (solids)</v>
      </c>
      <c r="D629" t="s">
        <v>46</v>
      </c>
      <c r="E629" t="s">
        <v>25</v>
      </c>
      <c r="G629">
        <v>40</v>
      </c>
      <c r="H629" t="s">
        <v>138</v>
      </c>
      <c r="I629" t="s">
        <v>21</v>
      </c>
      <c r="J629" t="s">
        <v>21</v>
      </c>
      <c r="K629">
        <v>24.55</v>
      </c>
      <c r="L629">
        <v>109.8095</v>
      </c>
      <c r="M629" t="s">
        <v>102</v>
      </c>
      <c r="N629" s="2">
        <f>Table1[[#This Row],[Capacity (MW)]]*8760*0.72*10^-6</f>
        <v>0.25228800000000001</v>
      </c>
      <c r="O629" s="2" cm="1">
        <f t="array" ref="O629">AVERAGE(VLOOKUP(_xlfn.TEXTSPLIT(Table1[[#This Row],[Fuel (no space after comma)]], ","), FuelList_Final_EF!$A$2:$B$32, 2, FALSE))</f>
        <v>105.985</v>
      </c>
      <c r="P629" s="2">
        <f>(16112*Table1[[#This Row],[Generation (TWh)]]*10^9)/10^6</f>
        <v>4064864.2560000005</v>
      </c>
      <c r="Q629" s="2">
        <f>Table1[[#This Row],[Emission Factor (kg CO2/ mmBtu)]]*Table1[[#This Row],[Fuel Consumption (mmBtu)]]*10^3</f>
        <v>430814638172.16003</v>
      </c>
      <c r="R629" s="2">
        <f>(Table1[[#This Row],[CO2 Emissions (g CO2)]])/(Table1[[#This Row],[Generation (TWh)]]*10^9)</f>
        <v>1707.6303200000002</v>
      </c>
    </row>
    <row r="630" spans="1:18" hidden="1">
      <c r="A630" t="s">
        <v>482</v>
      </c>
      <c r="B630" t="s">
        <v>19</v>
      </c>
      <c r="C630" t="str">
        <f>SUBSTITUTE(Table1[[#This Row],[Fuel]],", ",",")</f>
        <v>bioenergy: refuse (municipal and industrial wastes)</v>
      </c>
      <c r="D630" t="s">
        <v>19</v>
      </c>
      <c r="G630">
        <v>10.199999999999999</v>
      </c>
      <c r="H630" t="s">
        <v>27</v>
      </c>
      <c r="I630">
        <v>2021</v>
      </c>
      <c r="J630" t="s">
        <v>21</v>
      </c>
      <c r="K630">
        <v>23.032299999999999</v>
      </c>
      <c r="L630">
        <v>108.0754</v>
      </c>
      <c r="M630" t="s">
        <v>102</v>
      </c>
      <c r="N630" s="2">
        <f>Table1[[#This Row],[Capacity (MW)]]*8760*0.72*10^-6</f>
        <v>6.4333439999999992E-2</v>
      </c>
      <c r="O630" s="2" cm="1">
        <f t="array" ref="O630">AVERAGE(VLOOKUP(_xlfn.TEXTSPLIT(Table1[[#This Row],[Fuel (no space after comma)]], ","), FuelList_Final_EF!$A$2:$B$32, 2, FALSE))</f>
        <v>105.42962572482868</v>
      </c>
      <c r="P630" s="2">
        <f>(16112*Table1[[#This Row],[Generation (TWh)]]*10^9)/10^6</f>
        <v>1036540.3852799998</v>
      </c>
      <c r="Q630" s="2">
        <f>Table1[[#This Row],[Emission Factor (kg CO2/ mmBtu)]]*Table1[[#This Row],[Fuel Consumption (mmBtu)]]*10^3</f>
        <v>109282064868.7401</v>
      </c>
      <c r="R630" s="2">
        <f>(Table1[[#This Row],[CO2 Emissions (g CO2)]])/(Table1[[#This Row],[Generation (TWh)]]*10^9)</f>
        <v>1698.6821296784397</v>
      </c>
    </row>
    <row r="631" spans="1:18" hidden="1">
      <c r="A631" t="s">
        <v>484</v>
      </c>
      <c r="B631" t="s">
        <v>19</v>
      </c>
      <c r="C631" t="str">
        <f>SUBSTITUTE(Table1[[#This Row],[Fuel]],", ",",")</f>
        <v>bioenergy: refuse (municipal and industrial wastes)</v>
      </c>
      <c r="D631" t="s">
        <v>19</v>
      </c>
      <c r="G631">
        <v>15.3</v>
      </c>
      <c r="H631" t="s">
        <v>27</v>
      </c>
      <c r="I631">
        <v>2021</v>
      </c>
      <c r="J631" t="s">
        <v>21</v>
      </c>
      <c r="K631">
        <v>23.032299999999999</v>
      </c>
      <c r="L631">
        <v>108.0754</v>
      </c>
      <c r="M631" t="s">
        <v>102</v>
      </c>
      <c r="N631" s="2">
        <f>Table1[[#This Row],[Capacity (MW)]]*8760*0.72*10^-6</f>
        <v>9.6500160000000001E-2</v>
      </c>
      <c r="O631" s="2" cm="1">
        <f t="array" ref="O631">AVERAGE(VLOOKUP(_xlfn.TEXTSPLIT(Table1[[#This Row],[Fuel (no space after comma)]], ","), FuelList_Final_EF!$A$2:$B$32, 2, FALSE))</f>
        <v>105.42962572482868</v>
      </c>
      <c r="P631" s="2">
        <f>(16112*Table1[[#This Row],[Generation (TWh)]]*10^9)/10^6</f>
        <v>1554810.5779200001</v>
      </c>
      <c r="Q631" s="2">
        <f>Table1[[#This Row],[Emission Factor (kg CO2/ mmBtu)]]*Table1[[#This Row],[Fuel Consumption (mmBtu)]]*10^3</f>
        <v>163923097303.11017</v>
      </c>
      <c r="R631" s="2">
        <f>(Table1[[#This Row],[CO2 Emissions (g CO2)]])/(Table1[[#This Row],[Generation (TWh)]]*10^9)</f>
        <v>1698.6821296784397</v>
      </c>
    </row>
    <row r="632" spans="1:18" hidden="1">
      <c r="A632" t="s">
        <v>485</v>
      </c>
      <c r="B632" t="s">
        <v>19</v>
      </c>
      <c r="C632" t="str">
        <f>SUBSTITUTE(Table1[[#This Row],[Fuel]],", ",",")</f>
        <v>bioenergy: refuse (municipal and industrial wastes)</v>
      </c>
      <c r="D632" t="s">
        <v>19</v>
      </c>
      <c r="G632">
        <v>4.5</v>
      </c>
      <c r="H632" t="s">
        <v>27</v>
      </c>
      <c r="I632">
        <v>2021</v>
      </c>
      <c r="J632" t="s">
        <v>21</v>
      </c>
      <c r="K632">
        <v>23.032299999999999</v>
      </c>
      <c r="L632">
        <v>108.0754</v>
      </c>
      <c r="M632" t="s">
        <v>102</v>
      </c>
      <c r="N632" s="2">
        <f>Table1[[#This Row],[Capacity (MW)]]*8760*0.72*10^-6</f>
        <v>2.8382399999999995E-2</v>
      </c>
      <c r="O632" s="2" cm="1">
        <f t="array" ref="O632">AVERAGE(VLOOKUP(_xlfn.TEXTSPLIT(Table1[[#This Row],[Fuel (no space after comma)]], ","), FuelList_Final_EF!$A$2:$B$32, 2, FALSE))</f>
        <v>105.42962572482868</v>
      </c>
      <c r="P632" s="2">
        <f>(16112*Table1[[#This Row],[Generation (TWh)]]*10^9)/10^6</f>
        <v>457297.22879999992</v>
      </c>
      <c r="Q632" s="2">
        <f>Table1[[#This Row],[Emission Factor (kg CO2/ mmBtu)]]*Table1[[#This Row],[Fuel Consumption (mmBtu)]]*10^3</f>
        <v>48212675677.385338</v>
      </c>
      <c r="R632" s="2">
        <f>(Table1[[#This Row],[CO2 Emissions (g CO2)]])/(Table1[[#This Row],[Generation (TWh)]]*10^9)</f>
        <v>1698.6821296784397</v>
      </c>
    </row>
    <row r="633" spans="1:18" hidden="1">
      <c r="A633" t="s">
        <v>482</v>
      </c>
      <c r="B633" t="s">
        <v>19</v>
      </c>
      <c r="C633" t="str">
        <f>SUBSTITUTE(Table1[[#This Row],[Fuel]],", ",",")</f>
        <v>bioenergy: refuse (municipal and industrial wastes)</v>
      </c>
      <c r="D633" t="s">
        <v>19</v>
      </c>
      <c r="G633">
        <v>10.199999999999999</v>
      </c>
      <c r="H633" t="s">
        <v>27</v>
      </c>
      <c r="I633">
        <v>2021</v>
      </c>
      <c r="J633" t="s">
        <v>21</v>
      </c>
      <c r="K633">
        <v>23.032299999999999</v>
      </c>
      <c r="L633">
        <v>108.0754</v>
      </c>
      <c r="M633" t="s">
        <v>102</v>
      </c>
      <c r="N633" s="2">
        <f>Table1[[#This Row],[Capacity (MW)]]*8760*0.72*10^-6</f>
        <v>6.4333439999999992E-2</v>
      </c>
      <c r="O633" s="2" cm="1">
        <f t="array" ref="O633">AVERAGE(VLOOKUP(_xlfn.TEXTSPLIT(Table1[[#This Row],[Fuel (no space after comma)]], ","), FuelList_Final_EF!$A$2:$B$32, 2, FALSE))</f>
        <v>105.42962572482868</v>
      </c>
      <c r="P633" s="2">
        <f>(16112*Table1[[#This Row],[Generation (TWh)]]*10^9)/10^6</f>
        <v>1036540.3852799998</v>
      </c>
      <c r="Q633" s="2">
        <f>Table1[[#This Row],[Emission Factor (kg CO2/ mmBtu)]]*Table1[[#This Row],[Fuel Consumption (mmBtu)]]*10^3</f>
        <v>109282064868.7401</v>
      </c>
      <c r="R633" s="2">
        <f>(Table1[[#This Row],[CO2 Emissions (g CO2)]])/(Table1[[#This Row],[Generation (TWh)]]*10^9)</f>
        <v>1698.6821296784397</v>
      </c>
    </row>
    <row r="634" spans="1:18" hidden="1">
      <c r="A634" t="s">
        <v>485</v>
      </c>
      <c r="B634" t="s">
        <v>19</v>
      </c>
      <c r="C634" t="str">
        <f>SUBSTITUTE(Table1[[#This Row],[Fuel]],", ",",")</f>
        <v>bioenergy: refuse (municipal and industrial wastes)</v>
      </c>
      <c r="D634" t="s">
        <v>19</v>
      </c>
      <c r="G634">
        <v>4.5</v>
      </c>
      <c r="H634" t="s">
        <v>27</v>
      </c>
      <c r="I634">
        <v>2021</v>
      </c>
      <c r="J634" t="s">
        <v>21</v>
      </c>
      <c r="K634">
        <v>23.032299999999999</v>
      </c>
      <c r="L634">
        <v>108.0754</v>
      </c>
      <c r="M634" t="s">
        <v>102</v>
      </c>
      <c r="N634" s="2">
        <f>Table1[[#This Row],[Capacity (MW)]]*8760*0.72*10^-6</f>
        <v>2.8382399999999995E-2</v>
      </c>
      <c r="O634" s="2" cm="1">
        <f t="array" ref="O634">AVERAGE(VLOOKUP(_xlfn.TEXTSPLIT(Table1[[#This Row],[Fuel (no space after comma)]], ","), FuelList_Final_EF!$A$2:$B$32, 2, FALSE))</f>
        <v>105.42962572482868</v>
      </c>
      <c r="P634" s="2">
        <f>(16112*Table1[[#This Row],[Generation (TWh)]]*10^9)/10^6</f>
        <v>457297.22879999992</v>
      </c>
      <c r="Q634" s="2">
        <f>Table1[[#This Row],[Emission Factor (kg CO2/ mmBtu)]]*Table1[[#This Row],[Fuel Consumption (mmBtu)]]*10^3</f>
        <v>48212675677.385338</v>
      </c>
      <c r="R634" s="2">
        <f>(Table1[[#This Row],[CO2 Emissions (g CO2)]])/(Table1[[#This Row],[Generation (TWh)]]*10^9)</f>
        <v>1698.6821296784397</v>
      </c>
    </row>
    <row r="635" spans="1:18" hidden="1">
      <c r="A635" t="s">
        <v>484</v>
      </c>
      <c r="B635" t="s">
        <v>19</v>
      </c>
      <c r="C635" t="str">
        <f>SUBSTITUTE(Table1[[#This Row],[Fuel]],", ",",")</f>
        <v>bioenergy: refuse (municipal and industrial wastes)</v>
      </c>
      <c r="D635" t="s">
        <v>19</v>
      </c>
      <c r="G635">
        <v>15.3</v>
      </c>
      <c r="H635" t="s">
        <v>27</v>
      </c>
      <c r="I635">
        <v>2021</v>
      </c>
      <c r="J635" t="s">
        <v>21</v>
      </c>
      <c r="K635">
        <v>23.032299999999999</v>
      </c>
      <c r="L635">
        <v>108.0754</v>
      </c>
      <c r="M635" t="s">
        <v>102</v>
      </c>
      <c r="N635" s="2">
        <f>Table1[[#This Row],[Capacity (MW)]]*8760*0.72*10^-6</f>
        <v>9.6500160000000001E-2</v>
      </c>
      <c r="O635" s="2" cm="1">
        <f t="array" ref="O635">AVERAGE(VLOOKUP(_xlfn.TEXTSPLIT(Table1[[#This Row],[Fuel (no space after comma)]], ","), FuelList_Final_EF!$A$2:$B$32, 2, FALSE))</f>
        <v>105.42962572482868</v>
      </c>
      <c r="P635" s="2">
        <f>(16112*Table1[[#This Row],[Generation (TWh)]]*10^9)/10^6</f>
        <v>1554810.5779200001</v>
      </c>
      <c r="Q635" s="2">
        <f>Table1[[#This Row],[Emission Factor (kg CO2/ mmBtu)]]*Table1[[#This Row],[Fuel Consumption (mmBtu)]]*10^3</f>
        <v>163923097303.11017</v>
      </c>
      <c r="R635" s="2">
        <f>(Table1[[#This Row],[CO2 Emissions (g CO2)]])/(Table1[[#This Row],[Generation (TWh)]]*10^9)</f>
        <v>1698.6821296784397</v>
      </c>
    </row>
    <row r="636" spans="1:18" hidden="1">
      <c r="A636" t="s">
        <v>486</v>
      </c>
      <c r="B636" t="s">
        <v>46</v>
      </c>
      <c r="C636" t="str">
        <f>SUBSTITUTE(Table1[[#This Row],[Fuel]],", ",",")</f>
        <v>bioenergy: agricultural waste (solids)</v>
      </c>
      <c r="D636" t="s">
        <v>46</v>
      </c>
      <c r="G636">
        <v>3.3</v>
      </c>
      <c r="H636" t="s">
        <v>27</v>
      </c>
      <c r="I636">
        <v>2015</v>
      </c>
      <c r="J636" t="s">
        <v>21</v>
      </c>
      <c r="K636">
        <v>22.164100000000001</v>
      </c>
      <c r="L636">
        <v>107.0685</v>
      </c>
      <c r="M636" t="s">
        <v>102</v>
      </c>
      <c r="N636" s="2">
        <f>Table1[[#This Row],[Capacity (MW)]]*8760*0.72*10^-6</f>
        <v>2.0813759999999997E-2</v>
      </c>
      <c r="O636" s="2" cm="1">
        <f t="array" ref="O636">AVERAGE(VLOOKUP(_xlfn.TEXTSPLIT(Table1[[#This Row],[Fuel (no space after comma)]], ","), FuelList_Final_EF!$A$2:$B$32, 2, FALSE))</f>
        <v>118.17</v>
      </c>
      <c r="P636" s="2">
        <f>(16112*Table1[[#This Row],[Generation (TWh)]]*10^9)/10^6</f>
        <v>335351.30111999996</v>
      </c>
      <c r="Q636" s="2">
        <f>Table1[[#This Row],[Emission Factor (kg CO2/ mmBtu)]]*Table1[[#This Row],[Fuel Consumption (mmBtu)]]*10^3</f>
        <v>39628463253.350403</v>
      </c>
      <c r="R636" s="2">
        <f>(Table1[[#This Row],[CO2 Emissions (g CO2)]])/(Table1[[#This Row],[Generation (TWh)]]*10^9)</f>
        <v>1903.9550400000005</v>
      </c>
    </row>
    <row r="637" spans="1:18" hidden="1">
      <c r="A637" t="s">
        <v>487</v>
      </c>
      <c r="B637" t="s">
        <v>46</v>
      </c>
      <c r="C637" t="str">
        <f>SUBSTITUTE(Table1[[#This Row],[Fuel]],", ",",")</f>
        <v>bioenergy: agricultural waste (solids)</v>
      </c>
      <c r="D637" t="s">
        <v>46</v>
      </c>
      <c r="G637">
        <v>4.5</v>
      </c>
      <c r="H637" t="s">
        <v>27</v>
      </c>
      <c r="I637">
        <v>2015</v>
      </c>
      <c r="J637" t="s">
        <v>21</v>
      </c>
      <c r="K637">
        <v>22.164100000000001</v>
      </c>
      <c r="L637">
        <v>107.0685</v>
      </c>
      <c r="M637" t="s">
        <v>102</v>
      </c>
      <c r="N637" s="2">
        <f>Table1[[#This Row],[Capacity (MW)]]*8760*0.72*10^-6</f>
        <v>2.8382399999999995E-2</v>
      </c>
      <c r="O637" s="2" cm="1">
        <f t="array" ref="O637">AVERAGE(VLOOKUP(_xlfn.TEXTSPLIT(Table1[[#This Row],[Fuel (no space after comma)]], ","), FuelList_Final_EF!$A$2:$B$32, 2, FALSE))</f>
        <v>118.17</v>
      </c>
      <c r="P637" s="2">
        <f>(16112*Table1[[#This Row],[Generation (TWh)]]*10^9)/10^6</f>
        <v>457297.22879999992</v>
      </c>
      <c r="Q637" s="2">
        <f>Table1[[#This Row],[Emission Factor (kg CO2/ mmBtu)]]*Table1[[#This Row],[Fuel Consumption (mmBtu)]]*10^3</f>
        <v>54038813527.29599</v>
      </c>
      <c r="R637" s="2">
        <f>(Table1[[#This Row],[CO2 Emissions (g CO2)]])/(Table1[[#This Row],[Generation (TWh)]]*10^9)</f>
        <v>1903.9550399999998</v>
      </c>
    </row>
    <row r="638" spans="1:18" hidden="1">
      <c r="A638" t="s">
        <v>488</v>
      </c>
      <c r="B638" t="s">
        <v>46</v>
      </c>
      <c r="C638" t="str">
        <f>SUBSTITUTE(Table1[[#This Row],[Fuel]],", ",",")</f>
        <v>bioenergy: agricultural waste (solids)</v>
      </c>
      <c r="D638" t="s">
        <v>46</v>
      </c>
      <c r="G638">
        <v>22.2</v>
      </c>
      <c r="H638" t="s">
        <v>27</v>
      </c>
      <c r="I638">
        <v>2015</v>
      </c>
      <c r="J638" t="s">
        <v>21</v>
      </c>
      <c r="K638">
        <v>22.164100000000001</v>
      </c>
      <c r="L638">
        <v>107.0685</v>
      </c>
      <c r="M638" t="s">
        <v>102</v>
      </c>
      <c r="N638" s="2">
        <f>Table1[[#This Row],[Capacity (MW)]]*8760*0.72*10^-6</f>
        <v>0.14001983999999998</v>
      </c>
      <c r="O638" s="2" cm="1">
        <f t="array" ref="O638">AVERAGE(VLOOKUP(_xlfn.TEXTSPLIT(Table1[[#This Row],[Fuel (no space after comma)]], ","), FuelList_Final_EF!$A$2:$B$32, 2, FALSE))</f>
        <v>118.17</v>
      </c>
      <c r="P638" s="2">
        <f>(16112*Table1[[#This Row],[Generation (TWh)]]*10^9)/10^6</f>
        <v>2255999.6620800002</v>
      </c>
      <c r="Q638" s="2">
        <f>Table1[[#This Row],[Emission Factor (kg CO2/ mmBtu)]]*Table1[[#This Row],[Fuel Consumption (mmBtu)]]*10^3</f>
        <v>266591480067.99362</v>
      </c>
      <c r="R638" s="2">
        <f>(Table1[[#This Row],[CO2 Emissions (g CO2)]])/(Table1[[#This Row],[Generation (TWh)]]*10^9)</f>
        <v>1903.9550400000005</v>
      </c>
    </row>
    <row r="639" spans="1:18">
      <c r="A639" t="s">
        <v>489</v>
      </c>
      <c r="B639" t="s">
        <v>466</v>
      </c>
      <c r="C639" t="str">
        <f>SUBSTITUTE(Table1[[#This Row],[Fuel]],", ",",")</f>
        <v>bioenergy: paper mill wastes,bioenergy: wastewater and sewage sludge (solids or biogas)</v>
      </c>
      <c r="D639" t="s">
        <v>61</v>
      </c>
      <c r="E639" t="s">
        <v>42</v>
      </c>
      <c r="G639">
        <v>0.89999999999999991</v>
      </c>
      <c r="H639" t="s">
        <v>97</v>
      </c>
      <c r="I639" t="s">
        <v>21</v>
      </c>
      <c r="J639" t="s">
        <v>21</v>
      </c>
      <c r="K639">
        <v>21.686499999999999</v>
      </c>
      <c r="L639">
        <v>108.65600000000001</v>
      </c>
      <c r="M639" t="s">
        <v>102</v>
      </c>
      <c r="N639" s="2">
        <f>Table1[[#This Row],[Capacity (MW)]]*8760*0.72*10^-6</f>
        <v>5.6764799999999994E-3</v>
      </c>
      <c r="O639" s="2" cm="1">
        <f t="array" ref="O639">AVERAGE(VLOOKUP(_xlfn.TEXTSPLIT(Table1[[#This Row],[Fuel (no space after comma)]], ","), FuelList_Final_EF!$A$2:$B$32, 2, FALSE))</f>
        <v>79.019504480759096</v>
      </c>
      <c r="P639" s="2">
        <f>(16112*Table1[[#This Row],[Generation (TWh)]]*10^9)/10^6</f>
        <v>91459.445760000002</v>
      </c>
      <c r="Q639" s="2">
        <f>Table1[[#This Row],[Emission Factor (kg CO2/ mmBtu)]]*Table1[[#This Row],[Fuel Consumption (mmBtu)]]*10^3</f>
        <v>7227080084.0400639</v>
      </c>
      <c r="R639" s="2">
        <f>(Table1[[#This Row],[CO2 Emissions (g CO2)]])/(Table1[[#This Row],[Generation (TWh)]]*10^9)</f>
        <v>1273.1622561939907</v>
      </c>
    </row>
    <row r="640" spans="1:18">
      <c r="A640" t="s">
        <v>490</v>
      </c>
      <c r="B640" t="s">
        <v>466</v>
      </c>
      <c r="C640" t="str">
        <f>SUBSTITUTE(Table1[[#This Row],[Fuel]],", ",",")</f>
        <v>bioenergy: paper mill wastes,bioenergy: wastewater and sewage sludge (solids or biogas)</v>
      </c>
      <c r="D640" t="s">
        <v>61</v>
      </c>
      <c r="E640" t="s">
        <v>42</v>
      </c>
      <c r="G640">
        <v>29.1</v>
      </c>
      <c r="H640" t="s">
        <v>97</v>
      </c>
      <c r="I640" t="s">
        <v>21</v>
      </c>
      <c r="J640" t="s">
        <v>21</v>
      </c>
      <c r="K640">
        <v>21.686499999999999</v>
      </c>
      <c r="L640">
        <v>108.65600000000001</v>
      </c>
      <c r="M640" t="s">
        <v>102</v>
      </c>
      <c r="N640" s="2">
        <f>Table1[[#This Row],[Capacity (MW)]]*8760*0.72*10^-6</f>
        <v>0.18353951999999998</v>
      </c>
      <c r="O640" s="2" cm="1">
        <f t="array" ref="O640">AVERAGE(VLOOKUP(_xlfn.TEXTSPLIT(Table1[[#This Row],[Fuel (no space after comma)]], ","), FuelList_Final_EF!$A$2:$B$32, 2, FALSE))</f>
        <v>79.019504480759096</v>
      </c>
      <c r="P640" s="2">
        <f>(16112*Table1[[#This Row],[Generation (TWh)]]*10^9)/10^6</f>
        <v>2957188.7462399993</v>
      </c>
      <c r="Q640" s="2">
        <f>Table1[[#This Row],[Emission Factor (kg CO2/ mmBtu)]]*Table1[[#This Row],[Fuel Consumption (mmBtu)]]*10^3</f>
        <v>233675589383.96201</v>
      </c>
      <c r="R640" s="2">
        <f>(Table1[[#This Row],[CO2 Emissions (g CO2)]])/(Table1[[#This Row],[Generation (TWh)]]*10^9)</f>
        <v>1273.1622561939905</v>
      </c>
    </row>
    <row r="641" spans="1:18">
      <c r="A641" t="s">
        <v>490</v>
      </c>
      <c r="B641" t="s">
        <v>61</v>
      </c>
      <c r="C641" t="str">
        <f>SUBSTITUTE(Table1[[#This Row],[Fuel]],", ",",")</f>
        <v>bioenergy: paper mill wastes</v>
      </c>
      <c r="D641" t="s">
        <v>61</v>
      </c>
      <c r="G641">
        <v>97</v>
      </c>
      <c r="H641" t="s">
        <v>97</v>
      </c>
      <c r="I641" t="s">
        <v>21</v>
      </c>
      <c r="J641" t="s">
        <v>21</v>
      </c>
      <c r="K641">
        <v>21.686499999999999</v>
      </c>
      <c r="L641">
        <v>108.65600000000001</v>
      </c>
      <c r="M641" t="s">
        <v>102</v>
      </c>
      <c r="N641" s="2">
        <f>Table1[[#This Row],[Capacity (MW)]]*8760*0.72*10^-6</f>
        <v>0.61179839999999996</v>
      </c>
      <c r="O641" s="2" cm="1">
        <f t="array" ref="O641">AVERAGE(VLOOKUP(_xlfn.TEXTSPLIT(Table1[[#This Row],[Fuel (no space after comma)]], ","), FuelList_Final_EF!$A$2:$B$32, 2, FALSE))</f>
        <v>100.47443331576173</v>
      </c>
      <c r="P641" s="2">
        <f>(16112*Table1[[#This Row],[Generation (TWh)]]*10^9)/10^6</f>
        <v>9857295.8208000008</v>
      </c>
      <c r="Q641" s="2">
        <f>Table1[[#This Row],[Emission Factor (kg CO2/ mmBtu)]]*Table1[[#This Row],[Fuel Consumption (mmBtu)]]*10^3</f>
        <v>990406211620.70642</v>
      </c>
      <c r="R641" s="2">
        <f>(Table1[[#This Row],[CO2 Emissions (g CO2)]])/(Table1[[#This Row],[Generation (TWh)]]*10^9)</f>
        <v>1618.8440695835529</v>
      </c>
    </row>
    <row r="642" spans="1:18">
      <c r="A642" t="s">
        <v>489</v>
      </c>
      <c r="B642" t="s">
        <v>61</v>
      </c>
      <c r="C642" t="str">
        <f>SUBSTITUTE(Table1[[#This Row],[Fuel]],", ",",")</f>
        <v>bioenergy: paper mill wastes</v>
      </c>
      <c r="D642" t="s">
        <v>61</v>
      </c>
      <c r="G642">
        <v>3</v>
      </c>
      <c r="H642" t="s">
        <v>97</v>
      </c>
      <c r="I642" t="s">
        <v>21</v>
      </c>
      <c r="J642" t="s">
        <v>21</v>
      </c>
      <c r="K642">
        <v>21.686499999999999</v>
      </c>
      <c r="L642">
        <v>108.65600000000001</v>
      </c>
      <c r="M642" t="s">
        <v>102</v>
      </c>
      <c r="N642" s="2">
        <f>Table1[[#This Row],[Capacity (MW)]]*8760*0.72*10^-6</f>
        <v>1.8921599999999997E-2</v>
      </c>
      <c r="O642" s="2" cm="1">
        <f t="array" ref="O642">AVERAGE(VLOOKUP(_xlfn.TEXTSPLIT(Table1[[#This Row],[Fuel (no space after comma)]], ","), FuelList_Final_EF!$A$2:$B$32, 2, FALSE))</f>
        <v>100.47443331576173</v>
      </c>
      <c r="P642" s="2">
        <f>(16112*Table1[[#This Row],[Generation (TWh)]]*10^9)/10^6</f>
        <v>304864.81919999991</v>
      </c>
      <c r="Q642" s="2">
        <f>Table1[[#This Row],[Emission Factor (kg CO2/ mmBtu)]]*Table1[[#This Row],[Fuel Consumption (mmBtu)]]*10^3</f>
        <v>30631119947.032146</v>
      </c>
      <c r="R642" s="2">
        <f>(Table1[[#This Row],[CO2 Emissions (g CO2)]])/(Table1[[#This Row],[Generation (TWh)]]*10^9)</f>
        <v>1618.8440695835527</v>
      </c>
    </row>
    <row r="643" spans="1:18">
      <c r="A643" t="s">
        <v>489</v>
      </c>
      <c r="B643" t="s">
        <v>61</v>
      </c>
      <c r="C643" t="str">
        <f>SUBSTITUTE(Table1[[#This Row],[Fuel]],", ",",")</f>
        <v>bioenergy: paper mill wastes</v>
      </c>
      <c r="D643" t="s">
        <v>61</v>
      </c>
      <c r="G643">
        <v>3</v>
      </c>
      <c r="H643" t="s">
        <v>97</v>
      </c>
      <c r="I643" t="s">
        <v>21</v>
      </c>
      <c r="J643" t="s">
        <v>21</v>
      </c>
      <c r="K643">
        <v>21.686499999999999</v>
      </c>
      <c r="L643">
        <v>108.65600000000001</v>
      </c>
      <c r="M643" t="s">
        <v>102</v>
      </c>
      <c r="N643" s="2">
        <f>Table1[[#This Row],[Capacity (MW)]]*8760*0.72*10^-6</f>
        <v>1.8921599999999997E-2</v>
      </c>
      <c r="O643" s="2" cm="1">
        <f t="array" ref="O643">AVERAGE(VLOOKUP(_xlfn.TEXTSPLIT(Table1[[#This Row],[Fuel (no space after comma)]], ","), FuelList_Final_EF!$A$2:$B$32, 2, FALSE))</f>
        <v>100.47443331576173</v>
      </c>
      <c r="P643" s="2">
        <f>(16112*Table1[[#This Row],[Generation (TWh)]]*10^9)/10^6</f>
        <v>304864.81919999991</v>
      </c>
      <c r="Q643" s="2">
        <f>Table1[[#This Row],[Emission Factor (kg CO2/ mmBtu)]]*Table1[[#This Row],[Fuel Consumption (mmBtu)]]*10^3</f>
        <v>30631119947.032146</v>
      </c>
      <c r="R643" s="2">
        <f>(Table1[[#This Row],[CO2 Emissions (g CO2)]])/(Table1[[#This Row],[Generation (TWh)]]*10^9)</f>
        <v>1618.8440695835527</v>
      </c>
    </row>
    <row r="644" spans="1:18">
      <c r="A644" t="s">
        <v>490</v>
      </c>
      <c r="B644" t="s">
        <v>61</v>
      </c>
      <c r="C644" t="str">
        <f>SUBSTITUTE(Table1[[#This Row],[Fuel]],", ",",")</f>
        <v>bioenergy: paper mill wastes</v>
      </c>
      <c r="D644" t="s">
        <v>61</v>
      </c>
      <c r="G644">
        <v>97</v>
      </c>
      <c r="H644" t="s">
        <v>97</v>
      </c>
      <c r="I644" t="s">
        <v>21</v>
      </c>
      <c r="J644" t="s">
        <v>21</v>
      </c>
      <c r="K644">
        <v>21.686499999999999</v>
      </c>
      <c r="L644">
        <v>108.65600000000001</v>
      </c>
      <c r="M644" t="s">
        <v>102</v>
      </c>
      <c r="N644" s="2">
        <f>Table1[[#This Row],[Capacity (MW)]]*8760*0.72*10^-6</f>
        <v>0.61179839999999996</v>
      </c>
      <c r="O644" s="2" cm="1">
        <f t="array" ref="O644">AVERAGE(VLOOKUP(_xlfn.TEXTSPLIT(Table1[[#This Row],[Fuel (no space after comma)]], ","), FuelList_Final_EF!$A$2:$B$32, 2, FALSE))</f>
        <v>100.47443331576173</v>
      </c>
      <c r="P644" s="2">
        <f>(16112*Table1[[#This Row],[Generation (TWh)]]*10^9)/10^6</f>
        <v>9857295.8208000008</v>
      </c>
      <c r="Q644" s="2">
        <f>Table1[[#This Row],[Emission Factor (kg CO2/ mmBtu)]]*Table1[[#This Row],[Fuel Consumption (mmBtu)]]*10^3</f>
        <v>990406211620.70642</v>
      </c>
      <c r="R644" s="2">
        <f>(Table1[[#This Row],[CO2 Emissions (g CO2)]])/(Table1[[#This Row],[Generation (TWh)]]*10^9)</f>
        <v>1618.8440695835529</v>
      </c>
    </row>
    <row r="645" spans="1:18" hidden="1">
      <c r="A645" t="s">
        <v>491</v>
      </c>
      <c r="B645" t="s">
        <v>105</v>
      </c>
      <c r="C645" t="str">
        <f>SUBSTITUTE(Table1[[#This Row],[Fuel]],", ",",")</f>
        <v>bioenergy: agricultural waste (solids),bioenergy: wood &amp; other biomass (solids)</v>
      </c>
      <c r="D645" t="s">
        <v>46</v>
      </c>
      <c r="E645" t="s">
        <v>25</v>
      </c>
      <c r="G645">
        <v>20.399999999999999</v>
      </c>
      <c r="H645" t="s">
        <v>27</v>
      </c>
      <c r="I645">
        <v>2018</v>
      </c>
      <c r="J645" t="s">
        <v>21</v>
      </c>
      <c r="K645">
        <v>22.1328</v>
      </c>
      <c r="L645">
        <v>108.4312</v>
      </c>
      <c r="M645" t="s">
        <v>102</v>
      </c>
      <c r="N645" s="2">
        <f>Table1[[#This Row],[Capacity (MW)]]*8760*0.72*10^-6</f>
        <v>0.12866687999999998</v>
      </c>
      <c r="O645" s="2" cm="1">
        <f t="array" ref="O645">AVERAGE(VLOOKUP(_xlfn.TEXTSPLIT(Table1[[#This Row],[Fuel (no space after comma)]], ","), FuelList_Final_EF!$A$2:$B$32, 2, FALSE))</f>
        <v>105.985</v>
      </c>
      <c r="P645" s="2">
        <f>(16112*Table1[[#This Row],[Generation (TWh)]]*10^9)/10^6</f>
        <v>2073080.7705599996</v>
      </c>
      <c r="Q645" s="2">
        <f>Table1[[#This Row],[Emission Factor (kg CO2/ mmBtu)]]*Table1[[#This Row],[Fuel Consumption (mmBtu)]]*10^3</f>
        <v>219715465467.80157</v>
      </c>
      <c r="R645" s="2">
        <f>(Table1[[#This Row],[CO2 Emissions (g CO2)]])/(Table1[[#This Row],[Generation (TWh)]]*10^9)</f>
        <v>1707.63032</v>
      </c>
    </row>
    <row r="646" spans="1:18" hidden="1">
      <c r="A646" t="s">
        <v>492</v>
      </c>
      <c r="B646" t="s">
        <v>105</v>
      </c>
      <c r="C646" t="str">
        <f>SUBSTITUTE(Table1[[#This Row],[Fuel]],", ",",")</f>
        <v>bioenergy: agricultural waste (solids),bioenergy: wood &amp; other biomass (solids)</v>
      </c>
      <c r="D646" t="s">
        <v>46</v>
      </c>
      <c r="E646" t="s">
        <v>25</v>
      </c>
      <c r="G646">
        <v>19.600000000000001</v>
      </c>
      <c r="H646" t="s">
        <v>27</v>
      </c>
      <c r="I646">
        <v>2018</v>
      </c>
      <c r="J646" t="s">
        <v>21</v>
      </c>
      <c r="K646">
        <v>22.1328</v>
      </c>
      <c r="L646">
        <v>108.4312</v>
      </c>
      <c r="M646" t="s">
        <v>102</v>
      </c>
      <c r="N646" s="2">
        <f>Table1[[#This Row],[Capacity (MW)]]*8760*0.72*10^-6</f>
        <v>0.12362111999999999</v>
      </c>
      <c r="O646" s="2" cm="1">
        <f t="array" ref="O646">AVERAGE(VLOOKUP(_xlfn.TEXTSPLIT(Table1[[#This Row],[Fuel (no space after comma)]], ","), FuelList_Final_EF!$A$2:$B$32, 2, FALSE))</f>
        <v>105.985</v>
      </c>
      <c r="P646" s="2">
        <f>(16112*Table1[[#This Row],[Generation (TWh)]]*10^9)/10^6</f>
        <v>1991783.4854399997</v>
      </c>
      <c r="Q646" s="2">
        <f>Table1[[#This Row],[Emission Factor (kg CO2/ mmBtu)]]*Table1[[#This Row],[Fuel Consumption (mmBtu)]]*10^3</f>
        <v>211099172704.35837</v>
      </c>
      <c r="R646" s="2">
        <f>(Table1[[#This Row],[CO2 Emissions (g CO2)]])/(Table1[[#This Row],[Generation (TWh)]]*10^9)</f>
        <v>1707.63032</v>
      </c>
    </row>
    <row r="647" spans="1:18" hidden="1">
      <c r="A647" t="s">
        <v>493</v>
      </c>
      <c r="B647" t="s">
        <v>46</v>
      </c>
      <c r="C647" t="str">
        <f>SUBSTITUTE(Table1[[#This Row],[Fuel]],", ",",")</f>
        <v>bioenergy: agricultural waste (solids)</v>
      </c>
      <c r="D647" t="s">
        <v>46</v>
      </c>
      <c r="G647">
        <v>12</v>
      </c>
      <c r="H647" t="s">
        <v>27</v>
      </c>
      <c r="I647">
        <v>2021</v>
      </c>
      <c r="J647" t="s">
        <v>21</v>
      </c>
      <c r="K647">
        <v>23.375699999999998</v>
      </c>
      <c r="L647">
        <v>110.91930000000001</v>
      </c>
      <c r="M647" t="s">
        <v>102</v>
      </c>
      <c r="N647" s="2">
        <f>Table1[[#This Row],[Capacity (MW)]]*8760*0.72*10^-6</f>
        <v>7.5686399999999987E-2</v>
      </c>
      <c r="O647" s="2" cm="1">
        <f t="array" ref="O647">AVERAGE(VLOOKUP(_xlfn.TEXTSPLIT(Table1[[#This Row],[Fuel (no space after comma)]], ","), FuelList_Final_EF!$A$2:$B$32, 2, FALSE))</f>
        <v>118.17</v>
      </c>
      <c r="P647" s="2">
        <f>(16112*Table1[[#This Row],[Generation (TWh)]]*10^9)/10^6</f>
        <v>1219459.2767999996</v>
      </c>
      <c r="Q647" s="2">
        <f>Table1[[#This Row],[Emission Factor (kg CO2/ mmBtu)]]*Table1[[#This Row],[Fuel Consumption (mmBtu)]]*10^3</f>
        <v>144103502739.45596</v>
      </c>
      <c r="R647" s="2">
        <f>(Table1[[#This Row],[CO2 Emissions (g CO2)]])/(Table1[[#This Row],[Generation (TWh)]]*10^9)</f>
        <v>1903.9550399999998</v>
      </c>
    </row>
    <row r="648" spans="1:18" hidden="1">
      <c r="A648" t="s">
        <v>494</v>
      </c>
      <c r="B648" t="s">
        <v>46</v>
      </c>
      <c r="C648" t="str">
        <f>SUBSTITUTE(Table1[[#This Row],[Fuel]],", ",",")</f>
        <v>bioenergy: agricultural waste (solids)</v>
      </c>
      <c r="D648" t="s">
        <v>46</v>
      </c>
      <c r="G648">
        <v>18</v>
      </c>
      <c r="H648" t="s">
        <v>27</v>
      </c>
      <c r="I648">
        <v>2021</v>
      </c>
      <c r="J648" t="s">
        <v>21</v>
      </c>
      <c r="K648">
        <v>23.375699999999998</v>
      </c>
      <c r="L648">
        <v>110.91930000000001</v>
      </c>
      <c r="M648" t="s">
        <v>102</v>
      </c>
      <c r="N648" s="2">
        <f>Table1[[#This Row],[Capacity (MW)]]*8760*0.72*10^-6</f>
        <v>0.11352959999999998</v>
      </c>
      <c r="O648" s="2" cm="1">
        <f t="array" ref="O648">AVERAGE(VLOOKUP(_xlfn.TEXTSPLIT(Table1[[#This Row],[Fuel (no space after comma)]], ","), FuelList_Final_EF!$A$2:$B$32, 2, FALSE))</f>
        <v>118.17</v>
      </c>
      <c r="P648" s="2">
        <f>(16112*Table1[[#This Row],[Generation (TWh)]]*10^9)/10^6</f>
        <v>1829188.9151999997</v>
      </c>
      <c r="Q648" s="2">
        <f>Table1[[#This Row],[Emission Factor (kg CO2/ mmBtu)]]*Table1[[#This Row],[Fuel Consumption (mmBtu)]]*10^3</f>
        <v>216155254109.18396</v>
      </c>
      <c r="R648" s="2">
        <f>(Table1[[#This Row],[CO2 Emissions (g CO2)]])/(Table1[[#This Row],[Generation (TWh)]]*10^9)</f>
        <v>1903.9550399999998</v>
      </c>
    </row>
    <row r="649" spans="1:18" hidden="1">
      <c r="A649" t="s">
        <v>495</v>
      </c>
      <c r="B649" t="s">
        <v>496</v>
      </c>
      <c r="C649" t="str">
        <f>SUBSTITUTE(Table1[[#This Row],[Fuel]],", ",",")</f>
        <v>bioenergy: paper mill wastes,bioenergy: agricultural waste (solids),bioenergy: wastewater and sewage sludge (solids or biogas)</v>
      </c>
      <c r="D649" t="s">
        <v>61</v>
      </c>
      <c r="E649" t="s">
        <v>46</v>
      </c>
      <c r="F649" t="s">
        <v>42</v>
      </c>
      <c r="G649">
        <v>10</v>
      </c>
      <c r="H649" t="s">
        <v>53</v>
      </c>
      <c r="I649">
        <v>2024</v>
      </c>
      <c r="J649" t="s">
        <v>21</v>
      </c>
      <c r="K649">
        <v>23.2941</v>
      </c>
      <c r="L649">
        <v>110.94240000000001</v>
      </c>
      <c r="M649" t="s">
        <v>102</v>
      </c>
      <c r="N649" s="2">
        <f>Table1[[#This Row],[Capacity (MW)]]*8760*0.72*10^-6</f>
        <v>6.3072000000000003E-2</v>
      </c>
      <c r="O649" s="2" cm="1">
        <f t="array" ref="O649">AVERAGE(VLOOKUP(_xlfn.TEXTSPLIT(Table1[[#This Row],[Fuel (no space after comma)]], ","), FuelList_Final_EF!$A$2:$B$32, 2, FALSE))</f>
        <v>92.069669653839398</v>
      </c>
      <c r="P649" s="2">
        <f>(16112*Table1[[#This Row],[Generation (TWh)]]*10^9)/10^6</f>
        <v>1016216.0640000001</v>
      </c>
      <c r="Q649" s="2">
        <f>Table1[[#This Row],[Emission Factor (kg CO2/ mmBtu)]]*Table1[[#This Row],[Fuel Consumption (mmBtu)]]*10^3</f>
        <v>93562677309.404922</v>
      </c>
      <c r="R649" s="2">
        <f>(Table1[[#This Row],[CO2 Emissions (g CO2)]])/(Table1[[#This Row],[Generation (TWh)]]*10^9)</f>
        <v>1483.4265174626605</v>
      </c>
    </row>
    <row r="650" spans="1:18" hidden="1">
      <c r="A650" t="s">
        <v>497</v>
      </c>
      <c r="B650" t="s">
        <v>496</v>
      </c>
      <c r="C650" t="str">
        <f>SUBSTITUTE(Table1[[#This Row],[Fuel]],", ",",")</f>
        <v>bioenergy: paper mill wastes,bioenergy: agricultural waste (solids),bioenergy: wastewater and sewage sludge (solids or biogas)</v>
      </c>
      <c r="D650" t="s">
        <v>61</v>
      </c>
      <c r="E650" t="s">
        <v>46</v>
      </c>
      <c r="F650" t="s">
        <v>42</v>
      </c>
      <c r="G650">
        <v>40</v>
      </c>
      <c r="H650" t="s">
        <v>53</v>
      </c>
      <c r="I650">
        <v>2024</v>
      </c>
      <c r="J650" t="s">
        <v>21</v>
      </c>
      <c r="K650">
        <v>23.2941</v>
      </c>
      <c r="L650">
        <v>110.94240000000001</v>
      </c>
      <c r="M650" t="s">
        <v>102</v>
      </c>
      <c r="N650" s="2">
        <f>Table1[[#This Row],[Capacity (MW)]]*8760*0.72*10^-6</f>
        <v>0.25228800000000001</v>
      </c>
      <c r="O650" s="2" cm="1">
        <f t="array" ref="O650">AVERAGE(VLOOKUP(_xlfn.TEXTSPLIT(Table1[[#This Row],[Fuel (no space after comma)]], ","), FuelList_Final_EF!$A$2:$B$32, 2, FALSE))</f>
        <v>92.069669653839398</v>
      </c>
      <c r="P650" s="2">
        <f>(16112*Table1[[#This Row],[Generation (TWh)]]*10^9)/10^6</f>
        <v>4064864.2560000005</v>
      </c>
      <c r="Q650" s="2">
        <f>Table1[[#This Row],[Emission Factor (kg CO2/ mmBtu)]]*Table1[[#This Row],[Fuel Consumption (mmBtu)]]*10^3</f>
        <v>374250709237.61969</v>
      </c>
      <c r="R650" s="2">
        <f>(Table1[[#This Row],[CO2 Emissions (g CO2)]])/(Table1[[#This Row],[Generation (TWh)]]*10^9)</f>
        <v>1483.4265174626605</v>
      </c>
    </row>
    <row r="651" spans="1:18">
      <c r="A651" t="s">
        <v>495</v>
      </c>
      <c r="B651" t="s">
        <v>496</v>
      </c>
      <c r="C651" t="str">
        <f>SUBSTITUTE(Table1[[#This Row],[Fuel]],", ",",")</f>
        <v>bioenergy: paper mill wastes,bioenergy: agricultural waste (solids),bioenergy: wastewater and sewage sludge (solids or biogas)</v>
      </c>
      <c r="D651" t="s">
        <v>61</v>
      </c>
      <c r="E651" t="s">
        <v>46</v>
      </c>
      <c r="F651" t="s">
        <v>42</v>
      </c>
      <c r="G651">
        <v>10</v>
      </c>
      <c r="H651" t="s">
        <v>97</v>
      </c>
      <c r="I651" t="s">
        <v>21</v>
      </c>
      <c r="J651" t="s">
        <v>21</v>
      </c>
      <c r="K651">
        <v>23.2941</v>
      </c>
      <c r="L651">
        <v>110.94240000000001</v>
      </c>
      <c r="M651" t="s">
        <v>102</v>
      </c>
      <c r="N651" s="2">
        <f>Table1[[#This Row],[Capacity (MW)]]*8760*0.72*10^-6</f>
        <v>6.3072000000000003E-2</v>
      </c>
      <c r="O651" s="2" cm="1">
        <f t="array" ref="O651">AVERAGE(VLOOKUP(_xlfn.TEXTSPLIT(Table1[[#This Row],[Fuel (no space after comma)]], ","), FuelList_Final_EF!$A$2:$B$32, 2, FALSE))</f>
        <v>92.069669653839398</v>
      </c>
      <c r="P651" s="2">
        <f>(16112*Table1[[#This Row],[Generation (TWh)]]*10^9)/10^6</f>
        <v>1016216.0640000001</v>
      </c>
      <c r="Q651" s="2">
        <f>Table1[[#This Row],[Emission Factor (kg CO2/ mmBtu)]]*Table1[[#This Row],[Fuel Consumption (mmBtu)]]*10^3</f>
        <v>93562677309.404922</v>
      </c>
      <c r="R651" s="2">
        <f>(Table1[[#This Row],[CO2 Emissions (g CO2)]])/(Table1[[#This Row],[Generation (TWh)]]*10^9)</f>
        <v>1483.4265174626605</v>
      </c>
    </row>
    <row r="652" spans="1:18">
      <c r="A652" t="s">
        <v>497</v>
      </c>
      <c r="B652" t="s">
        <v>496</v>
      </c>
      <c r="C652" t="str">
        <f>SUBSTITUTE(Table1[[#This Row],[Fuel]],", ",",")</f>
        <v>bioenergy: paper mill wastes,bioenergy: agricultural waste (solids),bioenergy: wastewater and sewage sludge (solids or biogas)</v>
      </c>
      <c r="D652" t="s">
        <v>61</v>
      </c>
      <c r="E652" t="s">
        <v>46</v>
      </c>
      <c r="F652" t="s">
        <v>42</v>
      </c>
      <c r="G652">
        <v>40</v>
      </c>
      <c r="H652" t="s">
        <v>97</v>
      </c>
      <c r="I652" t="s">
        <v>21</v>
      </c>
      <c r="J652" t="s">
        <v>21</v>
      </c>
      <c r="K652">
        <v>23.2941</v>
      </c>
      <c r="L652">
        <v>110.94240000000001</v>
      </c>
      <c r="M652" t="s">
        <v>102</v>
      </c>
      <c r="N652" s="2">
        <f>Table1[[#This Row],[Capacity (MW)]]*8760*0.72*10^-6</f>
        <v>0.25228800000000001</v>
      </c>
      <c r="O652" s="2" cm="1">
        <f t="array" ref="O652">AVERAGE(VLOOKUP(_xlfn.TEXTSPLIT(Table1[[#This Row],[Fuel (no space after comma)]], ","), FuelList_Final_EF!$A$2:$B$32, 2, FALSE))</f>
        <v>92.069669653839398</v>
      </c>
      <c r="P652" s="2">
        <f>(16112*Table1[[#This Row],[Generation (TWh)]]*10^9)/10^6</f>
        <v>4064864.2560000005</v>
      </c>
      <c r="Q652" s="2">
        <f>Table1[[#This Row],[Emission Factor (kg CO2/ mmBtu)]]*Table1[[#This Row],[Fuel Consumption (mmBtu)]]*10^3</f>
        <v>374250709237.61969</v>
      </c>
      <c r="R652" s="2">
        <f>(Table1[[#This Row],[CO2 Emissions (g CO2)]])/(Table1[[#This Row],[Generation (TWh)]]*10^9)</f>
        <v>1483.4265174626605</v>
      </c>
    </row>
    <row r="653" spans="1:18" hidden="1">
      <c r="A653" t="s">
        <v>497</v>
      </c>
      <c r="B653" t="s">
        <v>61</v>
      </c>
      <c r="C653" t="str">
        <f>SUBSTITUTE(Table1[[#This Row],[Fuel]],", ",",")</f>
        <v>bioenergy: paper mill wastes</v>
      </c>
      <c r="D653" t="s">
        <v>61</v>
      </c>
      <c r="G653">
        <v>64</v>
      </c>
      <c r="H653" t="s">
        <v>53</v>
      </c>
      <c r="I653">
        <v>2024</v>
      </c>
      <c r="J653" t="s">
        <v>21</v>
      </c>
      <c r="K653">
        <v>23.2941</v>
      </c>
      <c r="L653">
        <v>110.94240000000001</v>
      </c>
      <c r="M653" t="s">
        <v>102</v>
      </c>
      <c r="N653" s="2">
        <f>Table1[[#This Row],[Capacity (MW)]]*8760*0.72*10^-6</f>
        <v>0.40366079999999999</v>
      </c>
      <c r="O653" s="2" cm="1">
        <f t="array" ref="O653">AVERAGE(VLOOKUP(_xlfn.TEXTSPLIT(Table1[[#This Row],[Fuel (no space after comma)]], ","), FuelList_Final_EF!$A$2:$B$32, 2, FALSE))</f>
        <v>100.47443331576173</v>
      </c>
      <c r="P653" s="2">
        <f>(16112*Table1[[#This Row],[Generation (TWh)]]*10^9)/10^6</f>
        <v>6503782.8095999993</v>
      </c>
      <c r="Q653" s="2">
        <f>Table1[[#This Row],[Emission Factor (kg CO2/ mmBtu)]]*Table1[[#This Row],[Fuel Consumption (mmBtu)]]*10^3</f>
        <v>653463892203.35254</v>
      </c>
      <c r="R653" s="2">
        <f>(Table1[[#This Row],[CO2 Emissions (g CO2)]])/(Table1[[#This Row],[Generation (TWh)]]*10^9)</f>
        <v>1618.8440695835527</v>
      </c>
    </row>
    <row r="654" spans="1:18" hidden="1">
      <c r="A654" t="s">
        <v>495</v>
      </c>
      <c r="B654" t="s">
        <v>61</v>
      </c>
      <c r="C654" t="str">
        <f>SUBSTITUTE(Table1[[#This Row],[Fuel]],", ",",")</f>
        <v>bioenergy: paper mill wastes</v>
      </c>
      <c r="D654" t="s">
        <v>61</v>
      </c>
      <c r="G654">
        <v>16</v>
      </c>
      <c r="H654" t="s">
        <v>53</v>
      </c>
      <c r="I654">
        <v>2024</v>
      </c>
      <c r="J654" t="s">
        <v>21</v>
      </c>
      <c r="K654">
        <v>23.2941</v>
      </c>
      <c r="L654">
        <v>110.94240000000001</v>
      </c>
      <c r="M654" t="s">
        <v>102</v>
      </c>
      <c r="N654" s="2">
        <f>Table1[[#This Row],[Capacity (MW)]]*8760*0.72*10^-6</f>
        <v>0.1009152</v>
      </c>
      <c r="O654" s="2" cm="1">
        <f t="array" ref="O654">AVERAGE(VLOOKUP(_xlfn.TEXTSPLIT(Table1[[#This Row],[Fuel (no space after comma)]], ","), FuelList_Final_EF!$A$2:$B$32, 2, FALSE))</f>
        <v>100.47443331576173</v>
      </c>
      <c r="P654" s="2">
        <f>(16112*Table1[[#This Row],[Generation (TWh)]]*10^9)/10^6</f>
        <v>1625945.7023999998</v>
      </c>
      <c r="Q654" s="2">
        <f>Table1[[#This Row],[Emission Factor (kg CO2/ mmBtu)]]*Table1[[#This Row],[Fuel Consumption (mmBtu)]]*10^3</f>
        <v>163365973050.83813</v>
      </c>
      <c r="R654" s="2">
        <f>(Table1[[#This Row],[CO2 Emissions (g CO2)]])/(Table1[[#This Row],[Generation (TWh)]]*10^9)</f>
        <v>1618.8440695835527</v>
      </c>
    </row>
    <row r="655" spans="1:18">
      <c r="A655" t="s">
        <v>495</v>
      </c>
      <c r="B655" t="s">
        <v>61</v>
      </c>
      <c r="C655" t="str">
        <f>SUBSTITUTE(Table1[[#This Row],[Fuel]],", ",",")</f>
        <v>bioenergy: paper mill wastes</v>
      </c>
      <c r="D655" t="s">
        <v>61</v>
      </c>
      <c r="G655">
        <v>16</v>
      </c>
      <c r="H655" t="s">
        <v>97</v>
      </c>
      <c r="I655" t="s">
        <v>21</v>
      </c>
      <c r="J655" t="s">
        <v>21</v>
      </c>
      <c r="K655">
        <v>23.2941</v>
      </c>
      <c r="L655">
        <v>110.94240000000001</v>
      </c>
      <c r="M655" t="s">
        <v>102</v>
      </c>
      <c r="N655" s="2">
        <f>Table1[[#This Row],[Capacity (MW)]]*8760*0.72*10^-6</f>
        <v>0.1009152</v>
      </c>
      <c r="O655" s="2" cm="1">
        <f t="array" ref="O655">AVERAGE(VLOOKUP(_xlfn.TEXTSPLIT(Table1[[#This Row],[Fuel (no space after comma)]], ","), FuelList_Final_EF!$A$2:$B$32, 2, FALSE))</f>
        <v>100.47443331576173</v>
      </c>
      <c r="P655" s="2">
        <f>(16112*Table1[[#This Row],[Generation (TWh)]]*10^9)/10^6</f>
        <v>1625945.7023999998</v>
      </c>
      <c r="Q655" s="2">
        <f>Table1[[#This Row],[Emission Factor (kg CO2/ mmBtu)]]*Table1[[#This Row],[Fuel Consumption (mmBtu)]]*10^3</f>
        <v>163365973050.83813</v>
      </c>
      <c r="R655" s="2">
        <f>(Table1[[#This Row],[CO2 Emissions (g CO2)]])/(Table1[[#This Row],[Generation (TWh)]]*10^9)</f>
        <v>1618.8440695835527</v>
      </c>
    </row>
    <row r="656" spans="1:18">
      <c r="A656" t="s">
        <v>497</v>
      </c>
      <c r="B656" t="s">
        <v>61</v>
      </c>
      <c r="C656" t="str">
        <f>SUBSTITUTE(Table1[[#This Row],[Fuel]],", ",",")</f>
        <v>bioenergy: paper mill wastes</v>
      </c>
      <c r="D656" t="s">
        <v>61</v>
      </c>
      <c r="G656">
        <v>64</v>
      </c>
      <c r="H656" t="s">
        <v>97</v>
      </c>
      <c r="I656" t="s">
        <v>21</v>
      </c>
      <c r="J656" t="s">
        <v>21</v>
      </c>
      <c r="K656">
        <v>23.2941</v>
      </c>
      <c r="L656">
        <v>110.94240000000001</v>
      </c>
      <c r="M656" t="s">
        <v>102</v>
      </c>
      <c r="N656" s="2">
        <f>Table1[[#This Row],[Capacity (MW)]]*8760*0.72*10^-6</f>
        <v>0.40366079999999999</v>
      </c>
      <c r="O656" s="2" cm="1">
        <f t="array" ref="O656">AVERAGE(VLOOKUP(_xlfn.TEXTSPLIT(Table1[[#This Row],[Fuel (no space after comma)]], ","), FuelList_Final_EF!$A$2:$B$32, 2, FALSE))</f>
        <v>100.47443331576173</v>
      </c>
      <c r="P656" s="2">
        <f>(16112*Table1[[#This Row],[Generation (TWh)]]*10^9)/10^6</f>
        <v>6503782.8095999993</v>
      </c>
      <c r="Q656" s="2">
        <f>Table1[[#This Row],[Emission Factor (kg CO2/ mmBtu)]]*Table1[[#This Row],[Fuel Consumption (mmBtu)]]*10^3</f>
        <v>653463892203.35254</v>
      </c>
      <c r="R656" s="2">
        <f>(Table1[[#This Row],[CO2 Emissions (g CO2)]])/(Table1[[#This Row],[Generation (TWh)]]*10^9)</f>
        <v>1618.8440695835527</v>
      </c>
    </row>
    <row r="657" spans="1:18" hidden="1">
      <c r="A657" t="s">
        <v>498</v>
      </c>
      <c r="B657" t="s">
        <v>19</v>
      </c>
      <c r="C657" t="str">
        <f>SUBSTITUTE(Table1[[#This Row],[Fuel]],", ",",")</f>
        <v>bioenergy: refuse (municipal and industrial wastes)</v>
      </c>
      <c r="D657" t="s">
        <v>19</v>
      </c>
      <c r="G657">
        <v>3</v>
      </c>
      <c r="H657" t="s">
        <v>27</v>
      </c>
      <c r="I657">
        <v>2020</v>
      </c>
      <c r="J657" t="s">
        <v>21</v>
      </c>
      <c r="K657">
        <v>23.277911</v>
      </c>
      <c r="L657">
        <v>111.21489</v>
      </c>
      <c r="M657" t="s">
        <v>102</v>
      </c>
      <c r="N657" s="2">
        <f>Table1[[#This Row],[Capacity (MW)]]*8760*0.72*10^-6</f>
        <v>1.8921599999999997E-2</v>
      </c>
      <c r="O657" s="2" cm="1">
        <f t="array" ref="O657">AVERAGE(VLOOKUP(_xlfn.TEXTSPLIT(Table1[[#This Row],[Fuel (no space after comma)]], ","), FuelList_Final_EF!$A$2:$B$32, 2, FALSE))</f>
        <v>105.42962572482868</v>
      </c>
      <c r="P657" s="2">
        <f>(16112*Table1[[#This Row],[Generation (TWh)]]*10^9)/10^6</f>
        <v>304864.81919999991</v>
      </c>
      <c r="Q657" s="2">
        <f>Table1[[#This Row],[Emission Factor (kg CO2/ mmBtu)]]*Table1[[#This Row],[Fuel Consumption (mmBtu)]]*10^3</f>
        <v>32141783784.923557</v>
      </c>
      <c r="R657" s="2">
        <f>(Table1[[#This Row],[CO2 Emissions (g CO2)]])/(Table1[[#This Row],[Generation (TWh)]]*10^9)</f>
        <v>1698.6821296784397</v>
      </c>
    </row>
    <row r="658" spans="1:18" hidden="1">
      <c r="A658" t="s">
        <v>482</v>
      </c>
      <c r="B658" t="s">
        <v>19</v>
      </c>
      <c r="C658" t="str">
        <f>SUBSTITUTE(Table1[[#This Row],[Fuel]],", ",",")</f>
        <v>bioenergy: refuse (municipal and industrial wastes)</v>
      </c>
      <c r="D658" t="s">
        <v>19</v>
      </c>
      <c r="G658">
        <v>27</v>
      </c>
      <c r="H658" t="s">
        <v>27</v>
      </c>
      <c r="I658">
        <v>2020</v>
      </c>
      <c r="J658" t="s">
        <v>21</v>
      </c>
      <c r="K658">
        <v>23.277911</v>
      </c>
      <c r="L658">
        <v>111.21489</v>
      </c>
      <c r="M658" t="s">
        <v>102</v>
      </c>
      <c r="N658" s="2">
        <f>Table1[[#This Row],[Capacity (MW)]]*8760*0.72*10^-6</f>
        <v>0.17029439999999998</v>
      </c>
      <c r="O658" s="2" cm="1">
        <f t="array" ref="O658">AVERAGE(VLOOKUP(_xlfn.TEXTSPLIT(Table1[[#This Row],[Fuel (no space after comma)]], ","), FuelList_Final_EF!$A$2:$B$32, 2, FALSE))</f>
        <v>105.42962572482868</v>
      </c>
      <c r="P658" s="2">
        <f>(16112*Table1[[#This Row],[Generation (TWh)]]*10^9)/10^6</f>
        <v>2743783.3727999995</v>
      </c>
      <c r="Q658" s="2">
        <f>Table1[[#This Row],[Emission Factor (kg CO2/ mmBtu)]]*Table1[[#This Row],[Fuel Consumption (mmBtu)]]*10^3</f>
        <v>289276054064.31201</v>
      </c>
      <c r="R658" s="2">
        <f>(Table1[[#This Row],[CO2 Emissions (g CO2)]])/(Table1[[#This Row],[Generation (TWh)]]*10^9)</f>
        <v>1698.6821296784397</v>
      </c>
    </row>
    <row r="659" spans="1:18">
      <c r="A659" t="s">
        <v>21</v>
      </c>
      <c r="B659" t="s">
        <v>19</v>
      </c>
      <c r="C659" t="str">
        <f>SUBSTITUTE(Table1[[#This Row],[Fuel]],", ",",")</f>
        <v>bioenergy: refuse (municipal and industrial wastes)</v>
      </c>
      <c r="D659" t="s">
        <v>19</v>
      </c>
      <c r="G659">
        <v>30</v>
      </c>
      <c r="H659" t="s">
        <v>97</v>
      </c>
      <c r="I659" t="s">
        <v>21</v>
      </c>
      <c r="J659" t="s">
        <v>21</v>
      </c>
      <c r="K659">
        <v>23.277911</v>
      </c>
      <c r="L659">
        <v>111.21489</v>
      </c>
      <c r="M659" t="s">
        <v>102</v>
      </c>
      <c r="N659" s="2">
        <f>Table1[[#This Row],[Capacity (MW)]]*8760*0.72*10^-6</f>
        <v>0.189216</v>
      </c>
      <c r="O659" s="2" cm="1">
        <f t="array" ref="O659">AVERAGE(VLOOKUP(_xlfn.TEXTSPLIT(Table1[[#This Row],[Fuel (no space after comma)]], ","), FuelList_Final_EF!$A$2:$B$32, 2, FALSE))</f>
        <v>105.42962572482868</v>
      </c>
      <c r="P659" s="2">
        <f>(16112*Table1[[#This Row],[Generation (TWh)]]*10^9)/10^6</f>
        <v>3048648.1919999998</v>
      </c>
      <c r="Q659" s="2">
        <f>Table1[[#This Row],[Emission Factor (kg CO2/ mmBtu)]]*Table1[[#This Row],[Fuel Consumption (mmBtu)]]*10^3</f>
        <v>321417837849.23566</v>
      </c>
      <c r="R659" s="2">
        <f>(Table1[[#This Row],[CO2 Emissions (g CO2)]])/(Table1[[#This Row],[Generation (TWh)]]*10^9)</f>
        <v>1698.6821296784397</v>
      </c>
    </row>
    <row r="660" spans="1:18">
      <c r="A660" t="s">
        <v>21</v>
      </c>
      <c r="B660" t="s">
        <v>19</v>
      </c>
      <c r="C660" t="str">
        <f>SUBSTITUTE(Table1[[#This Row],[Fuel]],", ",",")</f>
        <v>bioenergy: refuse (municipal and industrial wastes)</v>
      </c>
      <c r="D660" t="s">
        <v>19</v>
      </c>
      <c r="G660">
        <v>30</v>
      </c>
      <c r="H660" t="s">
        <v>97</v>
      </c>
      <c r="I660" t="s">
        <v>21</v>
      </c>
      <c r="J660" t="s">
        <v>21</v>
      </c>
      <c r="K660">
        <v>23.277911</v>
      </c>
      <c r="L660">
        <v>111.21489</v>
      </c>
      <c r="M660" t="s">
        <v>102</v>
      </c>
      <c r="N660" s="2">
        <f>Table1[[#This Row],[Capacity (MW)]]*8760*0.72*10^-6</f>
        <v>0.189216</v>
      </c>
      <c r="O660" s="2" cm="1">
        <f t="array" ref="O660">AVERAGE(VLOOKUP(_xlfn.TEXTSPLIT(Table1[[#This Row],[Fuel (no space after comma)]], ","), FuelList_Final_EF!$A$2:$B$32, 2, FALSE))</f>
        <v>105.42962572482868</v>
      </c>
      <c r="P660" s="2">
        <f>(16112*Table1[[#This Row],[Generation (TWh)]]*10^9)/10^6</f>
        <v>3048648.1919999998</v>
      </c>
      <c r="Q660" s="2">
        <f>Table1[[#This Row],[Emission Factor (kg CO2/ mmBtu)]]*Table1[[#This Row],[Fuel Consumption (mmBtu)]]*10^3</f>
        <v>321417837849.23566</v>
      </c>
      <c r="R660" s="2">
        <f>(Table1[[#This Row],[CO2 Emissions (g CO2)]])/(Table1[[#This Row],[Generation (TWh)]]*10^9)</f>
        <v>1698.6821296784397</v>
      </c>
    </row>
    <row r="661" spans="1:18">
      <c r="A661" t="s">
        <v>499</v>
      </c>
      <c r="B661" t="s">
        <v>105</v>
      </c>
      <c r="C661" t="str">
        <f>SUBSTITUTE(Table1[[#This Row],[Fuel]],", ",",")</f>
        <v>bioenergy: agricultural waste (solids),bioenergy: wood &amp; other biomass (solids)</v>
      </c>
      <c r="D661" t="s">
        <v>46</v>
      </c>
      <c r="E661" t="s">
        <v>25</v>
      </c>
      <c r="G661">
        <v>30</v>
      </c>
      <c r="H661" t="s">
        <v>172</v>
      </c>
      <c r="I661" t="s">
        <v>21</v>
      </c>
      <c r="J661" t="s">
        <v>21</v>
      </c>
      <c r="K661">
        <v>25.659800000000001</v>
      </c>
      <c r="L661">
        <v>110.6918</v>
      </c>
      <c r="M661" t="s">
        <v>102</v>
      </c>
      <c r="N661" s="2">
        <f>Table1[[#This Row],[Capacity (MW)]]*8760*0.72*10^-6</f>
        <v>0.189216</v>
      </c>
      <c r="O661" s="2" cm="1">
        <f t="array" ref="O661">AVERAGE(VLOOKUP(_xlfn.TEXTSPLIT(Table1[[#This Row],[Fuel (no space after comma)]], ","), FuelList_Final_EF!$A$2:$B$32, 2, FALSE))</f>
        <v>105.985</v>
      </c>
      <c r="P661" s="2">
        <f>(16112*Table1[[#This Row],[Generation (TWh)]]*10^9)/10^6</f>
        <v>3048648.1919999998</v>
      </c>
      <c r="Q661" s="2">
        <f>Table1[[#This Row],[Emission Factor (kg CO2/ mmBtu)]]*Table1[[#This Row],[Fuel Consumption (mmBtu)]]*10^3</f>
        <v>323110978629.12</v>
      </c>
      <c r="R661" s="2">
        <f>(Table1[[#This Row],[CO2 Emissions (g CO2)]])/(Table1[[#This Row],[Generation (TWh)]]*10^9)</f>
        <v>1707.63032</v>
      </c>
    </row>
    <row r="662" spans="1:18" hidden="1">
      <c r="A662" t="s">
        <v>127</v>
      </c>
      <c r="B662" t="s">
        <v>19</v>
      </c>
      <c r="C662" t="str">
        <f>SUBSTITUTE(Table1[[#This Row],[Fuel]],", ",",")</f>
        <v>bioenergy: refuse (municipal and industrial wastes)</v>
      </c>
      <c r="D662" t="s">
        <v>19</v>
      </c>
      <c r="G662">
        <v>30</v>
      </c>
      <c r="H662" t="s">
        <v>27</v>
      </c>
      <c r="I662">
        <v>2021</v>
      </c>
      <c r="J662" t="s">
        <v>21</v>
      </c>
      <c r="K662">
        <v>24.765999999999998</v>
      </c>
      <c r="L662">
        <v>110.614</v>
      </c>
      <c r="M662" t="s">
        <v>102</v>
      </c>
      <c r="N662" s="2">
        <f>Table1[[#This Row],[Capacity (MW)]]*8760*0.72*10^-6</f>
        <v>0.189216</v>
      </c>
      <c r="O662" s="2" cm="1">
        <f t="array" ref="O662">AVERAGE(VLOOKUP(_xlfn.TEXTSPLIT(Table1[[#This Row],[Fuel (no space after comma)]], ","), FuelList_Final_EF!$A$2:$B$32, 2, FALSE))</f>
        <v>105.42962572482868</v>
      </c>
      <c r="P662" s="2">
        <f>(16112*Table1[[#This Row],[Generation (TWh)]]*10^9)/10^6</f>
        <v>3048648.1919999998</v>
      </c>
      <c r="Q662" s="2">
        <f>Table1[[#This Row],[Emission Factor (kg CO2/ mmBtu)]]*Table1[[#This Row],[Fuel Consumption (mmBtu)]]*10^3</f>
        <v>321417837849.23566</v>
      </c>
      <c r="R662" s="2">
        <f>(Table1[[#This Row],[CO2 Emissions (g CO2)]])/(Table1[[#This Row],[Generation (TWh)]]*10^9)</f>
        <v>1698.6821296784397</v>
      </c>
    </row>
    <row r="663" spans="1:18" hidden="1">
      <c r="A663" t="s">
        <v>500</v>
      </c>
      <c r="B663" t="s">
        <v>25</v>
      </c>
      <c r="C663" t="str">
        <f>SUBSTITUTE(Table1[[#This Row],[Fuel]],", ",",")</f>
        <v>bioenergy: wood &amp; other biomass (solids)</v>
      </c>
      <c r="D663" t="s">
        <v>25</v>
      </c>
      <c r="G663">
        <v>24</v>
      </c>
      <c r="H663" t="s">
        <v>27</v>
      </c>
      <c r="I663">
        <v>2018</v>
      </c>
      <c r="J663" t="s">
        <v>21</v>
      </c>
      <c r="K663">
        <v>24.525300000000001</v>
      </c>
      <c r="L663">
        <v>108.5624</v>
      </c>
      <c r="M663" t="s">
        <v>102</v>
      </c>
      <c r="N663" s="2">
        <f>Table1[[#This Row],[Capacity (MW)]]*8760*0.72*10^-6</f>
        <v>0.15137279999999997</v>
      </c>
      <c r="O663" s="2" cm="1">
        <f t="array" ref="O663">AVERAGE(VLOOKUP(_xlfn.TEXTSPLIT(Table1[[#This Row],[Fuel (no space after comma)]], ","), FuelList_Final_EF!$A$2:$B$32, 2, FALSE))</f>
        <v>93.8</v>
      </c>
      <c r="P663" s="2">
        <f>(16112*Table1[[#This Row],[Generation (TWh)]]*10^9)/10^6</f>
        <v>2438918.5535999993</v>
      </c>
      <c r="Q663" s="2">
        <f>Table1[[#This Row],[Emission Factor (kg CO2/ mmBtu)]]*Table1[[#This Row],[Fuel Consumption (mmBtu)]]*10^3</f>
        <v>228770560327.67993</v>
      </c>
      <c r="R663" s="2">
        <f>(Table1[[#This Row],[CO2 Emissions (g CO2)]])/(Table1[[#This Row],[Generation (TWh)]]*10^9)</f>
        <v>1511.3055999999999</v>
      </c>
    </row>
    <row r="664" spans="1:18" hidden="1">
      <c r="A664" t="s">
        <v>501</v>
      </c>
      <c r="B664" t="s">
        <v>25</v>
      </c>
      <c r="C664" t="str">
        <f>SUBSTITUTE(Table1[[#This Row],[Fuel]],", ",",")</f>
        <v>bioenergy: wood &amp; other biomass (solids)</v>
      </c>
      <c r="D664" t="s">
        <v>25</v>
      </c>
      <c r="G664">
        <v>16</v>
      </c>
      <c r="H664" t="s">
        <v>27</v>
      </c>
      <c r="I664">
        <v>2018</v>
      </c>
      <c r="J664" t="s">
        <v>21</v>
      </c>
      <c r="K664">
        <v>24.525300000000001</v>
      </c>
      <c r="L664">
        <v>108.5624</v>
      </c>
      <c r="M664" t="s">
        <v>102</v>
      </c>
      <c r="N664" s="2">
        <f>Table1[[#This Row],[Capacity (MW)]]*8760*0.72*10^-6</f>
        <v>0.1009152</v>
      </c>
      <c r="O664" s="2" cm="1">
        <f t="array" ref="O664">AVERAGE(VLOOKUP(_xlfn.TEXTSPLIT(Table1[[#This Row],[Fuel (no space after comma)]], ","), FuelList_Final_EF!$A$2:$B$32, 2, FALSE))</f>
        <v>93.8</v>
      </c>
      <c r="P664" s="2">
        <f>(16112*Table1[[#This Row],[Generation (TWh)]]*10^9)/10^6</f>
        <v>1625945.7023999998</v>
      </c>
      <c r="Q664" s="2">
        <f>Table1[[#This Row],[Emission Factor (kg CO2/ mmBtu)]]*Table1[[#This Row],[Fuel Consumption (mmBtu)]]*10^3</f>
        <v>152513706885.11996</v>
      </c>
      <c r="R664" s="2">
        <f>(Table1[[#This Row],[CO2 Emissions (g CO2)]])/(Table1[[#This Row],[Generation (TWh)]]*10^9)</f>
        <v>1511.3055999999997</v>
      </c>
    </row>
    <row r="665" spans="1:18" hidden="1">
      <c r="A665" t="s">
        <v>502</v>
      </c>
      <c r="B665" t="s">
        <v>46</v>
      </c>
      <c r="C665" t="str">
        <f>SUBSTITUTE(Table1[[#This Row],[Fuel]],", ",",")</f>
        <v>bioenergy: agricultural waste (solids)</v>
      </c>
      <c r="D665" t="s">
        <v>46</v>
      </c>
      <c r="G665">
        <v>38</v>
      </c>
      <c r="H665" t="s">
        <v>27</v>
      </c>
      <c r="I665">
        <v>2014</v>
      </c>
      <c r="J665" t="s">
        <v>21</v>
      </c>
      <c r="K665">
        <v>-20.4862</v>
      </c>
      <c r="L665">
        <v>-49.539000000000001</v>
      </c>
      <c r="M665" t="s">
        <v>49</v>
      </c>
      <c r="N665" s="2">
        <f>Table1[[#This Row],[Capacity (MW)]]*8760*0.72*10^-6</f>
        <v>0.23967359999999996</v>
      </c>
      <c r="O665" s="2" cm="1">
        <f t="array" ref="O665">AVERAGE(VLOOKUP(_xlfn.TEXTSPLIT(Table1[[#This Row],[Fuel (no space after comma)]], ","), FuelList_Final_EF!$A$2:$B$32, 2, FALSE))</f>
        <v>118.17</v>
      </c>
      <c r="P665" s="2">
        <f>(16112*Table1[[#This Row],[Generation (TWh)]]*10^9)/10^6</f>
        <v>3861621.0431999997</v>
      </c>
      <c r="Q665" s="2">
        <f>Table1[[#This Row],[Emission Factor (kg CO2/ mmBtu)]]*Table1[[#This Row],[Fuel Consumption (mmBtu)]]*10^3</f>
        <v>456327758674.94397</v>
      </c>
      <c r="R665" s="2">
        <f>(Table1[[#This Row],[CO2 Emissions (g CO2)]])/(Table1[[#This Row],[Generation (TWh)]]*10^9)</f>
        <v>1903.9550400000001</v>
      </c>
    </row>
    <row r="666" spans="1:18" hidden="1">
      <c r="A666" t="s">
        <v>502</v>
      </c>
      <c r="B666" t="s">
        <v>46</v>
      </c>
      <c r="C666" t="str">
        <f>SUBSTITUTE(Table1[[#This Row],[Fuel]],", ",",")</f>
        <v>bioenergy: agricultural waste (solids)</v>
      </c>
      <c r="D666" t="s">
        <v>46</v>
      </c>
      <c r="G666">
        <v>65</v>
      </c>
      <c r="H666" t="s">
        <v>27</v>
      </c>
      <c r="I666">
        <v>1982</v>
      </c>
      <c r="J666" t="s">
        <v>21</v>
      </c>
      <c r="K666">
        <v>-20.688400000000001</v>
      </c>
      <c r="L666">
        <v>-49.111199999999997</v>
      </c>
      <c r="M666" t="s">
        <v>49</v>
      </c>
      <c r="N666" s="2">
        <f>Table1[[#This Row],[Capacity (MW)]]*8760*0.72*10^-6</f>
        <v>0.409968</v>
      </c>
      <c r="O666" s="2" cm="1">
        <f t="array" ref="O666">AVERAGE(VLOOKUP(_xlfn.TEXTSPLIT(Table1[[#This Row],[Fuel (no space after comma)]], ","), FuelList_Final_EF!$A$2:$B$32, 2, FALSE))</f>
        <v>118.17</v>
      </c>
      <c r="P666" s="2">
        <f>(16112*Table1[[#This Row],[Generation (TWh)]]*10^9)/10^6</f>
        <v>6605404.4160000002</v>
      </c>
      <c r="Q666" s="2">
        <f>Table1[[#This Row],[Emission Factor (kg CO2/ mmBtu)]]*Table1[[#This Row],[Fuel Consumption (mmBtu)]]*10^3</f>
        <v>780560639838.72009</v>
      </c>
      <c r="R666" s="2">
        <f>(Table1[[#This Row],[CO2 Emissions (g CO2)]])/(Table1[[#This Row],[Generation (TWh)]]*10^9)</f>
        <v>1903.9550400000003</v>
      </c>
    </row>
    <row r="667" spans="1:18" hidden="1">
      <c r="A667" t="s">
        <v>502</v>
      </c>
      <c r="B667" t="s">
        <v>46</v>
      </c>
      <c r="C667" t="str">
        <f>SUBSTITUTE(Table1[[#This Row],[Fuel]],", ",",")</f>
        <v>bioenergy: agricultural waste (solids)</v>
      </c>
      <c r="D667" t="s">
        <v>46</v>
      </c>
      <c r="G667">
        <v>34</v>
      </c>
      <c r="H667" t="s">
        <v>27</v>
      </c>
      <c r="I667">
        <v>2015</v>
      </c>
      <c r="J667" t="s">
        <v>21</v>
      </c>
      <c r="K667">
        <v>-20.4862</v>
      </c>
      <c r="L667">
        <v>-49.539000000000001</v>
      </c>
      <c r="M667" t="s">
        <v>49</v>
      </c>
      <c r="N667" s="2">
        <f>Table1[[#This Row],[Capacity (MW)]]*8760*0.72*10^-6</f>
        <v>0.21444479999999999</v>
      </c>
      <c r="O667" s="2" cm="1">
        <f t="array" ref="O667">AVERAGE(VLOOKUP(_xlfn.TEXTSPLIT(Table1[[#This Row],[Fuel (no space after comma)]], ","), FuelList_Final_EF!$A$2:$B$32, 2, FALSE))</f>
        <v>118.17</v>
      </c>
      <c r="P667" s="2">
        <f>(16112*Table1[[#This Row],[Generation (TWh)]]*10^9)/10^6</f>
        <v>3455134.6175999995</v>
      </c>
      <c r="Q667" s="2">
        <f>Table1[[#This Row],[Emission Factor (kg CO2/ mmBtu)]]*Table1[[#This Row],[Fuel Consumption (mmBtu)]]*10^3</f>
        <v>408293257761.79193</v>
      </c>
      <c r="R667" s="2">
        <f>(Table1[[#This Row],[CO2 Emissions (g CO2)]])/(Table1[[#This Row],[Generation (TWh)]]*10^9)</f>
        <v>1903.9550399999996</v>
      </c>
    </row>
    <row r="668" spans="1:18">
      <c r="A668" t="s">
        <v>492</v>
      </c>
      <c r="B668" t="s">
        <v>46</v>
      </c>
      <c r="C668" t="str">
        <f>SUBSTITUTE(Table1[[#This Row],[Fuel]],", ",",")</f>
        <v>bioenergy: agricultural waste (solids)</v>
      </c>
      <c r="D668" t="s">
        <v>46</v>
      </c>
      <c r="G668">
        <v>40</v>
      </c>
      <c r="H668" t="s">
        <v>138</v>
      </c>
      <c r="I668" t="s">
        <v>21</v>
      </c>
      <c r="J668" t="s">
        <v>21</v>
      </c>
      <c r="K668">
        <v>25.115400000000001</v>
      </c>
      <c r="L668">
        <v>105.4357</v>
      </c>
      <c r="M668" t="s">
        <v>102</v>
      </c>
      <c r="N668" s="2">
        <f>Table1[[#This Row],[Capacity (MW)]]*8760*0.72*10^-6</f>
        <v>0.25228800000000001</v>
      </c>
      <c r="O668" s="2" cm="1">
        <f t="array" ref="O668">AVERAGE(VLOOKUP(_xlfn.TEXTSPLIT(Table1[[#This Row],[Fuel (no space after comma)]], ","), FuelList_Final_EF!$A$2:$B$32, 2, FALSE))</f>
        <v>118.17</v>
      </c>
      <c r="P668" s="2">
        <f>(16112*Table1[[#This Row],[Generation (TWh)]]*10^9)/10^6</f>
        <v>4064864.2560000005</v>
      </c>
      <c r="Q668" s="2">
        <f>Table1[[#This Row],[Emission Factor (kg CO2/ mmBtu)]]*Table1[[#This Row],[Fuel Consumption (mmBtu)]]*10^3</f>
        <v>480345009131.52008</v>
      </c>
      <c r="R668" s="2">
        <f>(Table1[[#This Row],[CO2 Emissions (g CO2)]])/(Table1[[#This Row],[Generation (TWh)]]*10^9)</f>
        <v>1903.9550400000003</v>
      </c>
    </row>
    <row r="669" spans="1:18">
      <c r="A669" t="s">
        <v>503</v>
      </c>
      <c r="B669" t="s">
        <v>105</v>
      </c>
      <c r="C669" t="str">
        <f>SUBSTITUTE(Table1[[#This Row],[Fuel]],", ",",")</f>
        <v>bioenergy: agricultural waste (solids),bioenergy: wood &amp; other biomass (solids)</v>
      </c>
      <c r="D669" t="s">
        <v>46</v>
      </c>
      <c r="E669" t="s">
        <v>25</v>
      </c>
      <c r="G669">
        <v>30</v>
      </c>
      <c r="H669" t="s">
        <v>20</v>
      </c>
      <c r="I669" t="s">
        <v>21</v>
      </c>
      <c r="J669" t="s">
        <v>21</v>
      </c>
      <c r="K669">
        <v>26.265499999999999</v>
      </c>
      <c r="L669">
        <v>106.01730000000001</v>
      </c>
      <c r="M669" t="s">
        <v>102</v>
      </c>
      <c r="N669" s="2">
        <f>Table1[[#This Row],[Capacity (MW)]]*8760*0.72*10^-6</f>
        <v>0.189216</v>
      </c>
      <c r="O669" s="2" cm="1">
        <f t="array" ref="O669">AVERAGE(VLOOKUP(_xlfn.TEXTSPLIT(Table1[[#This Row],[Fuel (no space after comma)]], ","), FuelList_Final_EF!$A$2:$B$32, 2, FALSE))</f>
        <v>105.985</v>
      </c>
      <c r="P669" s="2">
        <f>(16112*Table1[[#This Row],[Generation (TWh)]]*10^9)/10^6</f>
        <v>3048648.1919999998</v>
      </c>
      <c r="Q669" s="2">
        <f>Table1[[#This Row],[Emission Factor (kg CO2/ mmBtu)]]*Table1[[#This Row],[Fuel Consumption (mmBtu)]]*10^3</f>
        <v>323110978629.12</v>
      </c>
      <c r="R669" s="2">
        <f>(Table1[[#This Row],[CO2 Emissions (g CO2)]])/(Table1[[#This Row],[Generation (TWh)]]*10^9)</f>
        <v>1707.63032</v>
      </c>
    </row>
    <row r="670" spans="1:18">
      <c r="A670" t="s">
        <v>504</v>
      </c>
      <c r="B670" t="s">
        <v>46</v>
      </c>
      <c r="C670" t="str">
        <f>SUBSTITUTE(Table1[[#This Row],[Fuel]],", ",",")</f>
        <v>bioenergy: agricultural waste (solids)</v>
      </c>
      <c r="D670" t="s">
        <v>46</v>
      </c>
      <c r="G670">
        <v>30</v>
      </c>
      <c r="H670" t="s">
        <v>138</v>
      </c>
      <c r="I670" t="s">
        <v>21</v>
      </c>
      <c r="J670" t="s">
        <v>21</v>
      </c>
      <c r="K670">
        <v>24.985299999999999</v>
      </c>
      <c r="L670">
        <v>105.8169</v>
      </c>
      <c r="M670" t="s">
        <v>102</v>
      </c>
      <c r="N670" s="2">
        <f>Table1[[#This Row],[Capacity (MW)]]*8760*0.72*10^-6</f>
        <v>0.189216</v>
      </c>
      <c r="O670" s="2" cm="1">
        <f t="array" ref="O670">AVERAGE(VLOOKUP(_xlfn.TEXTSPLIT(Table1[[#This Row],[Fuel (no space after comma)]], ","), FuelList_Final_EF!$A$2:$B$32, 2, FALSE))</f>
        <v>118.17</v>
      </c>
      <c r="P670" s="2">
        <f>(16112*Table1[[#This Row],[Generation (TWh)]]*10^9)/10^6</f>
        <v>3048648.1919999998</v>
      </c>
      <c r="Q670" s="2">
        <f>Table1[[#This Row],[Emission Factor (kg CO2/ mmBtu)]]*Table1[[#This Row],[Fuel Consumption (mmBtu)]]*10^3</f>
        <v>360258756848.63995</v>
      </c>
      <c r="R670" s="2">
        <f>(Table1[[#This Row],[CO2 Emissions (g CO2)]])/(Table1[[#This Row],[Generation (TWh)]]*10^9)</f>
        <v>1903.9550399999998</v>
      </c>
    </row>
    <row r="671" spans="1:18" hidden="1">
      <c r="A671" t="s">
        <v>505</v>
      </c>
      <c r="B671" t="s">
        <v>61</v>
      </c>
      <c r="C671" t="str">
        <f>SUBSTITUTE(Table1[[#This Row],[Fuel]],", ",",")</f>
        <v>bioenergy: paper mill wastes</v>
      </c>
      <c r="D671" t="s">
        <v>61</v>
      </c>
      <c r="G671">
        <v>4</v>
      </c>
      <c r="H671" t="s">
        <v>27</v>
      </c>
      <c r="I671">
        <v>2023</v>
      </c>
      <c r="J671" t="s">
        <v>21</v>
      </c>
      <c r="K671">
        <v>28.602799999999998</v>
      </c>
      <c r="L671">
        <v>105.7358</v>
      </c>
      <c r="M671" t="s">
        <v>102</v>
      </c>
      <c r="N671" s="2">
        <f>Table1[[#This Row],[Capacity (MW)]]*8760*0.72*10^-6</f>
        <v>2.5228799999999999E-2</v>
      </c>
      <c r="O671" s="2" cm="1">
        <f t="array" ref="O671">AVERAGE(VLOOKUP(_xlfn.TEXTSPLIT(Table1[[#This Row],[Fuel (no space after comma)]], ","), FuelList_Final_EF!$A$2:$B$32, 2, FALSE))</f>
        <v>100.47443331576173</v>
      </c>
      <c r="P671" s="2">
        <f>(16112*Table1[[#This Row],[Generation (TWh)]]*10^9)/10^6</f>
        <v>406486.42559999996</v>
      </c>
      <c r="Q671" s="2">
        <f>Table1[[#This Row],[Emission Factor (kg CO2/ mmBtu)]]*Table1[[#This Row],[Fuel Consumption (mmBtu)]]*10^3</f>
        <v>40841493262.709534</v>
      </c>
      <c r="R671" s="2">
        <f>(Table1[[#This Row],[CO2 Emissions (g CO2)]])/(Table1[[#This Row],[Generation (TWh)]]*10^9)</f>
        <v>1618.8440695835527</v>
      </c>
    </row>
    <row r="672" spans="1:18" hidden="1">
      <c r="A672" t="s">
        <v>401</v>
      </c>
      <c r="B672" t="s">
        <v>61</v>
      </c>
      <c r="C672" t="str">
        <f>SUBSTITUTE(Table1[[#This Row],[Fuel]],", ",",")</f>
        <v>bioenergy: paper mill wastes</v>
      </c>
      <c r="D672" t="s">
        <v>61</v>
      </c>
      <c r="G672">
        <v>36</v>
      </c>
      <c r="H672" t="s">
        <v>27</v>
      </c>
      <c r="I672">
        <v>2023</v>
      </c>
      <c r="J672" t="s">
        <v>21</v>
      </c>
      <c r="K672">
        <v>28.602799999999998</v>
      </c>
      <c r="L672">
        <v>105.7358</v>
      </c>
      <c r="M672" t="s">
        <v>102</v>
      </c>
      <c r="N672" s="2">
        <f>Table1[[#This Row],[Capacity (MW)]]*8760*0.72*10^-6</f>
        <v>0.22705919999999996</v>
      </c>
      <c r="O672" s="2" cm="1">
        <f t="array" ref="O672">AVERAGE(VLOOKUP(_xlfn.TEXTSPLIT(Table1[[#This Row],[Fuel (no space after comma)]], ","), FuelList_Final_EF!$A$2:$B$32, 2, FALSE))</f>
        <v>100.47443331576173</v>
      </c>
      <c r="P672" s="2">
        <f>(16112*Table1[[#This Row],[Generation (TWh)]]*10^9)/10^6</f>
        <v>3658377.8303999994</v>
      </c>
      <c r="Q672" s="2">
        <f>Table1[[#This Row],[Emission Factor (kg CO2/ mmBtu)]]*Table1[[#This Row],[Fuel Consumption (mmBtu)]]*10^3</f>
        <v>367573439364.3858</v>
      </c>
      <c r="R672" s="2">
        <f>(Table1[[#This Row],[CO2 Emissions (g CO2)]])/(Table1[[#This Row],[Generation (TWh)]]*10^9)</f>
        <v>1618.8440695835529</v>
      </c>
    </row>
    <row r="673" spans="1:18" hidden="1">
      <c r="A673" t="s">
        <v>494</v>
      </c>
      <c r="B673" t="s">
        <v>105</v>
      </c>
      <c r="C673" t="str">
        <f>SUBSTITUTE(Table1[[#This Row],[Fuel]],", ",",")</f>
        <v>bioenergy: agricultural waste (solids),bioenergy: wood &amp; other biomass (solids)</v>
      </c>
      <c r="D673" t="s">
        <v>46</v>
      </c>
      <c r="E673" t="s">
        <v>25</v>
      </c>
      <c r="G673">
        <v>30</v>
      </c>
      <c r="H673" t="s">
        <v>27</v>
      </c>
      <c r="I673">
        <v>2020</v>
      </c>
      <c r="J673" t="s">
        <v>21</v>
      </c>
      <c r="K673">
        <v>28.5547</v>
      </c>
      <c r="L673">
        <v>105.7265</v>
      </c>
      <c r="M673" t="s">
        <v>102</v>
      </c>
      <c r="N673" s="2">
        <f>Table1[[#This Row],[Capacity (MW)]]*8760*0.72*10^-6</f>
        <v>0.189216</v>
      </c>
      <c r="O673" s="2" cm="1">
        <f t="array" ref="O673">AVERAGE(VLOOKUP(_xlfn.TEXTSPLIT(Table1[[#This Row],[Fuel (no space after comma)]], ","), FuelList_Final_EF!$A$2:$B$32, 2, FALSE))</f>
        <v>105.985</v>
      </c>
      <c r="P673" s="2">
        <f>(16112*Table1[[#This Row],[Generation (TWh)]]*10^9)/10^6</f>
        <v>3048648.1919999998</v>
      </c>
      <c r="Q673" s="2">
        <f>Table1[[#This Row],[Emission Factor (kg CO2/ mmBtu)]]*Table1[[#This Row],[Fuel Consumption (mmBtu)]]*10^3</f>
        <v>323110978629.12</v>
      </c>
      <c r="R673" s="2">
        <f>(Table1[[#This Row],[CO2 Emissions (g CO2)]])/(Table1[[#This Row],[Generation (TWh)]]*10^9)</f>
        <v>1707.63032</v>
      </c>
    </row>
    <row r="674" spans="1:18" hidden="1">
      <c r="A674" t="s">
        <v>118</v>
      </c>
      <c r="B674" t="s">
        <v>210</v>
      </c>
      <c r="C674" t="str">
        <f>SUBSTITUTE(Table1[[#This Row],[Fuel]],", ",",")</f>
        <v>bioenergy: wood &amp; other biomass (solids),bioenergy: agricultural waste (solids)</v>
      </c>
      <c r="D674" t="s">
        <v>25</v>
      </c>
      <c r="E674" t="s">
        <v>46</v>
      </c>
      <c r="G674">
        <v>30</v>
      </c>
      <c r="H674" t="s">
        <v>27</v>
      </c>
      <c r="I674">
        <v>2020</v>
      </c>
      <c r="J674" t="s">
        <v>21</v>
      </c>
      <c r="K674">
        <v>25.8371</v>
      </c>
      <c r="L674">
        <v>109.0578</v>
      </c>
      <c r="M674" t="s">
        <v>102</v>
      </c>
      <c r="N674" s="2">
        <f>Table1[[#This Row],[Capacity (MW)]]*8760*0.72*10^-6</f>
        <v>0.189216</v>
      </c>
      <c r="O674" s="2" cm="1">
        <f t="array" ref="O674">AVERAGE(VLOOKUP(_xlfn.TEXTSPLIT(Table1[[#This Row],[Fuel (no space after comma)]], ","), FuelList_Final_EF!$A$2:$B$32, 2, FALSE))</f>
        <v>105.985</v>
      </c>
      <c r="P674" s="2">
        <f>(16112*Table1[[#This Row],[Generation (TWh)]]*10^9)/10^6</f>
        <v>3048648.1919999998</v>
      </c>
      <c r="Q674" s="2">
        <f>Table1[[#This Row],[Emission Factor (kg CO2/ mmBtu)]]*Table1[[#This Row],[Fuel Consumption (mmBtu)]]*10^3</f>
        <v>323110978629.12</v>
      </c>
      <c r="R674" s="2">
        <f>(Table1[[#This Row],[CO2 Emissions (g CO2)]])/(Table1[[#This Row],[Generation (TWh)]]*10^9)</f>
        <v>1707.63032</v>
      </c>
    </row>
    <row r="675" spans="1:18" hidden="1">
      <c r="A675" t="s">
        <v>399</v>
      </c>
      <c r="B675" t="s">
        <v>19</v>
      </c>
      <c r="C675" t="str">
        <f>SUBSTITUTE(Table1[[#This Row],[Fuel]],", ",",")</f>
        <v>bioenergy: refuse (municipal and industrial wastes)</v>
      </c>
      <c r="D675" t="s">
        <v>19</v>
      </c>
      <c r="G675">
        <v>30</v>
      </c>
      <c r="H675" t="s">
        <v>27</v>
      </c>
      <c r="I675">
        <v>2022</v>
      </c>
      <c r="J675" t="s">
        <v>21</v>
      </c>
      <c r="K675">
        <v>26.7239</v>
      </c>
      <c r="L675">
        <v>106.5938</v>
      </c>
      <c r="M675" t="s">
        <v>102</v>
      </c>
      <c r="N675" s="2">
        <f>Table1[[#This Row],[Capacity (MW)]]*8760*0.72*10^-6</f>
        <v>0.189216</v>
      </c>
      <c r="O675" s="2" cm="1">
        <f t="array" ref="O675">AVERAGE(VLOOKUP(_xlfn.TEXTSPLIT(Table1[[#This Row],[Fuel (no space after comma)]], ","), FuelList_Final_EF!$A$2:$B$32, 2, FALSE))</f>
        <v>105.42962572482868</v>
      </c>
      <c r="P675" s="2">
        <f>(16112*Table1[[#This Row],[Generation (TWh)]]*10^9)/10^6</f>
        <v>3048648.1919999998</v>
      </c>
      <c r="Q675" s="2">
        <f>Table1[[#This Row],[Emission Factor (kg CO2/ mmBtu)]]*Table1[[#This Row],[Fuel Consumption (mmBtu)]]*10^3</f>
        <v>321417837849.23566</v>
      </c>
      <c r="R675" s="2">
        <f>(Table1[[#This Row],[CO2 Emissions (g CO2)]])/(Table1[[#This Row],[Generation (TWh)]]*10^9)</f>
        <v>1698.6821296784397</v>
      </c>
    </row>
    <row r="676" spans="1:18" hidden="1">
      <c r="A676" t="s">
        <v>399</v>
      </c>
      <c r="B676" t="s">
        <v>19</v>
      </c>
      <c r="C676" t="str">
        <f>SUBSTITUTE(Table1[[#This Row],[Fuel]],", ",",")</f>
        <v>bioenergy: refuse (municipal and industrial wastes)</v>
      </c>
      <c r="D676" t="s">
        <v>19</v>
      </c>
      <c r="G676">
        <v>30</v>
      </c>
      <c r="H676" t="s">
        <v>27</v>
      </c>
      <c r="I676">
        <v>2022</v>
      </c>
      <c r="J676" t="s">
        <v>21</v>
      </c>
      <c r="K676">
        <v>26.7239</v>
      </c>
      <c r="L676">
        <v>106.5938</v>
      </c>
      <c r="M676" t="s">
        <v>102</v>
      </c>
      <c r="N676" s="2">
        <f>Table1[[#This Row],[Capacity (MW)]]*8760*0.72*10^-6</f>
        <v>0.189216</v>
      </c>
      <c r="O676" s="2" cm="1">
        <f t="array" ref="O676">AVERAGE(VLOOKUP(_xlfn.TEXTSPLIT(Table1[[#This Row],[Fuel (no space after comma)]], ","), FuelList_Final_EF!$A$2:$B$32, 2, FALSE))</f>
        <v>105.42962572482868</v>
      </c>
      <c r="P676" s="2">
        <f>(16112*Table1[[#This Row],[Generation (TWh)]]*10^9)/10^6</f>
        <v>3048648.1919999998</v>
      </c>
      <c r="Q676" s="2">
        <f>Table1[[#This Row],[Emission Factor (kg CO2/ mmBtu)]]*Table1[[#This Row],[Fuel Consumption (mmBtu)]]*10^3</f>
        <v>321417837849.23566</v>
      </c>
      <c r="R676" s="2">
        <f>(Table1[[#This Row],[CO2 Emissions (g CO2)]])/(Table1[[#This Row],[Generation (TWh)]]*10^9)</f>
        <v>1698.6821296784397</v>
      </c>
    </row>
    <row r="677" spans="1:18" hidden="1">
      <c r="A677" t="s">
        <v>492</v>
      </c>
      <c r="B677" t="s">
        <v>46</v>
      </c>
      <c r="C677" t="str">
        <f>SUBSTITUTE(Table1[[#This Row],[Fuel]],", ",",")</f>
        <v>bioenergy: agricultural waste (solids)</v>
      </c>
      <c r="D677" t="s">
        <v>46</v>
      </c>
      <c r="G677">
        <v>30</v>
      </c>
      <c r="H677" t="s">
        <v>27</v>
      </c>
      <c r="I677">
        <v>2015</v>
      </c>
      <c r="J677" t="s">
        <v>21</v>
      </c>
      <c r="K677">
        <v>27.494199999999999</v>
      </c>
      <c r="L677">
        <v>106.4508</v>
      </c>
      <c r="M677" t="s">
        <v>102</v>
      </c>
      <c r="N677" s="2">
        <f>Table1[[#This Row],[Capacity (MW)]]*8760*0.72*10^-6</f>
        <v>0.189216</v>
      </c>
      <c r="O677" s="2" cm="1">
        <f t="array" ref="O677">AVERAGE(VLOOKUP(_xlfn.TEXTSPLIT(Table1[[#This Row],[Fuel (no space after comma)]], ","), FuelList_Final_EF!$A$2:$B$32, 2, FALSE))</f>
        <v>118.17</v>
      </c>
      <c r="P677" s="2">
        <f>(16112*Table1[[#This Row],[Generation (TWh)]]*10^9)/10^6</f>
        <v>3048648.1919999998</v>
      </c>
      <c r="Q677" s="2">
        <f>Table1[[#This Row],[Emission Factor (kg CO2/ mmBtu)]]*Table1[[#This Row],[Fuel Consumption (mmBtu)]]*10^3</f>
        <v>360258756848.63995</v>
      </c>
      <c r="R677" s="2">
        <f>(Table1[[#This Row],[CO2 Emissions (g CO2)]])/(Table1[[#This Row],[Generation (TWh)]]*10^9)</f>
        <v>1903.9550399999998</v>
      </c>
    </row>
    <row r="678" spans="1:18" hidden="1">
      <c r="A678" t="s">
        <v>506</v>
      </c>
      <c r="B678" t="s">
        <v>105</v>
      </c>
      <c r="C678" t="str">
        <f>SUBSTITUTE(Table1[[#This Row],[Fuel]],", ",",")</f>
        <v>bioenergy: agricultural waste (solids),bioenergy: wood &amp; other biomass (solids)</v>
      </c>
      <c r="D678" t="s">
        <v>46</v>
      </c>
      <c r="E678" t="s">
        <v>25</v>
      </c>
      <c r="G678">
        <v>30</v>
      </c>
      <c r="H678" t="s">
        <v>27</v>
      </c>
      <c r="I678">
        <v>2014</v>
      </c>
      <c r="J678" t="s">
        <v>21</v>
      </c>
      <c r="K678">
        <v>28.167100000000001</v>
      </c>
      <c r="L678">
        <v>109.2102</v>
      </c>
      <c r="M678" t="s">
        <v>102</v>
      </c>
      <c r="N678" s="2">
        <f>Table1[[#This Row],[Capacity (MW)]]*8760*0.72*10^-6</f>
        <v>0.189216</v>
      </c>
      <c r="O678" s="2" cm="1">
        <f t="array" ref="O678">AVERAGE(VLOOKUP(_xlfn.TEXTSPLIT(Table1[[#This Row],[Fuel (no space after comma)]], ","), FuelList_Final_EF!$A$2:$B$32, 2, FALSE))</f>
        <v>105.985</v>
      </c>
      <c r="P678" s="2">
        <f>(16112*Table1[[#This Row],[Generation (TWh)]]*10^9)/10^6</f>
        <v>3048648.1919999998</v>
      </c>
      <c r="Q678" s="2">
        <f>Table1[[#This Row],[Emission Factor (kg CO2/ mmBtu)]]*Table1[[#This Row],[Fuel Consumption (mmBtu)]]*10^3</f>
        <v>323110978629.12</v>
      </c>
      <c r="R678" s="2">
        <f>(Table1[[#This Row],[CO2 Emissions (g CO2)]])/(Table1[[#This Row],[Generation (TWh)]]*10^9)</f>
        <v>1707.63032</v>
      </c>
    </row>
    <row r="679" spans="1:18" hidden="1">
      <c r="A679" t="s">
        <v>507</v>
      </c>
      <c r="B679" t="s">
        <v>46</v>
      </c>
      <c r="C679" t="str">
        <f>SUBSTITUTE(Table1[[#This Row],[Fuel]],", ",",")</f>
        <v>bioenergy: agricultural waste (solids)</v>
      </c>
      <c r="D679" t="s">
        <v>46</v>
      </c>
      <c r="G679">
        <v>31</v>
      </c>
      <c r="H679" t="s">
        <v>27</v>
      </c>
      <c r="I679">
        <v>2007</v>
      </c>
      <c r="J679" t="s">
        <v>21</v>
      </c>
      <c r="K679">
        <v>28.231100000000001</v>
      </c>
      <c r="L679">
        <v>80.633399999999995</v>
      </c>
      <c r="M679" t="s">
        <v>66</v>
      </c>
      <c r="N679" s="2">
        <f>Table1[[#This Row],[Capacity (MW)]]*8760*0.72*10^-6</f>
        <v>0.19552319999999998</v>
      </c>
      <c r="O679" s="2" cm="1">
        <f t="array" ref="O679">AVERAGE(VLOOKUP(_xlfn.TEXTSPLIT(Table1[[#This Row],[Fuel (no space after comma)]], ","), FuelList_Final_EF!$A$2:$B$32, 2, FALSE))</f>
        <v>118.17</v>
      </c>
      <c r="P679" s="2">
        <f>(16112*Table1[[#This Row],[Generation (TWh)]]*10^9)/10^6</f>
        <v>3150269.7983999997</v>
      </c>
      <c r="Q679" s="2">
        <f>Table1[[#This Row],[Emission Factor (kg CO2/ mmBtu)]]*Table1[[#This Row],[Fuel Consumption (mmBtu)]]*10^3</f>
        <v>372267382076.92798</v>
      </c>
      <c r="R679" s="2">
        <f>(Table1[[#This Row],[CO2 Emissions (g CO2)]])/(Table1[[#This Row],[Generation (TWh)]]*10^9)</f>
        <v>1903.9550400000003</v>
      </c>
    </row>
    <row r="680" spans="1:18">
      <c r="A680" t="s">
        <v>21</v>
      </c>
      <c r="B680" t="s">
        <v>25</v>
      </c>
      <c r="C680" t="str">
        <f>SUBSTITUTE(Table1[[#This Row],[Fuel]],", ",",")</f>
        <v>bioenergy: wood &amp; other biomass (solids)</v>
      </c>
      <c r="D680" t="s">
        <v>25</v>
      </c>
      <c r="G680">
        <v>100</v>
      </c>
      <c r="H680" t="s">
        <v>307</v>
      </c>
      <c r="I680" t="s">
        <v>21</v>
      </c>
      <c r="J680" t="s">
        <v>21</v>
      </c>
      <c r="K680">
        <v>35.959638419999997</v>
      </c>
      <c r="L680">
        <v>126.5480732</v>
      </c>
      <c r="M680" t="s">
        <v>333</v>
      </c>
      <c r="N680" s="2">
        <f>Table1[[#This Row],[Capacity (MW)]]*8760*0.72*10^-6</f>
        <v>0.63071999999999995</v>
      </c>
      <c r="O680" s="2" cm="1">
        <f t="array" ref="O680">AVERAGE(VLOOKUP(_xlfn.TEXTSPLIT(Table1[[#This Row],[Fuel (no space after comma)]], ","), FuelList_Final_EF!$A$2:$B$32, 2, FALSE))</f>
        <v>93.8</v>
      </c>
      <c r="P680" s="2">
        <f>(16112*Table1[[#This Row],[Generation (TWh)]]*10^9)/10^6</f>
        <v>10162160.640000001</v>
      </c>
      <c r="Q680" s="2">
        <f>Table1[[#This Row],[Emission Factor (kg CO2/ mmBtu)]]*Table1[[#This Row],[Fuel Consumption (mmBtu)]]*10^3</f>
        <v>953210668032.00012</v>
      </c>
      <c r="R680" s="2">
        <f>(Table1[[#This Row],[CO2 Emissions (g CO2)]])/(Table1[[#This Row],[Generation (TWh)]]*10^9)</f>
        <v>1511.3056000000001</v>
      </c>
    </row>
    <row r="681" spans="1:18">
      <c r="A681" t="s">
        <v>21</v>
      </c>
      <c r="B681" t="s">
        <v>25</v>
      </c>
      <c r="C681" t="str">
        <f>SUBSTITUTE(Table1[[#This Row],[Fuel]],", ",",")</f>
        <v>bioenergy: wood &amp; other biomass (solids)</v>
      </c>
      <c r="D681" t="s">
        <v>25</v>
      </c>
      <c r="G681">
        <v>100</v>
      </c>
      <c r="H681" t="s">
        <v>307</v>
      </c>
      <c r="I681" t="s">
        <v>21</v>
      </c>
      <c r="J681" t="s">
        <v>21</v>
      </c>
      <c r="K681">
        <v>35.959638419999997</v>
      </c>
      <c r="L681">
        <v>126.5480732</v>
      </c>
      <c r="M681" t="s">
        <v>333</v>
      </c>
      <c r="N681" s="2">
        <f>Table1[[#This Row],[Capacity (MW)]]*8760*0.72*10^-6</f>
        <v>0.63071999999999995</v>
      </c>
      <c r="O681" s="2" cm="1">
        <f t="array" ref="O681">AVERAGE(VLOOKUP(_xlfn.TEXTSPLIT(Table1[[#This Row],[Fuel (no space after comma)]], ","), FuelList_Final_EF!$A$2:$B$32, 2, FALSE))</f>
        <v>93.8</v>
      </c>
      <c r="P681" s="2">
        <f>(16112*Table1[[#This Row],[Generation (TWh)]]*10^9)/10^6</f>
        <v>10162160.640000001</v>
      </c>
      <c r="Q681" s="2">
        <f>Table1[[#This Row],[Emission Factor (kg CO2/ mmBtu)]]*Table1[[#This Row],[Fuel Consumption (mmBtu)]]*10^3</f>
        <v>953210668032.00012</v>
      </c>
      <c r="R681" s="2">
        <f>(Table1[[#This Row],[CO2 Emissions (g CO2)]])/(Table1[[#This Row],[Generation (TWh)]]*10^9)</f>
        <v>1511.3056000000001</v>
      </c>
    </row>
    <row r="682" spans="1:18" hidden="1">
      <c r="A682" t="s">
        <v>508</v>
      </c>
      <c r="B682" t="s">
        <v>25</v>
      </c>
      <c r="C682" t="str">
        <f>SUBSTITUTE(Table1[[#This Row],[Fuel]],", ",",")</f>
        <v>bioenergy: wood &amp; other biomass (solids)</v>
      </c>
      <c r="D682" t="s">
        <v>25</v>
      </c>
      <c r="G682">
        <v>110</v>
      </c>
      <c r="H682" t="s">
        <v>53</v>
      </c>
      <c r="I682">
        <v>2024</v>
      </c>
      <c r="J682" t="s">
        <v>21</v>
      </c>
      <c r="K682">
        <v>34.904499999999999</v>
      </c>
      <c r="L682">
        <v>127.6225</v>
      </c>
      <c r="M682" t="s">
        <v>333</v>
      </c>
      <c r="N682" s="2">
        <f>Table1[[#This Row],[Capacity (MW)]]*8760*0.72*10^-6</f>
        <v>0.69379199999999996</v>
      </c>
      <c r="O682" s="2" cm="1">
        <f t="array" ref="O682">AVERAGE(VLOOKUP(_xlfn.TEXTSPLIT(Table1[[#This Row],[Fuel (no space after comma)]], ","), FuelList_Final_EF!$A$2:$B$32, 2, FALSE))</f>
        <v>93.8</v>
      </c>
      <c r="P682" s="2">
        <f>(16112*Table1[[#This Row],[Generation (TWh)]]*10^9)/10^6</f>
        <v>11178376.704</v>
      </c>
      <c r="Q682" s="2">
        <f>Table1[[#This Row],[Emission Factor (kg CO2/ mmBtu)]]*Table1[[#This Row],[Fuel Consumption (mmBtu)]]*10^3</f>
        <v>1048531734835.2</v>
      </c>
      <c r="R682" s="2">
        <f>(Table1[[#This Row],[CO2 Emissions (g CO2)]])/(Table1[[#This Row],[Generation (TWh)]]*10^9)</f>
        <v>1511.3055999999999</v>
      </c>
    </row>
    <row r="683" spans="1:18" hidden="1">
      <c r="A683" t="s">
        <v>508</v>
      </c>
      <c r="B683" t="s">
        <v>25</v>
      </c>
      <c r="C683" t="str">
        <f>SUBSTITUTE(Table1[[#This Row],[Fuel]],", ",",")</f>
        <v>bioenergy: wood &amp; other biomass (solids)</v>
      </c>
      <c r="D683" t="s">
        <v>25</v>
      </c>
      <c r="G683">
        <v>110</v>
      </c>
      <c r="H683" t="s">
        <v>53</v>
      </c>
      <c r="I683">
        <v>2024</v>
      </c>
      <c r="J683" t="s">
        <v>21</v>
      </c>
      <c r="K683">
        <v>34.904499999999999</v>
      </c>
      <c r="L683">
        <v>127.6225</v>
      </c>
      <c r="M683" t="s">
        <v>333</v>
      </c>
      <c r="N683" s="2">
        <f>Table1[[#This Row],[Capacity (MW)]]*8760*0.72*10^-6</f>
        <v>0.69379199999999996</v>
      </c>
      <c r="O683" s="2" cm="1">
        <f t="array" ref="O683">AVERAGE(VLOOKUP(_xlfn.TEXTSPLIT(Table1[[#This Row],[Fuel (no space after comma)]], ","), FuelList_Final_EF!$A$2:$B$32, 2, FALSE))</f>
        <v>93.8</v>
      </c>
      <c r="P683" s="2">
        <f>(16112*Table1[[#This Row],[Generation (TWh)]]*10^9)/10^6</f>
        <v>11178376.704</v>
      </c>
      <c r="Q683" s="2">
        <f>Table1[[#This Row],[Emission Factor (kg CO2/ mmBtu)]]*Table1[[#This Row],[Fuel Consumption (mmBtu)]]*10^3</f>
        <v>1048531734835.2</v>
      </c>
      <c r="R683" s="2">
        <f>(Table1[[#This Row],[CO2 Emissions (g CO2)]])/(Table1[[#This Row],[Generation (TWh)]]*10^9)</f>
        <v>1511.3055999999999</v>
      </c>
    </row>
    <row r="684" spans="1:18" hidden="1">
      <c r="A684" t="s">
        <v>509</v>
      </c>
      <c r="B684" t="s">
        <v>19</v>
      </c>
      <c r="C684" t="str">
        <f>SUBSTITUTE(Table1[[#This Row],[Fuel]],", ",",")</f>
        <v>bioenergy: refuse (municipal and industrial wastes)</v>
      </c>
      <c r="D684" t="s">
        <v>19</v>
      </c>
      <c r="G684">
        <v>34</v>
      </c>
      <c r="H684" t="s">
        <v>27</v>
      </c>
      <c r="I684">
        <v>2013</v>
      </c>
      <c r="J684" t="s">
        <v>21</v>
      </c>
      <c r="K684">
        <v>21.305099999999999</v>
      </c>
      <c r="L684">
        <v>-158.1053</v>
      </c>
      <c r="M684" t="s">
        <v>62</v>
      </c>
      <c r="N684" s="2">
        <f>Table1[[#This Row],[Capacity (MW)]]*8760*0.72*10^-6</f>
        <v>0.21444479999999999</v>
      </c>
      <c r="O684" s="2" cm="1">
        <f t="array" ref="O684">AVERAGE(VLOOKUP(_xlfn.TEXTSPLIT(Table1[[#This Row],[Fuel (no space after comma)]], ","), FuelList_Final_EF!$A$2:$B$32, 2, FALSE))</f>
        <v>105.42962572482868</v>
      </c>
      <c r="P684" s="2">
        <f>(16112*Table1[[#This Row],[Generation (TWh)]]*10^9)/10^6</f>
        <v>3455134.6175999995</v>
      </c>
      <c r="Q684" s="2">
        <f>Table1[[#This Row],[Emission Factor (kg CO2/ mmBtu)]]*Table1[[#This Row],[Fuel Consumption (mmBtu)]]*10^3</f>
        <v>364273549562.46704</v>
      </c>
      <c r="R684" s="2">
        <f>(Table1[[#This Row],[CO2 Emissions (g CO2)]])/(Table1[[#This Row],[Generation (TWh)]]*10^9)</f>
        <v>1698.6821296784397</v>
      </c>
    </row>
    <row r="685" spans="1:18" hidden="1">
      <c r="A685" t="s">
        <v>509</v>
      </c>
      <c r="B685" t="s">
        <v>19</v>
      </c>
      <c r="C685" t="str">
        <f>SUBSTITUTE(Table1[[#This Row],[Fuel]],", ",",")</f>
        <v>bioenergy: refuse (municipal and industrial wastes)</v>
      </c>
      <c r="D685" t="s">
        <v>19</v>
      </c>
      <c r="G685">
        <v>64</v>
      </c>
      <c r="H685" t="s">
        <v>27</v>
      </c>
      <c r="I685">
        <v>1989</v>
      </c>
      <c r="J685" t="s">
        <v>21</v>
      </c>
      <c r="K685">
        <v>21.305099999999999</v>
      </c>
      <c r="L685">
        <v>-158.1053</v>
      </c>
      <c r="M685" t="s">
        <v>62</v>
      </c>
      <c r="N685" s="2">
        <f>Table1[[#This Row],[Capacity (MW)]]*8760*0.72*10^-6</f>
        <v>0.40366079999999999</v>
      </c>
      <c r="O685" s="2" cm="1">
        <f t="array" ref="O685">AVERAGE(VLOOKUP(_xlfn.TEXTSPLIT(Table1[[#This Row],[Fuel (no space after comma)]], ","), FuelList_Final_EF!$A$2:$B$32, 2, FALSE))</f>
        <v>105.42962572482868</v>
      </c>
      <c r="P685" s="2">
        <f>(16112*Table1[[#This Row],[Generation (TWh)]]*10^9)/10^6</f>
        <v>6503782.8095999993</v>
      </c>
      <c r="Q685" s="2">
        <f>Table1[[#This Row],[Emission Factor (kg CO2/ mmBtu)]]*Table1[[#This Row],[Fuel Consumption (mmBtu)]]*10^3</f>
        <v>685691387411.70264</v>
      </c>
      <c r="R685" s="2">
        <f>(Table1[[#This Row],[CO2 Emissions (g CO2)]])/(Table1[[#This Row],[Generation (TWh)]]*10^9)</f>
        <v>1698.6821296784394</v>
      </c>
    </row>
    <row r="686" spans="1:18" hidden="1">
      <c r="A686" t="s">
        <v>510</v>
      </c>
      <c r="B686" t="s">
        <v>511</v>
      </c>
      <c r="C686" t="str">
        <f>SUBSTITUTE(Table1[[#This Row],[Fuel]],", ",",")</f>
        <v>bioenergy: wood &amp; other biomass (solids),bioenergy: agricultural waste (solids),coal: unknown</v>
      </c>
      <c r="D686" t="s">
        <v>25</v>
      </c>
      <c r="E686" t="s">
        <v>46</v>
      </c>
      <c r="F686" t="s">
        <v>65</v>
      </c>
      <c r="G686">
        <v>75</v>
      </c>
      <c r="H686" t="s">
        <v>27</v>
      </c>
      <c r="I686">
        <v>2019</v>
      </c>
      <c r="J686" t="s">
        <v>21</v>
      </c>
      <c r="K686">
        <v>40.567959000000002</v>
      </c>
      <c r="L686">
        <v>141.47853599999999</v>
      </c>
      <c r="M686" t="s">
        <v>51</v>
      </c>
      <c r="N686" s="2">
        <f>Table1[[#This Row],[Capacity (MW)]]*8760*0.72*10^-6</f>
        <v>0.47303999999999996</v>
      </c>
      <c r="O686" s="2" cm="1">
        <f t="array" ref="O686">AVERAGE(VLOOKUP(_xlfn.TEXTSPLIT(Table1[[#This Row],[Fuel (no space after comma)]], ","), FuelList_Final_EF!$A$2:$B$32, 2, FALSE))</f>
        <v>104.3590036900369</v>
      </c>
      <c r="P686" s="2">
        <f>(16112*Table1[[#This Row],[Generation (TWh)]]*10^9)/10^6</f>
        <v>7621620.4800000004</v>
      </c>
      <c r="Q686" s="2">
        <f>Table1[[#This Row],[Emission Factor (kg CO2/ mmBtu)]]*Table1[[#This Row],[Fuel Consumption (mmBtu)]]*10^3</f>
        <v>795384719796.38086</v>
      </c>
      <c r="R686" s="2">
        <f>(Table1[[#This Row],[CO2 Emissions (g CO2)]])/(Table1[[#This Row],[Generation (TWh)]]*10^9)</f>
        <v>1681.4322674538748</v>
      </c>
    </row>
    <row r="687" spans="1:18" hidden="1">
      <c r="A687" t="s">
        <v>512</v>
      </c>
      <c r="B687" t="s">
        <v>105</v>
      </c>
      <c r="C687" t="str">
        <f>SUBSTITUTE(Table1[[#This Row],[Fuel]],", ",",")</f>
        <v>bioenergy: agricultural waste (solids),bioenergy: wood &amp; other biomass (solids)</v>
      </c>
      <c r="D687" t="s">
        <v>46</v>
      </c>
      <c r="E687" t="s">
        <v>25</v>
      </c>
      <c r="G687">
        <v>24.5</v>
      </c>
      <c r="H687" t="s">
        <v>27</v>
      </c>
      <c r="I687">
        <v>2022</v>
      </c>
      <c r="J687" t="s">
        <v>21</v>
      </c>
      <c r="K687">
        <v>19.2302</v>
      </c>
      <c r="L687">
        <v>108.93680000000001</v>
      </c>
      <c r="M687" t="s">
        <v>102</v>
      </c>
      <c r="N687" s="2">
        <f>Table1[[#This Row],[Capacity (MW)]]*8760*0.72*10^-6</f>
        <v>0.15452639999999998</v>
      </c>
      <c r="O687" s="2" cm="1">
        <f t="array" ref="O687">AVERAGE(VLOOKUP(_xlfn.TEXTSPLIT(Table1[[#This Row],[Fuel (no space after comma)]], ","), FuelList_Final_EF!$A$2:$B$32, 2, FALSE))</f>
        <v>105.985</v>
      </c>
      <c r="P687" s="2">
        <f>(16112*Table1[[#This Row],[Generation (TWh)]]*10^9)/10^6</f>
        <v>2489729.3567999997</v>
      </c>
      <c r="Q687" s="2">
        <f>Table1[[#This Row],[Emission Factor (kg CO2/ mmBtu)]]*Table1[[#This Row],[Fuel Consumption (mmBtu)]]*10^3</f>
        <v>263873965880.44797</v>
      </c>
      <c r="R687" s="2">
        <f>(Table1[[#This Row],[CO2 Emissions (g CO2)]])/(Table1[[#This Row],[Generation (TWh)]]*10^9)</f>
        <v>1707.6303200000002</v>
      </c>
    </row>
    <row r="688" spans="1:18" hidden="1">
      <c r="A688" t="s">
        <v>513</v>
      </c>
      <c r="B688" t="s">
        <v>105</v>
      </c>
      <c r="C688" t="str">
        <f>SUBSTITUTE(Table1[[#This Row],[Fuel]],", ",",")</f>
        <v>bioenergy: agricultural waste (solids),bioenergy: wood &amp; other biomass (solids)</v>
      </c>
      <c r="D688" t="s">
        <v>46</v>
      </c>
      <c r="E688" t="s">
        <v>25</v>
      </c>
      <c r="G688">
        <v>10.5</v>
      </c>
      <c r="H688" t="s">
        <v>27</v>
      </c>
      <c r="I688">
        <v>2022</v>
      </c>
      <c r="J688" t="s">
        <v>21</v>
      </c>
      <c r="K688">
        <v>19.2302</v>
      </c>
      <c r="L688">
        <v>108.93680000000001</v>
      </c>
      <c r="M688" t="s">
        <v>102</v>
      </c>
      <c r="N688" s="2">
        <f>Table1[[#This Row],[Capacity (MW)]]*8760*0.72*10^-6</f>
        <v>6.6225599999999982E-2</v>
      </c>
      <c r="O688" s="2" cm="1">
        <f t="array" ref="O688">AVERAGE(VLOOKUP(_xlfn.TEXTSPLIT(Table1[[#This Row],[Fuel (no space after comma)]], ","), FuelList_Final_EF!$A$2:$B$32, 2, FALSE))</f>
        <v>105.985</v>
      </c>
      <c r="P688" s="2">
        <f>(16112*Table1[[#This Row],[Generation (TWh)]]*10^9)/10^6</f>
        <v>1067026.8671999997</v>
      </c>
      <c r="Q688" s="2">
        <f>Table1[[#This Row],[Emission Factor (kg CO2/ mmBtu)]]*Table1[[#This Row],[Fuel Consumption (mmBtu)]]*10^3</f>
        <v>113088842520.19197</v>
      </c>
      <c r="R688" s="2">
        <f>(Table1[[#This Row],[CO2 Emissions (g CO2)]])/(Table1[[#This Row],[Generation (TWh)]]*10^9)</f>
        <v>1707.63032</v>
      </c>
    </row>
    <row r="689" spans="1:18" hidden="1">
      <c r="A689" t="s">
        <v>115</v>
      </c>
      <c r="B689" t="s">
        <v>105</v>
      </c>
      <c r="C689" t="str">
        <f>SUBSTITUTE(Table1[[#This Row],[Fuel]],", ",",")</f>
        <v>bioenergy: agricultural waste (solids),bioenergy: wood &amp; other biomass (solids)</v>
      </c>
      <c r="D689" t="s">
        <v>46</v>
      </c>
      <c r="E689" t="s">
        <v>25</v>
      </c>
      <c r="G689">
        <v>30</v>
      </c>
      <c r="H689" t="s">
        <v>27</v>
      </c>
      <c r="I689">
        <v>2024</v>
      </c>
      <c r="J689" t="s">
        <v>21</v>
      </c>
      <c r="K689">
        <v>19.819400000000002</v>
      </c>
      <c r="L689">
        <v>109.63160000000001</v>
      </c>
      <c r="M689" t="s">
        <v>102</v>
      </c>
      <c r="N689" s="2">
        <f>Table1[[#This Row],[Capacity (MW)]]*8760*0.72*10^-6</f>
        <v>0.189216</v>
      </c>
      <c r="O689" s="2" cm="1">
        <f t="array" ref="O689">AVERAGE(VLOOKUP(_xlfn.TEXTSPLIT(Table1[[#This Row],[Fuel (no space after comma)]], ","), FuelList_Final_EF!$A$2:$B$32, 2, FALSE))</f>
        <v>105.985</v>
      </c>
      <c r="P689" s="2">
        <f>(16112*Table1[[#This Row],[Generation (TWh)]]*10^9)/10^6</f>
        <v>3048648.1919999998</v>
      </c>
      <c r="Q689" s="2">
        <f>Table1[[#This Row],[Emission Factor (kg CO2/ mmBtu)]]*Table1[[#This Row],[Fuel Consumption (mmBtu)]]*10^3</f>
        <v>323110978629.12</v>
      </c>
      <c r="R689" s="2">
        <f>(Table1[[#This Row],[CO2 Emissions (g CO2)]])/(Table1[[#This Row],[Generation (TWh)]]*10^9)</f>
        <v>1707.63032</v>
      </c>
    </row>
    <row r="690" spans="1:18" hidden="1">
      <c r="A690" t="s">
        <v>514</v>
      </c>
      <c r="B690" t="s">
        <v>19</v>
      </c>
      <c r="C690" t="str">
        <f>SUBSTITUTE(Table1[[#This Row],[Fuel]],", ",",")</f>
        <v>bioenergy: refuse (municipal and industrial wastes)</v>
      </c>
      <c r="D690" t="s">
        <v>19</v>
      </c>
      <c r="G690">
        <v>30</v>
      </c>
      <c r="H690" t="s">
        <v>27</v>
      </c>
      <c r="I690">
        <v>2020</v>
      </c>
      <c r="J690" t="s">
        <v>21</v>
      </c>
      <c r="K690">
        <v>18.423300000000001</v>
      </c>
      <c r="L690">
        <v>109.304</v>
      </c>
      <c r="M690" t="s">
        <v>102</v>
      </c>
      <c r="N690" s="2">
        <f>Table1[[#This Row],[Capacity (MW)]]*8760*0.72*10^-6</f>
        <v>0.189216</v>
      </c>
      <c r="O690" s="2" cm="1">
        <f t="array" ref="O690">AVERAGE(VLOOKUP(_xlfn.TEXTSPLIT(Table1[[#This Row],[Fuel (no space after comma)]], ","), FuelList_Final_EF!$A$2:$B$32, 2, FALSE))</f>
        <v>105.42962572482868</v>
      </c>
      <c r="P690" s="2">
        <f>(16112*Table1[[#This Row],[Generation (TWh)]]*10^9)/10^6</f>
        <v>3048648.1919999998</v>
      </c>
      <c r="Q690" s="2">
        <f>Table1[[#This Row],[Emission Factor (kg CO2/ mmBtu)]]*Table1[[#This Row],[Fuel Consumption (mmBtu)]]*10^3</f>
        <v>321417837849.23566</v>
      </c>
      <c r="R690" s="2">
        <f>(Table1[[#This Row],[CO2 Emissions (g CO2)]])/(Table1[[#This Row],[Generation (TWh)]]*10^9)</f>
        <v>1698.6821296784397</v>
      </c>
    </row>
    <row r="691" spans="1:18">
      <c r="A691" t="s">
        <v>515</v>
      </c>
      <c r="B691" t="s">
        <v>105</v>
      </c>
      <c r="C691" t="str">
        <f>SUBSTITUTE(Table1[[#This Row],[Fuel]],", ",",")</f>
        <v>bioenergy: agricultural waste (solids),bioenergy: wood &amp; other biomass (solids)</v>
      </c>
      <c r="D691" t="s">
        <v>46</v>
      </c>
      <c r="E691" t="s">
        <v>25</v>
      </c>
      <c r="G691">
        <v>30</v>
      </c>
      <c r="H691" t="s">
        <v>97</v>
      </c>
      <c r="I691" t="s">
        <v>21</v>
      </c>
      <c r="J691" t="s">
        <v>21</v>
      </c>
      <c r="K691">
        <v>18.912800000000001</v>
      </c>
      <c r="L691">
        <v>110.36960000000001</v>
      </c>
      <c r="M691" t="s">
        <v>102</v>
      </c>
      <c r="N691" s="2">
        <f>Table1[[#This Row],[Capacity (MW)]]*8760*0.72*10^-6</f>
        <v>0.189216</v>
      </c>
      <c r="O691" s="2" cm="1">
        <f t="array" ref="O691">AVERAGE(VLOOKUP(_xlfn.TEXTSPLIT(Table1[[#This Row],[Fuel (no space after comma)]], ","), FuelList_Final_EF!$A$2:$B$32, 2, FALSE))</f>
        <v>105.985</v>
      </c>
      <c r="P691" s="2">
        <f>(16112*Table1[[#This Row],[Generation (TWh)]]*10^9)/10^6</f>
        <v>3048648.1919999998</v>
      </c>
      <c r="Q691" s="2">
        <f>Table1[[#This Row],[Emission Factor (kg CO2/ mmBtu)]]*Table1[[#This Row],[Fuel Consumption (mmBtu)]]*10^3</f>
        <v>323110978629.12</v>
      </c>
      <c r="R691" s="2">
        <f>(Table1[[#This Row],[CO2 Emissions (g CO2)]])/(Table1[[#This Row],[Generation (TWh)]]*10^9)</f>
        <v>1707.63032</v>
      </c>
    </row>
    <row r="692" spans="1:18">
      <c r="A692" t="s">
        <v>515</v>
      </c>
      <c r="B692" t="s">
        <v>105</v>
      </c>
      <c r="C692" t="str">
        <f>SUBSTITUTE(Table1[[#This Row],[Fuel]],", ",",")</f>
        <v>bioenergy: agricultural waste (solids),bioenergy: wood &amp; other biomass (solids)</v>
      </c>
      <c r="D692" t="s">
        <v>46</v>
      </c>
      <c r="E692" t="s">
        <v>25</v>
      </c>
      <c r="G692">
        <v>30</v>
      </c>
      <c r="H692" t="s">
        <v>97</v>
      </c>
      <c r="I692" t="s">
        <v>21</v>
      </c>
      <c r="J692" t="s">
        <v>21</v>
      </c>
      <c r="K692">
        <v>18.912800000000001</v>
      </c>
      <c r="L692">
        <v>110.36960000000001</v>
      </c>
      <c r="M692" t="s">
        <v>102</v>
      </c>
      <c r="N692" s="2">
        <f>Table1[[#This Row],[Capacity (MW)]]*8760*0.72*10^-6</f>
        <v>0.189216</v>
      </c>
      <c r="O692" s="2" cm="1">
        <f t="array" ref="O692">AVERAGE(VLOOKUP(_xlfn.TEXTSPLIT(Table1[[#This Row],[Fuel (no space after comma)]], ","), FuelList_Final_EF!$A$2:$B$32, 2, FALSE))</f>
        <v>105.985</v>
      </c>
      <c r="P692" s="2">
        <f>(16112*Table1[[#This Row],[Generation (TWh)]]*10^9)/10^6</f>
        <v>3048648.1919999998</v>
      </c>
      <c r="Q692" s="2">
        <f>Table1[[#This Row],[Emission Factor (kg CO2/ mmBtu)]]*Table1[[#This Row],[Fuel Consumption (mmBtu)]]*10^3</f>
        <v>323110978629.12</v>
      </c>
      <c r="R692" s="2">
        <f>(Table1[[#This Row],[CO2 Emissions (g CO2)]])/(Table1[[#This Row],[Generation (TWh)]]*10^9)</f>
        <v>1707.63032</v>
      </c>
    </row>
    <row r="693" spans="1:18" hidden="1">
      <c r="A693" t="s">
        <v>516</v>
      </c>
      <c r="B693" t="s">
        <v>25</v>
      </c>
      <c r="C693" t="str">
        <f>SUBSTITUTE(Table1[[#This Row],[Fuel]],", ",",")</f>
        <v>bioenergy: wood &amp; other biomass (solids)</v>
      </c>
      <c r="D693" t="s">
        <v>25</v>
      </c>
      <c r="G693">
        <v>50</v>
      </c>
      <c r="H693" t="s">
        <v>27</v>
      </c>
      <c r="I693">
        <v>2013</v>
      </c>
      <c r="J693" t="s">
        <v>21</v>
      </c>
      <c r="K693">
        <v>36.7014</v>
      </c>
      <c r="L693">
        <v>-78.8733</v>
      </c>
      <c r="M693" t="s">
        <v>62</v>
      </c>
      <c r="N693" s="2">
        <f>Table1[[#This Row],[Capacity (MW)]]*8760*0.72*10^-6</f>
        <v>0.31535999999999997</v>
      </c>
      <c r="O693" s="2" cm="1">
        <f t="array" ref="O693">AVERAGE(VLOOKUP(_xlfn.TEXTSPLIT(Table1[[#This Row],[Fuel (no space after comma)]], ","), FuelList_Final_EF!$A$2:$B$32, 2, FALSE))</f>
        <v>93.8</v>
      </c>
      <c r="P693" s="2">
        <f>(16112*Table1[[#This Row],[Generation (TWh)]]*10^9)/10^6</f>
        <v>5081080.32</v>
      </c>
      <c r="Q693" s="2">
        <f>Table1[[#This Row],[Emission Factor (kg CO2/ mmBtu)]]*Table1[[#This Row],[Fuel Consumption (mmBtu)]]*10^3</f>
        <v>476605334016.00006</v>
      </c>
      <c r="R693" s="2">
        <f>(Table1[[#This Row],[CO2 Emissions (g CO2)]])/(Table1[[#This Row],[Generation (TWh)]]*10^9)</f>
        <v>1511.3056000000001</v>
      </c>
    </row>
    <row r="694" spans="1:18">
      <c r="A694" t="s">
        <v>21</v>
      </c>
      <c r="B694" t="s">
        <v>46</v>
      </c>
      <c r="C694" t="str">
        <f>SUBSTITUTE(Table1[[#This Row],[Fuel]],", ",",")</f>
        <v>bioenergy: agricultural waste (solids)</v>
      </c>
      <c r="D694" t="s">
        <v>46</v>
      </c>
      <c r="G694">
        <v>46</v>
      </c>
      <c r="H694" t="s">
        <v>20</v>
      </c>
      <c r="I694" t="s">
        <v>21</v>
      </c>
      <c r="J694" t="s">
        <v>21</v>
      </c>
      <c r="K694">
        <v>34.691499999999998</v>
      </c>
      <c r="L694">
        <v>137.62379999999999</v>
      </c>
      <c r="M694" t="s">
        <v>51</v>
      </c>
      <c r="N694" s="2">
        <f>Table1[[#This Row],[Capacity (MW)]]*8760*0.72*10^-6</f>
        <v>0.29013119999999998</v>
      </c>
      <c r="O694" s="2" cm="1">
        <f t="array" ref="O694">AVERAGE(VLOOKUP(_xlfn.TEXTSPLIT(Table1[[#This Row],[Fuel (no space after comma)]], ","), FuelList_Final_EF!$A$2:$B$32, 2, FALSE))</f>
        <v>118.17</v>
      </c>
      <c r="P694" s="2">
        <f>(16112*Table1[[#This Row],[Generation (TWh)]]*10^9)/10^6</f>
        <v>4674593.8943999996</v>
      </c>
      <c r="Q694" s="2">
        <f>Table1[[#This Row],[Emission Factor (kg CO2/ mmBtu)]]*Table1[[#This Row],[Fuel Consumption (mmBtu)]]*10^3</f>
        <v>552396760501.24805</v>
      </c>
      <c r="R694" s="2">
        <f>(Table1[[#This Row],[CO2 Emissions (g CO2)]])/(Table1[[#This Row],[Generation (TWh)]]*10^9)</f>
        <v>1903.9550400000001</v>
      </c>
    </row>
    <row r="695" spans="1:18" hidden="1">
      <c r="A695" t="s">
        <v>517</v>
      </c>
      <c r="B695" t="s">
        <v>134</v>
      </c>
      <c r="C695" t="str">
        <f>SUBSTITUTE(Table1[[#This Row],[Fuel]],", ",",")</f>
        <v>bioenergy: unknown,fossil gas: natural gas</v>
      </c>
      <c r="D695" t="s">
        <v>96</v>
      </c>
      <c r="E695" t="s">
        <v>69</v>
      </c>
      <c r="G695">
        <v>65</v>
      </c>
      <c r="H695" t="s">
        <v>27</v>
      </c>
      <c r="I695">
        <v>1982</v>
      </c>
      <c r="J695" t="s">
        <v>21</v>
      </c>
      <c r="K695">
        <v>60.92924</v>
      </c>
      <c r="L695">
        <v>24.6343</v>
      </c>
      <c r="M695" t="s">
        <v>28</v>
      </c>
      <c r="N695" s="2">
        <f>Table1[[#This Row],[Capacity (MW)]]*8760*0.72*10^-6</f>
        <v>0.409968</v>
      </c>
      <c r="O695" s="2" cm="1">
        <f t="array" ref="O695">AVERAGE(VLOOKUP(_xlfn.TEXTSPLIT(Table1[[#This Row],[Fuel (no space after comma)]], ","), FuelList_Final_EF!$A$2:$B$32, 2, FALSE))</f>
        <v>62.922803008799328</v>
      </c>
      <c r="P695" s="2">
        <f>(16112*Table1[[#This Row],[Generation (TWh)]]*10^9)/10^6</f>
        <v>6605404.4160000002</v>
      </c>
      <c r="Q695" s="2">
        <f>Table1[[#This Row],[Emission Factor (kg CO2/ mmBtu)]]*Table1[[#This Row],[Fuel Consumption (mmBtu)]]*10^3</f>
        <v>415630560861.42114</v>
      </c>
      <c r="R695" s="2">
        <f>(Table1[[#This Row],[CO2 Emissions (g CO2)]])/(Table1[[#This Row],[Generation (TWh)]]*10^9)</f>
        <v>1013.8122020777747</v>
      </c>
    </row>
    <row r="696" spans="1:18" hidden="1">
      <c r="A696" t="s">
        <v>21</v>
      </c>
      <c r="B696" t="s">
        <v>46</v>
      </c>
      <c r="C696" t="str">
        <f>SUBSTITUTE(Table1[[#This Row],[Fuel]],", ",",")</f>
        <v>bioenergy: agricultural waste (solids)</v>
      </c>
      <c r="D696" t="s">
        <v>46</v>
      </c>
      <c r="G696">
        <v>60</v>
      </c>
      <c r="H696" t="s">
        <v>27</v>
      </c>
      <c r="I696">
        <v>2018</v>
      </c>
      <c r="J696" t="s">
        <v>21</v>
      </c>
      <c r="K696">
        <v>28.6875182</v>
      </c>
      <c r="L696">
        <v>70.744484400000005</v>
      </c>
      <c r="M696" t="s">
        <v>160</v>
      </c>
      <c r="N696" s="2">
        <f>Table1[[#This Row],[Capacity (MW)]]*8760*0.72*10^-6</f>
        <v>0.37843199999999999</v>
      </c>
      <c r="O696" s="2" cm="1">
        <f t="array" ref="O696">AVERAGE(VLOOKUP(_xlfn.TEXTSPLIT(Table1[[#This Row],[Fuel (no space after comma)]], ","), FuelList_Final_EF!$A$2:$B$32, 2, FALSE))</f>
        <v>118.17</v>
      </c>
      <c r="P696" s="2">
        <f>(16112*Table1[[#This Row],[Generation (TWh)]]*10^9)/10^6</f>
        <v>6097296.3839999996</v>
      </c>
      <c r="Q696" s="2">
        <f>Table1[[#This Row],[Emission Factor (kg CO2/ mmBtu)]]*Table1[[#This Row],[Fuel Consumption (mmBtu)]]*10^3</f>
        <v>720517513697.27991</v>
      </c>
      <c r="R696" s="2">
        <f>(Table1[[#This Row],[CO2 Emissions (g CO2)]])/(Table1[[#This Row],[Generation (TWh)]]*10^9)</f>
        <v>1903.9550399999998</v>
      </c>
    </row>
    <row r="697" spans="1:18">
      <c r="A697" t="s">
        <v>21</v>
      </c>
      <c r="B697" t="s">
        <v>46</v>
      </c>
      <c r="C697" t="str">
        <f>SUBSTITUTE(Table1[[#This Row],[Fuel]],", ",",")</f>
        <v>bioenergy: agricultural waste (solids)</v>
      </c>
      <c r="D697" t="s">
        <v>46</v>
      </c>
      <c r="G697">
        <v>44</v>
      </c>
      <c r="H697" t="s">
        <v>20</v>
      </c>
      <c r="I697" t="s">
        <v>21</v>
      </c>
      <c r="J697" t="s">
        <v>21</v>
      </c>
      <c r="K697">
        <v>34.899000000000001</v>
      </c>
      <c r="L697">
        <v>136.9614</v>
      </c>
      <c r="M697" t="s">
        <v>51</v>
      </c>
      <c r="N697" s="2">
        <f>Table1[[#This Row],[Capacity (MW)]]*8760*0.72*10^-6</f>
        <v>0.27751679999999995</v>
      </c>
      <c r="O697" s="2" cm="1">
        <f t="array" ref="O697">AVERAGE(VLOOKUP(_xlfn.TEXTSPLIT(Table1[[#This Row],[Fuel (no space after comma)]], ","), FuelList_Final_EF!$A$2:$B$32, 2, FALSE))</f>
        <v>118.17</v>
      </c>
      <c r="P697" s="2">
        <f>(16112*Table1[[#This Row],[Generation (TWh)]]*10^9)/10^6</f>
        <v>4471350.6815999988</v>
      </c>
      <c r="Q697" s="2">
        <f>Table1[[#This Row],[Emission Factor (kg CO2/ mmBtu)]]*Table1[[#This Row],[Fuel Consumption (mmBtu)]]*10^3</f>
        <v>528379510044.67188</v>
      </c>
      <c r="R697" s="2">
        <f>(Table1[[#This Row],[CO2 Emissions (g CO2)]])/(Table1[[#This Row],[Generation (TWh)]]*10^9)</f>
        <v>1903.9550400000001</v>
      </c>
    </row>
    <row r="698" spans="1:18" hidden="1">
      <c r="A698" t="s">
        <v>518</v>
      </c>
      <c r="B698" t="s">
        <v>210</v>
      </c>
      <c r="C698" t="str">
        <f>SUBSTITUTE(Table1[[#This Row],[Fuel]],", ",",")</f>
        <v>bioenergy: wood &amp; other biomass (solids),bioenergy: agricultural waste (solids)</v>
      </c>
      <c r="D698" t="s">
        <v>25</v>
      </c>
      <c r="E698" t="s">
        <v>46</v>
      </c>
      <c r="G698">
        <v>75</v>
      </c>
      <c r="H698" t="s">
        <v>27</v>
      </c>
      <c r="I698">
        <v>2017</v>
      </c>
      <c r="J698" t="s">
        <v>21</v>
      </c>
      <c r="K698">
        <v>34.870199999999997</v>
      </c>
      <c r="L698">
        <v>136.9442</v>
      </c>
      <c r="M698" t="s">
        <v>51</v>
      </c>
      <c r="N698" s="2">
        <f>Table1[[#This Row],[Capacity (MW)]]*8760*0.72*10^-6</f>
        <v>0.47303999999999996</v>
      </c>
      <c r="O698" s="2" cm="1">
        <f t="array" ref="O698">AVERAGE(VLOOKUP(_xlfn.TEXTSPLIT(Table1[[#This Row],[Fuel (no space after comma)]], ","), FuelList_Final_EF!$A$2:$B$32, 2, FALSE))</f>
        <v>105.985</v>
      </c>
      <c r="P698" s="2">
        <f>(16112*Table1[[#This Row],[Generation (TWh)]]*10^9)/10^6</f>
        <v>7621620.4800000004</v>
      </c>
      <c r="Q698" s="2">
        <f>Table1[[#This Row],[Emission Factor (kg CO2/ mmBtu)]]*Table1[[#This Row],[Fuel Consumption (mmBtu)]]*10^3</f>
        <v>807777446572.80005</v>
      </c>
      <c r="R698" s="2">
        <f>(Table1[[#This Row],[CO2 Emissions (g CO2)]])/(Table1[[#This Row],[Generation (TWh)]]*10^9)</f>
        <v>1707.6303200000002</v>
      </c>
    </row>
    <row r="699" spans="1:18">
      <c r="A699" t="s">
        <v>31</v>
      </c>
      <c r="B699" t="s">
        <v>251</v>
      </c>
      <c r="C699" t="str">
        <f>SUBSTITUTE(Table1[[#This Row],[Fuel]],", ",",")</f>
        <v>bioenergy: wood &amp; other biomass (solids),bioenergy: refuse (municipal and industrial wastes)</v>
      </c>
      <c r="D699" t="s">
        <v>25</v>
      </c>
      <c r="E699" t="s">
        <v>19</v>
      </c>
      <c r="G699">
        <v>40</v>
      </c>
      <c r="H699" t="s">
        <v>27</v>
      </c>
      <c r="I699" t="s">
        <v>21</v>
      </c>
      <c r="J699" t="s">
        <v>21</v>
      </c>
      <c r="K699">
        <v>58.620600000000003</v>
      </c>
      <c r="L699">
        <v>16.2319</v>
      </c>
      <c r="M699" t="s">
        <v>34</v>
      </c>
      <c r="N699" s="2">
        <f>Table1[[#This Row],[Capacity (MW)]]*8760*0.72*10^-6</f>
        <v>0.25228800000000001</v>
      </c>
      <c r="O699" s="2" cm="1">
        <f t="array" ref="O699">AVERAGE(VLOOKUP(_xlfn.TEXTSPLIT(Table1[[#This Row],[Fuel (no space after comma)]], ","), FuelList_Final_EF!$A$2:$B$32, 2, FALSE))</f>
        <v>99.61481286241434</v>
      </c>
      <c r="P699" s="2">
        <f>(16112*Table1[[#This Row],[Generation (TWh)]]*10^9)/10^6</f>
        <v>4064864.2560000005</v>
      </c>
      <c r="Q699" s="2">
        <f>Table1[[#This Row],[Emission Factor (kg CO2/ mmBtu)]]*Table1[[#This Row],[Fuel Consumption (mmBtu)]]*10^3</f>
        <v>404920692172.55719</v>
      </c>
      <c r="R699" s="2">
        <f>(Table1[[#This Row],[CO2 Emissions (g CO2)]])/(Table1[[#This Row],[Generation (TWh)]]*10^9)</f>
        <v>1604.9938648392201</v>
      </c>
    </row>
    <row r="700" spans="1:18">
      <c r="A700" t="s">
        <v>31</v>
      </c>
      <c r="B700" t="s">
        <v>251</v>
      </c>
      <c r="C700" t="str">
        <f>SUBSTITUTE(Table1[[#This Row],[Fuel]],", ",",")</f>
        <v>bioenergy: wood &amp; other biomass (solids),bioenergy: refuse (municipal and industrial wastes)</v>
      </c>
      <c r="D700" t="s">
        <v>25</v>
      </c>
      <c r="E700" t="s">
        <v>19</v>
      </c>
      <c r="G700">
        <v>89</v>
      </c>
      <c r="H700" t="s">
        <v>27</v>
      </c>
      <c r="I700" t="s">
        <v>21</v>
      </c>
      <c r="J700" t="s">
        <v>21</v>
      </c>
      <c r="K700">
        <v>58.620600000000003</v>
      </c>
      <c r="L700">
        <v>16.2319</v>
      </c>
      <c r="M700" t="s">
        <v>34</v>
      </c>
      <c r="N700" s="2">
        <f>Table1[[#This Row],[Capacity (MW)]]*8760*0.72*10^-6</f>
        <v>0.56134079999999986</v>
      </c>
      <c r="O700" s="2" cm="1">
        <f t="array" ref="O700">AVERAGE(VLOOKUP(_xlfn.TEXTSPLIT(Table1[[#This Row],[Fuel (no space after comma)]], ","), FuelList_Final_EF!$A$2:$B$32, 2, FALSE))</f>
        <v>99.61481286241434</v>
      </c>
      <c r="P700" s="2">
        <f>(16112*Table1[[#This Row],[Generation (TWh)]]*10^9)/10^6</f>
        <v>9044322.9695999976</v>
      </c>
      <c r="Q700" s="2">
        <f>Table1[[#This Row],[Emission Factor (kg CO2/ mmBtu)]]*Table1[[#This Row],[Fuel Consumption (mmBtu)]]*10^3</f>
        <v>900948540083.93933</v>
      </c>
      <c r="R700" s="2">
        <f>(Table1[[#This Row],[CO2 Emissions (g CO2)]])/(Table1[[#This Row],[Generation (TWh)]]*10^9)</f>
        <v>1604.9938648392199</v>
      </c>
    </row>
    <row r="701" spans="1:18">
      <c r="A701" t="s">
        <v>519</v>
      </c>
      <c r="B701" t="s">
        <v>61</v>
      </c>
      <c r="C701" t="str">
        <f>SUBSTITUTE(Table1[[#This Row],[Fuel]],", ",",")</f>
        <v>bioenergy: paper mill wastes</v>
      </c>
      <c r="D701" t="s">
        <v>61</v>
      </c>
      <c r="G701">
        <v>30</v>
      </c>
      <c r="H701" t="s">
        <v>27</v>
      </c>
      <c r="I701" t="s">
        <v>21</v>
      </c>
      <c r="J701" t="s">
        <v>21</v>
      </c>
      <c r="K701">
        <v>49.138500000000001</v>
      </c>
      <c r="L701">
        <v>-123.8571</v>
      </c>
      <c r="M701" t="s">
        <v>79</v>
      </c>
      <c r="N701" s="2">
        <f>Table1[[#This Row],[Capacity (MW)]]*8760*0.72*10^-6</f>
        <v>0.189216</v>
      </c>
      <c r="O701" s="2" cm="1">
        <f t="array" ref="O701">AVERAGE(VLOOKUP(_xlfn.TEXTSPLIT(Table1[[#This Row],[Fuel (no space after comma)]], ","), FuelList_Final_EF!$A$2:$B$32, 2, FALSE))</f>
        <v>100.47443331576173</v>
      </c>
      <c r="P701" s="2">
        <f>(16112*Table1[[#This Row],[Generation (TWh)]]*10^9)/10^6</f>
        <v>3048648.1919999998</v>
      </c>
      <c r="Q701" s="2">
        <f>Table1[[#This Row],[Emission Factor (kg CO2/ mmBtu)]]*Table1[[#This Row],[Fuel Consumption (mmBtu)]]*10^3</f>
        <v>306311199470.32153</v>
      </c>
      <c r="R701" s="2">
        <f>(Table1[[#This Row],[CO2 Emissions (g CO2)]])/(Table1[[#This Row],[Generation (TWh)]]*10^9)</f>
        <v>1618.8440695835529</v>
      </c>
    </row>
    <row r="702" spans="1:18" hidden="1">
      <c r="A702" t="s">
        <v>520</v>
      </c>
      <c r="B702" t="s">
        <v>142</v>
      </c>
      <c r="C702" t="str">
        <f>SUBSTITUTE(Table1[[#This Row],[Fuel]],", ",",")</f>
        <v>bioenergy: wood &amp; other biomass (solids),fossil liquids: heavy fuel oil</v>
      </c>
      <c r="D702" t="s">
        <v>25</v>
      </c>
      <c r="E702" t="s">
        <v>143</v>
      </c>
      <c r="G702">
        <v>75</v>
      </c>
      <c r="H702" t="s">
        <v>94</v>
      </c>
      <c r="I702">
        <v>1959</v>
      </c>
      <c r="J702" t="s">
        <v>21</v>
      </c>
      <c r="K702">
        <v>59.36224</v>
      </c>
      <c r="L702">
        <v>17.82471</v>
      </c>
      <c r="M702" t="s">
        <v>34</v>
      </c>
      <c r="N702" s="2">
        <f>Table1[[#This Row],[Capacity (MW)]]*8760*0.72*10^-6</f>
        <v>0.47303999999999996</v>
      </c>
      <c r="O702" s="2" cm="1">
        <f t="array" ref="O702">AVERAGE(VLOOKUP(_xlfn.TEXTSPLIT(Table1[[#This Row],[Fuel (no space after comma)]], ","), FuelList_Final_EF!$A$2:$B$32, 2, FALSE))</f>
        <v>87.701265155508693</v>
      </c>
      <c r="P702" s="2">
        <f>(16112*Table1[[#This Row],[Generation (TWh)]]*10^9)/10^6</f>
        <v>7621620.4800000004</v>
      </c>
      <c r="Q702" s="2">
        <f>Table1[[#This Row],[Emission Factor (kg CO2/ mmBtu)]]*Table1[[#This Row],[Fuel Consumption (mmBtu)]]*10^3</f>
        <v>668425758631.1355</v>
      </c>
      <c r="R702" s="2">
        <f>(Table1[[#This Row],[CO2 Emissions (g CO2)]])/(Table1[[#This Row],[Generation (TWh)]]*10^9)</f>
        <v>1413.0427841855565</v>
      </c>
    </row>
    <row r="703" spans="1:18" hidden="1">
      <c r="A703" t="s">
        <v>144</v>
      </c>
      <c r="B703" t="s">
        <v>521</v>
      </c>
      <c r="C703" t="str">
        <f>SUBSTITUTE(Table1[[#This Row],[Fuel]],", ",",")</f>
        <v>bioenergy: paper mill wastes,bioenergy: wastewater and sewage sludge (solids or biogas),fossil gas: natural gas</v>
      </c>
      <c r="D703" t="s">
        <v>61</v>
      </c>
      <c r="E703" t="s">
        <v>42</v>
      </c>
      <c r="F703" t="s">
        <v>69</v>
      </c>
      <c r="G703">
        <v>88</v>
      </c>
      <c r="H703" t="s">
        <v>27</v>
      </c>
      <c r="I703">
        <v>2001</v>
      </c>
      <c r="J703" t="s">
        <v>21</v>
      </c>
      <c r="K703">
        <v>37.894799999999996</v>
      </c>
      <c r="L703">
        <v>-86.685400000000001</v>
      </c>
      <c r="M703" t="s">
        <v>62</v>
      </c>
      <c r="N703" s="2">
        <f>Table1[[#This Row],[Capacity (MW)]]*8760*0.72*10^-6</f>
        <v>0.5550335999999999</v>
      </c>
      <c r="O703" s="2" cm="1">
        <f t="array" ref="O703">AVERAGE(VLOOKUP(_xlfn.TEXTSPLIT(Table1[[#This Row],[Fuel (no space after comma)]], ","), FuelList_Final_EF!$A$2:$B$32, 2, FALSE))</f>
        <v>70.366336320506065</v>
      </c>
      <c r="P703" s="2">
        <f>(16112*Table1[[#This Row],[Generation (TWh)]]*10^9)/10^6</f>
        <v>8942701.3631999977</v>
      </c>
      <c r="Q703" s="2">
        <f>Table1[[#This Row],[Emission Factor (kg CO2/ mmBtu)]]*Table1[[#This Row],[Fuel Consumption (mmBtu)]]*10^3</f>
        <v>629265131736.77905</v>
      </c>
      <c r="R703" s="2">
        <f>(Table1[[#This Row],[CO2 Emissions (g CO2)]])/(Table1[[#This Row],[Generation (TWh)]]*10^9)</f>
        <v>1133.7424107959937</v>
      </c>
    </row>
    <row r="704" spans="1:18" hidden="1">
      <c r="A704" t="s">
        <v>522</v>
      </c>
      <c r="B704" t="s">
        <v>105</v>
      </c>
      <c r="C704" t="str">
        <f>SUBSTITUTE(Table1[[#This Row],[Fuel]],", ",",")</f>
        <v>bioenergy: agricultural waste (solids),bioenergy: wood &amp; other biomass (solids)</v>
      </c>
      <c r="D704" t="s">
        <v>46</v>
      </c>
      <c r="E704" t="s">
        <v>25</v>
      </c>
      <c r="G704">
        <v>7.5</v>
      </c>
      <c r="H704" t="s">
        <v>27</v>
      </c>
      <c r="I704">
        <v>2017</v>
      </c>
      <c r="J704" t="s">
        <v>21</v>
      </c>
      <c r="K704">
        <v>38.230899999999998</v>
      </c>
      <c r="L704">
        <v>115.5752</v>
      </c>
      <c r="M704" t="s">
        <v>102</v>
      </c>
      <c r="N704" s="2">
        <f>Table1[[#This Row],[Capacity (MW)]]*8760*0.72*10^-6</f>
        <v>4.7303999999999999E-2</v>
      </c>
      <c r="O704" s="2" cm="1">
        <f t="array" ref="O704">AVERAGE(VLOOKUP(_xlfn.TEXTSPLIT(Table1[[#This Row],[Fuel (no space after comma)]], ","), FuelList_Final_EF!$A$2:$B$32, 2, FALSE))</f>
        <v>105.985</v>
      </c>
      <c r="P704" s="2">
        <f>(16112*Table1[[#This Row],[Generation (TWh)]]*10^9)/10^6</f>
        <v>762162.04799999995</v>
      </c>
      <c r="Q704" s="2">
        <f>Table1[[#This Row],[Emission Factor (kg CO2/ mmBtu)]]*Table1[[#This Row],[Fuel Consumption (mmBtu)]]*10^3</f>
        <v>80777744657.279999</v>
      </c>
      <c r="R704" s="2">
        <f>(Table1[[#This Row],[CO2 Emissions (g CO2)]])/(Table1[[#This Row],[Generation (TWh)]]*10^9)</f>
        <v>1707.63032</v>
      </c>
    </row>
    <row r="705" spans="1:18" hidden="1">
      <c r="A705" t="s">
        <v>523</v>
      </c>
      <c r="B705" t="s">
        <v>105</v>
      </c>
      <c r="C705" t="str">
        <f>SUBSTITUTE(Table1[[#This Row],[Fuel]],", ",",")</f>
        <v>bioenergy: agricultural waste (solids),bioenergy: wood &amp; other biomass (solids)</v>
      </c>
      <c r="D705" t="s">
        <v>46</v>
      </c>
      <c r="E705" t="s">
        <v>25</v>
      </c>
      <c r="G705">
        <v>4.8</v>
      </c>
      <c r="H705" t="s">
        <v>27</v>
      </c>
      <c r="I705">
        <v>2017</v>
      </c>
      <c r="J705" t="s">
        <v>21</v>
      </c>
      <c r="K705">
        <v>38.230899999999998</v>
      </c>
      <c r="L705">
        <v>115.5752</v>
      </c>
      <c r="M705" t="s">
        <v>102</v>
      </c>
      <c r="N705" s="2">
        <f>Table1[[#This Row],[Capacity (MW)]]*8760*0.72*10^-6</f>
        <v>3.0274559999999996E-2</v>
      </c>
      <c r="O705" s="2" cm="1">
        <f t="array" ref="O705">AVERAGE(VLOOKUP(_xlfn.TEXTSPLIT(Table1[[#This Row],[Fuel (no space after comma)]], ","), FuelList_Final_EF!$A$2:$B$32, 2, FALSE))</f>
        <v>105.985</v>
      </c>
      <c r="P705" s="2">
        <f>(16112*Table1[[#This Row],[Generation (TWh)]]*10^9)/10^6</f>
        <v>487783.71071999992</v>
      </c>
      <c r="Q705" s="2">
        <f>Table1[[#This Row],[Emission Factor (kg CO2/ mmBtu)]]*Table1[[#This Row],[Fuel Consumption (mmBtu)]]*10^3</f>
        <v>51697756580.659187</v>
      </c>
      <c r="R705" s="2">
        <f>(Table1[[#This Row],[CO2 Emissions (g CO2)]])/(Table1[[#This Row],[Generation (TWh)]]*10^9)</f>
        <v>1707.6303199999998</v>
      </c>
    </row>
    <row r="706" spans="1:18" hidden="1">
      <c r="A706" t="s">
        <v>524</v>
      </c>
      <c r="B706" t="s">
        <v>105</v>
      </c>
      <c r="C706" t="str">
        <f>SUBSTITUTE(Table1[[#This Row],[Fuel]],", ",",")</f>
        <v>bioenergy: agricultural waste (solids),bioenergy: wood &amp; other biomass (solids)</v>
      </c>
      <c r="D706" t="s">
        <v>46</v>
      </c>
      <c r="E706" t="s">
        <v>25</v>
      </c>
      <c r="G706">
        <v>9.3000000000000007</v>
      </c>
      <c r="H706" t="s">
        <v>27</v>
      </c>
      <c r="I706">
        <v>2017</v>
      </c>
      <c r="J706" t="s">
        <v>21</v>
      </c>
      <c r="K706">
        <v>38.230899999999998</v>
      </c>
      <c r="L706">
        <v>115.5752</v>
      </c>
      <c r="M706" t="s">
        <v>102</v>
      </c>
      <c r="N706" s="2">
        <f>Table1[[#This Row],[Capacity (MW)]]*8760*0.72*10^-6</f>
        <v>5.8656959999999994E-2</v>
      </c>
      <c r="O706" s="2" cm="1">
        <f t="array" ref="O706">AVERAGE(VLOOKUP(_xlfn.TEXTSPLIT(Table1[[#This Row],[Fuel (no space after comma)]], ","), FuelList_Final_EF!$A$2:$B$32, 2, FALSE))</f>
        <v>105.985</v>
      </c>
      <c r="P706" s="2">
        <f>(16112*Table1[[#This Row],[Generation (TWh)]]*10^9)/10^6</f>
        <v>945080.9395199999</v>
      </c>
      <c r="Q706" s="2">
        <f>Table1[[#This Row],[Emission Factor (kg CO2/ mmBtu)]]*Table1[[#This Row],[Fuel Consumption (mmBtu)]]*10^3</f>
        <v>100164403375.02719</v>
      </c>
      <c r="R706" s="2">
        <f>(Table1[[#This Row],[CO2 Emissions (g CO2)]])/(Table1[[#This Row],[Generation (TWh)]]*10^9)</f>
        <v>1707.63032</v>
      </c>
    </row>
    <row r="707" spans="1:18" hidden="1">
      <c r="A707" t="s">
        <v>525</v>
      </c>
      <c r="B707" t="s">
        <v>105</v>
      </c>
      <c r="C707" t="str">
        <f>SUBSTITUTE(Table1[[#This Row],[Fuel]],", ",",")</f>
        <v>bioenergy: agricultural waste (solids),bioenergy: wood &amp; other biomass (solids)</v>
      </c>
      <c r="D707" t="s">
        <v>46</v>
      </c>
      <c r="E707" t="s">
        <v>25</v>
      </c>
      <c r="G707">
        <v>6</v>
      </c>
      <c r="H707" t="s">
        <v>27</v>
      </c>
      <c r="I707">
        <v>2017</v>
      </c>
      <c r="J707" t="s">
        <v>21</v>
      </c>
      <c r="K707">
        <v>38.230899999999998</v>
      </c>
      <c r="L707">
        <v>115.5752</v>
      </c>
      <c r="M707" t="s">
        <v>102</v>
      </c>
      <c r="N707" s="2">
        <f>Table1[[#This Row],[Capacity (MW)]]*8760*0.72*10^-6</f>
        <v>3.7843199999999994E-2</v>
      </c>
      <c r="O707" s="2" cm="1">
        <f t="array" ref="O707">AVERAGE(VLOOKUP(_xlfn.TEXTSPLIT(Table1[[#This Row],[Fuel (no space after comma)]], ","), FuelList_Final_EF!$A$2:$B$32, 2, FALSE))</f>
        <v>105.985</v>
      </c>
      <c r="P707" s="2">
        <f>(16112*Table1[[#This Row],[Generation (TWh)]]*10^9)/10^6</f>
        <v>609729.63839999982</v>
      </c>
      <c r="Q707" s="2">
        <f>Table1[[#This Row],[Emission Factor (kg CO2/ mmBtu)]]*Table1[[#This Row],[Fuel Consumption (mmBtu)]]*10^3</f>
        <v>64622195725.823982</v>
      </c>
      <c r="R707" s="2">
        <f>(Table1[[#This Row],[CO2 Emissions (g CO2)]])/(Table1[[#This Row],[Generation (TWh)]]*10^9)</f>
        <v>1707.6303199999998</v>
      </c>
    </row>
    <row r="708" spans="1:18" hidden="1">
      <c r="A708" t="s">
        <v>526</v>
      </c>
      <c r="B708" t="s">
        <v>105</v>
      </c>
      <c r="C708" t="str">
        <f>SUBSTITUTE(Table1[[#This Row],[Fuel]],", ",",")</f>
        <v>bioenergy: agricultural waste (solids),bioenergy: wood &amp; other biomass (solids)</v>
      </c>
      <c r="D708" t="s">
        <v>46</v>
      </c>
      <c r="E708" t="s">
        <v>25</v>
      </c>
      <c r="G708">
        <v>0.89999999999999991</v>
      </c>
      <c r="H708" t="s">
        <v>27</v>
      </c>
      <c r="I708">
        <v>2017</v>
      </c>
      <c r="J708" t="s">
        <v>21</v>
      </c>
      <c r="K708">
        <v>38.230899999999998</v>
      </c>
      <c r="L708">
        <v>115.5752</v>
      </c>
      <c r="M708" t="s">
        <v>102</v>
      </c>
      <c r="N708" s="2">
        <f>Table1[[#This Row],[Capacity (MW)]]*8760*0.72*10^-6</f>
        <v>5.6764799999999994E-3</v>
      </c>
      <c r="O708" s="2" cm="1">
        <f t="array" ref="O708">AVERAGE(VLOOKUP(_xlfn.TEXTSPLIT(Table1[[#This Row],[Fuel (no space after comma)]], ","), FuelList_Final_EF!$A$2:$B$32, 2, FALSE))</f>
        <v>105.985</v>
      </c>
      <c r="P708" s="2">
        <f>(16112*Table1[[#This Row],[Generation (TWh)]]*10^9)/10^6</f>
        <v>91459.445760000002</v>
      </c>
      <c r="Q708" s="2">
        <f>Table1[[#This Row],[Emission Factor (kg CO2/ mmBtu)]]*Table1[[#This Row],[Fuel Consumption (mmBtu)]]*10^3</f>
        <v>9693329358.8736</v>
      </c>
      <c r="R708" s="2">
        <f>(Table1[[#This Row],[CO2 Emissions (g CO2)]])/(Table1[[#This Row],[Generation (TWh)]]*10^9)</f>
        <v>1707.6303200000002</v>
      </c>
    </row>
    <row r="709" spans="1:18" hidden="1">
      <c r="A709" t="s">
        <v>108</v>
      </c>
      <c r="B709" t="s">
        <v>105</v>
      </c>
      <c r="C709" t="str">
        <f>SUBSTITUTE(Table1[[#This Row],[Fuel]],", ",",")</f>
        <v>bioenergy: agricultural waste (solids),bioenergy: wood &amp; other biomass (solids)</v>
      </c>
      <c r="D709" t="s">
        <v>46</v>
      </c>
      <c r="E709" t="s">
        <v>25</v>
      </c>
      <c r="G709">
        <v>1.5</v>
      </c>
      <c r="H709" t="s">
        <v>27</v>
      </c>
      <c r="I709">
        <v>2017</v>
      </c>
      <c r="J709" t="s">
        <v>21</v>
      </c>
      <c r="K709">
        <v>38.230899999999998</v>
      </c>
      <c r="L709">
        <v>115.5752</v>
      </c>
      <c r="M709" t="s">
        <v>102</v>
      </c>
      <c r="N709" s="2">
        <f>Table1[[#This Row],[Capacity (MW)]]*8760*0.72*10^-6</f>
        <v>9.4607999999999984E-3</v>
      </c>
      <c r="O709" s="2" cm="1">
        <f t="array" ref="O709">AVERAGE(VLOOKUP(_xlfn.TEXTSPLIT(Table1[[#This Row],[Fuel (no space after comma)]], ","), FuelList_Final_EF!$A$2:$B$32, 2, FALSE))</f>
        <v>105.985</v>
      </c>
      <c r="P709" s="2">
        <f>(16112*Table1[[#This Row],[Generation (TWh)]]*10^9)/10^6</f>
        <v>152432.40959999996</v>
      </c>
      <c r="Q709" s="2">
        <f>Table1[[#This Row],[Emission Factor (kg CO2/ mmBtu)]]*Table1[[#This Row],[Fuel Consumption (mmBtu)]]*10^3</f>
        <v>16155548931.455996</v>
      </c>
      <c r="R709" s="2">
        <f>(Table1[[#This Row],[CO2 Emissions (g CO2)]])/(Table1[[#This Row],[Generation (TWh)]]*10^9)</f>
        <v>1707.6303199999998</v>
      </c>
    </row>
    <row r="710" spans="1:18">
      <c r="A710" t="s">
        <v>527</v>
      </c>
      <c r="B710" t="s">
        <v>105</v>
      </c>
      <c r="C710" t="str">
        <f>SUBSTITUTE(Table1[[#This Row],[Fuel]],", ",",")</f>
        <v>bioenergy: agricultural waste (solids),bioenergy: wood &amp; other biomass (solids)</v>
      </c>
      <c r="D710" t="s">
        <v>46</v>
      </c>
      <c r="E710" t="s">
        <v>25</v>
      </c>
      <c r="G710">
        <v>35</v>
      </c>
      <c r="H710" t="s">
        <v>138</v>
      </c>
      <c r="I710" t="s">
        <v>21</v>
      </c>
      <c r="J710" t="s">
        <v>21</v>
      </c>
      <c r="K710">
        <v>37.495100000000001</v>
      </c>
      <c r="L710">
        <v>114.6631</v>
      </c>
      <c r="M710" t="s">
        <v>102</v>
      </c>
      <c r="N710" s="2">
        <f>Table1[[#This Row],[Capacity (MW)]]*8760*0.72*10^-6</f>
        <v>0.220752</v>
      </c>
      <c r="O710" s="2" cm="1">
        <f t="array" ref="O710">AVERAGE(VLOOKUP(_xlfn.TEXTSPLIT(Table1[[#This Row],[Fuel (no space after comma)]], ","), FuelList_Final_EF!$A$2:$B$32, 2, FALSE))</f>
        <v>105.985</v>
      </c>
      <c r="P710" s="2">
        <f>(16112*Table1[[#This Row],[Generation (TWh)]]*10^9)/10^6</f>
        <v>3556756.2239999999</v>
      </c>
      <c r="Q710" s="2">
        <f>Table1[[#This Row],[Emission Factor (kg CO2/ mmBtu)]]*Table1[[#This Row],[Fuel Consumption (mmBtu)]]*10^3</f>
        <v>376962808400.64001</v>
      </c>
      <c r="R710" s="2">
        <f>(Table1[[#This Row],[CO2 Emissions (g CO2)]])/(Table1[[#This Row],[Generation (TWh)]]*10^9)</f>
        <v>1707.63032</v>
      </c>
    </row>
    <row r="711" spans="1:18" hidden="1">
      <c r="A711" t="s">
        <v>117</v>
      </c>
      <c r="B711" t="s">
        <v>46</v>
      </c>
      <c r="C711" t="str">
        <f>SUBSTITUTE(Table1[[#This Row],[Fuel]],", ",",")</f>
        <v>bioenergy: agricultural waste (solids)</v>
      </c>
      <c r="D711" t="s">
        <v>46</v>
      </c>
      <c r="G711">
        <v>30</v>
      </c>
      <c r="H711" t="s">
        <v>27</v>
      </c>
      <c r="I711">
        <v>2020</v>
      </c>
      <c r="J711" t="s">
        <v>21</v>
      </c>
      <c r="K711">
        <v>39.684199999999997</v>
      </c>
      <c r="L711">
        <v>119.1373</v>
      </c>
      <c r="M711" t="s">
        <v>102</v>
      </c>
      <c r="N711" s="2">
        <f>Table1[[#This Row],[Capacity (MW)]]*8760*0.72*10^-6</f>
        <v>0.189216</v>
      </c>
      <c r="O711" s="2" cm="1">
        <f t="array" ref="O711">AVERAGE(VLOOKUP(_xlfn.TEXTSPLIT(Table1[[#This Row],[Fuel (no space after comma)]], ","), FuelList_Final_EF!$A$2:$B$32, 2, FALSE))</f>
        <v>118.17</v>
      </c>
      <c r="P711" s="2">
        <f>(16112*Table1[[#This Row],[Generation (TWh)]]*10^9)/10^6</f>
        <v>3048648.1919999998</v>
      </c>
      <c r="Q711" s="2">
        <f>Table1[[#This Row],[Emission Factor (kg CO2/ mmBtu)]]*Table1[[#This Row],[Fuel Consumption (mmBtu)]]*10^3</f>
        <v>360258756848.63995</v>
      </c>
      <c r="R711" s="2">
        <f>(Table1[[#This Row],[CO2 Emissions (g CO2)]])/(Table1[[#This Row],[Generation (TWh)]]*10^9)</f>
        <v>1903.9550399999998</v>
      </c>
    </row>
    <row r="712" spans="1:18" hidden="1">
      <c r="A712" t="s">
        <v>117</v>
      </c>
      <c r="B712" t="s">
        <v>105</v>
      </c>
      <c r="C712" t="str">
        <f>SUBSTITUTE(Table1[[#This Row],[Fuel]],", ",",")</f>
        <v>bioenergy: agricultural waste (solids),bioenergy: wood &amp; other biomass (solids)</v>
      </c>
      <c r="D712" t="s">
        <v>46</v>
      </c>
      <c r="E712" t="s">
        <v>25</v>
      </c>
      <c r="G712">
        <v>30</v>
      </c>
      <c r="H712" t="s">
        <v>27</v>
      </c>
      <c r="I712">
        <v>2007</v>
      </c>
      <c r="J712" t="s">
        <v>21</v>
      </c>
      <c r="K712">
        <v>36.4437</v>
      </c>
      <c r="L712">
        <v>114.6866</v>
      </c>
      <c r="M712" t="s">
        <v>102</v>
      </c>
      <c r="N712" s="2">
        <f>Table1[[#This Row],[Capacity (MW)]]*8760*0.72*10^-6</f>
        <v>0.189216</v>
      </c>
      <c r="O712" s="2" cm="1">
        <f t="array" ref="O712">AVERAGE(VLOOKUP(_xlfn.TEXTSPLIT(Table1[[#This Row],[Fuel (no space after comma)]], ","), FuelList_Final_EF!$A$2:$B$32, 2, FALSE))</f>
        <v>105.985</v>
      </c>
      <c r="P712" s="2">
        <f>(16112*Table1[[#This Row],[Generation (TWh)]]*10^9)/10^6</f>
        <v>3048648.1919999998</v>
      </c>
      <c r="Q712" s="2">
        <f>Table1[[#This Row],[Emission Factor (kg CO2/ mmBtu)]]*Table1[[#This Row],[Fuel Consumption (mmBtu)]]*10^3</f>
        <v>323110978629.12</v>
      </c>
      <c r="R712" s="2">
        <f>(Table1[[#This Row],[CO2 Emissions (g CO2)]])/(Table1[[#This Row],[Generation (TWh)]]*10^9)</f>
        <v>1707.63032</v>
      </c>
    </row>
    <row r="713" spans="1:18" hidden="1">
      <c r="A713" t="s">
        <v>492</v>
      </c>
      <c r="B713" t="s">
        <v>105</v>
      </c>
      <c r="C713" t="str">
        <f>SUBSTITUTE(Table1[[#This Row],[Fuel]],", ",",")</f>
        <v>bioenergy: agricultural waste (solids),bioenergy: wood &amp; other biomass (solids)</v>
      </c>
      <c r="D713" t="s">
        <v>46</v>
      </c>
      <c r="E713" t="s">
        <v>25</v>
      </c>
      <c r="G713">
        <v>30</v>
      </c>
      <c r="H713" t="s">
        <v>27</v>
      </c>
      <c r="I713">
        <v>2016</v>
      </c>
      <c r="J713" t="s">
        <v>21</v>
      </c>
      <c r="K713">
        <v>38.798699999999997</v>
      </c>
      <c r="L713">
        <v>116.6443</v>
      </c>
      <c r="M713" t="s">
        <v>102</v>
      </c>
      <c r="N713" s="2">
        <f>Table1[[#This Row],[Capacity (MW)]]*8760*0.72*10^-6</f>
        <v>0.189216</v>
      </c>
      <c r="O713" s="2" cm="1">
        <f t="array" ref="O713">AVERAGE(VLOOKUP(_xlfn.TEXTSPLIT(Table1[[#This Row],[Fuel (no space after comma)]], ","), FuelList_Final_EF!$A$2:$B$32, 2, FALSE))</f>
        <v>105.985</v>
      </c>
      <c r="P713" s="2">
        <f>(16112*Table1[[#This Row],[Generation (TWh)]]*10^9)/10^6</f>
        <v>3048648.1919999998</v>
      </c>
      <c r="Q713" s="2">
        <f>Table1[[#This Row],[Emission Factor (kg CO2/ mmBtu)]]*Table1[[#This Row],[Fuel Consumption (mmBtu)]]*10^3</f>
        <v>323110978629.12</v>
      </c>
      <c r="R713" s="2">
        <f>(Table1[[#This Row],[CO2 Emissions (g CO2)]])/(Table1[[#This Row],[Generation (TWh)]]*10^9)</f>
        <v>1707.63032</v>
      </c>
    </row>
    <row r="714" spans="1:18" hidden="1">
      <c r="A714" t="s">
        <v>492</v>
      </c>
      <c r="B714" t="s">
        <v>105</v>
      </c>
      <c r="C714" t="str">
        <f>SUBSTITUTE(Table1[[#This Row],[Fuel]],", ",",")</f>
        <v>bioenergy: agricultural waste (solids),bioenergy: wood &amp; other biomass (solids)</v>
      </c>
      <c r="D714" t="s">
        <v>46</v>
      </c>
      <c r="E714" t="s">
        <v>25</v>
      </c>
      <c r="G714">
        <v>30</v>
      </c>
      <c r="H714" t="s">
        <v>27</v>
      </c>
      <c r="I714">
        <v>2016</v>
      </c>
      <c r="J714" t="s">
        <v>21</v>
      </c>
      <c r="K714">
        <v>38.798699999999997</v>
      </c>
      <c r="L714">
        <v>116.6443</v>
      </c>
      <c r="M714" t="s">
        <v>102</v>
      </c>
      <c r="N714" s="2">
        <f>Table1[[#This Row],[Capacity (MW)]]*8760*0.72*10^-6</f>
        <v>0.189216</v>
      </c>
      <c r="O714" s="2" cm="1">
        <f t="array" ref="O714">AVERAGE(VLOOKUP(_xlfn.TEXTSPLIT(Table1[[#This Row],[Fuel (no space after comma)]], ","), FuelList_Final_EF!$A$2:$B$32, 2, FALSE))</f>
        <v>105.985</v>
      </c>
      <c r="P714" s="2">
        <f>(16112*Table1[[#This Row],[Generation (TWh)]]*10^9)/10^6</f>
        <v>3048648.1919999998</v>
      </c>
      <c r="Q714" s="2">
        <f>Table1[[#This Row],[Emission Factor (kg CO2/ mmBtu)]]*Table1[[#This Row],[Fuel Consumption (mmBtu)]]*10^3</f>
        <v>323110978629.12</v>
      </c>
      <c r="R714" s="2">
        <f>(Table1[[#This Row],[CO2 Emissions (g CO2)]])/(Table1[[#This Row],[Generation (TWh)]]*10^9)</f>
        <v>1707.63032</v>
      </c>
    </row>
    <row r="715" spans="1:18" hidden="1">
      <c r="A715" t="s">
        <v>528</v>
      </c>
      <c r="B715" t="s">
        <v>19</v>
      </c>
      <c r="C715" t="str">
        <f>SUBSTITUTE(Table1[[#This Row],[Fuel]],", ",",")</f>
        <v>bioenergy: refuse (municipal and industrial wastes)</v>
      </c>
      <c r="D715" t="s">
        <v>19</v>
      </c>
      <c r="G715">
        <v>35</v>
      </c>
      <c r="H715" t="s">
        <v>27</v>
      </c>
      <c r="I715">
        <v>2021</v>
      </c>
      <c r="J715" t="s">
        <v>21</v>
      </c>
      <c r="K715">
        <v>37.960900000000002</v>
      </c>
      <c r="L715">
        <v>116.8069</v>
      </c>
      <c r="M715" t="s">
        <v>102</v>
      </c>
      <c r="N715" s="2">
        <f>Table1[[#This Row],[Capacity (MW)]]*8760*0.72*10^-6</f>
        <v>0.220752</v>
      </c>
      <c r="O715" s="2" cm="1">
        <f t="array" ref="O715">AVERAGE(VLOOKUP(_xlfn.TEXTSPLIT(Table1[[#This Row],[Fuel (no space after comma)]], ","), FuelList_Final_EF!$A$2:$B$32, 2, FALSE))</f>
        <v>105.42962572482868</v>
      </c>
      <c r="P715" s="2">
        <f>(16112*Table1[[#This Row],[Generation (TWh)]]*10^9)/10^6</f>
        <v>3556756.2239999999</v>
      </c>
      <c r="Q715" s="2">
        <f>Table1[[#This Row],[Emission Factor (kg CO2/ mmBtu)]]*Table1[[#This Row],[Fuel Consumption (mmBtu)]]*10^3</f>
        <v>374987477490.7749</v>
      </c>
      <c r="R715" s="2">
        <f>(Table1[[#This Row],[CO2 Emissions (g CO2)]])/(Table1[[#This Row],[Generation (TWh)]]*10^9)</f>
        <v>1698.6821296784397</v>
      </c>
    </row>
    <row r="716" spans="1:18" hidden="1">
      <c r="A716" t="s">
        <v>529</v>
      </c>
      <c r="B716" t="s">
        <v>46</v>
      </c>
      <c r="C716" t="str">
        <f>SUBSTITUTE(Table1[[#This Row],[Fuel]],", ",",")</f>
        <v>bioenergy: agricultural waste (solids)</v>
      </c>
      <c r="D716" t="s">
        <v>46</v>
      </c>
      <c r="G716">
        <v>30</v>
      </c>
      <c r="H716" t="s">
        <v>27</v>
      </c>
      <c r="I716">
        <v>2017</v>
      </c>
      <c r="J716" t="s">
        <v>21</v>
      </c>
      <c r="K716">
        <v>37.354300000000002</v>
      </c>
      <c r="L716">
        <v>115.907</v>
      </c>
      <c r="M716" t="s">
        <v>102</v>
      </c>
      <c r="N716" s="2">
        <f>Table1[[#This Row],[Capacity (MW)]]*8760*0.72*10^-6</f>
        <v>0.189216</v>
      </c>
      <c r="O716" s="2" cm="1">
        <f t="array" ref="O716">AVERAGE(VLOOKUP(_xlfn.TEXTSPLIT(Table1[[#This Row],[Fuel (no space after comma)]], ","), FuelList_Final_EF!$A$2:$B$32, 2, FALSE))</f>
        <v>118.17</v>
      </c>
      <c r="P716" s="2">
        <f>(16112*Table1[[#This Row],[Generation (TWh)]]*10^9)/10^6</f>
        <v>3048648.1919999998</v>
      </c>
      <c r="Q716" s="2">
        <f>Table1[[#This Row],[Emission Factor (kg CO2/ mmBtu)]]*Table1[[#This Row],[Fuel Consumption (mmBtu)]]*10^3</f>
        <v>360258756848.63995</v>
      </c>
      <c r="R716" s="2">
        <f>(Table1[[#This Row],[CO2 Emissions (g CO2)]])/(Table1[[#This Row],[Generation (TWh)]]*10^9)</f>
        <v>1903.9550399999998</v>
      </c>
    </row>
    <row r="717" spans="1:18" hidden="1">
      <c r="A717" t="s">
        <v>530</v>
      </c>
      <c r="B717" t="s">
        <v>105</v>
      </c>
      <c r="C717" t="str">
        <f>SUBSTITUTE(Table1[[#This Row],[Fuel]],", ",",")</f>
        <v>bioenergy: agricultural waste (solids),bioenergy: wood &amp; other biomass (solids)</v>
      </c>
      <c r="D717" t="s">
        <v>46</v>
      </c>
      <c r="E717" t="s">
        <v>25</v>
      </c>
      <c r="G717">
        <v>40</v>
      </c>
      <c r="H717" t="s">
        <v>27</v>
      </c>
      <c r="I717">
        <v>2020</v>
      </c>
      <c r="J717" t="s">
        <v>21</v>
      </c>
      <c r="K717">
        <v>41.87</v>
      </c>
      <c r="L717">
        <v>114.61960000000001</v>
      </c>
      <c r="M717" t="s">
        <v>102</v>
      </c>
      <c r="N717" s="2">
        <f>Table1[[#This Row],[Capacity (MW)]]*8760*0.72*10^-6</f>
        <v>0.25228800000000001</v>
      </c>
      <c r="O717" s="2" cm="1">
        <f t="array" ref="O717">AVERAGE(VLOOKUP(_xlfn.TEXTSPLIT(Table1[[#This Row],[Fuel (no space after comma)]], ","), FuelList_Final_EF!$A$2:$B$32, 2, FALSE))</f>
        <v>105.985</v>
      </c>
      <c r="P717" s="2">
        <f>(16112*Table1[[#This Row],[Generation (TWh)]]*10^9)/10^6</f>
        <v>4064864.2560000005</v>
      </c>
      <c r="Q717" s="2">
        <f>Table1[[#This Row],[Emission Factor (kg CO2/ mmBtu)]]*Table1[[#This Row],[Fuel Consumption (mmBtu)]]*10^3</f>
        <v>430814638172.16003</v>
      </c>
      <c r="R717" s="2">
        <f>(Table1[[#This Row],[CO2 Emissions (g CO2)]])/(Table1[[#This Row],[Generation (TWh)]]*10^9)</f>
        <v>1707.6303200000002</v>
      </c>
    </row>
    <row r="718" spans="1:18" hidden="1">
      <c r="A718" t="s">
        <v>54</v>
      </c>
      <c r="B718" t="s">
        <v>105</v>
      </c>
      <c r="C718" t="str">
        <f>SUBSTITUTE(Table1[[#This Row],[Fuel]],", ",",")</f>
        <v>bioenergy: agricultural waste (solids),bioenergy: wood &amp; other biomass (solids)</v>
      </c>
      <c r="D718" t="s">
        <v>46</v>
      </c>
      <c r="E718" t="s">
        <v>25</v>
      </c>
      <c r="G718">
        <v>30</v>
      </c>
      <c r="H718" t="s">
        <v>27</v>
      </c>
      <c r="I718">
        <v>2020</v>
      </c>
      <c r="J718" t="s">
        <v>21</v>
      </c>
      <c r="K718">
        <v>36.863100000000003</v>
      </c>
      <c r="L718">
        <v>115.5167</v>
      </c>
      <c r="M718" t="s">
        <v>102</v>
      </c>
      <c r="N718" s="2">
        <f>Table1[[#This Row],[Capacity (MW)]]*8760*0.72*10^-6</f>
        <v>0.189216</v>
      </c>
      <c r="O718" s="2" cm="1">
        <f t="array" ref="O718">AVERAGE(VLOOKUP(_xlfn.TEXTSPLIT(Table1[[#This Row],[Fuel (no space after comma)]], ","), FuelList_Final_EF!$A$2:$B$32, 2, FALSE))</f>
        <v>105.985</v>
      </c>
      <c r="P718" s="2">
        <f>(16112*Table1[[#This Row],[Generation (TWh)]]*10^9)/10^6</f>
        <v>3048648.1919999998</v>
      </c>
      <c r="Q718" s="2">
        <f>Table1[[#This Row],[Emission Factor (kg CO2/ mmBtu)]]*Table1[[#This Row],[Fuel Consumption (mmBtu)]]*10^3</f>
        <v>323110978629.12</v>
      </c>
      <c r="R718" s="2">
        <f>(Table1[[#This Row],[CO2 Emissions (g CO2)]])/(Table1[[#This Row],[Generation (TWh)]]*10^9)</f>
        <v>1707.63032</v>
      </c>
    </row>
    <row r="719" spans="1:18" hidden="1">
      <c r="A719" t="s">
        <v>531</v>
      </c>
      <c r="B719" t="s">
        <v>46</v>
      </c>
      <c r="C719" t="str">
        <f>SUBSTITUTE(Table1[[#This Row],[Fuel]],", ",",")</f>
        <v>bioenergy: agricultural waste (solids)</v>
      </c>
      <c r="D719" t="s">
        <v>46</v>
      </c>
      <c r="G719">
        <v>30</v>
      </c>
      <c r="H719" t="s">
        <v>27</v>
      </c>
      <c r="I719">
        <v>2020</v>
      </c>
      <c r="J719" t="s">
        <v>21</v>
      </c>
      <c r="K719">
        <v>39.746600000000001</v>
      </c>
      <c r="L719">
        <v>118.7098</v>
      </c>
      <c r="M719" t="s">
        <v>102</v>
      </c>
      <c r="N719" s="2">
        <f>Table1[[#This Row],[Capacity (MW)]]*8760*0.72*10^-6</f>
        <v>0.189216</v>
      </c>
      <c r="O719" s="2" cm="1">
        <f t="array" ref="O719">AVERAGE(VLOOKUP(_xlfn.TEXTSPLIT(Table1[[#This Row],[Fuel (no space after comma)]], ","), FuelList_Final_EF!$A$2:$B$32, 2, FALSE))</f>
        <v>118.17</v>
      </c>
      <c r="P719" s="2">
        <f>(16112*Table1[[#This Row],[Generation (TWh)]]*10^9)/10^6</f>
        <v>3048648.1919999998</v>
      </c>
      <c r="Q719" s="2">
        <f>Table1[[#This Row],[Emission Factor (kg CO2/ mmBtu)]]*Table1[[#This Row],[Fuel Consumption (mmBtu)]]*10^3</f>
        <v>360258756848.63995</v>
      </c>
      <c r="R719" s="2">
        <f>(Table1[[#This Row],[CO2 Emissions (g CO2)]])/(Table1[[#This Row],[Generation (TWh)]]*10^9)</f>
        <v>1903.9550399999998</v>
      </c>
    </row>
    <row r="720" spans="1:18">
      <c r="A720" t="s">
        <v>463</v>
      </c>
      <c r="B720" t="s">
        <v>61</v>
      </c>
      <c r="C720" t="str">
        <f>SUBSTITUTE(Table1[[#This Row],[Fuel]],", ",",")</f>
        <v>bioenergy: paper mill wastes</v>
      </c>
      <c r="D720" t="s">
        <v>61</v>
      </c>
      <c r="G720">
        <v>50</v>
      </c>
      <c r="H720" t="s">
        <v>27</v>
      </c>
      <c r="I720" t="s">
        <v>21</v>
      </c>
      <c r="J720" t="s">
        <v>21</v>
      </c>
      <c r="K720">
        <v>39.482300000000002</v>
      </c>
      <c r="L720">
        <v>118.67570000000001</v>
      </c>
      <c r="M720" t="s">
        <v>102</v>
      </c>
      <c r="N720" s="2">
        <f>Table1[[#This Row],[Capacity (MW)]]*8760*0.72*10^-6</f>
        <v>0.31535999999999997</v>
      </c>
      <c r="O720" s="2" cm="1">
        <f t="array" ref="O720">AVERAGE(VLOOKUP(_xlfn.TEXTSPLIT(Table1[[#This Row],[Fuel (no space after comma)]], ","), FuelList_Final_EF!$A$2:$B$32, 2, FALSE))</f>
        <v>100.47443331576173</v>
      </c>
      <c r="P720" s="2">
        <f>(16112*Table1[[#This Row],[Generation (TWh)]]*10^9)/10^6</f>
        <v>5081080.32</v>
      </c>
      <c r="Q720" s="2">
        <f>Table1[[#This Row],[Emission Factor (kg CO2/ mmBtu)]]*Table1[[#This Row],[Fuel Consumption (mmBtu)]]*10^3</f>
        <v>510518665783.86932</v>
      </c>
      <c r="R720" s="2">
        <f>(Table1[[#This Row],[CO2 Emissions (g CO2)]])/(Table1[[#This Row],[Generation (TWh)]]*10^9)</f>
        <v>1618.8440695835532</v>
      </c>
    </row>
    <row r="721" spans="1:18" hidden="1">
      <c r="A721" t="s">
        <v>117</v>
      </c>
      <c r="B721" t="s">
        <v>46</v>
      </c>
      <c r="C721" t="str">
        <f>SUBSTITUTE(Table1[[#This Row],[Fuel]],", ",",")</f>
        <v>bioenergy: agricultural waste (solids)</v>
      </c>
      <c r="D721" t="s">
        <v>46</v>
      </c>
      <c r="G721">
        <v>30</v>
      </c>
      <c r="H721" t="s">
        <v>27</v>
      </c>
      <c r="I721">
        <v>2010</v>
      </c>
      <c r="J721" t="s">
        <v>21</v>
      </c>
      <c r="K721">
        <v>37.365299999999998</v>
      </c>
      <c r="L721">
        <v>115.39700000000001</v>
      </c>
      <c r="M721" t="s">
        <v>102</v>
      </c>
      <c r="N721" s="2">
        <f>Table1[[#This Row],[Capacity (MW)]]*8760*0.72*10^-6</f>
        <v>0.189216</v>
      </c>
      <c r="O721" s="2" cm="1">
        <f t="array" ref="O721">AVERAGE(VLOOKUP(_xlfn.TEXTSPLIT(Table1[[#This Row],[Fuel (no space after comma)]], ","), FuelList_Final_EF!$A$2:$B$32, 2, FALSE))</f>
        <v>118.17</v>
      </c>
      <c r="P721" s="2">
        <f>(16112*Table1[[#This Row],[Generation (TWh)]]*10^9)/10^6</f>
        <v>3048648.1919999998</v>
      </c>
      <c r="Q721" s="2">
        <f>Table1[[#This Row],[Emission Factor (kg CO2/ mmBtu)]]*Table1[[#This Row],[Fuel Consumption (mmBtu)]]*10^3</f>
        <v>360258756848.63995</v>
      </c>
      <c r="R721" s="2">
        <f>(Table1[[#This Row],[CO2 Emissions (g CO2)]])/(Table1[[#This Row],[Generation (TWh)]]*10^9)</f>
        <v>1903.9550399999998</v>
      </c>
    </row>
    <row r="722" spans="1:18">
      <c r="A722" t="s">
        <v>532</v>
      </c>
      <c r="B722" t="s">
        <v>46</v>
      </c>
      <c r="C722" t="str">
        <f>SUBSTITUTE(Table1[[#This Row],[Fuel]],", ",",")</f>
        <v>bioenergy: agricultural waste (solids)</v>
      </c>
      <c r="D722" t="s">
        <v>46</v>
      </c>
      <c r="G722">
        <v>30</v>
      </c>
      <c r="H722" t="s">
        <v>53</v>
      </c>
      <c r="I722" t="s">
        <v>21</v>
      </c>
      <c r="J722" t="s">
        <v>21</v>
      </c>
      <c r="K722">
        <v>41.017800000000001</v>
      </c>
      <c r="L722">
        <v>118.703</v>
      </c>
      <c r="M722" t="s">
        <v>102</v>
      </c>
      <c r="N722" s="2">
        <f>Table1[[#This Row],[Capacity (MW)]]*8760*0.72*10^-6</f>
        <v>0.189216</v>
      </c>
      <c r="O722" s="2" cm="1">
        <f t="array" ref="O722">AVERAGE(VLOOKUP(_xlfn.TEXTSPLIT(Table1[[#This Row],[Fuel (no space after comma)]], ","), FuelList_Final_EF!$A$2:$B$32, 2, FALSE))</f>
        <v>118.17</v>
      </c>
      <c r="P722" s="2">
        <f>(16112*Table1[[#This Row],[Generation (TWh)]]*10^9)/10^6</f>
        <v>3048648.1919999998</v>
      </c>
      <c r="Q722" s="2">
        <f>Table1[[#This Row],[Emission Factor (kg CO2/ mmBtu)]]*Table1[[#This Row],[Fuel Consumption (mmBtu)]]*10^3</f>
        <v>360258756848.63995</v>
      </c>
      <c r="R722" s="2">
        <f>(Table1[[#This Row],[CO2 Emissions (g CO2)]])/(Table1[[#This Row],[Generation (TWh)]]*10^9)</f>
        <v>1903.9550399999998</v>
      </c>
    </row>
    <row r="723" spans="1:18" hidden="1">
      <c r="A723" t="s">
        <v>533</v>
      </c>
      <c r="B723" t="s">
        <v>105</v>
      </c>
      <c r="C723" t="str">
        <f>SUBSTITUTE(Table1[[#This Row],[Fuel]],", ",",")</f>
        <v>bioenergy: agricultural waste (solids),bioenergy: wood &amp; other biomass (solids)</v>
      </c>
      <c r="D723" t="s">
        <v>46</v>
      </c>
      <c r="E723" t="s">
        <v>25</v>
      </c>
      <c r="G723">
        <v>30</v>
      </c>
      <c r="H723" t="s">
        <v>27</v>
      </c>
      <c r="I723">
        <v>2017</v>
      </c>
      <c r="J723" t="s">
        <v>21</v>
      </c>
      <c r="K723">
        <v>37.090899999999998</v>
      </c>
      <c r="L723">
        <v>114.9675</v>
      </c>
      <c r="M723" t="s">
        <v>102</v>
      </c>
      <c r="N723" s="2">
        <f>Table1[[#This Row],[Capacity (MW)]]*8760*0.72*10^-6</f>
        <v>0.189216</v>
      </c>
      <c r="O723" s="2" cm="1">
        <f t="array" ref="O723">AVERAGE(VLOOKUP(_xlfn.TEXTSPLIT(Table1[[#This Row],[Fuel (no space after comma)]], ","), FuelList_Final_EF!$A$2:$B$32, 2, FALSE))</f>
        <v>105.985</v>
      </c>
      <c r="P723" s="2">
        <f>(16112*Table1[[#This Row],[Generation (TWh)]]*10^9)/10^6</f>
        <v>3048648.1919999998</v>
      </c>
      <c r="Q723" s="2">
        <f>Table1[[#This Row],[Emission Factor (kg CO2/ mmBtu)]]*Table1[[#This Row],[Fuel Consumption (mmBtu)]]*10^3</f>
        <v>323110978629.12</v>
      </c>
      <c r="R723" s="2">
        <f>(Table1[[#This Row],[CO2 Emissions (g CO2)]])/(Table1[[#This Row],[Generation (TWh)]]*10^9)</f>
        <v>1707.63032</v>
      </c>
    </row>
    <row r="724" spans="1:18">
      <c r="A724" t="s">
        <v>108</v>
      </c>
      <c r="B724" t="s">
        <v>105</v>
      </c>
      <c r="C724" t="str">
        <f>SUBSTITUTE(Table1[[#This Row],[Fuel]],", ",",")</f>
        <v>bioenergy: agricultural waste (solids),bioenergy: wood &amp; other biomass (solids)</v>
      </c>
      <c r="D724" t="s">
        <v>46</v>
      </c>
      <c r="E724" t="s">
        <v>25</v>
      </c>
      <c r="G724">
        <v>30</v>
      </c>
      <c r="H724" t="s">
        <v>53</v>
      </c>
      <c r="I724" t="s">
        <v>21</v>
      </c>
      <c r="J724" t="s">
        <v>21</v>
      </c>
      <c r="K724">
        <v>40.1083</v>
      </c>
      <c r="L724">
        <v>118.4455</v>
      </c>
      <c r="M724" t="s">
        <v>102</v>
      </c>
      <c r="N724" s="2">
        <f>Table1[[#This Row],[Capacity (MW)]]*8760*0.72*10^-6</f>
        <v>0.189216</v>
      </c>
      <c r="O724" s="2" cm="1">
        <f t="array" ref="O724">AVERAGE(VLOOKUP(_xlfn.TEXTSPLIT(Table1[[#This Row],[Fuel (no space after comma)]], ","), FuelList_Final_EF!$A$2:$B$32, 2, FALSE))</f>
        <v>105.985</v>
      </c>
      <c r="P724" s="2">
        <f>(16112*Table1[[#This Row],[Generation (TWh)]]*10^9)/10^6</f>
        <v>3048648.1919999998</v>
      </c>
      <c r="Q724" s="2">
        <f>Table1[[#This Row],[Emission Factor (kg CO2/ mmBtu)]]*Table1[[#This Row],[Fuel Consumption (mmBtu)]]*10^3</f>
        <v>323110978629.12</v>
      </c>
      <c r="R724" s="2">
        <f>(Table1[[#This Row],[CO2 Emissions (g CO2)]])/(Table1[[#This Row],[Generation (TWh)]]*10^9)</f>
        <v>1707.63032</v>
      </c>
    </row>
    <row r="725" spans="1:18" hidden="1">
      <c r="A725" t="s">
        <v>482</v>
      </c>
      <c r="B725" t="s">
        <v>19</v>
      </c>
      <c r="C725" t="str">
        <f>SUBSTITUTE(Table1[[#This Row],[Fuel]],", ",",")</f>
        <v>bioenergy: refuse (municipal and industrial wastes)</v>
      </c>
      <c r="D725" t="s">
        <v>19</v>
      </c>
      <c r="G725">
        <v>30</v>
      </c>
      <c r="H725" t="s">
        <v>27</v>
      </c>
      <c r="I725">
        <v>2021</v>
      </c>
      <c r="J725" t="s">
        <v>21</v>
      </c>
      <c r="K725">
        <v>39.935000000000002</v>
      </c>
      <c r="L725">
        <v>117.02330000000001</v>
      </c>
      <c r="M725" t="s">
        <v>102</v>
      </c>
      <c r="N725" s="2">
        <f>Table1[[#This Row],[Capacity (MW)]]*8760*0.72*10^-6</f>
        <v>0.189216</v>
      </c>
      <c r="O725" s="2" cm="1">
        <f t="array" ref="O725">AVERAGE(VLOOKUP(_xlfn.TEXTSPLIT(Table1[[#This Row],[Fuel (no space after comma)]], ","), FuelList_Final_EF!$A$2:$B$32, 2, FALSE))</f>
        <v>105.42962572482868</v>
      </c>
      <c r="P725" s="2">
        <f>(16112*Table1[[#This Row],[Generation (TWh)]]*10^9)/10^6</f>
        <v>3048648.1919999998</v>
      </c>
      <c r="Q725" s="2">
        <f>Table1[[#This Row],[Emission Factor (kg CO2/ mmBtu)]]*Table1[[#This Row],[Fuel Consumption (mmBtu)]]*10^3</f>
        <v>321417837849.23566</v>
      </c>
      <c r="R725" s="2">
        <f>(Table1[[#This Row],[CO2 Emissions (g CO2)]])/(Table1[[#This Row],[Generation (TWh)]]*10^9)</f>
        <v>1698.6821296784397</v>
      </c>
    </row>
    <row r="726" spans="1:18" hidden="1">
      <c r="A726" t="s">
        <v>482</v>
      </c>
      <c r="B726" t="s">
        <v>19</v>
      </c>
      <c r="C726" t="str">
        <f>SUBSTITUTE(Table1[[#This Row],[Fuel]],", ",",")</f>
        <v>bioenergy: refuse (municipal and industrial wastes)</v>
      </c>
      <c r="D726" t="s">
        <v>19</v>
      </c>
      <c r="G726">
        <v>30</v>
      </c>
      <c r="H726" t="s">
        <v>27</v>
      </c>
      <c r="I726">
        <v>2021</v>
      </c>
      <c r="J726" t="s">
        <v>21</v>
      </c>
      <c r="K726">
        <v>39.935000000000002</v>
      </c>
      <c r="L726">
        <v>117.02330000000001</v>
      </c>
      <c r="M726" t="s">
        <v>102</v>
      </c>
      <c r="N726" s="2">
        <f>Table1[[#This Row],[Capacity (MW)]]*8760*0.72*10^-6</f>
        <v>0.189216</v>
      </c>
      <c r="O726" s="2" cm="1">
        <f t="array" ref="O726">AVERAGE(VLOOKUP(_xlfn.TEXTSPLIT(Table1[[#This Row],[Fuel (no space after comma)]], ","), FuelList_Final_EF!$A$2:$B$32, 2, FALSE))</f>
        <v>105.42962572482868</v>
      </c>
      <c r="P726" s="2">
        <f>(16112*Table1[[#This Row],[Generation (TWh)]]*10^9)/10^6</f>
        <v>3048648.1919999998</v>
      </c>
      <c r="Q726" s="2">
        <f>Table1[[#This Row],[Emission Factor (kg CO2/ mmBtu)]]*Table1[[#This Row],[Fuel Consumption (mmBtu)]]*10^3</f>
        <v>321417837849.23566</v>
      </c>
      <c r="R726" s="2">
        <f>(Table1[[#This Row],[CO2 Emissions (g CO2)]])/(Table1[[#This Row],[Generation (TWh)]]*10^9)</f>
        <v>1698.6821296784397</v>
      </c>
    </row>
    <row r="727" spans="1:18" hidden="1">
      <c r="A727" t="s">
        <v>534</v>
      </c>
      <c r="B727" t="s">
        <v>46</v>
      </c>
      <c r="C727" t="str">
        <f>SUBSTITUTE(Table1[[#This Row],[Fuel]],", ",",")</f>
        <v>bioenergy: agricultural waste (solids)</v>
      </c>
      <c r="D727" t="s">
        <v>46</v>
      </c>
      <c r="G727">
        <v>30</v>
      </c>
      <c r="H727" t="s">
        <v>27</v>
      </c>
      <c r="I727">
        <v>2023</v>
      </c>
      <c r="J727" t="s">
        <v>21</v>
      </c>
      <c r="K727">
        <v>39.135399999999997</v>
      </c>
      <c r="L727">
        <v>118.4819</v>
      </c>
      <c r="M727" t="s">
        <v>102</v>
      </c>
      <c r="N727" s="2">
        <f>Table1[[#This Row],[Capacity (MW)]]*8760*0.72*10^-6</f>
        <v>0.189216</v>
      </c>
      <c r="O727" s="2" cm="1">
        <f t="array" ref="O727">AVERAGE(VLOOKUP(_xlfn.TEXTSPLIT(Table1[[#This Row],[Fuel (no space after comma)]], ","), FuelList_Final_EF!$A$2:$B$32, 2, FALSE))</f>
        <v>118.17</v>
      </c>
      <c r="P727" s="2">
        <f>(16112*Table1[[#This Row],[Generation (TWh)]]*10^9)/10^6</f>
        <v>3048648.1919999998</v>
      </c>
      <c r="Q727" s="2">
        <f>Table1[[#This Row],[Emission Factor (kg CO2/ mmBtu)]]*Table1[[#This Row],[Fuel Consumption (mmBtu)]]*10^3</f>
        <v>360258756848.63995</v>
      </c>
      <c r="R727" s="2">
        <f>(Table1[[#This Row],[CO2 Emissions (g CO2)]])/(Table1[[#This Row],[Generation (TWh)]]*10^9)</f>
        <v>1903.9550399999998</v>
      </c>
    </row>
    <row r="728" spans="1:18" hidden="1">
      <c r="A728" t="s">
        <v>108</v>
      </c>
      <c r="B728" t="s">
        <v>46</v>
      </c>
      <c r="C728" t="str">
        <f>SUBSTITUTE(Table1[[#This Row],[Fuel]],", ",",")</f>
        <v>bioenergy: agricultural waste (solids)</v>
      </c>
      <c r="D728" t="s">
        <v>46</v>
      </c>
      <c r="G728">
        <v>9</v>
      </c>
      <c r="H728" t="s">
        <v>27</v>
      </c>
      <c r="I728">
        <v>2020</v>
      </c>
      <c r="J728" t="s">
        <v>21</v>
      </c>
      <c r="K728">
        <v>39.548699999999997</v>
      </c>
      <c r="L728">
        <v>118.04219999999999</v>
      </c>
      <c r="M728" t="s">
        <v>102</v>
      </c>
      <c r="N728" s="2">
        <f>Table1[[#This Row],[Capacity (MW)]]*8760*0.72*10^-6</f>
        <v>5.676479999999999E-2</v>
      </c>
      <c r="O728" s="2" cm="1">
        <f t="array" ref="O728">AVERAGE(VLOOKUP(_xlfn.TEXTSPLIT(Table1[[#This Row],[Fuel (no space after comma)]], ","), FuelList_Final_EF!$A$2:$B$32, 2, FALSE))</f>
        <v>118.17</v>
      </c>
      <c r="P728" s="2">
        <f>(16112*Table1[[#This Row],[Generation (TWh)]]*10^9)/10^6</f>
        <v>914594.45759999985</v>
      </c>
      <c r="Q728" s="2">
        <f>Table1[[#This Row],[Emission Factor (kg CO2/ mmBtu)]]*Table1[[#This Row],[Fuel Consumption (mmBtu)]]*10^3</f>
        <v>108077627054.59198</v>
      </c>
      <c r="R728" s="2">
        <f>(Table1[[#This Row],[CO2 Emissions (g CO2)]])/(Table1[[#This Row],[Generation (TWh)]]*10^9)</f>
        <v>1903.9550399999998</v>
      </c>
    </row>
    <row r="729" spans="1:18" hidden="1">
      <c r="A729" t="s">
        <v>535</v>
      </c>
      <c r="B729" t="s">
        <v>46</v>
      </c>
      <c r="C729" t="str">
        <f>SUBSTITUTE(Table1[[#This Row],[Fuel]],", ",",")</f>
        <v>bioenergy: agricultural waste (solids)</v>
      </c>
      <c r="D729" t="s">
        <v>46</v>
      </c>
      <c r="G729">
        <v>21</v>
      </c>
      <c r="H729" t="s">
        <v>27</v>
      </c>
      <c r="I729">
        <v>2020</v>
      </c>
      <c r="J729" t="s">
        <v>21</v>
      </c>
      <c r="K729">
        <v>39.548699999999997</v>
      </c>
      <c r="L729">
        <v>118.04219999999999</v>
      </c>
      <c r="M729" t="s">
        <v>102</v>
      </c>
      <c r="N729" s="2">
        <f>Table1[[#This Row],[Capacity (MW)]]*8760*0.72*10^-6</f>
        <v>0.13245119999999996</v>
      </c>
      <c r="O729" s="2" cm="1">
        <f t="array" ref="O729">AVERAGE(VLOOKUP(_xlfn.TEXTSPLIT(Table1[[#This Row],[Fuel (no space after comma)]], ","), FuelList_Final_EF!$A$2:$B$32, 2, FALSE))</f>
        <v>118.17</v>
      </c>
      <c r="P729" s="2">
        <f>(16112*Table1[[#This Row],[Generation (TWh)]]*10^9)/10^6</f>
        <v>2134053.7343999995</v>
      </c>
      <c r="Q729" s="2">
        <f>Table1[[#This Row],[Emission Factor (kg CO2/ mmBtu)]]*Table1[[#This Row],[Fuel Consumption (mmBtu)]]*10^3</f>
        <v>252181129794.04794</v>
      </c>
      <c r="R729" s="2">
        <f>(Table1[[#This Row],[CO2 Emissions (g CO2)]])/(Table1[[#This Row],[Generation (TWh)]]*10^9)</f>
        <v>1903.9550400000001</v>
      </c>
    </row>
    <row r="730" spans="1:18" hidden="1">
      <c r="A730" t="s">
        <v>117</v>
      </c>
      <c r="B730" t="s">
        <v>105</v>
      </c>
      <c r="C730" t="str">
        <f>SUBSTITUTE(Table1[[#This Row],[Fuel]],", ",",")</f>
        <v>bioenergy: agricultural waste (solids),bioenergy: wood &amp; other biomass (solids)</v>
      </c>
      <c r="D730" t="s">
        <v>46</v>
      </c>
      <c r="E730" t="s">
        <v>25</v>
      </c>
      <c r="G730">
        <v>30</v>
      </c>
      <c r="H730" t="s">
        <v>27</v>
      </c>
      <c r="I730">
        <v>2006</v>
      </c>
      <c r="J730" t="s">
        <v>21</v>
      </c>
      <c r="K730">
        <v>37.061500000000002</v>
      </c>
      <c r="L730">
        <v>115.2804</v>
      </c>
      <c r="M730" t="s">
        <v>102</v>
      </c>
      <c r="N730" s="2">
        <f>Table1[[#This Row],[Capacity (MW)]]*8760*0.72*10^-6</f>
        <v>0.189216</v>
      </c>
      <c r="O730" s="2" cm="1">
        <f t="array" ref="O730">AVERAGE(VLOOKUP(_xlfn.TEXTSPLIT(Table1[[#This Row],[Fuel (no space after comma)]], ","), FuelList_Final_EF!$A$2:$B$32, 2, FALSE))</f>
        <v>105.985</v>
      </c>
      <c r="P730" s="2">
        <f>(16112*Table1[[#This Row],[Generation (TWh)]]*10^9)/10^6</f>
        <v>3048648.1919999998</v>
      </c>
      <c r="Q730" s="2">
        <f>Table1[[#This Row],[Emission Factor (kg CO2/ mmBtu)]]*Table1[[#This Row],[Fuel Consumption (mmBtu)]]*10^3</f>
        <v>323110978629.12</v>
      </c>
      <c r="R730" s="2">
        <f>(Table1[[#This Row],[CO2 Emissions (g CO2)]])/(Table1[[#This Row],[Generation (TWh)]]*10^9)</f>
        <v>1707.63032</v>
      </c>
    </row>
    <row r="731" spans="1:18">
      <c r="A731" t="s">
        <v>536</v>
      </c>
      <c r="B731" t="s">
        <v>46</v>
      </c>
      <c r="C731" t="str">
        <f>SUBSTITUTE(Table1[[#This Row],[Fuel]],", ",",")</f>
        <v>bioenergy: agricultural waste (solids)</v>
      </c>
      <c r="D731" t="s">
        <v>46</v>
      </c>
      <c r="G731">
        <v>3</v>
      </c>
      <c r="H731" t="s">
        <v>97</v>
      </c>
      <c r="I731" t="s">
        <v>21</v>
      </c>
      <c r="J731" t="s">
        <v>21</v>
      </c>
      <c r="K731">
        <v>38.991999999999997</v>
      </c>
      <c r="L731">
        <v>116.6067</v>
      </c>
      <c r="M731" t="s">
        <v>102</v>
      </c>
      <c r="N731" s="2">
        <f>Table1[[#This Row],[Capacity (MW)]]*8760*0.72*10^-6</f>
        <v>1.8921599999999997E-2</v>
      </c>
      <c r="O731" s="2" cm="1">
        <f t="array" ref="O731">AVERAGE(VLOOKUP(_xlfn.TEXTSPLIT(Table1[[#This Row],[Fuel (no space after comma)]], ","), FuelList_Final_EF!$A$2:$B$32, 2, FALSE))</f>
        <v>118.17</v>
      </c>
      <c r="P731" s="2">
        <f>(16112*Table1[[#This Row],[Generation (TWh)]]*10^9)/10^6</f>
        <v>304864.81919999991</v>
      </c>
      <c r="Q731" s="2">
        <f>Table1[[#This Row],[Emission Factor (kg CO2/ mmBtu)]]*Table1[[#This Row],[Fuel Consumption (mmBtu)]]*10^3</f>
        <v>36025875684.863991</v>
      </c>
      <c r="R731" s="2">
        <f>(Table1[[#This Row],[CO2 Emissions (g CO2)]])/(Table1[[#This Row],[Generation (TWh)]]*10^9)</f>
        <v>1903.9550399999998</v>
      </c>
    </row>
    <row r="732" spans="1:18">
      <c r="A732" t="s">
        <v>537</v>
      </c>
      <c r="B732" t="s">
        <v>46</v>
      </c>
      <c r="C732" t="str">
        <f>SUBSTITUTE(Table1[[#This Row],[Fuel]],", ",",")</f>
        <v>bioenergy: agricultural waste (solids)</v>
      </c>
      <c r="D732" t="s">
        <v>46</v>
      </c>
      <c r="G732">
        <v>27</v>
      </c>
      <c r="H732" t="s">
        <v>97</v>
      </c>
      <c r="I732" t="s">
        <v>21</v>
      </c>
      <c r="J732" t="s">
        <v>21</v>
      </c>
      <c r="K732">
        <v>38.991999999999997</v>
      </c>
      <c r="L732">
        <v>116.6067</v>
      </c>
      <c r="M732" t="s">
        <v>102</v>
      </c>
      <c r="N732" s="2">
        <f>Table1[[#This Row],[Capacity (MW)]]*8760*0.72*10^-6</f>
        <v>0.17029439999999998</v>
      </c>
      <c r="O732" s="2" cm="1">
        <f t="array" ref="O732">AVERAGE(VLOOKUP(_xlfn.TEXTSPLIT(Table1[[#This Row],[Fuel (no space after comma)]], ","), FuelList_Final_EF!$A$2:$B$32, 2, FALSE))</f>
        <v>118.17</v>
      </c>
      <c r="P732" s="2">
        <f>(16112*Table1[[#This Row],[Generation (TWh)]]*10^9)/10^6</f>
        <v>2743783.3727999995</v>
      </c>
      <c r="Q732" s="2">
        <f>Table1[[#This Row],[Emission Factor (kg CO2/ mmBtu)]]*Table1[[#This Row],[Fuel Consumption (mmBtu)]]*10^3</f>
        <v>324232881163.776</v>
      </c>
      <c r="R732" s="2">
        <f>(Table1[[#This Row],[CO2 Emissions (g CO2)]])/(Table1[[#This Row],[Generation (TWh)]]*10^9)</f>
        <v>1903.9550400000003</v>
      </c>
    </row>
    <row r="733" spans="1:18">
      <c r="A733" t="s">
        <v>538</v>
      </c>
      <c r="B733" t="s">
        <v>41</v>
      </c>
      <c r="C733" t="str">
        <f>SUBSTITUTE(Table1[[#This Row],[Fuel]],", ",",")</f>
        <v>bioenergy: refuse (municipal and industrial wastes),bioenergy: wastewater and sewage sludge (solids or biogas)</v>
      </c>
      <c r="D733" t="s">
        <v>19</v>
      </c>
      <c r="E733" t="s">
        <v>42</v>
      </c>
      <c r="G733">
        <v>7.1999999999999993</v>
      </c>
      <c r="H733" t="s">
        <v>27</v>
      </c>
      <c r="I733" t="s">
        <v>21</v>
      </c>
      <c r="J733" t="s">
        <v>21</v>
      </c>
      <c r="K733">
        <v>38.126199999999997</v>
      </c>
      <c r="L733">
        <v>114.9727</v>
      </c>
      <c r="M733" t="s">
        <v>102</v>
      </c>
      <c r="N733" s="2">
        <f>Table1[[#This Row],[Capacity (MW)]]*8760*0.72*10^-6</f>
        <v>4.5411839999999995E-2</v>
      </c>
      <c r="O733" s="2" cm="1">
        <f t="array" ref="O733">AVERAGE(VLOOKUP(_xlfn.TEXTSPLIT(Table1[[#This Row],[Fuel (no space after comma)]], ","), FuelList_Final_EF!$A$2:$B$32, 2, FALSE))</f>
        <v>81.497100685292565</v>
      </c>
      <c r="P733" s="2">
        <f>(16112*Table1[[#This Row],[Generation (TWh)]]*10^9)/10^6</f>
        <v>731675.56608000002</v>
      </c>
      <c r="Q733" s="2">
        <f>Table1[[#This Row],[Emission Factor (kg CO2/ mmBtu)]]*Table1[[#This Row],[Fuel Consumption (mmBtu)]]*10^3</f>
        <v>59629437277.790199</v>
      </c>
      <c r="R733" s="2">
        <f>(Table1[[#This Row],[CO2 Emissions (g CO2)]])/(Table1[[#This Row],[Generation (TWh)]]*10^9)</f>
        <v>1313.0812862414341</v>
      </c>
    </row>
    <row r="734" spans="1:18">
      <c r="A734" t="s">
        <v>539</v>
      </c>
      <c r="B734" t="s">
        <v>41</v>
      </c>
      <c r="C734" t="str">
        <f>SUBSTITUTE(Table1[[#This Row],[Fuel]],", ",",")</f>
        <v>bioenergy: refuse (municipal and industrial wastes),bioenergy: wastewater and sewage sludge (solids or biogas)</v>
      </c>
      <c r="D734" t="s">
        <v>19</v>
      </c>
      <c r="E734" t="s">
        <v>42</v>
      </c>
      <c r="G734">
        <v>32.799999999999997</v>
      </c>
      <c r="H734" t="s">
        <v>27</v>
      </c>
      <c r="I734" t="s">
        <v>21</v>
      </c>
      <c r="J734" t="s">
        <v>21</v>
      </c>
      <c r="K734">
        <v>38.126199999999997</v>
      </c>
      <c r="L734">
        <v>114.9727</v>
      </c>
      <c r="M734" t="s">
        <v>102</v>
      </c>
      <c r="N734" s="2">
        <f>Table1[[#This Row],[Capacity (MW)]]*8760*0.72*10^-6</f>
        <v>0.20687616</v>
      </c>
      <c r="O734" s="2" cm="1">
        <f t="array" ref="O734">AVERAGE(VLOOKUP(_xlfn.TEXTSPLIT(Table1[[#This Row],[Fuel (no space after comma)]], ","), FuelList_Final_EF!$A$2:$B$32, 2, FALSE))</f>
        <v>81.497100685292565</v>
      </c>
      <c r="P734" s="2">
        <f>(16112*Table1[[#This Row],[Generation (TWh)]]*10^9)/10^6</f>
        <v>3333188.6899199998</v>
      </c>
      <c r="Q734" s="2">
        <f>Table1[[#This Row],[Emission Factor (kg CO2/ mmBtu)]]*Table1[[#This Row],[Fuel Consumption (mmBtu)]]*10^3</f>
        <v>271645214265.48862</v>
      </c>
      <c r="R734" s="2">
        <f>(Table1[[#This Row],[CO2 Emissions (g CO2)]])/(Table1[[#This Row],[Generation (TWh)]]*10^9)</f>
        <v>1313.0812862414336</v>
      </c>
    </row>
    <row r="735" spans="1:18">
      <c r="A735" t="s">
        <v>538</v>
      </c>
      <c r="B735" t="s">
        <v>41</v>
      </c>
      <c r="C735" t="str">
        <f>SUBSTITUTE(Table1[[#This Row],[Fuel]],", ",",")</f>
        <v>bioenergy: refuse (municipal and industrial wastes),bioenergy: wastewater and sewage sludge (solids or biogas)</v>
      </c>
      <c r="D735" t="s">
        <v>19</v>
      </c>
      <c r="E735" t="s">
        <v>42</v>
      </c>
      <c r="G735">
        <v>7.1999999999999993</v>
      </c>
      <c r="H735" t="s">
        <v>27</v>
      </c>
      <c r="I735" t="s">
        <v>21</v>
      </c>
      <c r="J735" t="s">
        <v>21</v>
      </c>
      <c r="K735">
        <v>38.126199999999997</v>
      </c>
      <c r="L735">
        <v>114.9727</v>
      </c>
      <c r="M735" t="s">
        <v>102</v>
      </c>
      <c r="N735" s="2">
        <f>Table1[[#This Row],[Capacity (MW)]]*8760*0.72*10^-6</f>
        <v>4.5411839999999995E-2</v>
      </c>
      <c r="O735" s="2" cm="1">
        <f t="array" ref="O735">AVERAGE(VLOOKUP(_xlfn.TEXTSPLIT(Table1[[#This Row],[Fuel (no space after comma)]], ","), FuelList_Final_EF!$A$2:$B$32, 2, FALSE))</f>
        <v>81.497100685292565</v>
      </c>
      <c r="P735" s="2">
        <f>(16112*Table1[[#This Row],[Generation (TWh)]]*10^9)/10^6</f>
        <v>731675.56608000002</v>
      </c>
      <c r="Q735" s="2">
        <f>Table1[[#This Row],[Emission Factor (kg CO2/ mmBtu)]]*Table1[[#This Row],[Fuel Consumption (mmBtu)]]*10^3</f>
        <v>59629437277.790199</v>
      </c>
      <c r="R735" s="2">
        <f>(Table1[[#This Row],[CO2 Emissions (g CO2)]])/(Table1[[#This Row],[Generation (TWh)]]*10^9)</f>
        <v>1313.0812862414341</v>
      </c>
    </row>
    <row r="736" spans="1:18">
      <c r="A736" t="s">
        <v>539</v>
      </c>
      <c r="B736" t="s">
        <v>41</v>
      </c>
      <c r="C736" t="str">
        <f>SUBSTITUTE(Table1[[#This Row],[Fuel]],", ",",")</f>
        <v>bioenergy: refuse (municipal and industrial wastes),bioenergy: wastewater and sewage sludge (solids or biogas)</v>
      </c>
      <c r="D736" t="s">
        <v>19</v>
      </c>
      <c r="E736" t="s">
        <v>42</v>
      </c>
      <c r="G736">
        <v>32.799999999999997</v>
      </c>
      <c r="H736" t="s">
        <v>27</v>
      </c>
      <c r="I736" t="s">
        <v>21</v>
      </c>
      <c r="J736" t="s">
        <v>21</v>
      </c>
      <c r="K736">
        <v>38.126199999999997</v>
      </c>
      <c r="L736">
        <v>114.9727</v>
      </c>
      <c r="M736" t="s">
        <v>102</v>
      </c>
      <c r="N736" s="2">
        <f>Table1[[#This Row],[Capacity (MW)]]*8760*0.72*10^-6</f>
        <v>0.20687616</v>
      </c>
      <c r="O736" s="2" cm="1">
        <f t="array" ref="O736">AVERAGE(VLOOKUP(_xlfn.TEXTSPLIT(Table1[[#This Row],[Fuel (no space after comma)]], ","), FuelList_Final_EF!$A$2:$B$32, 2, FALSE))</f>
        <v>81.497100685292565</v>
      </c>
      <c r="P736" s="2">
        <f>(16112*Table1[[#This Row],[Generation (TWh)]]*10^9)/10^6</f>
        <v>3333188.6899199998</v>
      </c>
      <c r="Q736" s="2">
        <f>Table1[[#This Row],[Emission Factor (kg CO2/ mmBtu)]]*Table1[[#This Row],[Fuel Consumption (mmBtu)]]*10^3</f>
        <v>271645214265.48862</v>
      </c>
      <c r="R736" s="2">
        <f>(Table1[[#This Row],[CO2 Emissions (g CO2)]])/(Table1[[#This Row],[Generation (TWh)]]*10^9)</f>
        <v>1313.0812862414336</v>
      </c>
    </row>
    <row r="737" spans="1:18" hidden="1">
      <c r="A737" t="s">
        <v>117</v>
      </c>
      <c r="B737" t="s">
        <v>105</v>
      </c>
      <c r="C737" t="str">
        <f>SUBSTITUTE(Table1[[#This Row],[Fuel]],", ",",")</f>
        <v>bioenergy: agricultural waste (solids),bioenergy: wood &amp; other biomass (solids)</v>
      </c>
      <c r="D737" t="s">
        <v>46</v>
      </c>
      <c r="E737" t="s">
        <v>25</v>
      </c>
      <c r="G737">
        <v>30</v>
      </c>
      <c r="H737" t="s">
        <v>27</v>
      </c>
      <c r="I737">
        <v>2010</v>
      </c>
      <c r="J737" t="s">
        <v>21</v>
      </c>
      <c r="K737">
        <v>37.631599999999999</v>
      </c>
      <c r="L737">
        <v>116.43770000000001</v>
      </c>
      <c r="M737" t="s">
        <v>102</v>
      </c>
      <c r="N737" s="2">
        <f>Table1[[#This Row],[Capacity (MW)]]*8760*0.72*10^-6</f>
        <v>0.189216</v>
      </c>
      <c r="O737" s="2" cm="1">
        <f t="array" ref="O737">AVERAGE(VLOOKUP(_xlfn.TEXTSPLIT(Table1[[#This Row],[Fuel (no space after comma)]], ","), FuelList_Final_EF!$A$2:$B$32, 2, FALSE))</f>
        <v>105.985</v>
      </c>
      <c r="P737" s="2">
        <f>(16112*Table1[[#This Row],[Generation (TWh)]]*10^9)/10^6</f>
        <v>3048648.1919999998</v>
      </c>
      <c r="Q737" s="2">
        <f>Table1[[#This Row],[Emission Factor (kg CO2/ mmBtu)]]*Table1[[#This Row],[Fuel Consumption (mmBtu)]]*10^3</f>
        <v>323110978629.12</v>
      </c>
      <c r="R737" s="2">
        <f>(Table1[[#This Row],[CO2 Emissions (g CO2)]])/(Table1[[#This Row],[Generation (TWh)]]*10^9)</f>
        <v>1707.63032</v>
      </c>
    </row>
    <row r="738" spans="1:18" hidden="1">
      <c r="A738" t="s">
        <v>54</v>
      </c>
      <c r="B738" t="s">
        <v>105</v>
      </c>
      <c r="C738" t="str">
        <f>SUBSTITUTE(Table1[[#This Row],[Fuel]],", ",",")</f>
        <v>bioenergy: agricultural waste (solids),bioenergy: wood &amp; other biomass (solids)</v>
      </c>
      <c r="D738" t="s">
        <v>46</v>
      </c>
      <c r="E738" t="s">
        <v>25</v>
      </c>
      <c r="G738">
        <v>30</v>
      </c>
      <c r="H738" t="s">
        <v>27</v>
      </c>
      <c r="I738">
        <v>2020</v>
      </c>
      <c r="J738" t="s">
        <v>21</v>
      </c>
      <c r="K738">
        <v>40.400599999999997</v>
      </c>
      <c r="L738">
        <v>117.4798</v>
      </c>
      <c r="M738" t="s">
        <v>102</v>
      </c>
      <c r="N738" s="2">
        <f>Table1[[#This Row],[Capacity (MW)]]*8760*0.72*10^-6</f>
        <v>0.189216</v>
      </c>
      <c r="O738" s="2" cm="1">
        <f t="array" ref="O738">AVERAGE(VLOOKUP(_xlfn.TEXTSPLIT(Table1[[#This Row],[Fuel (no space after comma)]], ","), FuelList_Final_EF!$A$2:$B$32, 2, FALSE))</f>
        <v>105.985</v>
      </c>
      <c r="P738" s="2">
        <f>(16112*Table1[[#This Row],[Generation (TWh)]]*10^9)/10^6</f>
        <v>3048648.1919999998</v>
      </c>
      <c r="Q738" s="2">
        <f>Table1[[#This Row],[Emission Factor (kg CO2/ mmBtu)]]*Table1[[#This Row],[Fuel Consumption (mmBtu)]]*10^3</f>
        <v>323110978629.12</v>
      </c>
      <c r="R738" s="2">
        <f>(Table1[[#This Row],[CO2 Emissions (g CO2)]])/(Table1[[#This Row],[Generation (TWh)]]*10^9)</f>
        <v>1707.63032</v>
      </c>
    </row>
    <row r="739" spans="1:18" hidden="1">
      <c r="A739" t="s">
        <v>540</v>
      </c>
      <c r="B739" t="s">
        <v>46</v>
      </c>
      <c r="C739" t="str">
        <f>SUBSTITUTE(Table1[[#This Row],[Fuel]],", ",",")</f>
        <v>bioenergy: agricultural waste (solids)</v>
      </c>
      <c r="D739" t="s">
        <v>46</v>
      </c>
      <c r="G739">
        <v>35</v>
      </c>
      <c r="H739" t="s">
        <v>27</v>
      </c>
      <c r="I739">
        <v>2019</v>
      </c>
      <c r="J739" t="s">
        <v>21</v>
      </c>
      <c r="K739">
        <v>38.386400000000002</v>
      </c>
      <c r="L739">
        <v>114.5048</v>
      </c>
      <c r="M739" t="s">
        <v>102</v>
      </c>
      <c r="N739" s="2">
        <f>Table1[[#This Row],[Capacity (MW)]]*8760*0.72*10^-6</f>
        <v>0.220752</v>
      </c>
      <c r="O739" s="2" cm="1">
        <f t="array" ref="O739">AVERAGE(VLOOKUP(_xlfn.TEXTSPLIT(Table1[[#This Row],[Fuel (no space after comma)]], ","), FuelList_Final_EF!$A$2:$B$32, 2, FALSE))</f>
        <v>118.17</v>
      </c>
      <c r="P739" s="2">
        <f>(16112*Table1[[#This Row],[Generation (TWh)]]*10^9)/10^6</f>
        <v>3556756.2239999999</v>
      </c>
      <c r="Q739" s="2">
        <f>Table1[[#This Row],[Emission Factor (kg CO2/ mmBtu)]]*Table1[[#This Row],[Fuel Consumption (mmBtu)]]*10^3</f>
        <v>420301882990.08002</v>
      </c>
      <c r="R739" s="2">
        <f>(Table1[[#This Row],[CO2 Emissions (g CO2)]])/(Table1[[#This Row],[Generation (TWh)]]*10^9)</f>
        <v>1903.9550400000001</v>
      </c>
    </row>
    <row r="740" spans="1:18">
      <c r="A740" t="s">
        <v>541</v>
      </c>
      <c r="B740" t="s">
        <v>41</v>
      </c>
      <c r="C740" t="str">
        <f>SUBSTITUTE(Table1[[#This Row],[Fuel]],", ",",")</f>
        <v>bioenergy: refuse (municipal and industrial wastes),bioenergy: wastewater and sewage sludge (solids or biogas)</v>
      </c>
      <c r="D740" t="s">
        <v>19</v>
      </c>
      <c r="E740" t="s">
        <v>42</v>
      </c>
      <c r="G740">
        <v>16.100000000000001</v>
      </c>
      <c r="H740" t="s">
        <v>27</v>
      </c>
      <c r="I740" t="s">
        <v>21</v>
      </c>
      <c r="J740" t="s">
        <v>21</v>
      </c>
      <c r="K740">
        <v>38.953000000000003</v>
      </c>
      <c r="L740">
        <v>116.2418</v>
      </c>
      <c r="M740" t="s">
        <v>102</v>
      </c>
      <c r="N740" s="2">
        <f>Table1[[#This Row],[Capacity (MW)]]*8760*0.72*10^-6</f>
        <v>0.10154592</v>
      </c>
      <c r="O740" s="2" cm="1">
        <f t="array" ref="O740">AVERAGE(VLOOKUP(_xlfn.TEXTSPLIT(Table1[[#This Row],[Fuel (no space after comma)]], ","), FuelList_Final_EF!$A$2:$B$32, 2, FALSE))</f>
        <v>81.497100685292565</v>
      </c>
      <c r="P740" s="2">
        <f>(16112*Table1[[#This Row],[Generation (TWh)]]*10^9)/10^6</f>
        <v>1636107.86304</v>
      </c>
      <c r="Q740" s="2">
        <f>Table1[[#This Row],[Emission Factor (kg CO2/ mmBtu)]]*Table1[[#This Row],[Fuel Consumption (mmBtu)]]*10^3</f>
        <v>133338047246.16972</v>
      </c>
      <c r="R740" s="2">
        <f>(Table1[[#This Row],[CO2 Emissions (g CO2)]])/(Table1[[#This Row],[Generation (TWh)]]*10^9)</f>
        <v>1313.0812862414336</v>
      </c>
    </row>
    <row r="741" spans="1:18">
      <c r="A741" t="s">
        <v>542</v>
      </c>
      <c r="B741" t="s">
        <v>41</v>
      </c>
      <c r="C741" t="str">
        <f>SUBSTITUTE(Table1[[#This Row],[Fuel]],", ",",")</f>
        <v>bioenergy: refuse (municipal and industrial wastes),bioenergy: wastewater and sewage sludge (solids or biogas)</v>
      </c>
      <c r="D741" t="s">
        <v>19</v>
      </c>
      <c r="E741" t="s">
        <v>42</v>
      </c>
      <c r="G741">
        <v>1.05</v>
      </c>
      <c r="H741" t="s">
        <v>27</v>
      </c>
      <c r="I741" t="s">
        <v>21</v>
      </c>
      <c r="J741" t="s">
        <v>21</v>
      </c>
      <c r="K741">
        <v>38.953000000000003</v>
      </c>
      <c r="L741">
        <v>116.2418</v>
      </c>
      <c r="M741" t="s">
        <v>102</v>
      </c>
      <c r="N741" s="2">
        <f>Table1[[#This Row],[Capacity (MW)]]*8760*0.72*10^-6</f>
        <v>6.6225599999999996E-3</v>
      </c>
      <c r="O741" s="2" cm="1">
        <f t="array" ref="O741">AVERAGE(VLOOKUP(_xlfn.TEXTSPLIT(Table1[[#This Row],[Fuel (no space after comma)]], ","), FuelList_Final_EF!$A$2:$B$32, 2, FALSE))</f>
        <v>81.497100685292565</v>
      </c>
      <c r="P741" s="2">
        <f>(16112*Table1[[#This Row],[Generation (TWh)]]*10^9)/10^6</f>
        <v>106702.68671999998</v>
      </c>
      <c r="Q741" s="2">
        <f>Table1[[#This Row],[Emission Factor (kg CO2/ mmBtu)]]*Table1[[#This Row],[Fuel Consumption (mmBtu)]]*10^3</f>
        <v>8695959603.0110683</v>
      </c>
      <c r="R741" s="2">
        <f>(Table1[[#This Row],[CO2 Emissions (g CO2)]])/(Table1[[#This Row],[Generation (TWh)]]*10^9)</f>
        <v>1313.0812862414336</v>
      </c>
    </row>
    <row r="742" spans="1:18">
      <c r="A742" t="s">
        <v>543</v>
      </c>
      <c r="B742" t="s">
        <v>41</v>
      </c>
      <c r="C742" t="str">
        <f>SUBSTITUTE(Table1[[#This Row],[Fuel]],", ",",")</f>
        <v>bioenergy: refuse (municipal and industrial wastes),bioenergy: wastewater and sewage sludge (solids or biogas)</v>
      </c>
      <c r="D742" t="s">
        <v>19</v>
      </c>
      <c r="E742" t="s">
        <v>42</v>
      </c>
      <c r="G742">
        <v>17.850000000000001</v>
      </c>
      <c r="H742" t="s">
        <v>27</v>
      </c>
      <c r="I742" t="s">
        <v>21</v>
      </c>
      <c r="J742" t="s">
        <v>21</v>
      </c>
      <c r="K742">
        <v>38.953000000000003</v>
      </c>
      <c r="L742">
        <v>116.2418</v>
      </c>
      <c r="M742" t="s">
        <v>102</v>
      </c>
      <c r="N742" s="2">
        <f>Table1[[#This Row],[Capacity (MW)]]*8760*0.72*10^-6</f>
        <v>0.11258351999999998</v>
      </c>
      <c r="O742" s="2" cm="1">
        <f t="array" ref="O742">AVERAGE(VLOOKUP(_xlfn.TEXTSPLIT(Table1[[#This Row],[Fuel (no space after comma)]], ","), FuelList_Final_EF!$A$2:$B$32, 2, FALSE))</f>
        <v>81.497100685292565</v>
      </c>
      <c r="P742" s="2">
        <f>(16112*Table1[[#This Row],[Generation (TWh)]]*10^9)/10^6</f>
        <v>1813945.6742399996</v>
      </c>
      <c r="Q742" s="2">
        <f>Table1[[#This Row],[Emission Factor (kg CO2/ mmBtu)]]*Table1[[#This Row],[Fuel Consumption (mmBtu)]]*10^3</f>
        <v>147831313251.18817</v>
      </c>
      <c r="R742" s="2">
        <f>(Table1[[#This Row],[CO2 Emissions (g CO2)]])/(Table1[[#This Row],[Generation (TWh)]]*10^9)</f>
        <v>1313.0812862414339</v>
      </c>
    </row>
    <row r="743" spans="1:18">
      <c r="A743" t="s">
        <v>543</v>
      </c>
      <c r="B743" t="s">
        <v>41</v>
      </c>
      <c r="C743" t="str">
        <f>SUBSTITUTE(Table1[[#This Row],[Fuel]],", ",",")</f>
        <v>bioenergy: refuse (municipal and industrial wastes),bioenergy: wastewater and sewage sludge (solids or biogas)</v>
      </c>
      <c r="D743" t="s">
        <v>19</v>
      </c>
      <c r="E743" t="s">
        <v>42</v>
      </c>
      <c r="G743">
        <v>17.850000000000001</v>
      </c>
      <c r="H743" t="s">
        <v>27</v>
      </c>
      <c r="I743" t="s">
        <v>21</v>
      </c>
      <c r="J743" t="s">
        <v>21</v>
      </c>
      <c r="K743">
        <v>38.953000000000003</v>
      </c>
      <c r="L743">
        <v>116.2418</v>
      </c>
      <c r="M743" t="s">
        <v>102</v>
      </c>
      <c r="N743" s="2">
        <f>Table1[[#This Row],[Capacity (MW)]]*8760*0.72*10^-6</f>
        <v>0.11258351999999998</v>
      </c>
      <c r="O743" s="2" cm="1">
        <f t="array" ref="O743">AVERAGE(VLOOKUP(_xlfn.TEXTSPLIT(Table1[[#This Row],[Fuel (no space after comma)]], ","), FuelList_Final_EF!$A$2:$B$32, 2, FALSE))</f>
        <v>81.497100685292565</v>
      </c>
      <c r="P743" s="2">
        <f>(16112*Table1[[#This Row],[Generation (TWh)]]*10^9)/10^6</f>
        <v>1813945.6742399996</v>
      </c>
      <c r="Q743" s="2">
        <f>Table1[[#This Row],[Emission Factor (kg CO2/ mmBtu)]]*Table1[[#This Row],[Fuel Consumption (mmBtu)]]*10^3</f>
        <v>147831313251.18817</v>
      </c>
      <c r="R743" s="2">
        <f>(Table1[[#This Row],[CO2 Emissions (g CO2)]])/(Table1[[#This Row],[Generation (TWh)]]*10^9)</f>
        <v>1313.0812862414339</v>
      </c>
    </row>
    <row r="744" spans="1:18">
      <c r="A744" t="s">
        <v>542</v>
      </c>
      <c r="B744" t="s">
        <v>41</v>
      </c>
      <c r="C744" t="str">
        <f>SUBSTITUTE(Table1[[#This Row],[Fuel]],", ",",")</f>
        <v>bioenergy: refuse (municipal and industrial wastes),bioenergy: wastewater and sewage sludge (solids or biogas)</v>
      </c>
      <c r="D744" t="s">
        <v>19</v>
      </c>
      <c r="E744" t="s">
        <v>42</v>
      </c>
      <c r="G744">
        <v>1.05</v>
      </c>
      <c r="H744" t="s">
        <v>27</v>
      </c>
      <c r="I744" t="s">
        <v>21</v>
      </c>
      <c r="J744" t="s">
        <v>21</v>
      </c>
      <c r="K744">
        <v>38.953000000000003</v>
      </c>
      <c r="L744">
        <v>116.2418</v>
      </c>
      <c r="M744" t="s">
        <v>102</v>
      </c>
      <c r="N744" s="2">
        <f>Table1[[#This Row],[Capacity (MW)]]*8760*0.72*10^-6</f>
        <v>6.6225599999999996E-3</v>
      </c>
      <c r="O744" s="2" cm="1">
        <f t="array" ref="O744">AVERAGE(VLOOKUP(_xlfn.TEXTSPLIT(Table1[[#This Row],[Fuel (no space after comma)]], ","), FuelList_Final_EF!$A$2:$B$32, 2, FALSE))</f>
        <v>81.497100685292565</v>
      </c>
      <c r="P744" s="2">
        <f>(16112*Table1[[#This Row],[Generation (TWh)]]*10^9)/10^6</f>
        <v>106702.68671999998</v>
      </c>
      <c r="Q744" s="2">
        <f>Table1[[#This Row],[Emission Factor (kg CO2/ mmBtu)]]*Table1[[#This Row],[Fuel Consumption (mmBtu)]]*10^3</f>
        <v>8695959603.0110683</v>
      </c>
      <c r="R744" s="2">
        <f>(Table1[[#This Row],[CO2 Emissions (g CO2)]])/(Table1[[#This Row],[Generation (TWh)]]*10^9)</f>
        <v>1313.0812862414336</v>
      </c>
    </row>
    <row r="745" spans="1:18">
      <c r="A745" t="s">
        <v>541</v>
      </c>
      <c r="B745" t="s">
        <v>41</v>
      </c>
      <c r="C745" t="str">
        <f>SUBSTITUTE(Table1[[#This Row],[Fuel]],", ",",")</f>
        <v>bioenergy: refuse (municipal and industrial wastes),bioenergy: wastewater and sewage sludge (solids or biogas)</v>
      </c>
      <c r="D745" t="s">
        <v>19</v>
      </c>
      <c r="E745" t="s">
        <v>42</v>
      </c>
      <c r="G745">
        <v>16.100000000000001</v>
      </c>
      <c r="H745" t="s">
        <v>27</v>
      </c>
      <c r="I745" t="s">
        <v>21</v>
      </c>
      <c r="J745" t="s">
        <v>21</v>
      </c>
      <c r="K745">
        <v>38.953000000000003</v>
      </c>
      <c r="L745">
        <v>116.2418</v>
      </c>
      <c r="M745" t="s">
        <v>102</v>
      </c>
      <c r="N745" s="2">
        <f>Table1[[#This Row],[Capacity (MW)]]*8760*0.72*10^-6</f>
        <v>0.10154592</v>
      </c>
      <c r="O745" s="2" cm="1">
        <f t="array" ref="O745">AVERAGE(VLOOKUP(_xlfn.TEXTSPLIT(Table1[[#This Row],[Fuel (no space after comma)]], ","), FuelList_Final_EF!$A$2:$B$32, 2, FALSE))</f>
        <v>81.497100685292565</v>
      </c>
      <c r="P745" s="2">
        <f>(16112*Table1[[#This Row],[Generation (TWh)]]*10^9)/10^6</f>
        <v>1636107.86304</v>
      </c>
      <c r="Q745" s="2">
        <f>Table1[[#This Row],[Emission Factor (kg CO2/ mmBtu)]]*Table1[[#This Row],[Fuel Consumption (mmBtu)]]*10^3</f>
        <v>133338047246.16972</v>
      </c>
      <c r="R745" s="2">
        <f>(Table1[[#This Row],[CO2 Emissions (g CO2)]])/(Table1[[#This Row],[Generation (TWh)]]*10^9)</f>
        <v>1313.0812862414336</v>
      </c>
    </row>
    <row r="746" spans="1:18">
      <c r="A746" t="s">
        <v>544</v>
      </c>
      <c r="B746" t="s">
        <v>96</v>
      </c>
      <c r="C746" t="str">
        <f>SUBSTITUTE(Table1[[#This Row],[Fuel]],", ",",")</f>
        <v>bioenergy: unknown</v>
      </c>
      <c r="D746" t="s">
        <v>96</v>
      </c>
      <c r="G746">
        <v>30</v>
      </c>
      <c r="H746" t="s">
        <v>138</v>
      </c>
      <c r="I746" t="s">
        <v>21</v>
      </c>
      <c r="J746" t="s">
        <v>21</v>
      </c>
      <c r="K746">
        <v>39.270899999999997</v>
      </c>
      <c r="L746">
        <v>115.4564</v>
      </c>
      <c r="M746" t="s">
        <v>102</v>
      </c>
      <c r="N746" s="2">
        <f>Table1[[#This Row],[Capacity (MW)]]*8760*0.72*10^-6</f>
        <v>0.189216</v>
      </c>
      <c r="O746" s="2" cm="1">
        <f t="array" ref="O746">AVERAGE(VLOOKUP(_xlfn.TEXTSPLIT(Table1[[#This Row],[Fuel (no space after comma)]], ","), FuelList_Final_EF!$A$2:$B$32, 2, FALSE))</f>
        <v>72.785606017598653</v>
      </c>
      <c r="P746" s="2">
        <f>(16112*Table1[[#This Row],[Generation (TWh)]]*10^9)/10^6</f>
        <v>3048648.1919999998</v>
      </c>
      <c r="Q746" s="2">
        <f>Table1[[#This Row],[Emission Factor (kg CO2/ mmBtu)]]*Table1[[#This Row],[Fuel Consumption (mmBtu)]]*10^3</f>
        <v>221897706189.17645</v>
      </c>
      <c r="R746" s="2">
        <f>(Table1[[#This Row],[CO2 Emissions (g CO2)]])/(Table1[[#This Row],[Generation (TWh)]]*10^9)</f>
        <v>1172.7216841555494</v>
      </c>
    </row>
    <row r="747" spans="1:18" hidden="1">
      <c r="A747" t="s">
        <v>545</v>
      </c>
      <c r="B747" t="s">
        <v>19</v>
      </c>
      <c r="C747" t="str">
        <f>SUBSTITUTE(Table1[[#This Row],[Fuel]],", ",",")</f>
        <v>bioenergy: refuse (municipal and industrial wastes)</v>
      </c>
      <c r="D747" t="s">
        <v>19</v>
      </c>
      <c r="G747">
        <v>17.64</v>
      </c>
      <c r="H747" t="s">
        <v>27</v>
      </c>
      <c r="I747">
        <v>2021</v>
      </c>
      <c r="J747" t="s">
        <v>21</v>
      </c>
      <c r="K747">
        <v>40.7742</v>
      </c>
      <c r="L747">
        <v>114.8819</v>
      </c>
      <c r="M747" t="s">
        <v>102</v>
      </c>
      <c r="N747" s="2">
        <f>Table1[[#This Row],[Capacity (MW)]]*8760*0.72*10^-6</f>
        <v>0.11125900799999998</v>
      </c>
      <c r="O747" s="2" cm="1">
        <f t="array" ref="O747">AVERAGE(VLOOKUP(_xlfn.TEXTSPLIT(Table1[[#This Row],[Fuel (no space after comma)]], ","), FuelList_Final_EF!$A$2:$B$32, 2, FALSE))</f>
        <v>105.42962572482868</v>
      </c>
      <c r="P747" s="2">
        <f>(16112*Table1[[#This Row],[Generation (TWh)]]*10^9)/10^6</f>
        <v>1792605.1368959998</v>
      </c>
      <c r="Q747" s="2">
        <f>Table1[[#This Row],[Emission Factor (kg CO2/ mmBtu)]]*Table1[[#This Row],[Fuel Consumption (mmBtu)]]*10^3</f>
        <v>188993688655.35052</v>
      </c>
      <c r="R747" s="2">
        <f>(Table1[[#This Row],[CO2 Emissions (g CO2)]])/(Table1[[#This Row],[Generation (TWh)]]*10^9)</f>
        <v>1698.6821296784397</v>
      </c>
    </row>
    <row r="748" spans="1:18" hidden="1">
      <c r="A748" t="s">
        <v>541</v>
      </c>
      <c r="B748" t="s">
        <v>19</v>
      </c>
      <c r="C748" t="str">
        <f>SUBSTITUTE(Table1[[#This Row],[Fuel]],", ",",")</f>
        <v>bioenergy: refuse (municipal and industrial wastes)</v>
      </c>
      <c r="D748" t="s">
        <v>19</v>
      </c>
      <c r="G748">
        <v>18.36</v>
      </c>
      <c r="H748" t="s">
        <v>27</v>
      </c>
      <c r="I748">
        <v>2021</v>
      </c>
      <c r="J748" t="s">
        <v>21</v>
      </c>
      <c r="K748">
        <v>40.7742</v>
      </c>
      <c r="L748">
        <v>114.8819</v>
      </c>
      <c r="M748" t="s">
        <v>102</v>
      </c>
      <c r="N748" s="2">
        <f>Table1[[#This Row],[Capacity (MW)]]*8760*0.72*10^-6</f>
        <v>0.115800192</v>
      </c>
      <c r="O748" s="2" cm="1">
        <f t="array" ref="O748">AVERAGE(VLOOKUP(_xlfn.TEXTSPLIT(Table1[[#This Row],[Fuel (no space after comma)]], ","), FuelList_Final_EF!$A$2:$B$32, 2, FALSE))</f>
        <v>105.42962572482868</v>
      </c>
      <c r="P748" s="2">
        <f>(16112*Table1[[#This Row],[Generation (TWh)]]*10^9)/10^6</f>
        <v>1865772.6935040001</v>
      </c>
      <c r="Q748" s="2">
        <f>Table1[[#This Row],[Emission Factor (kg CO2/ mmBtu)]]*Table1[[#This Row],[Fuel Consumption (mmBtu)]]*10^3</f>
        <v>196707716763.73224</v>
      </c>
      <c r="R748" s="2">
        <f>(Table1[[#This Row],[CO2 Emissions (g CO2)]])/(Table1[[#This Row],[Generation (TWh)]]*10^9)</f>
        <v>1698.6821296784399</v>
      </c>
    </row>
    <row r="749" spans="1:18" hidden="1">
      <c r="A749" t="s">
        <v>546</v>
      </c>
      <c r="B749" t="s">
        <v>25</v>
      </c>
      <c r="C749" t="str">
        <f>SUBSTITUTE(Table1[[#This Row],[Fuel]],", ",",")</f>
        <v>bioenergy: wood &amp; other biomass (solids)</v>
      </c>
      <c r="D749" t="s">
        <v>25</v>
      </c>
      <c r="G749">
        <v>36</v>
      </c>
      <c r="H749" t="s">
        <v>27</v>
      </c>
      <c r="I749">
        <v>1996</v>
      </c>
      <c r="J749" t="s">
        <v>21</v>
      </c>
      <c r="K749">
        <v>64.7453</v>
      </c>
      <c r="L749">
        <v>21.0425</v>
      </c>
      <c r="M749" t="s">
        <v>34</v>
      </c>
      <c r="N749" s="2">
        <f>Table1[[#This Row],[Capacity (MW)]]*8760*0.72*10^-6</f>
        <v>0.22705919999999996</v>
      </c>
      <c r="O749" s="2" cm="1">
        <f t="array" ref="O749">AVERAGE(VLOOKUP(_xlfn.TEXTSPLIT(Table1[[#This Row],[Fuel (no space after comma)]], ","), FuelList_Final_EF!$A$2:$B$32, 2, FALSE))</f>
        <v>93.8</v>
      </c>
      <c r="P749" s="2">
        <f>(16112*Table1[[#This Row],[Generation (TWh)]]*10^9)/10^6</f>
        <v>3658377.8303999994</v>
      </c>
      <c r="Q749" s="2">
        <f>Table1[[#This Row],[Emission Factor (kg CO2/ mmBtu)]]*Table1[[#This Row],[Fuel Consumption (mmBtu)]]*10^3</f>
        <v>343155840491.5199</v>
      </c>
      <c r="R749" s="2">
        <f>(Table1[[#This Row],[CO2 Emissions (g CO2)]])/(Table1[[#This Row],[Generation (TWh)]]*10^9)</f>
        <v>1511.3055999999997</v>
      </c>
    </row>
    <row r="750" spans="1:18" hidden="1">
      <c r="A750" t="s">
        <v>547</v>
      </c>
      <c r="B750" t="s">
        <v>25</v>
      </c>
      <c r="C750" t="str">
        <f>SUBSTITUTE(Table1[[#This Row],[Fuel]],", ",",")</f>
        <v>bioenergy: wood &amp; other biomass (solids)</v>
      </c>
      <c r="D750" t="s">
        <v>25</v>
      </c>
      <c r="G750">
        <v>55</v>
      </c>
      <c r="H750" t="s">
        <v>27</v>
      </c>
      <c r="I750">
        <v>2015</v>
      </c>
      <c r="J750" t="s">
        <v>21</v>
      </c>
      <c r="K750">
        <v>59.386600000000001</v>
      </c>
      <c r="L750">
        <v>13.569599999999999</v>
      </c>
      <c r="M750" t="s">
        <v>34</v>
      </c>
      <c r="N750" s="2">
        <f>Table1[[#This Row],[Capacity (MW)]]*8760*0.72*10^-6</f>
        <v>0.34689599999999998</v>
      </c>
      <c r="O750" s="2" cm="1">
        <f t="array" ref="O750">AVERAGE(VLOOKUP(_xlfn.TEXTSPLIT(Table1[[#This Row],[Fuel (no space after comma)]], ","), FuelList_Final_EF!$A$2:$B$32, 2, FALSE))</f>
        <v>93.8</v>
      </c>
      <c r="P750" s="2">
        <f>(16112*Table1[[#This Row],[Generation (TWh)]]*10^9)/10^6</f>
        <v>5589188.352</v>
      </c>
      <c r="Q750" s="2">
        <f>Table1[[#This Row],[Emission Factor (kg CO2/ mmBtu)]]*Table1[[#This Row],[Fuel Consumption (mmBtu)]]*10^3</f>
        <v>524265867417.59998</v>
      </c>
      <c r="R750" s="2">
        <f>(Table1[[#This Row],[CO2 Emissions (g CO2)]])/(Table1[[#This Row],[Generation (TWh)]]*10^9)</f>
        <v>1511.3055999999999</v>
      </c>
    </row>
    <row r="751" spans="1:18" hidden="1">
      <c r="A751" t="s">
        <v>548</v>
      </c>
      <c r="B751" t="s">
        <v>46</v>
      </c>
      <c r="C751" t="str">
        <f>SUBSTITUTE(Table1[[#This Row],[Fuel]],", ",",")</f>
        <v>bioenergy: agricultural waste (solids)</v>
      </c>
      <c r="D751" t="s">
        <v>46</v>
      </c>
      <c r="G751">
        <v>40</v>
      </c>
      <c r="H751" t="s">
        <v>27</v>
      </c>
      <c r="I751">
        <v>2022</v>
      </c>
      <c r="J751" t="s">
        <v>21</v>
      </c>
      <c r="K751">
        <v>46.843400000000003</v>
      </c>
      <c r="L751">
        <v>126.4623</v>
      </c>
      <c r="M751" t="s">
        <v>102</v>
      </c>
      <c r="N751" s="2">
        <f>Table1[[#This Row],[Capacity (MW)]]*8760*0.72*10^-6</f>
        <v>0.25228800000000001</v>
      </c>
      <c r="O751" s="2" cm="1">
        <f t="array" ref="O751">AVERAGE(VLOOKUP(_xlfn.TEXTSPLIT(Table1[[#This Row],[Fuel (no space after comma)]], ","), FuelList_Final_EF!$A$2:$B$32, 2, FALSE))</f>
        <v>118.17</v>
      </c>
      <c r="P751" s="2">
        <f>(16112*Table1[[#This Row],[Generation (TWh)]]*10^9)/10^6</f>
        <v>4064864.2560000005</v>
      </c>
      <c r="Q751" s="2">
        <f>Table1[[#This Row],[Emission Factor (kg CO2/ mmBtu)]]*Table1[[#This Row],[Fuel Consumption (mmBtu)]]*10^3</f>
        <v>480345009131.52008</v>
      </c>
      <c r="R751" s="2">
        <f>(Table1[[#This Row],[CO2 Emissions (g CO2)]])/(Table1[[#This Row],[Generation (TWh)]]*10^9)</f>
        <v>1903.9550400000003</v>
      </c>
    </row>
    <row r="752" spans="1:18" hidden="1">
      <c r="A752" t="s">
        <v>549</v>
      </c>
      <c r="B752" t="s">
        <v>105</v>
      </c>
      <c r="C752" t="str">
        <f>SUBSTITUTE(Table1[[#This Row],[Fuel]],", ",",")</f>
        <v>bioenergy: agricultural waste (solids),bioenergy: wood &amp; other biomass (solids)</v>
      </c>
      <c r="D752" t="s">
        <v>46</v>
      </c>
      <c r="E752" t="s">
        <v>25</v>
      </c>
      <c r="G752">
        <v>30</v>
      </c>
      <c r="H752" t="s">
        <v>27</v>
      </c>
      <c r="I752">
        <v>2017</v>
      </c>
      <c r="J752" t="s">
        <v>21</v>
      </c>
      <c r="K752">
        <v>46.457000000000001</v>
      </c>
      <c r="L752">
        <v>125.4089</v>
      </c>
      <c r="M752" t="s">
        <v>102</v>
      </c>
      <c r="N752" s="2">
        <f>Table1[[#This Row],[Capacity (MW)]]*8760*0.72*10^-6</f>
        <v>0.189216</v>
      </c>
      <c r="O752" s="2" cm="1">
        <f t="array" ref="O752">AVERAGE(VLOOKUP(_xlfn.TEXTSPLIT(Table1[[#This Row],[Fuel (no space after comma)]], ","), FuelList_Final_EF!$A$2:$B$32, 2, FALSE))</f>
        <v>105.985</v>
      </c>
      <c r="P752" s="2">
        <f>(16112*Table1[[#This Row],[Generation (TWh)]]*10^9)/10^6</f>
        <v>3048648.1919999998</v>
      </c>
      <c r="Q752" s="2">
        <f>Table1[[#This Row],[Emission Factor (kg CO2/ mmBtu)]]*Table1[[#This Row],[Fuel Consumption (mmBtu)]]*10^3</f>
        <v>323110978629.12</v>
      </c>
      <c r="R752" s="2">
        <f>(Table1[[#This Row],[CO2 Emissions (g CO2)]])/(Table1[[#This Row],[Generation (TWh)]]*10^9)</f>
        <v>1707.63032</v>
      </c>
    </row>
    <row r="753" spans="1:18" hidden="1">
      <c r="A753" t="s">
        <v>550</v>
      </c>
      <c r="B753" t="s">
        <v>46</v>
      </c>
      <c r="C753" t="str">
        <f>SUBSTITUTE(Table1[[#This Row],[Fuel]],", ",",")</f>
        <v>bioenergy: agricultural waste (solids)</v>
      </c>
      <c r="D753" t="s">
        <v>46</v>
      </c>
      <c r="G753">
        <v>30</v>
      </c>
      <c r="H753" t="s">
        <v>27</v>
      </c>
      <c r="I753">
        <v>2011</v>
      </c>
      <c r="J753" t="s">
        <v>21</v>
      </c>
      <c r="K753">
        <v>46.089500000000001</v>
      </c>
      <c r="L753">
        <v>127.4051</v>
      </c>
      <c r="M753" t="s">
        <v>102</v>
      </c>
      <c r="N753" s="2">
        <f>Table1[[#This Row],[Capacity (MW)]]*8760*0.72*10^-6</f>
        <v>0.189216</v>
      </c>
      <c r="O753" s="2" cm="1">
        <f t="array" ref="O753">AVERAGE(VLOOKUP(_xlfn.TEXTSPLIT(Table1[[#This Row],[Fuel (no space after comma)]], ","), FuelList_Final_EF!$A$2:$B$32, 2, FALSE))</f>
        <v>118.17</v>
      </c>
      <c r="P753" s="2">
        <f>(16112*Table1[[#This Row],[Generation (TWh)]]*10^9)/10^6</f>
        <v>3048648.1919999998</v>
      </c>
      <c r="Q753" s="2">
        <f>Table1[[#This Row],[Emission Factor (kg CO2/ mmBtu)]]*Table1[[#This Row],[Fuel Consumption (mmBtu)]]*10^3</f>
        <v>360258756848.63995</v>
      </c>
      <c r="R753" s="2">
        <f>(Table1[[#This Row],[CO2 Emissions (g CO2)]])/(Table1[[#This Row],[Generation (TWh)]]*10^9)</f>
        <v>1903.9550399999998</v>
      </c>
    </row>
    <row r="754" spans="1:18">
      <c r="A754" t="s">
        <v>108</v>
      </c>
      <c r="B754" t="s">
        <v>46</v>
      </c>
      <c r="C754" t="str">
        <f>SUBSTITUTE(Table1[[#This Row],[Fuel]],", ",",")</f>
        <v>bioenergy: agricultural waste (solids)</v>
      </c>
      <c r="D754" t="s">
        <v>46</v>
      </c>
      <c r="G754">
        <v>20.100000000000001</v>
      </c>
      <c r="H754" t="s">
        <v>53</v>
      </c>
      <c r="I754" t="s">
        <v>21</v>
      </c>
      <c r="J754" t="s">
        <v>21</v>
      </c>
      <c r="K754">
        <v>46.1496</v>
      </c>
      <c r="L754">
        <v>127.1657</v>
      </c>
      <c r="M754" t="s">
        <v>102</v>
      </c>
      <c r="N754" s="2">
        <f>Table1[[#This Row],[Capacity (MW)]]*8760*0.72*10^-6</f>
        <v>0.12677472000000001</v>
      </c>
      <c r="O754" s="2" cm="1">
        <f t="array" ref="O754">AVERAGE(VLOOKUP(_xlfn.TEXTSPLIT(Table1[[#This Row],[Fuel (no space after comma)]], ","), FuelList_Final_EF!$A$2:$B$32, 2, FALSE))</f>
        <v>118.17</v>
      </c>
      <c r="P754" s="2">
        <f>(16112*Table1[[#This Row],[Generation (TWh)]]*10^9)/10^6</f>
        <v>2042594.2886399999</v>
      </c>
      <c r="Q754" s="2">
        <f>Table1[[#This Row],[Emission Factor (kg CO2/ mmBtu)]]*Table1[[#This Row],[Fuel Consumption (mmBtu)]]*10^3</f>
        <v>241373367088.58881</v>
      </c>
      <c r="R754" s="2">
        <f>(Table1[[#This Row],[CO2 Emissions (g CO2)]])/(Table1[[#This Row],[Generation (TWh)]]*10^9)</f>
        <v>1903.9550400000001</v>
      </c>
    </row>
    <row r="755" spans="1:18">
      <c r="A755" t="s">
        <v>551</v>
      </c>
      <c r="B755" t="s">
        <v>46</v>
      </c>
      <c r="C755" t="str">
        <f>SUBSTITUTE(Table1[[#This Row],[Fuel]],", ",",")</f>
        <v>bioenergy: agricultural waste (solids)</v>
      </c>
      <c r="D755" t="s">
        <v>46</v>
      </c>
      <c r="G755">
        <v>9.9</v>
      </c>
      <c r="H755" t="s">
        <v>53</v>
      </c>
      <c r="I755" t="s">
        <v>21</v>
      </c>
      <c r="J755" t="s">
        <v>21</v>
      </c>
      <c r="K755">
        <v>46.1496</v>
      </c>
      <c r="L755">
        <v>127.1657</v>
      </c>
      <c r="M755" t="s">
        <v>102</v>
      </c>
      <c r="N755" s="2">
        <f>Table1[[#This Row],[Capacity (MW)]]*8760*0.72*10^-6</f>
        <v>6.2441279999999995E-2</v>
      </c>
      <c r="O755" s="2" cm="1">
        <f t="array" ref="O755">AVERAGE(VLOOKUP(_xlfn.TEXTSPLIT(Table1[[#This Row],[Fuel (no space after comma)]], ","), FuelList_Final_EF!$A$2:$B$32, 2, FALSE))</f>
        <v>118.17</v>
      </c>
      <c r="P755" s="2">
        <f>(16112*Table1[[#This Row],[Generation (TWh)]]*10^9)/10^6</f>
        <v>1006053.9033599999</v>
      </c>
      <c r="Q755" s="2">
        <f>Table1[[#This Row],[Emission Factor (kg CO2/ mmBtu)]]*Table1[[#This Row],[Fuel Consumption (mmBtu)]]*10^3</f>
        <v>118885389760.05119</v>
      </c>
      <c r="R755" s="2">
        <f>(Table1[[#This Row],[CO2 Emissions (g CO2)]])/(Table1[[#This Row],[Generation (TWh)]]*10^9)</f>
        <v>1903.9550400000001</v>
      </c>
    </row>
    <row r="756" spans="1:18" hidden="1">
      <c r="A756" t="s">
        <v>108</v>
      </c>
      <c r="B756" t="s">
        <v>46</v>
      </c>
      <c r="C756" t="str">
        <f>SUBSTITUTE(Table1[[#This Row],[Fuel]],", ",",")</f>
        <v>bioenergy: agricultural waste (solids)</v>
      </c>
      <c r="D756" t="s">
        <v>46</v>
      </c>
      <c r="G756">
        <v>25.8</v>
      </c>
      <c r="H756" t="s">
        <v>27</v>
      </c>
      <c r="I756">
        <v>2019</v>
      </c>
      <c r="J756" t="s">
        <v>21</v>
      </c>
      <c r="K756">
        <v>46.461300000000001</v>
      </c>
      <c r="L756">
        <v>127.1058</v>
      </c>
      <c r="M756" t="s">
        <v>102</v>
      </c>
      <c r="N756" s="2">
        <f>Table1[[#This Row],[Capacity (MW)]]*8760*0.72*10^-6</f>
        <v>0.16272575999999997</v>
      </c>
      <c r="O756" s="2" cm="1">
        <f t="array" ref="O756">AVERAGE(VLOOKUP(_xlfn.TEXTSPLIT(Table1[[#This Row],[Fuel (no space after comma)]], ","), FuelList_Final_EF!$A$2:$B$32, 2, FALSE))</f>
        <v>118.17</v>
      </c>
      <c r="P756" s="2">
        <f>(16112*Table1[[#This Row],[Generation (TWh)]]*10^9)/10^6</f>
        <v>2621837.4451199993</v>
      </c>
      <c r="Q756" s="2">
        <f>Table1[[#This Row],[Emission Factor (kg CO2/ mmBtu)]]*Table1[[#This Row],[Fuel Consumption (mmBtu)]]*10^3</f>
        <v>309822530889.83032</v>
      </c>
      <c r="R756" s="2">
        <f>(Table1[[#This Row],[CO2 Emissions (g CO2)]])/(Table1[[#This Row],[Generation (TWh)]]*10^9)</f>
        <v>1903.9550399999998</v>
      </c>
    </row>
    <row r="757" spans="1:18" hidden="1">
      <c r="A757" t="s">
        <v>54</v>
      </c>
      <c r="B757" t="s">
        <v>46</v>
      </c>
      <c r="C757" t="str">
        <f>SUBSTITUTE(Table1[[#This Row],[Fuel]],", ",",")</f>
        <v>bioenergy: agricultural waste (solids)</v>
      </c>
      <c r="D757" t="s">
        <v>46</v>
      </c>
      <c r="G757">
        <v>4.2</v>
      </c>
      <c r="H757" t="s">
        <v>27</v>
      </c>
      <c r="I757">
        <v>2019</v>
      </c>
      <c r="J757" t="s">
        <v>21</v>
      </c>
      <c r="K757">
        <v>46.461300000000001</v>
      </c>
      <c r="L757">
        <v>127.1058</v>
      </c>
      <c r="M757" t="s">
        <v>102</v>
      </c>
      <c r="N757" s="2">
        <f>Table1[[#This Row],[Capacity (MW)]]*8760*0.72*10^-6</f>
        <v>2.6490239999999998E-2</v>
      </c>
      <c r="O757" s="2" cm="1">
        <f t="array" ref="O757">AVERAGE(VLOOKUP(_xlfn.TEXTSPLIT(Table1[[#This Row],[Fuel (no space after comma)]], ","), FuelList_Final_EF!$A$2:$B$32, 2, FALSE))</f>
        <v>118.17</v>
      </c>
      <c r="P757" s="2">
        <f>(16112*Table1[[#This Row],[Generation (TWh)]]*10^9)/10^6</f>
        <v>426810.74687999993</v>
      </c>
      <c r="Q757" s="2">
        <f>Table1[[#This Row],[Emission Factor (kg CO2/ mmBtu)]]*Table1[[#This Row],[Fuel Consumption (mmBtu)]]*10^3</f>
        <v>50436225958.809593</v>
      </c>
      <c r="R757" s="2">
        <f>(Table1[[#This Row],[CO2 Emissions (g CO2)]])/(Table1[[#This Row],[Generation (TWh)]]*10^9)</f>
        <v>1903.9550399999998</v>
      </c>
    </row>
    <row r="758" spans="1:18" hidden="1">
      <c r="A758" t="s">
        <v>552</v>
      </c>
      <c r="B758" t="s">
        <v>46</v>
      </c>
      <c r="C758" t="str">
        <f>SUBSTITUTE(Table1[[#This Row],[Fuel]],", ",",")</f>
        <v>bioenergy: agricultural waste (solids)</v>
      </c>
      <c r="D758" t="s">
        <v>46</v>
      </c>
      <c r="G758">
        <v>30</v>
      </c>
      <c r="H758" t="s">
        <v>27</v>
      </c>
      <c r="I758">
        <v>2018</v>
      </c>
      <c r="J758" t="s">
        <v>21</v>
      </c>
      <c r="K758">
        <v>48.071199999999997</v>
      </c>
      <c r="L758">
        <v>126.7247</v>
      </c>
      <c r="M758" t="s">
        <v>102</v>
      </c>
      <c r="N758" s="2">
        <f>Table1[[#This Row],[Capacity (MW)]]*8760*0.72*10^-6</f>
        <v>0.189216</v>
      </c>
      <c r="O758" s="2" cm="1">
        <f t="array" ref="O758">AVERAGE(VLOOKUP(_xlfn.TEXTSPLIT(Table1[[#This Row],[Fuel (no space after comma)]], ","), FuelList_Final_EF!$A$2:$B$32, 2, FALSE))</f>
        <v>118.17</v>
      </c>
      <c r="P758" s="2">
        <f>(16112*Table1[[#This Row],[Generation (TWh)]]*10^9)/10^6</f>
        <v>3048648.1919999998</v>
      </c>
      <c r="Q758" s="2">
        <f>Table1[[#This Row],[Emission Factor (kg CO2/ mmBtu)]]*Table1[[#This Row],[Fuel Consumption (mmBtu)]]*10^3</f>
        <v>360258756848.63995</v>
      </c>
      <c r="R758" s="2">
        <f>(Table1[[#This Row],[CO2 Emissions (g CO2)]])/(Table1[[#This Row],[Generation (TWh)]]*10^9)</f>
        <v>1903.9550399999998</v>
      </c>
    </row>
    <row r="759" spans="1:18">
      <c r="A759" t="s">
        <v>553</v>
      </c>
      <c r="B759" t="s">
        <v>46</v>
      </c>
      <c r="C759" t="str">
        <f>SUBSTITUTE(Table1[[#This Row],[Fuel]],", ",",")</f>
        <v>bioenergy: agricultural waste (solids)</v>
      </c>
      <c r="D759" t="s">
        <v>46</v>
      </c>
      <c r="G759">
        <v>9.9</v>
      </c>
      <c r="H759" t="s">
        <v>53</v>
      </c>
      <c r="I759" t="s">
        <v>21</v>
      </c>
      <c r="J759" t="s">
        <v>21</v>
      </c>
      <c r="K759">
        <v>45.757300000000001</v>
      </c>
      <c r="L759">
        <v>127.1814</v>
      </c>
      <c r="M759" t="s">
        <v>102</v>
      </c>
      <c r="N759" s="2">
        <f>Table1[[#This Row],[Capacity (MW)]]*8760*0.72*10^-6</f>
        <v>6.2441279999999995E-2</v>
      </c>
      <c r="O759" s="2" cm="1">
        <f t="array" ref="O759">AVERAGE(VLOOKUP(_xlfn.TEXTSPLIT(Table1[[#This Row],[Fuel (no space after comma)]], ","), FuelList_Final_EF!$A$2:$B$32, 2, FALSE))</f>
        <v>118.17</v>
      </c>
      <c r="P759" s="2">
        <f>(16112*Table1[[#This Row],[Generation (TWh)]]*10^9)/10^6</f>
        <v>1006053.9033599999</v>
      </c>
      <c r="Q759" s="2">
        <f>Table1[[#This Row],[Emission Factor (kg CO2/ mmBtu)]]*Table1[[#This Row],[Fuel Consumption (mmBtu)]]*10^3</f>
        <v>118885389760.05119</v>
      </c>
      <c r="R759" s="2">
        <f>(Table1[[#This Row],[CO2 Emissions (g CO2)]])/(Table1[[#This Row],[Generation (TWh)]]*10^9)</f>
        <v>1903.9550400000001</v>
      </c>
    </row>
    <row r="760" spans="1:18">
      <c r="A760" t="s">
        <v>554</v>
      </c>
      <c r="B760" t="s">
        <v>46</v>
      </c>
      <c r="C760" t="str">
        <f>SUBSTITUTE(Table1[[#This Row],[Fuel]],", ",",")</f>
        <v>bioenergy: agricultural waste (solids)</v>
      </c>
      <c r="D760" t="s">
        <v>46</v>
      </c>
      <c r="G760">
        <v>10.199999999999999</v>
      </c>
      <c r="H760" t="s">
        <v>53</v>
      </c>
      <c r="I760" t="s">
        <v>21</v>
      </c>
      <c r="J760" t="s">
        <v>21</v>
      </c>
      <c r="K760">
        <v>45.757300000000001</v>
      </c>
      <c r="L760">
        <v>127.1814</v>
      </c>
      <c r="M760" t="s">
        <v>102</v>
      </c>
      <c r="N760" s="2">
        <f>Table1[[#This Row],[Capacity (MW)]]*8760*0.72*10^-6</f>
        <v>6.4333439999999992E-2</v>
      </c>
      <c r="O760" s="2" cm="1">
        <f t="array" ref="O760">AVERAGE(VLOOKUP(_xlfn.TEXTSPLIT(Table1[[#This Row],[Fuel (no space after comma)]], ","), FuelList_Final_EF!$A$2:$B$32, 2, FALSE))</f>
        <v>118.17</v>
      </c>
      <c r="P760" s="2">
        <f>(16112*Table1[[#This Row],[Generation (TWh)]]*10^9)/10^6</f>
        <v>1036540.3852799998</v>
      </c>
      <c r="Q760" s="2">
        <f>Table1[[#This Row],[Emission Factor (kg CO2/ mmBtu)]]*Table1[[#This Row],[Fuel Consumption (mmBtu)]]*10^3</f>
        <v>122487977328.53758</v>
      </c>
      <c r="R760" s="2">
        <f>(Table1[[#This Row],[CO2 Emissions (g CO2)]])/(Table1[[#This Row],[Generation (TWh)]]*10^9)</f>
        <v>1903.9550400000001</v>
      </c>
    </row>
    <row r="761" spans="1:18">
      <c r="A761" t="s">
        <v>555</v>
      </c>
      <c r="B761" t="s">
        <v>46</v>
      </c>
      <c r="C761" t="str">
        <f>SUBSTITUTE(Table1[[#This Row],[Fuel]],", ",",")</f>
        <v>bioenergy: agricultural waste (solids)</v>
      </c>
      <c r="D761" t="s">
        <v>46</v>
      </c>
      <c r="G761">
        <v>9.9</v>
      </c>
      <c r="H761" t="s">
        <v>53</v>
      </c>
      <c r="I761" t="s">
        <v>21</v>
      </c>
      <c r="J761" t="s">
        <v>21</v>
      </c>
      <c r="K761">
        <v>45.757300000000001</v>
      </c>
      <c r="L761">
        <v>127.1814</v>
      </c>
      <c r="M761" t="s">
        <v>102</v>
      </c>
      <c r="N761" s="2">
        <f>Table1[[#This Row],[Capacity (MW)]]*8760*0.72*10^-6</f>
        <v>6.2441279999999995E-2</v>
      </c>
      <c r="O761" s="2" cm="1">
        <f t="array" ref="O761">AVERAGE(VLOOKUP(_xlfn.TEXTSPLIT(Table1[[#This Row],[Fuel (no space after comma)]], ","), FuelList_Final_EF!$A$2:$B$32, 2, FALSE))</f>
        <v>118.17</v>
      </c>
      <c r="P761" s="2">
        <f>(16112*Table1[[#This Row],[Generation (TWh)]]*10^9)/10^6</f>
        <v>1006053.9033599999</v>
      </c>
      <c r="Q761" s="2">
        <f>Table1[[#This Row],[Emission Factor (kg CO2/ mmBtu)]]*Table1[[#This Row],[Fuel Consumption (mmBtu)]]*10^3</f>
        <v>118885389760.05119</v>
      </c>
      <c r="R761" s="2">
        <f>(Table1[[#This Row],[CO2 Emissions (g CO2)]])/(Table1[[#This Row],[Generation (TWh)]]*10^9)</f>
        <v>1903.9550400000001</v>
      </c>
    </row>
    <row r="762" spans="1:18" hidden="1">
      <c r="A762" t="s">
        <v>284</v>
      </c>
      <c r="B762" t="s">
        <v>46</v>
      </c>
      <c r="C762" t="str">
        <f>SUBSTITUTE(Table1[[#This Row],[Fuel]],", ",",")</f>
        <v>bioenergy: agricultural waste (solids)</v>
      </c>
      <c r="D762" t="s">
        <v>46</v>
      </c>
      <c r="G762">
        <v>35</v>
      </c>
      <c r="H762" t="s">
        <v>27</v>
      </c>
      <c r="I762">
        <v>2022</v>
      </c>
      <c r="J762" t="s">
        <v>21</v>
      </c>
      <c r="K762">
        <v>45.808999999999997</v>
      </c>
      <c r="L762">
        <v>127.1101</v>
      </c>
      <c r="M762" t="s">
        <v>102</v>
      </c>
      <c r="N762" s="2">
        <f>Table1[[#This Row],[Capacity (MW)]]*8760*0.72*10^-6</f>
        <v>0.220752</v>
      </c>
      <c r="O762" s="2" cm="1">
        <f t="array" ref="O762">AVERAGE(VLOOKUP(_xlfn.TEXTSPLIT(Table1[[#This Row],[Fuel (no space after comma)]], ","), FuelList_Final_EF!$A$2:$B$32, 2, FALSE))</f>
        <v>118.17</v>
      </c>
      <c r="P762" s="2">
        <f>(16112*Table1[[#This Row],[Generation (TWh)]]*10^9)/10^6</f>
        <v>3556756.2239999999</v>
      </c>
      <c r="Q762" s="2">
        <f>Table1[[#This Row],[Emission Factor (kg CO2/ mmBtu)]]*Table1[[#This Row],[Fuel Consumption (mmBtu)]]*10^3</f>
        <v>420301882990.08002</v>
      </c>
      <c r="R762" s="2">
        <f>(Table1[[#This Row],[CO2 Emissions (g CO2)]])/(Table1[[#This Row],[Generation (TWh)]]*10^9)</f>
        <v>1903.9550400000001</v>
      </c>
    </row>
    <row r="763" spans="1:18" hidden="1">
      <c r="A763" t="s">
        <v>54</v>
      </c>
      <c r="B763" t="s">
        <v>46</v>
      </c>
      <c r="C763" t="str">
        <f>SUBSTITUTE(Table1[[#This Row],[Fuel]],", ",",")</f>
        <v>bioenergy: agricultural waste (solids)</v>
      </c>
      <c r="D763" t="s">
        <v>46</v>
      </c>
      <c r="G763">
        <v>30</v>
      </c>
      <c r="H763" t="s">
        <v>27</v>
      </c>
      <c r="I763">
        <v>2022</v>
      </c>
      <c r="J763" t="s">
        <v>21</v>
      </c>
      <c r="K763">
        <v>45.762599999999999</v>
      </c>
      <c r="L763">
        <v>130.59700000000001</v>
      </c>
      <c r="M763" t="s">
        <v>102</v>
      </c>
      <c r="N763" s="2">
        <f>Table1[[#This Row],[Capacity (MW)]]*8760*0.72*10^-6</f>
        <v>0.189216</v>
      </c>
      <c r="O763" s="2" cm="1">
        <f t="array" ref="O763">AVERAGE(VLOOKUP(_xlfn.TEXTSPLIT(Table1[[#This Row],[Fuel (no space after comma)]], ","), FuelList_Final_EF!$A$2:$B$32, 2, FALSE))</f>
        <v>118.17</v>
      </c>
      <c r="P763" s="2">
        <f>(16112*Table1[[#This Row],[Generation (TWh)]]*10^9)/10^6</f>
        <v>3048648.1919999998</v>
      </c>
      <c r="Q763" s="2">
        <f>Table1[[#This Row],[Emission Factor (kg CO2/ mmBtu)]]*Table1[[#This Row],[Fuel Consumption (mmBtu)]]*10^3</f>
        <v>360258756848.63995</v>
      </c>
      <c r="R763" s="2">
        <f>(Table1[[#This Row],[CO2 Emissions (g CO2)]])/(Table1[[#This Row],[Generation (TWh)]]*10^9)</f>
        <v>1903.9550399999998</v>
      </c>
    </row>
    <row r="764" spans="1:18">
      <c r="A764" t="s">
        <v>556</v>
      </c>
      <c r="B764" t="s">
        <v>46</v>
      </c>
      <c r="C764" t="str">
        <f>SUBSTITUTE(Table1[[#This Row],[Fuel]],", ",",")</f>
        <v>bioenergy: agricultural waste (solids)</v>
      </c>
      <c r="D764" t="s">
        <v>46</v>
      </c>
      <c r="G764">
        <v>40</v>
      </c>
      <c r="H764" t="s">
        <v>53</v>
      </c>
      <c r="I764" t="s">
        <v>21</v>
      </c>
      <c r="J764" t="s">
        <v>21</v>
      </c>
      <c r="K764">
        <v>45.788600000000002</v>
      </c>
      <c r="L764">
        <v>130.5256</v>
      </c>
      <c r="M764" t="s">
        <v>102</v>
      </c>
      <c r="N764" s="2">
        <f>Table1[[#This Row],[Capacity (MW)]]*8760*0.72*10^-6</f>
        <v>0.25228800000000001</v>
      </c>
      <c r="O764" s="2" cm="1">
        <f t="array" ref="O764">AVERAGE(VLOOKUP(_xlfn.TEXTSPLIT(Table1[[#This Row],[Fuel (no space after comma)]], ","), FuelList_Final_EF!$A$2:$B$32, 2, FALSE))</f>
        <v>118.17</v>
      </c>
      <c r="P764" s="2">
        <f>(16112*Table1[[#This Row],[Generation (TWh)]]*10^9)/10^6</f>
        <v>4064864.2560000005</v>
      </c>
      <c r="Q764" s="2">
        <f>Table1[[#This Row],[Emission Factor (kg CO2/ mmBtu)]]*Table1[[#This Row],[Fuel Consumption (mmBtu)]]*10^3</f>
        <v>480345009131.52008</v>
      </c>
      <c r="R764" s="2">
        <f>(Table1[[#This Row],[CO2 Emissions (g CO2)]])/(Table1[[#This Row],[Generation (TWh)]]*10^9)</f>
        <v>1903.9550400000003</v>
      </c>
    </row>
    <row r="765" spans="1:18">
      <c r="A765" t="s">
        <v>557</v>
      </c>
      <c r="B765" t="s">
        <v>105</v>
      </c>
      <c r="C765" t="str">
        <f>SUBSTITUTE(Table1[[#This Row],[Fuel]],", ",",")</f>
        <v>bioenergy: agricultural waste (solids),bioenergy: wood &amp; other biomass (solids)</v>
      </c>
      <c r="D765" t="s">
        <v>46</v>
      </c>
      <c r="E765" t="s">
        <v>25</v>
      </c>
      <c r="G765">
        <v>24</v>
      </c>
      <c r="H765" t="s">
        <v>20</v>
      </c>
      <c r="I765" t="s">
        <v>21</v>
      </c>
      <c r="J765" t="s">
        <v>21</v>
      </c>
      <c r="K765">
        <v>46.135199999999998</v>
      </c>
      <c r="L765">
        <v>124.60290000000001</v>
      </c>
      <c r="M765" t="s">
        <v>102</v>
      </c>
      <c r="N765" s="2">
        <f>Table1[[#This Row],[Capacity (MW)]]*8760*0.72*10^-6</f>
        <v>0.15137279999999997</v>
      </c>
      <c r="O765" s="2" cm="1">
        <f t="array" ref="O765">AVERAGE(VLOOKUP(_xlfn.TEXTSPLIT(Table1[[#This Row],[Fuel (no space after comma)]], ","), FuelList_Final_EF!$A$2:$B$32, 2, FALSE))</f>
        <v>105.985</v>
      </c>
      <c r="P765" s="2">
        <f>(16112*Table1[[#This Row],[Generation (TWh)]]*10^9)/10^6</f>
        <v>2438918.5535999993</v>
      </c>
      <c r="Q765" s="2">
        <f>Table1[[#This Row],[Emission Factor (kg CO2/ mmBtu)]]*Table1[[#This Row],[Fuel Consumption (mmBtu)]]*10^3</f>
        <v>258488782903.29593</v>
      </c>
      <c r="R765" s="2">
        <f>(Table1[[#This Row],[CO2 Emissions (g CO2)]])/(Table1[[#This Row],[Generation (TWh)]]*10^9)</f>
        <v>1707.6303199999998</v>
      </c>
    </row>
    <row r="766" spans="1:18">
      <c r="A766" t="s">
        <v>558</v>
      </c>
      <c r="B766" t="s">
        <v>105</v>
      </c>
      <c r="C766" t="str">
        <f>SUBSTITUTE(Table1[[#This Row],[Fuel]],", ",",")</f>
        <v>bioenergy: agricultural waste (solids),bioenergy: wood &amp; other biomass (solids)</v>
      </c>
      <c r="D766" t="s">
        <v>46</v>
      </c>
      <c r="E766" t="s">
        <v>25</v>
      </c>
      <c r="G766">
        <v>56</v>
      </c>
      <c r="H766" t="s">
        <v>20</v>
      </c>
      <c r="I766" t="s">
        <v>21</v>
      </c>
      <c r="J766" t="s">
        <v>21</v>
      </c>
      <c r="K766">
        <v>46.135199999999998</v>
      </c>
      <c r="L766">
        <v>124.60290000000001</v>
      </c>
      <c r="M766" t="s">
        <v>102</v>
      </c>
      <c r="N766" s="2">
        <f>Table1[[#This Row],[Capacity (MW)]]*8760*0.72*10^-6</f>
        <v>0.35320319999999999</v>
      </c>
      <c r="O766" s="2" cm="1">
        <f t="array" ref="O766">AVERAGE(VLOOKUP(_xlfn.TEXTSPLIT(Table1[[#This Row],[Fuel (no space after comma)]], ","), FuelList_Final_EF!$A$2:$B$32, 2, FALSE))</f>
        <v>105.985</v>
      </c>
      <c r="P766" s="2">
        <f>(16112*Table1[[#This Row],[Generation (TWh)]]*10^9)/10^6</f>
        <v>5690809.9583999999</v>
      </c>
      <c r="Q766" s="2">
        <f>Table1[[#This Row],[Emission Factor (kg CO2/ mmBtu)]]*Table1[[#This Row],[Fuel Consumption (mmBtu)]]*10^3</f>
        <v>603140493441.02393</v>
      </c>
      <c r="R766" s="2">
        <f>(Table1[[#This Row],[CO2 Emissions (g CO2)]])/(Table1[[#This Row],[Generation (TWh)]]*10^9)</f>
        <v>1707.6303199999998</v>
      </c>
    </row>
    <row r="767" spans="1:18" hidden="1">
      <c r="A767" t="s">
        <v>108</v>
      </c>
      <c r="B767" t="s">
        <v>46</v>
      </c>
      <c r="C767" t="str">
        <f>SUBSTITUTE(Table1[[#This Row],[Fuel]],", ",",")</f>
        <v>bioenergy: agricultural waste (solids)</v>
      </c>
      <c r="D767" t="s">
        <v>46</v>
      </c>
      <c r="G767">
        <v>30</v>
      </c>
      <c r="H767" t="s">
        <v>53</v>
      </c>
      <c r="I767">
        <v>2024</v>
      </c>
      <c r="J767" t="s">
        <v>21</v>
      </c>
      <c r="K767">
        <v>44.031199999999998</v>
      </c>
      <c r="L767">
        <v>131.16679999999999</v>
      </c>
      <c r="M767" t="s">
        <v>102</v>
      </c>
      <c r="N767" s="2">
        <f>Table1[[#This Row],[Capacity (MW)]]*8760*0.72*10^-6</f>
        <v>0.189216</v>
      </c>
      <c r="O767" s="2" cm="1">
        <f t="array" ref="O767">AVERAGE(VLOOKUP(_xlfn.TEXTSPLIT(Table1[[#This Row],[Fuel (no space after comma)]], ","), FuelList_Final_EF!$A$2:$B$32, 2, FALSE))</f>
        <v>118.17</v>
      </c>
      <c r="P767" s="2">
        <f>(16112*Table1[[#This Row],[Generation (TWh)]]*10^9)/10^6</f>
        <v>3048648.1919999998</v>
      </c>
      <c r="Q767" s="2">
        <f>Table1[[#This Row],[Emission Factor (kg CO2/ mmBtu)]]*Table1[[#This Row],[Fuel Consumption (mmBtu)]]*10^3</f>
        <v>360258756848.63995</v>
      </c>
      <c r="R767" s="2">
        <f>(Table1[[#This Row],[CO2 Emissions (g CO2)]])/(Table1[[#This Row],[Generation (TWh)]]*10^9)</f>
        <v>1903.9550399999998</v>
      </c>
    </row>
    <row r="768" spans="1:18" hidden="1">
      <c r="A768" t="s">
        <v>559</v>
      </c>
      <c r="B768" t="s">
        <v>46</v>
      </c>
      <c r="C768" t="str">
        <f>SUBSTITUTE(Table1[[#This Row],[Fuel]],", ",",")</f>
        <v>bioenergy: agricultural waste (solids)</v>
      </c>
      <c r="D768" t="s">
        <v>46</v>
      </c>
      <c r="G768">
        <v>33.950000000000003</v>
      </c>
      <c r="H768" t="s">
        <v>27</v>
      </c>
      <c r="I768">
        <v>2019</v>
      </c>
      <c r="J768" t="s">
        <v>21</v>
      </c>
      <c r="K768">
        <v>46.785600000000002</v>
      </c>
      <c r="L768">
        <v>124.60339999999999</v>
      </c>
      <c r="M768" t="s">
        <v>102</v>
      </c>
      <c r="N768" s="2">
        <f>Table1[[#This Row],[Capacity (MW)]]*8760*0.72*10^-6</f>
        <v>0.21412944</v>
      </c>
      <c r="O768" s="2" cm="1">
        <f t="array" ref="O768">AVERAGE(VLOOKUP(_xlfn.TEXTSPLIT(Table1[[#This Row],[Fuel (no space after comma)]], ","), FuelList_Final_EF!$A$2:$B$32, 2, FALSE))</f>
        <v>118.17</v>
      </c>
      <c r="P768" s="2">
        <f>(16112*Table1[[#This Row],[Generation (TWh)]]*10^9)/10^6</f>
        <v>3450053.5372799998</v>
      </c>
      <c r="Q768" s="2">
        <f>Table1[[#This Row],[Emission Factor (kg CO2/ mmBtu)]]*Table1[[#This Row],[Fuel Consumption (mmBtu)]]*10^3</f>
        <v>407692826500.37762</v>
      </c>
      <c r="R768" s="2">
        <f>(Table1[[#This Row],[CO2 Emissions (g CO2)]])/(Table1[[#This Row],[Generation (TWh)]]*10^9)</f>
        <v>1903.9550400000001</v>
      </c>
    </row>
    <row r="769" spans="1:18" hidden="1">
      <c r="A769" t="s">
        <v>560</v>
      </c>
      <c r="B769" t="s">
        <v>46</v>
      </c>
      <c r="C769" t="str">
        <f>SUBSTITUTE(Table1[[#This Row],[Fuel]],", ",",")</f>
        <v>bioenergy: agricultural waste (solids)</v>
      </c>
      <c r="D769" t="s">
        <v>46</v>
      </c>
      <c r="G769">
        <v>1.05</v>
      </c>
      <c r="H769" t="s">
        <v>27</v>
      </c>
      <c r="I769">
        <v>2019</v>
      </c>
      <c r="J769" t="s">
        <v>21</v>
      </c>
      <c r="K769">
        <v>46.785600000000002</v>
      </c>
      <c r="L769">
        <v>124.60339999999999</v>
      </c>
      <c r="M769" t="s">
        <v>102</v>
      </c>
      <c r="N769" s="2">
        <f>Table1[[#This Row],[Capacity (MW)]]*8760*0.72*10^-6</f>
        <v>6.6225599999999996E-3</v>
      </c>
      <c r="O769" s="2" cm="1">
        <f t="array" ref="O769">AVERAGE(VLOOKUP(_xlfn.TEXTSPLIT(Table1[[#This Row],[Fuel (no space after comma)]], ","), FuelList_Final_EF!$A$2:$B$32, 2, FALSE))</f>
        <v>118.17</v>
      </c>
      <c r="P769" s="2">
        <f>(16112*Table1[[#This Row],[Generation (TWh)]]*10^9)/10^6</f>
        <v>106702.68671999998</v>
      </c>
      <c r="Q769" s="2">
        <f>Table1[[#This Row],[Emission Factor (kg CO2/ mmBtu)]]*Table1[[#This Row],[Fuel Consumption (mmBtu)]]*10^3</f>
        <v>12609056489.702398</v>
      </c>
      <c r="R769" s="2">
        <f>(Table1[[#This Row],[CO2 Emissions (g CO2)]])/(Table1[[#This Row],[Generation (TWh)]]*10^9)</f>
        <v>1903.9550399999998</v>
      </c>
    </row>
    <row r="770" spans="1:18" hidden="1">
      <c r="A770" t="s">
        <v>559</v>
      </c>
      <c r="B770" t="s">
        <v>46</v>
      </c>
      <c r="C770" t="str">
        <f>SUBSTITUTE(Table1[[#This Row],[Fuel]],", ",",")</f>
        <v>bioenergy: agricultural waste (solids)</v>
      </c>
      <c r="D770" t="s">
        <v>46</v>
      </c>
      <c r="G770">
        <v>33.950000000000003</v>
      </c>
      <c r="H770" t="s">
        <v>27</v>
      </c>
      <c r="I770">
        <v>2019</v>
      </c>
      <c r="J770" t="s">
        <v>21</v>
      </c>
      <c r="K770">
        <v>46.785600000000002</v>
      </c>
      <c r="L770">
        <v>124.60339999999999</v>
      </c>
      <c r="M770" t="s">
        <v>102</v>
      </c>
      <c r="N770" s="2">
        <f>Table1[[#This Row],[Capacity (MW)]]*8760*0.72*10^-6</f>
        <v>0.21412944</v>
      </c>
      <c r="O770" s="2" cm="1">
        <f t="array" ref="O770">AVERAGE(VLOOKUP(_xlfn.TEXTSPLIT(Table1[[#This Row],[Fuel (no space after comma)]], ","), FuelList_Final_EF!$A$2:$B$32, 2, FALSE))</f>
        <v>118.17</v>
      </c>
      <c r="P770" s="2">
        <f>(16112*Table1[[#This Row],[Generation (TWh)]]*10^9)/10^6</f>
        <v>3450053.5372799998</v>
      </c>
      <c r="Q770" s="2">
        <f>Table1[[#This Row],[Emission Factor (kg CO2/ mmBtu)]]*Table1[[#This Row],[Fuel Consumption (mmBtu)]]*10^3</f>
        <v>407692826500.37762</v>
      </c>
      <c r="R770" s="2">
        <f>(Table1[[#This Row],[CO2 Emissions (g CO2)]])/(Table1[[#This Row],[Generation (TWh)]]*10^9)</f>
        <v>1903.9550400000001</v>
      </c>
    </row>
    <row r="771" spans="1:18" hidden="1">
      <c r="A771" t="s">
        <v>560</v>
      </c>
      <c r="B771" t="s">
        <v>46</v>
      </c>
      <c r="C771" t="str">
        <f>SUBSTITUTE(Table1[[#This Row],[Fuel]],", ",",")</f>
        <v>bioenergy: agricultural waste (solids)</v>
      </c>
      <c r="D771" t="s">
        <v>46</v>
      </c>
      <c r="G771">
        <v>1.05</v>
      </c>
      <c r="H771" t="s">
        <v>27</v>
      </c>
      <c r="I771">
        <v>2019</v>
      </c>
      <c r="J771" t="s">
        <v>21</v>
      </c>
      <c r="K771">
        <v>46.785600000000002</v>
      </c>
      <c r="L771">
        <v>124.60339999999999</v>
      </c>
      <c r="M771" t="s">
        <v>102</v>
      </c>
      <c r="N771" s="2">
        <f>Table1[[#This Row],[Capacity (MW)]]*8760*0.72*10^-6</f>
        <v>6.6225599999999996E-3</v>
      </c>
      <c r="O771" s="2" cm="1">
        <f t="array" ref="O771">AVERAGE(VLOOKUP(_xlfn.TEXTSPLIT(Table1[[#This Row],[Fuel (no space after comma)]], ","), FuelList_Final_EF!$A$2:$B$32, 2, FALSE))</f>
        <v>118.17</v>
      </c>
      <c r="P771" s="2">
        <f>(16112*Table1[[#This Row],[Generation (TWh)]]*10^9)/10^6</f>
        <v>106702.68671999998</v>
      </c>
      <c r="Q771" s="2">
        <f>Table1[[#This Row],[Emission Factor (kg CO2/ mmBtu)]]*Table1[[#This Row],[Fuel Consumption (mmBtu)]]*10^3</f>
        <v>12609056489.702398</v>
      </c>
      <c r="R771" s="2">
        <f>(Table1[[#This Row],[CO2 Emissions (g CO2)]])/(Table1[[#This Row],[Generation (TWh)]]*10^9)</f>
        <v>1903.9550399999998</v>
      </c>
    </row>
    <row r="772" spans="1:18" hidden="1">
      <c r="A772" t="s">
        <v>559</v>
      </c>
      <c r="B772" t="s">
        <v>46</v>
      </c>
      <c r="C772" t="str">
        <f>SUBSTITUTE(Table1[[#This Row],[Fuel]],", ",",")</f>
        <v>bioenergy: agricultural waste (solids)</v>
      </c>
      <c r="D772" t="s">
        <v>46</v>
      </c>
      <c r="G772">
        <v>33.950000000000003</v>
      </c>
      <c r="H772" t="s">
        <v>27</v>
      </c>
      <c r="I772">
        <v>2019</v>
      </c>
      <c r="J772" t="s">
        <v>21</v>
      </c>
      <c r="K772">
        <v>46.785600000000002</v>
      </c>
      <c r="L772">
        <v>124.60339999999999</v>
      </c>
      <c r="M772" t="s">
        <v>102</v>
      </c>
      <c r="N772" s="2">
        <f>Table1[[#This Row],[Capacity (MW)]]*8760*0.72*10^-6</f>
        <v>0.21412944</v>
      </c>
      <c r="O772" s="2" cm="1">
        <f t="array" ref="O772">AVERAGE(VLOOKUP(_xlfn.TEXTSPLIT(Table1[[#This Row],[Fuel (no space after comma)]], ","), FuelList_Final_EF!$A$2:$B$32, 2, FALSE))</f>
        <v>118.17</v>
      </c>
      <c r="P772" s="2">
        <f>(16112*Table1[[#This Row],[Generation (TWh)]]*10^9)/10^6</f>
        <v>3450053.5372799998</v>
      </c>
      <c r="Q772" s="2">
        <f>Table1[[#This Row],[Emission Factor (kg CO2/ mmBtu)]]*Table1[[#This Row],[Fuel Consumption (mmBtu)]]*10^3</f>
        <v>407692826500.37762</v>
      </c>
      <c r="R772" s="2">
        <f>(Table1[[#This Row],[CO2 Emissions (g CO2)]])/(Table1[[#This Row],[Generation (TWh)]]*10^9)</f>
        <v>1903.9550400000001</v>
      </c>
    </row>
    <row r="773" spans="1:18" hidden="1">
      <c r="A773" t="s">
        <v>560</v>
      </c>
      <c r="B773" t="s">
        <v>46</v>
      </c>
      <c r="C773" t="str">
        <f>SUBSTITUTE(Table1[[#This Row],[Fuel]],", ",",")</f>
        <v>bioenergy: agricultural waste (solids)</v>
      </c>
      <c r="D773" t="s">
        <v>46</v>
      </c>
      <c r="G773">
        <v>1.05</v>
      </c>
      <c r="H773" t="s">
        <v>27</v>
      </c>
      <c r="I773">
        <v>2019</v>
      </c>
      <c r="J773" t="s">
        <v>21</v>
      </c>
      <c r="K773">
        <v>46.785600000000002</v>
      </c>
      <c r="L773">
        <v>124.60339999999999</v>
      </c>
      <c r="M773" t="s">
        <v>102</v>
      </c>
      <c r="N773" s="2">
        <f>Table1[[#This Row],[Capacity (MW)]]*8760*0.72*10^-6</f>
        <v>6.6225599999999996E-3</v>
      </c>
      <c r="O773" s="2" cm="1">
        <f t="array" ref="O773">AVERAGE(VLOOKUP(_xlfn.TEXTSPLIT(Table1[[#This Row],[Fuel (no space after comma)]], ","), FuelList_Final_EF!$A$2:$B$32, 2, FALSE))</f>
        <v>118.17</v>
      </c>
      <c r="P773" s="2">
        <f>(16112*Table1[[#This Row],[Generation (TWh)]]*10^9)/10^6</f>
        <v>106702.68671999998</v>
      </c>
      <c r="Q773" s="2">
        <f>Table1[[#This Row],[Emission Factor (kg CO2/ mmBtu)]]*Table1[[#This Row],[Fuel Consumption (mmBtu)]]*10^3</f>
        <v>12609056489.702398</v>
      </c>
      <c r="R773" s="2">
        <f>(Table1[[#This Row],[CO2 Emissions (g CO2)]])/(Table1[[#This Row],[Generation (TWh)]]*10^9)</f>
        <v>1903.9550399999998</v>
      </c>
    </row>
    <row r="774" spans="1:18" hidden="1">
      <c r="A774" t="s">
        <v>561</v>
      </c>
      <c r="B774" t="s">
        <v>46</v>
      </c>
      <c r="C774" t="str">
        <f>SUBSTITUTE(Table1[[#This Row],[Fuel]],", ",",")</f>
        <v>bioenergy: agricultural waste (solids)</v>
      </c>
      <c r="D774" t="s">
        <v>46</v>
      </c>
      <c r="G774">
        <v>30</v>
      </c>
      <c r="H774" t="s">
        <v>27</v>
      </c>
      <c r="I774">
        <v>2020</v>
      </c>
      <c r="J774" t="s">
        <v>21</v>
      </c>
      <c r="K774">
        <v>45.851599999999998</v>
      </c>
      <c r="L774">
        <v>128.82490000000001</v>
      </c>
      <c r="M774" t="s">
        <v>102</v>
      </c>
      <c r="N774" s="2">
        <f>Table1[[#This Row],[Capacity (MW)]]*8760*0.72*10^-6</f>
        <v>0.189216</v>
      </c>
      <c r="O774" s="2" cm="1">
        <f t="array" ref="O774">AVERAGE(VLOOKUP(_xlfn.TEXTSPLIT(Table1[[#This Row],[Fuel (no space after comma)]], ","), FuelList_Final_EF!$A$2:$B$32, 2, FALSE))</f>
        <v>118.17</v>
      </c>
      <c r="P774" s="2">
        <f>(16112*Table1[[#This Row],[Generation (TWh)]]*10^9)/10^6</f>
        <v>3048648.1919999998</v>
      </c>
      <c r="Q774" s="2">
        <f>Table1[[#This Row],[Emission Factor (kg CO2/ mmBtu)]]*Table1[[#This Row],[Fuel Consumption (mmBtu)]]*10^3</f>
        <v>360258756848.63995</v>
      </c>
      <c r="R774" s="2">
        <f>(Table1[[#This Row],[CO2 Emissions (g CO2)]])/(Table1[[#This Row],[Generation (TWh)]]*10^9)</f>
        <v>1903.9550399999998</v>
      </c>
    </row>
    <row r="775" spans="1:18" hidden="1">
      <c r="A775" t="s">
        <v>562</v>
      </c>
      <c r="B775" t="s">
        <v>46</v>
      </c>
      <c r="C775" t="str">
        <f>SUBSTITUTE(Table1[[#This Row],[Fuel]],", ",",")</f>
        <v>bioenergy: agricultural waste (solids)</v>
      </c>
      <c r="D775" t="s">
        <v>46</v>
      </c>
      <c r="G775">
        <v>30</v>
      </c>
      <c r="H775" t="s">
        <v>27</v>
      </c>
      <c r="I775">
        <v>2021</v>
      </c>
      <c r="J775" t="s">
        <v>21</v>
      </c>
      <c r="K775">
        <v>47.868899999999996</v>
      </c>
      <c r="L775">
        <v>123.7011</v>
      </c>
      <c r="M775" t="s">
        <v>102</v>
      </c>
      <c r="N775" s="2">
        <f>Table1[[#This Row],[Capacity (MW)]]*8760*0.72*10^-6</f>
        <v>0.189216</v>
      </c>
      <c r="O775" s="2" cm="1">
        <f t="array" ref="O775">AVERAGE(VLOOKUP(_xlfn.TEXTSPLIT(Table1[[#This Row],[Fuel (no space after comma)]], ","), FuelList_Final_EF!$A$2:$B$32, 2, FALSE))</f>
        <v>118.17</v>
      </c>
      <c r="P775" s="2">
        <f>(16112*Table1[[#This Row],[Generation (TWh)]]*10^9)/10^6</f>
        <v>3048648.1919999998</v>
      </c>
      <c r="Q775" s="2">
        <f>Table1[[#This Row],[Emission Factor (kg CO2/ mmBtu)]]*Table1[[#This Row],[Fuel Consumption (mmBtu)]]*10^3</f>
        <v>360258756848.63995</v>
      </c>
      <c r="R775" s="2">
        <f>(Table1[[#This Row],[CO2 Emissions (g CO2)]])/(Table1[[#This Row],[Generation (TWh)]]*10^9)</f>
        <v>1903.9550399999998</v>
      </c>
    </row>
    <row r="776" spans="1:18" hidden="1">
      <c r="A776" t="s">
        <v>562</v>
      </c>
      <c r="B776" t="s">
        <v>46</v>
      </c>
      <c r="C776" t="str">
        <f>SUBSTITUTE(Table1[[#This Row],[Fuel]],", ",",")</f>
        <v>bioenergy: agricultural waste (solids)</v>
      </c>
      <c r="D776" t="s">
        <v>46</v>
      </c>
      <c r="G776">
        <v>30</v>
      </c>
      <c r="H776" t="s">
        <v>27</v>
      </c>
      <c r="I776">
        <v>2021</v>
      </c>
      <c r="J776" t="s">
        <v>21</v>
      </c>
      <c r="K776">
        <v>47.868899999999996</v>
      </c>
      <c r="L776">
        <v>123.7011</v>
      </c>
      <c r="M776" t="s">
        <v>102</v>
      </c>
      <c r="N776" s="2">
        <f>Table1[[#This Row],[Capacity (MW)]]*8760*0.72*10^-6</f>
        <v>0.189216</v>
      </c>
      <c r="O776" s="2" cm="1">
        <f t="array" ref="O776">AVERAGE(VLOOKUP(_xlfn.TEXTSPLIT(Table1[[#This Row],[Fuel (no space after comma)]], ","), FuelList_Final_EF!$A$2:$B$32, 2, FALSE))</f>
        <v>118.17</v>
      </c>
      <c r="P776" s="2">
        <f>(16112*Table1[[#This Row],[Generation (TWh)]]*10^9)/10^6</f>
        <v>3048648.1919999998</v>
      </c>
      <c r="Q776" s="2">
        <f>Table1[[#This Row],[Emission Factor (kg CO2/ mmBtu)]]*Table1[[#This Row],[Fuel Consumption (mmBtu)]]*10^3</f>
        <v>360258756848.63995</v>
      </c>
      <c r="R776" s="2">
        <f>(Table1[[#This Row],[CO2 Emissions (g CO2)]])/(Table1[[#This Row],[Generation (TWh)]]*10^9)</f>
        <v>1903.9550399999998</v>
      </c>
    </row>
    <row r="777" spans="1:18">
      <c r="A777" t="s">
        <v>563</v>
      </c>
      <c r="B777" t="s">
        <v>46</v>
      </c>
      <c r="C777" t="str">
        <f>SUBSTITUTE(Table1[[#This Row],[Fuel]],", ",",")</f>
        <v>bioenergy: agricultural waste (solids)</v>
      </c>
      <c r="D777" t="s">
        <v>46</v>
      </c>
      <c r="G777">
        <v>40</v>
      </c>
      <c r="H777" t="s">
        <v>20</v>
      </c>
      <c r="I777" t="s">
        <v>21</v>
      </c>
      <c r="J777" t="s">
        <v>21</v>
      </c>
      <c r="K777">
        <v>47.226900000000001</v>
      </c>
      <c r="L777">
        <v>131.9958</v>
      </c>
      <c r="M777" t="s">
        <v>102</v>
      </c>
      <c r="N777" s="2">
        <f>Table1[[#This Row],[Capacity (MW)]]*8760*0.72*10^-6</f>
        <v>0.25228800000000001</v>
      </c>
      <c r="O777" s="2" cm="1">
        <f t="array" ref="O777">AVERAGE(VLOOKUP(_xlfn.TEXTSPLIT(Table1[[#This Row],[Fuel (no space after comma)]], ","), FuelList_Final_EF!$A$2:$B$32, 2, FALSE))</f>
        <v>118.17</v>
      </c>
      <c r="P777" s="2">
        <f>(16112*Table1[[#This Row],[Generation (TWh)]]*10^9)/10^6</f>
        <v>4064864.2560000005</v>
      </c>
      <c r="Q777" s="2">
        <f>Table1[[#This Row],[Emission Factor (kg CO2/ mmBtu)]]*Table1[[#This Row],[Fuel Consumption (mmBtu)]]*10^3</f>
        <v>480345009131.52008</v>
      </c>
      <c r="R777" s="2">
        <f>(Table1[[#This Row],[CO2 Emissions (g CO2)]])/(Table1[[#This Row],[Generation (TWh)]]*10^9)</f>
        <v>1903.9550400000003</v>
      </c>
    </row>
    <row r="778" spans="1:18">
      <c r="A778" t="s">
        <v>563</v>
      </c>
      <c r="B778" t="s">
        <v>46</v>
      </c>
      <c r="C778" t="str">
        <f>SUBSTITUTE(Table1[[#This Row],[Fuel]],", ",",")</f>
        <v>bioenergy: agricultural waste (solids)</v>
      </c>
      <c r="D778" t="s">
        <v>46</v>
      </c>
      <c r="G778">
        <v>40</v>
      </c>
      <c r="H778" t="s">
        <v>20</v>
      </c>
      <c r="I778" t="s">
        <v>21</v>
      </c>
      <c r="J778" t="s">
        <v>21</v>
      </c>
      <c r="K778">
        <v>47.226900000000001</v>
      </c>
      <c r="L778">
        <v>131.9958</v>
      </c>
      <c r="M778" t="s">
        <v>102</v>
      </c>
      <c r="N778" s="2">
        <f>Table1[[#This Row],[Capacity (MW)]]*8760*0.72*10^-6</f>
        <v>0.25228800000000001</v>
      </c>
      <c r="O778" s="2" cm="1">
        <f t="array" ref="O778">AVERAGE(VLOOKUP(_xlfn.TEXTSPLIT(Table1[[#This Row],[Fuel (no space after comma)]], ","), FuelList_Final_EF!$A$2:$B$32, 2, FALSE))</f>
        <v>118.17</v>
      </c>
      <c r="P778" s="2">
        <f>(16112*Table1[[#This Row],[Generation (TWh)]]*10^9)/10^6</f>
        <v>4064864.2560000005</v>
      </c>
      <c r="Q778" s="2">
        <f>Table1[[#This Row],[Emission Factor (kg CO2/ mmBtu)]]*Table1[[#This Row],[Fuel Consumption (mmBtu)]]*10^3</f>
        <v>480345009131.52008</v>
      </c>
      <c r="R778" s="2">
        <f>(Table1[[#This Row],[CO2 Emissions (g CO2)]])/(Table1[[#This Row],[Generation (TWh)]]*10^9)</f>
        <v>1903.9550400000003</v>
      </c>
    </row>
    <row r="779" spans="1:18" hidden="1">
      <c r="A779" t="s">
        <v>564</v>
      </c>
      <c r="B779" t="s">
        <v>105</v>
      </c>
      <c r="C779" t="str">
        <f>SUBSTITUTE(Table1[[#This Row],[Fuel]],", ",",")</f>
        <v>bioenergy: agricultural waste (solids),bioenergy: wood &amp; other biomass (solids)</v>
      </c>
      <c r="D779" t="s">
        <v>46</v>
      </c>
      <c r="E779" t="s">
        <v>25</v>
      </c>
      <c r="G779">
        <v>30</v>
      </c>
      <c r="H779" t="s">
        <v>27</v>
      </c>
      <c r="I779">
        <v>2021</v>
      </c>
      <c r="J779" t="s">
        <v>21</v>
      </c>
      <c r="K779">
        <v>47.320999999999998</v>
      </c>
      <c r="L779">
        <v>132.54320000000001</v>
      </c>
      <c r="M779" t="s">
        <v>102</v>
      </c>
      <c r="N779" s="2">
        <f>Table1[[#This Row],[Capacity (MW)]]*8760*0.72*10^-6</f>
        <v>0.189216</v>
      </c>
      <c r="O779" s="2" cm="1">
        <f t="array" ref="O779">AVERAGE(VLOOKUP(_xlfn.TEXTSPLIT(Table1[[#This Row],[Fuel (no space after comma)]], ","), FuelList_Final_EF!$A$2:$B$32, 2, FALSE))</f>
        <v>105.985</v>
      </c>
      <c r="P779" s="2">
        <f>(16112*Table1[[#This Row],[Generation (TWh)]]*10^9)/10^6</f>
        <v>3048648.1919999998</v>
      </c>
      <c r="Q779" s="2">
        <f>Table1[[#This Row],[Emission Factor (kg CO2/ mmBtu)]]*Table1[[#This Row],[Fuel Consumption (mmBtu)]]*10^3</f>
        <v>323110978629.12</v>
      </c>
      <c r="R779" s="2">
        <f>(Table1[[#This Row],[CO2 Emissions (g CO2)]])/(Table1[[#This Row],[Generation (TWh)]]*10^9)</f>
        <v>1707.63032</v>
      </c>
    </row>
    <row r="780" spans="1:18" hidden="1">
      <c r="A780" t="s">
        <v>565</v>
      </c>
      <c r="B780" t="s">
        <v>105</v>
      </c>
      <c r="C780" t="str">
        <f>SUBSTITUTE(Table1[[#This Row],[Fuel]],", ",",")</f>
        <v>bioenergy: agricultural waste (solids),bioenergy: wood &amp; other biomass (solids)</v>
      </c>
      <c r="D780" t="s">
        <v>46</v>
      </c>
      <c r="E780" t="s">
        <v>25</v>
      </c>
      <c r="G780">
        <v>27</v>
      </c>
      <c r="H780" t="s">
        <v>27</v>
      </c>
      <c r="I780">
        <v>2017</v>
      </c>
      <c r="J780" t="s">
        <v>21</v>
      </c>
      <c r="K780">
        <v>47.771900000000002</v>
      </c>
      <c r="L780">
        <v>124.4933</v>
      </c>
      <c r="M780" t="s">
        <v>102</v>
      </c>
      <c r="N780" s="2">
        <f>Table1[[#This Row],[Capacity (MW)]]*8760*0.72*10^-6</f>
        <v>0.17029439999999998</v>
      </c>
      <c r="O780" s="2" cm="1">
        <f t="array" ref="O780">AVERAGE(VLOOKUP(_xlfn.TEXTSPLIT(Table1[[#This Row],[Fuel (no space after comma)]], ","), FuelList_Final_EF!$A$2:$B$32, 2, FALSE))</f>
        <v>105.985</v>
      </c>
      <c r="P780" s="2">
        <f>(16112*Table1[[#This Row],[Generation (TWh)]]*10^9)/10^6</f>
        <v>2743783.3727999995</v>
      </c>
      <c r="Q780" s="2">
        <f>Table1[[#This Row],[Emission Factor (kg CO2/ mmBtu)]]*Table1[[#This Row],[Fuel Consumption (mmBtu)]]*10^3</f>
        <v>290799880766.20795</v>
      </c>
      <c r="R780" s="2">
        <f>(Table1[[#This Row],[CO2 Emissions (g CO2)]])/(Table1[[#This Row],[Generation (TWh)]]*10^9)</f>
        <v>1707.63032</v>
      </c>
    </row>
    <row r="781" spans="1:18" hidden="1">
      <c r="A781" t="s">
        <v>566</v>
      </c>
      <c r="B781" t="s">
        <v>105</v>
      </c>
      <c r="C781" t="str">
        <f>SUBSTITUTE(Table1[[#This Row],[Fuel]],", ",",")</f>
        <v>bioenergy: agricultural waste (solids),bioenergy: wood &amp; other biomass (solids)</v>
      </c>
      <c r="D781" t="s">
        <v>46</v>
      </c>
      <c r="E781" t="s">
        <v>25</v>
      </c>
      <c r="G781">
        <v>3</v>
      </c>
      <c r="H781" t="s">
        <v>27</v>
      </c>
      <c r="I781">
        <v>2017</v>
      </c>
      <c r="J781" t="s">
        <v>21</v>
      </c>
      <c r="K781">
        <v>47.771900000000002</v>
      </c>
      <c r="L781">
        <v>124.4933</v>
      </c>
      <c r="M781" t="s">
        <v>102</v>
      </c>
      <c r="N781" s="2">
        <f>Table1[[#This Row],[Capacity (MW)]]*8760*0.72*10^-6</f>
        <v>1.8921599999999997E-2</v>
      </c>
      <c r="O781" s="2" cm="1">
        <f t="array" ref="O781">AVERAGE(VLOOKUP(_xlfn.TEXTSPLIT(Table1[[#This Row],[Fuel (no space after comma)]], ","), FuelList_Final_EF!$A$2:$B$32, 2, FALSE))</f>
        <v>105.985</v>
      </c>
      <c r="P781" s="2">
        <f>(16112*Table1[[#This Row],[Generation (TWh)]]*10^9)/10^6</f>
        <v>304864.81919999991</v>
      </c>
      <c r="Q781" s="2">
        <f>Table1[[#This Row],[Emission Factor (kg CO2/ mmBtu)]]*Table1[[#This Row],[Fuel Consumption (mmBtu)]]*10^3</f>
        <v>32311097862.911991</v>
      </c>
      <c r="R781" s="2">
        <f>(Table1[[#This Row],[CO2 Emissions (g CO2)]])/(Table1[[#This Row],[Generation (TWh)]]*10^9)</f>
        <v>1707.6303199999998</v>
      </c>
    </row>
    <row r="782" spans="1:18" hidden="1">
      <c r="A782" t="s">
        <v>567</v>
      </c>
      <c r="B782" t="s">
        <v>46</v>
      </c>
      <c r="C782" t="str">
        <f>SUBSTITUTE(Table1[[#This Row],[Fuel]],", ",",")</f>
        <v>bioenergy: agricultural waste (solids)</v>
      </c>
      <c r="D782" t="s">
        <v>46</v>
      </c>
      <c r="G782">
        <v>40</v>
      </c>
      <c r="H782" t="s">
        <v>27</v>
      </c>
      <c r="I782">
        <v>2023</v>
      </c>
      <c r="J782" t="s">
        <v>21</v>
      </c>
      <c r="K782">
        <v>47.479399999999998</v>
      </c>
      <c r="L782">
        <v>124.12139999999999</v>
      </c>
      <c r="M782" t="s">
        <v>102</v>
      </c>
      <c r="N782" s="2">
        <f>Table1[[#This Row],[Capacity (MW)]]*8760*0.72*10^-6</f>
        <v>0.25228800000000001</v>
      </c>
      <c r="O782" s="2" cm="1">
        <f t="array" ref="O782">AVERAGE(VLOOKUP(_xlfn.TEXTSPLIT(Table1[[#This Row],[Fuel (no space after comma)]], ","), FuelList_Final_EF!$A$2:$B$32, 2, FALSE))</f>
        <v>118.17</v>
      </c>
      <c r="P782" s="2">
        <f>(16112*Table1[[#This Row],[Generation (TWh)]]*10^9)/10^6</f>
        <v>4064864.2560000005</v>
      </c>
      <c r="Q782" s="2">
        <f>Table1[[#This Row],[Emission Factor (kg CO2/ mmBtu)]]*Table1[[#This Row],[Fuel Consumption (mmBtu)]]*10^3</f>
        <v>480345009131.52008</v>
      </c>
      <c r="R782" s="2">
        <f>(Table1[[#This Row],[CO2 Emissions (g CO2)]])/(Table1[[#This Row],[Generation (TWh)]]*10^9)</f>
        <v>1903.9550400000003</v>
      </c>
    </row>
    <row r="783" spans="1:18" hidden="1">
      <c r="A783" t="s">
        <v>567</v>
      </c>
      <c r="B783" t="s">
        <v>46</v>
      </c>
      <c r="C783" t="str">
        <f>SUBSTITUTE(Table1[[#This Row],[Fuel]],", ",",")</f>
        <v>bioenergy: agricultural waste (solids)</v>
      </c>
      <c r="D783" t="s">
        <v>46</v>
      </c>
      <c r="G783">
        <v>40</v>
      </c>
      <c r="H783" t="s">
        <v>27</v>
      </c>
      <c r="I783">
        <v>2023</v>
      </c>
      <c r="J783" t="s">
        <v>21</v>
      </c>
      <c r="K783">
        <v>47.479399999999998</v>
      </c>
      <c r="L783">
        <v>124.12139999999999</v>
      </c>
      <c r="M783" t="s">
        <v>102</v>
      </c>
      <c r="N783" s="2">
        <f>Table1[[#This Row],[Capacity (MW)]]*8760*0.72*10^-6</f>
        <v>0.25228800000000001</v>
      </c>
      <c r="O783" s="2" cm="1">
        <f t="array" ref="O783">AVERAGE(VLOOKUP(_xlfn.TEXTSPLIT(Table1[[#This Row],[Fuel (no space after comma)]], ","), FuelList_Final_EF!$A$2:$B$32, 2, FALSE))</f>
        <v>118.17</v>
      </c>
      <c r="P783" s="2">
        <f>(16112*Table1[[#This Row],[Generation (TWh)]]*10^9)/10^6</f>
        <v>4064864.2560000005</v>
      </c>
      <c r="Q783" s="2">
        <f>Table1[[#This Row],[Emission Factor (kg CO2/ mmBtu)]]*Table1[[#This Row],[Fuel Consumption (mmBtu)]]*10^3</f>
        <v>480345009131.52008</v>
      </c>
      <c r="R783" s="2">
        <f>(Table1[[#This Row],[CO2 Emissions (g CO2)]])/(Table1[[#This Row],[Generation (TWh)]]*10^9)</f>
        <v>1903.9550400000003</v>
      </c>
    </row>
    <row r="784" spans="1:18" hidden="1">
      <c r="A784" t="s">
        <v>568</v>
      </c>
      <c r="B784" t="s">
        <v>46</v>
      </c>
      <c r="C784" t="str">
        <f>SUBSTITUTE(Table1[[#This Row],[Fuel]],", ",",")</f>
        <v>bioenergy: agricultural waste (solids)</v>
      </c>
      <c r="D784" t="s">
        <v>46</v>
      </c>
      <c r="G784">
        <v>30</v>
      </c>
      <c r="H784" t="s">
        <v>27</v>
      </c>
      <c r="I784">
        <v>2020</v>
      </c>
      <c r="J784" t="s">
        <v>21</v>
      </c>
      <c r="K784">
        <v>48.342500000000001</v>
      </c>
      <c r="L784">
        <v>134.3049</v>
      </c>
      <c r="M784" t="s">
        <v>102</v>
      </c>
      <c r="N784" s="2">
        <f>Table1[[#This Row],[Capacity (MW)]]*8760*0.72*10^-6</f>
        <v>0.189216</v>
      </c>
      <c r="O784" s="2" cm="1">
        <f t="array" ref="O784">AVERAGE(VLOOKUP(_xlfn.TEXTSPLIT(Table1[[#This Row],[Fuel (no space after comma)]], ","), FuelList_Final_EF!$A$2:$B$32, 2, FALSE))</f>
        <v>118.17</v>
      </c>
      <c r="P784" s="2">
        <f>(16112*Table1[[#This Row],[Generation (TWh)]]*10^9)/10^6</f>
        <v>3048648.1919999998</v>
      </c>
      <c r="Q784" s="2">
        <f>Table1[[#This Row],[Emission Factor (kg CO2/ mmBtu)]]*Table1[[#This Row],[Fuel Consumption (mmBtu)]]*10^3</f>
        <v>360258756848.63995</v>
      </c>
      <c r="R784" s="2">
        <f>(Table1[[#This Row],[CO2 Emissions (g CO2)]])/(Table1[[#This Row],[Generation (TWh)]]*10^9)</f>
        <v>1903.9550399999998</v>
      </c>
    </row>
    <row r="785" spans="1:18" hidden="1">
      <c r="A785" t="s">
        <v>54</v>
      </c>
      <c r="B785" t="s">
        <v>46</v>
      </c>
      <c r="C785" t="str">
        <f>SUBSTITUTE(Table1[[#This Row],[Fuel]],", ",",")</f>
        <v>bioenergy: agricultural waste (solids)</v>
      </c>
      <c r="D785" t="s">
        <v>46</v>
      </c>
      <c r="G785">
        <v>30</v>
      </c>
      <c r="H785" t="s">
        <v>27</v>
      </c>
      <c r="I785">
        <v>2019</v>
      </c>
      <c r="J785" t="s">
        <v>21</v>
      </c>
      <c r="K785">
        <v>47.4437</v>
      </c>
      <c r="L785">
        <v>126.9228</v>
      </c>
      <c r="M785" t="s">
        <v>102</v>
      </c>
      <c r="N785" s="2">
        <f>Table1[[#This Row],[Capacity (MW)]]*8760*0.72*10^-6</f>
        <v>0.189216</v>
      </c>
      <c r="O785" s="2" cm="1">
        <f t="array" ref="O785">AVERAGE(VLOOKUP(_xlfn.TEXTSPLIT(Table1[[#This Row],[Fuel (no space after comma)]], ","), FuelList_Final_EF!$A$2:$B$32, 2, FALSE))</f>
        <v>118.17</v>
      </c>
      <c r="P785" s="2">
        <f>(16112*Table1[[#This Row],[Generation (TWh)]]*10^9)/10^6</f>
        <v>3048648.1919999998</v>
      </c>
      <c r="Q785" s="2">
        <f>Table1[[#This Row],[Emission Factor (kg CO2/ mmBtu)]]*Table1[[#This Row],[Fuel Consumption (mmBtu)]]*10^3</f>
        <v>360258756848.63995</v>
      </c>
      <c r="R785" s="2">
        <f>(Table1[[#This Row],[CO2 Emissions (g CO2)]])/(Table1[[#This Row],[Generation (TWh)]]*10^9)</f>
        <v>1903.9550399999998</v>
      </c>
    </row>
    <row r="786" spans="1:18">
      <c r="A786" t="s">
        <v>569</v>
      </c>
      <c r="B786" t="s">
        <v>46</v>
      </c>
      <c r="C786" t="str">
        <f>SUBSTITUTE(Table1[[#This Row],[Fuel]],", ",",")</f>
        <v>bioenergy: agricultural waste (solids)</v>
      </c>
      <c r="D786" t="s">
        <v>46</v>
      </c>
      <c r="G786">
        <v>21</v>
      </c>
      <c r="H786" t="s">
        <v>53</v>
      </c>
      <c r="I786" t="s">
        <v>21</v>
      </c>
      <c r="J786" t="s">
        <v>21</v>
      </c>
      <c r="K786">
        <v>47.495100000000001</v>
      </c>
      <c r="L786">
        <v>126.9426</v>
      </c>
      <c r="M786" t="s">
        <v>102</v>
      </c>
      <c r="N786" s="2">
        <f>Table1[[#This Row],[Capacity (MW)]]*8760*0.72*10^-6</f>
        <v>0.13245119999999996</v>
      </c>
      <c r="O786" s="2" cm="1">
        <f t="array" ref="O786">AVERAGE(VLOOKUP(_xlfn.TEXTSPLIT(Table1[[#This Row],[Fuel (no space after comma)]], ","), FuelList_Final_EF!$A$2:$B$32, 2, FALSE))</f>
        <v>118.17</v>
      </c>
      <c r="P786" s="2">
        <f>(16112*Table1[[#This Row],[Generation (TWh)]]*10^9)/10^6</f>
        <v>2134053.7343999995</v>
      </c>
      <c r="Q786" s="2">
        <f>Table1[[#This Row],[Emission Factor (kg CO2/ mmBtu)]]*Table1[[#This Row],[Fuel Consumption (mmBtu)]]*10^3</f>
        <v>252181129794.04794</v>
      </c>
      <c r="R786" s="2">
        <f>(Table1[[#This Row],[CO2 Emissions (g CO2)]])/(Table1[[#This Row],[Generation (TWh)]]*10^9)</f>
        <v>1903.9550400000001</v>
      </c>
    </row>
    <row r="787" spans="1:18">
      <c r="A787" t="s">
        <v>570</v>
      </c>
      <c r="B787" t="s">
        <v>46</v>
      </c>
      <c r="C787" t="str">
        <f>SUBSTITUTE(Table1[[#This Row],[Fuel]],", ",",")</f>
        <v>bioenergy: agricultural waste (solids)</v>
      </c>
      <c r="D787" t="s">
        <v>46</v>
      </c>
      <c r="G787">
        <v>4.5</v>
      </c>
      <c r="H787" t="s">
        <v>53</v>
      </c>
      <c r="I787" t="s">
        <v>21</v>
      </c>
      <c r="J787" t="s">
        <v>21</v>
      </c>
      <c r="K787">
        <v>47.495100000000001</v>
      </c>
      <c r="L787">
        <v>126.9426</v>
      </c>
      <c r="M787" t="s">
        <v>102</v>
      </c>
      <c r="N787" s="2">
        <f>Table1[[#This Row],[Capacity (MW)]]*8760*0.72*10^-6</f>
        <v>2.8382399999999995E-2</v>
      </c>
      <c r="O787" s="2" cm="1">
        <f t="array" ref="O787">AVERAGE(VLOOKUP(_xlfn.TEXTSPLIT(Table1[[#This Row],[Fuel (no space after comma)]], ","), FuelList_Final_EF!$A$2:$B$32, 2, FALSE))</f>
        <v>118.17</v>
      </c>
      <c r="P787" s="2">
        <f>(16112*Table1[[#This Row],[Generation (TWh)]]*10^9)/10^6</f>
        <v>457297.22879999992</v>
      </c>
      <c r="Q787" s="2">
        <f>Table1[[#This Row],[Emission Factor (kg CO2/ mmBtu)]]*Table1[[#This Row],[Fuel Consumption (mmBtu)]]*10^3</f>
        <v>54038813527.29599</v>
      </c>
      <c r="R787" s="2">
        <f>(Table1[[#This Row],[CO2 Emissions (g CO2)]])/(Table1[[#This Row],[Generation (TWh)]]*10^9)</f>
        <v>1903.9550399999998</v>
      </c>
    </row>
    <row r="788" spans="1:18">
      <c r="A788" t="s">
        <v>571</v>
      </c>
      <c r="B788" t="s">
        <v>46</v>
      </c>
      <c r="C788" t="str">
        <f>SUBSTITUTE(Table1[[#This Row],[Fuel]],", ",",")</f>
        <v>bioenergy: agricultural waste (solids)</v>
      </c>
      <c r="D788" t="s">
        <v>46</v>
      </c>
      <c r="G788">
        <v>4.5</v>
      </c>
      <c r="H788" t="s">
        <v>53</v>
      </c>
      <c r="I788" t="s">
        <v>21</v>
      </c>
      <c r="J788" t="s">
        <v>21</v>
      </c>
      <c r="K788">
        <v>47.495100000000001</v>
      </c>
      <c r="L788">
        <v>126.9426</v>
      </c>
      <c r="M788" t="s">
        <v>102</v>
      </c>
      <c r="N788" s="2">
        <f>Table1[[#This Row],[Capacity (MW)]]*8760*0.72*10^-6</f>
        <v>2.8382399999999995E-2</v>
      </c>
      <c r="O788" s="2" cm="1">
        <f t="array" ref="O788">AVERAGE(VLOOKUP(_xlfn.TEXTSPLIT(Table1[[#This Row],[Fuel (no space after comma)]], ","), FuelList_Final_EF!$A$2:$B$32, 2, FALSE))</f>
        <v>118.17</v>
      </c>
      <c r="P788" s="2">
        <f>(16112*Table1[[#This Row],[Generation (TWh)]]*10^9)/10^6</f>
        <v>457297.22879999992</v>
      </c>
      <c r="Q788" s="2">
        <f>Table1[[#This Row],[Emission Factor (kg CO2/ mmBtu)]]*Table1[[#This Row],[Fuel Consumption (mmBtu)]]*10^3</f>
        <v>54038813527.29599</v>
      </c>
      <c r="R788" s="2">
        <f>(Table1[[#This Row],[CO2 Emissions (g CO2)]])/(Table1[[#This Row],[Generation (TWh)]]*10^9)</f>
        <v>1903.9550399999998</v>
      </c>
    </row>
    <row r="789" spans="1:18" hidden="1">
      <c r="A789" t="s">
        <v>108</v>
      </c>
      <c r="B789" t="s">
        <v>46</v>
      </c>
      <c r="C789" t="str">
        <f>SUBSTITUTE(Table1[[#This Row],[Fuel]],", ",",")</f>
        <v>bioenergy: agricultural waste (solids)</v>
      </c>
      <c r="D789" t="s">
        <v>46</v>
      </c>
      <c r="G789">
        <v>30</v>
      </c>
      <c r="H789" t="s">
        <v>27</v>
      </c>
      <c r="I789">
        <v>2020</v>
      </c>
      <c r="J789" t="s">
        <v>21</v>
      </c>
      <c r="K789">
        <v>47.472799999999999</v>
      </c>
      <c r="L789">
        <v>126.9755</v>
      </c>
      <c r="M789" t="s">
        <v>102</v>
      </c>
      <c r="N789" s="2">
        <f>Table1[[#This Row],[Capacity (MW)]]*8760*0.72*10^-6</f>
        <v>0.189216</v>
      </c>
      <c r="O789" s="2" cm="1">
        <f t="array" ref="O789">AVERAGE(VLOOKUP(_xlfn.TEXTSPLIT(Table1[[#This Row],[Fuel (no space after comma)]], ","), FuelList_Final_EF!$A$2:$B$32, 2, FALSE))</f>
        <v>118.17</v>
      </c>
      <c r="P789" s="2">
        <f>(16112*Table1[[#This Row],[Generation (TWh)]]*10^9)/10^6</f>
        <v>3048648.1919999998</v>
      </c>
      <c r="Q789" s="2">
        <f>Table1[[#This Row],[Emission Factor (kg CO2/ mmBtu)]]*Table1[[#This Row],[Fuel Consumption (mmBtu)]]*10^3</f>
        <v>360258756848.63995</v>
      </c>
      <c r="R789" s="2">
        <f>(Table1[[#This Row],[CO2 Emissions (g CO2)]])/(Table1[[#This Row],[Generation (TWh)]]*10^9)</f>
        <v>1903.9550399999998</v>
      </c>
    </row>
    <row r="790" spans="1:18" hidden="1">
      <c r="A790" t="s">
        <v>561</v>
      </c>
      <c r="B790" t="s">
        <v>46</v>
      </c>
      <c r="C790" t="str">
        <f>SUBSTITUTE(Table1[[#This Row],[Fuel]],", ",",")</f>
        <v>bioenergy: agricultural waste (solids)</v>
      </c>
      <c r="D790" t="s">
        <v>46</v>
      </c>
      <c r="G790">
        <v>30</v>
      </c>
      <c r="H790" t="s">
        <v>27</v>
      </c>
      <c r="I790">
        <v>2020</v>
      </c>
      <c r="J790" t="s">
        <v>21</v>
      </c>
      <c r="K790">
        <v>45.571300000000001</v>
      </c>
      <c r="L790">
        <v>126.955</v>
      </c>
      <c r="M790" t="s">
        <v>102</v>
      </c>
      <c r="N790" s="2">
        <f>Table1[[#This Row],[Capacity (MW)]]*8760*0.72*10^-6</f>
        <v>0.189216</v>
      </c>
      <c r="O790" s="2" cm="1">
        <f t="array" ref="O790">AVERAGE(VLOOKUP(_xlfn.TEXTSPLIT(Table1[[#This Row],[Fuel (no space after comma)]], ","), FuelList_Final_EF!$A$2:$B$32, 2, FALSE))</f>
        <v>118.17</v>
      </c>
      <c r="P790" s="2">
        <f>(16112*Table1[[#This Row],[Generation (TWh)]]*10^9)/10^6</f>
        <v>3048648.1919999998</v>
      </c>
      <c r="Q790" s="2">
        <f>Table1[[#This Row],[Emission Factor (kg CO2/ mmBtu)]]*Table1[[#This Row],[Fuel Consumption (mmBtu)]]*10^3</f>
        <v>360258756848.63995</v>
      </c>
      <c r="R790" s="2">
        <f>(Table1[[#This Row],[CO2 Emissions (g CO2)]])/(Table1[[#This Row],[Generation (TWh)]]*10^9)</f>
        <v>1903.9550399999998</v>
      </c>
    </row>
    <row r="791" spans="1:18">
      <c r="A791" t="s">
        <v>572</v>
      </c>
      <c r="B791" t="s">
        <v>46</v>
      </c>
      <c r="C791" t="str">
        <f>SUBSTITUTE(Table1[[#This Row],[Fuel]],", ",",")</f>
        <v>bioenergy: agricultural waste (solids)</v>
      </c>
      <c r="D791" t="s">
        <v>46</v>
      </c>
      <c r="G791">
        <v>40</v>
      </c>
      <c r="H791" t="s">
        <v>53</v>
      </c>
      <c r="I791" t="s">
        <v>21</v>
      </c>
      <c r="J791" t="s">
        <v>21</v>
      </c>
      <c r="K791">
        <v>45.533299999999997</v>
      </c>
      <c r="L791">
        <v>126.4723</v>
      </c>
      <c r="M791" t="s">
        <v>102</v>
      </c>
      <c r="N791" s="2">
        <f>Table1[[#This Row],[Capacity (MW)]]*8760*0.72*10^-6</f>
        <v>0.25228800000000001</v>
      </c>
      <c r="O791" s="2" cm="1">
        <f t="array" ref="O791">AVERAGE(VLOOKUP(_xlfn.TEXTSPLIT(Table1[[#This Row],[Fuel (no space after comma)]], ","), FuelList_Final_EF!$A$2:$B$32, 2, FALSE))</f>
        <v>118.17</v>
      </c>
      <c r="P791" s="2">
        <f>(16112*Table1[[#This Row],[Generation (TWh)]]*10^9)/10^6</f>
        <v>4064864.2560000005</v>
      </c>
      <c r="Q791" s="2">
        <f>Table1[[#This Row],[Emission Factor (kg CO2/ mmBtu)]]*Table1[[#This Row],[Fuel Consumption (mmBtu)]]*10^3</f>
        <v>480345009131.52008</v>
      </c>
      <c r="R791" s="2">
        <f>(Table1[[#This Row],[CO2 Emissions (g CO2)]])/(Table1[[#This Row],[Generation (TWh)]]*10^9)</f>
        <v>1903.9550400000003</v>
      </c>
    </row>
    <row r="792" spans="1:18" hidden="1">
      <c r="A792" t="s">
        <v>108</v>
      </c>
      <c r="B792" t="s">
        <v>105</v>
      </c>
      <c r="C792" t="str">
        <f>SUBSTITUTE(Table1[[#This Row],[Fuel]],", ",",")</f>
        <v>bioenergy: agricultural waste (solids),bioenergy: wood &amp; other biomass (solids)</v>
      </c>
      <c r="D792" t="s">
        <v>46</v>
      </c>
      <c r="E792" t="s">
        <v>25</v>
      </c>
      <c r="G792">
        <v>30</v>
      </c>
      <c r="H792" t="s">
        <v>27</v>
      </c>
      <c r="I792">
        <v>2021</v>
      </c>
      <c r="J792" t="s">
        <v>21</v>
      </c>
      <c r="K792">
        <v>45.878999999999998</v>
      </c>
      <c r="L792">
        <v>126.4847</v>
      </c>
      <c r="M792" t="s">
        <v>102</v>
      </c>
      <c r="N792" s="2">
        <f>Table1[[#This Row],[Capacity (MW)]]*8760*0.72*10^-6</f>
        <v>0.189216</v>
      </c>
      <c r="O792" s="2" cm="1">
        <f t="array" ref="O792">AVERAGE(VLOOKUP(_xlfn.TEXTSPLIT(Table1[[#This Row],[Fuel (no space after comma)]], ","), FuelList_Final_EF!$A$2:$B$32, 2, FALSE))</f>
        <v>105.985</v>
      </c>
      <c r="P792" s="2">
        <f>(16112*Table1[[#This Row],[Generation (TWh)]]*10^9)/10^6</f>
        <v>3048648.1919999998</v>
      </c>
      <c r="Q792" s="2">
        <f>Table1[[#This Row],[Emission Factor (kg CO2/ mmBtu)]]*Table1[[#This Row],[Fuel Consumption (mmBtu)]]*10^3</f>
        <v>323110978629.12</v>
      </c>
      <c r="R792" s="2">
        <f>(Table1[[#This Row],[CO2 Emissions (g CO2)]])/(Table1[[#This Row],[Generation (TWh)]]*10^9)</f>
        <v>1707.63032</v>
      </c>
    </row>
    <row r="793" spans="1:18" hidden="1">
      <c r="A793" t="s">
        <v>108</v>
      </c>
      <c r="B793" t="s">
        <v>105</v>
      </c>
      <c r="C793" t="str">
        <f>SUBSTITUTE(Table1[[#This Row],[Fuel]],", ",",")</f>
        <v>bioenergy: agricultural waste (solids),bioenergy: wood &amp; other biomass (solids)</v>
      </c>
      <c r="D793" t="s">
        <v>46</v>
      </c>
      <c r="E793" t="s">
        <v>25</v>
      </c>
      <c r="G793">
        <v>30</v>
      </c>
      <c r="H793" t="s">
        <v>27</v>
      </c>
      <c r="I793">
        <v>2021</v>
      </c>
      <c r="J793" t="s">
        <v>21</v>
      </c>
      <c r="K793">
        <v>45.878999999999998</v>
      </c>
      <c r="L793">
        <v>126.4847</v>
      </c>
      <c r="M793" t="s">
        <v>102</v>
      </c>
      <c r="N793" s="2">
        <f>Table1[[#This Row],[Capacity (MW)]]*8760*0.72*10^-6</f>
        <v>0.189216</v>
      </c>
      <c r="O793" s="2" cm="1">
        <f t="array" ref="O793">AVERAGE(VLOOKUP(_xlfn.TEXTSPLIT(Table1[[#This Row],[Fuel (no space after comma)]], ","), FuelList_Final_EF!$A$2:$B$32, 2, FALSE))</f>
        <v>105.985</v>
      </c>
      <c r="P793" s="2">
        <f>(16112*Table1[[#This Row],[Generation (TWh)]]*10^9)/10^6</f>
        <v>3048648.1919999998</v>
      </c>
      <c r="Q793" s="2">
        <f>Table1[[#This Row],[Emission Factor (kg CO2/ mmBtu)]]*Table1[[#This Row],[Fuel Consumption (mmBtu)]]*10^3</f>
        <v>323110978629.12</v>
      </c>
      <c r="R793" s="2">
        <f>(Table1[[#This Row],[CO2 Emissions (g CO2)]])/(Table1[[#This Row],[Generation (TWh)]]*10^9)</f>
        <v>1707.63032</v>
      </c>
    </row>
    <row r="794" spans="1:18">
      <c r="A794" t="s">
        <v>54</v>
      </c>
      <c r="B794" t="s">
        <v>105</v>
      </c>
      <c r="C794" t="str">
        <f>SUBSTITUTE(Table1[[#This Row],[Fuel]],", ",",")</f>
        <v>bioenergy: agricultural waste (solids),bioenergy: wood &amp; other biomass (solids)</v>
      </c>
      <c r="D794" t="s">
        <v>46</v>
      </c>
      <c r="E794" t="s">
        <v>25</v>
      </c>
      <c r="G794">
        <v>30</v>
      </c>
      <c r="H794" t="s">
        <v>97</v>
      </c>
      <c r="I794" t="s">
        <v>21</v>
      </c>
      <c r="J794" t="s">
        <v>21</v>
      </c>
      <c r="K794">
        <v>47.1143</v>
      </c>
      <c r="L794">
        <v>130.2989</v>
      </c>
      <c r="M794" t="s">
        <v>102</v>
      </c>
      <c r="N794" s="2">
        <f>Table1[[#This Row],[Capacity (MW)]]*8760*0.72*10^-6</f>
        <v>0.189216</v>
      </c>
      <c r="O794" s="2" cm="1">
        <f t="array" ref="O794">AVERAGE(VLOOKUP(_xlfn.TEXTSPLIT(Table1[[#This Row],[Fuel (no space after comma)]], ","), FuelList_Final_EF!$A$2:$B$32, 2, FALSE))</f>
        <v>105.985</v>
      </c>
      <c r="P794" s="2">
        <f>(16112*Table1[[#This Row],[Generation (TWh)]]*10^9)/10^6</f>
        <v>3048648.1919999998</v>
      </c>
      <c r="Q794" s="2">
        <f>Table1[[#This Row],[Emission Factor (kg CO2/ mmBtu)]]*Table1[[#This Row],[Fuel Consumption (mmBtu)]]*10^3</f>
        <v>323110978629.12</v>
      </c>
      <c r="R794" s="2">
        <f>(Table1[[#This Row],[CO2 Emissions (g CO2)]])/(Table1[[#This Row],[Generation (TWh)]]*10^9)</f>
        <v>1707.63032</v>
      </c>
    </row>
    <row r="795" spans="1:18" hidden="1">
      <c r="A795" t="s">
        <v>573</v>
      </c>
      <c r="B795" t="s">
        <v>46</v>
      </c>
      <c r="C795" t="str">
        <f>SUBSTITUTE(Table1[[#This Row],[Fuel]],", ",",")</f>
        <v>bioenergy: agricultural waste (solids)</v>
      </c>
      <c r="D795" t="s">
        <v>46</v>
      </c>
      <c r="G795">
        <v>30</v>
      </c>
      <c r="H795" t="s">
        <v>27</v>
      </c>
      <c r="I795">
        <v>2021</v>
      </c>
      <c r="J795" t="s">
        <v>21</v>
      </c>
      <c r="K795">
        <v>47.332000000000001</v>
      </c>
      <c r="L795">
        <v>130.3494</v>
      </c>
      <c r="M795" t="s">
        <v>102</v>
      </c>
      <c r="N795" s="2">
        <f>Table1[[#This Row],[Capacity (MW)]]*8760*0.72*10^-6</f>
        <v>0.189216</v>
      </c>
      <c r="O795" s="2" cm="1">
        <f t="array" ref="O795">AVERAGE(VLOOKUP(_xlfn.TEXTSPLIT(Table1[[#This Row],[Fuel (no space after comma)]], ","), FuelList_Final_EF!$A$2:$B$32, 2, FALSE))</f>
        <v>118.17</v>
      </c>
      <c r="P795" s="2">
        <f>(16112*Table1[[#This Row],[Generation (TWh)]]*10^9)/10^6</f>
        <v>3048648.1919999998</v>
      </c>
      <c r="Q795" s="2">
        <f>Table1[[#This Row],[Emission Factor (kg CO2/ mmBtu)]]*Table1[[#This Row],[Fuel Consumption (mmBtu)]]*10^3</f>
        <v>360258756848.63995</v>
      </c>
      <c r="R795" s="2">
        <f>(Table1[[#This Row],[CO2 Emissions (g CO2)]])/(Table1[[#This Row],[Generation (TWh)]]*10^9)</f>
        <v>1903.9550399999998</v>
      </c>
    </row>
    <row r="796" spans="1:18" hidden="1">
      <c r="A796" t="s">
        <v>574</v>
      </c>
      <c r="B796" t="s">
        <v>46</v>
      </c>
      <c r="C796" t="str">
        <f>SUBSTITUTE(Table1[[#This Row],[Fuel]],", ",",")</f>
        <v>bioenergy: agricultural waste (solids)</v>
      </c>
      <c r="D796" t="s">
        <v>46</v>
      </c>
      <c r="G796">
        <v>17.7</v>
      </c>
      <c r="H796" t="s">
        <v>27</v>
      </c>
      <c r="I796">
        <v>2020</v>
      </c>
      <c r="J796" t="s">
        <v>21</v>
      </c>
      <c r="K796">
        <v>46.7744</v>
      </c>
      <c r="L796">
        <v>131.12440000000001</v>
      </c>
      <c r="M796" t="s">
        <v>102</v>
      </c>
      <c r="N796" s="2">
        <f>Table1[[#This Row],[Capacity (MW)]]*8760*0.72*10^-6</f>
        <v>0.11163743999999999</v>
      </c>
      <c r="O796" s="2" cm="1">
        <f t="array" ref="O796">AVERAGE(VLOOKUP(_xlfn.TEXTSPLIT(Table1[[#This Row],[Fuel (no space after comma)]], ","), FuelList_Final_EF!$A$2:$B$32, 2, FALSE))</f>
        <v>118.17</v>
      </c>
      <c r="P796" s="2">
        <f>(16112*Table1[[#This Row],[Generation (TWh)]]*10^9)/10^6</f>
        <v>1798702.43328</v>
      </c>
      <c r="Q796" s="2">
        <f>Table1[[#This Row],[Emission Factor (kg CO2/ mmBtu)]]*Table1[[#This Row],[Fuel Consumption (mmBtu)]]*10^3</f>
        <v>212552666540.6976</v>
      </c>
      <c r="R796" s="2">
        <f>(Table1[[#This Row],[CO2 Emissions (g CO2)]])/(Table1[[#This Row],[Generation (TWh)]]*10^9)</f>
        <v>1903.9550400000003</v>
      </c>
    </row>
    <row r="797" spans="1:18" hidden="1">
      <c r="A797" t="s">
        <v>575</v>
      </c>
      <c r="B797" t="s">
        <v>46</v>
      </c>
      <c r="C797" t="str">
        <f>SUBSTITUTE(Table1[[#This Row],[Fuel]],", ",",")</f>
        <v>bioenergy: agricultural waste (solids)</v>
      </c>
      <c r="D797" t="s">
        <v>46</v>
      </c>
      <c r="G797">
        <v>9.6</v>
      </c>
      <c r="H797" t="s">
        <v>27</v>
      </c>
      <c r="I797">
        <v>2020</v>
      </c>
      <c r="J797" t="s">
        <v>21</v>
      </c>
      <c r="K797">
        <v>46.7744</v>
      </c>
      <c r="L797">
        <v>131.12440000000001</v>
      </c>
      <c r="M797" t="s">
        <v>102</v>
      </c>
      <c r="N797" s="2">
        <f>Table1[[#This Row],[Capacity (MW)]]*8760*0.72*10^-6</f>
        <v>6.0549119999999991E-2</v>
      </c>
      <c r="O797" s="2" cm="1">
        <f t="array" ref="O797">AVERAGE(VLOOKUP(_xlfn.TEXTSPLIT(Table1[[#This Row],[Fuel (no space after comma)]], ","), FuelList_Final_EF!$A$2:$B$32, 2, FALSE))</f>
        <v>118.17</v>
      </c>
      <c r="P797" s="2">
        <f>(16112*Table1[[#This Row],[Generation (TWh)]]*10^9)/10^6</f>
        <v>975567.42143999983</v>
      </c>
      <c r="Q797" s="2">
        <f>Table1[[#This Row],[Emission Factor (kg CO2/ mmBtu)]]*Table1[[#This Row],[Fuel Consumption (mmBtu)]]*10^3</f>
        <v>115282802191.56479</v>
      </c>
      <c r="R797" s="2">
        <f>(Table1[[#This Row],[CO2 Emissions (g CO2)]])/(Table1[[#This Row],[Generation (TWh)]]*10^9)</f>
        <v>1903.9550400000001</v>
      </c>
    </row>
    <row r="798" spans="1:18" hidden="1">
      <c r="A798" t="s">
        <v>54</v>
      </c>
      <c r="B798" t="s">
        <v>46</v>
      </c>
      <c r="C798" t="str">
        <f>SUBSTITUTE(Table1[[#This Row],[Fuel]],", ",",")</f>
        <v>bioenergy: agricultural waste (solids)</v>
      </c>
      <c r="D798" t="s">
        <v>46</v>
      </c>
      <c r="G798">
        <v>2.7</v>
      </c>
      <c r="H798" t="s">
        <v>27</v>
      </c>
      <c r="I798">
        <v>2020</v>
      </c>
      <c r="J798" t="s">
        <v>21</v>
      </c>
      <c r="K798">
        <v>46.7744</v>
      </c>
      <c r="L798">
        <v>131.12440000000001</v>
      </c>
      <c r="M798" t="s">
        <v>102</v>
      </c>
      <c r="N798" s="2">
        <f>Table1[[#This Row],[Capacity (MW)]]*8760*0.72*10^-6</f>
        <v>1.7029439999999996E-2</v>
      </c>
      <c r="O798" s="2" cm="1">
        <f t="array" ref="O798">AVERAGE(VLOOKUP(_xlfn.TEXTSPLIT(Table1[[#This Row],[Fuel (no space after comma)]], ","), FuelList_Final_EF!$A$2:$B$32, 2, FALSE))</f>
        <v>118.17</v>
      </c>
      <c r="P798" s="2">
        <f>(16112*Table1[[#This Row],[Generation (TWh)]]*10^9)/10^6</f>
        <v>274378.33727999992</v>
      </c>
      <c r="Q798" s="2">
        <f>Table1[[#This Row],[Emission Factor (kg CO2/ mmBtu)]]*Table1[[#This Row],[Fuel Consumption (mmBtu)]]*10^3</f>
        <v>32423288116.377594</v>
      </c>
      <c r="R798" s="2">
        <f>(Table1[[#This Row],[CO2 Emissions (g CO2)]])/(Table1[[#This Row],[Generation (TWh)]]*10^9)</f>
        <v>1903.9550400000001</v>
      </c>
    </row>
    <row r="799" spans="1:18">
      <c r="A799" t="s">
        <v>574</v>
      </c>
      <c r="B799" t="s">
        <v>46</v>
      </c>
      <c r="C799" t="str">
        <f>SUBSTITUTE(Table1[[#This Row],[Fuel]],", ",",")</f>
        <v>bioenergy: agricultural waste (solids)</v>
      </c>
      <c r="D799" t="s">
        <v>46</v>
      </c>
      <c r="G799">
        <v>17.7</v>
      </c>
      <c r="H799" t="s">
        <v>20</v>
      </c>
      <c r="I799" t="s">
        <v>21</v>
      </c>
      <c r="J799" t="s">
        <v>21</v>
      </c>
      <c r="K799">
        <v>46.7744</v>
      </c>
      <c r="L799">
        <v>131.12440000000001</v>
      </c>
      <c r="M799" t="s">
        <v>102</v>
      </c>
      <c r="N799" s="2">
        <f>Table1[[#This Row],[Capacity (MW)]]*8760*0.72*10^-6</f>
        <v>0.11163743999999999</v>
      </c>
      <c r="O799" s="2" cm="1">
        <f t="array" ref="O799">AVERAGE(VLOOKUP(_xlfn.TEXTSPLIT(Table1[[#This Row],[Fuel (no space after comma)]], ","), FuelList_Final_EF!$A$2:$B$32, 2, FALSE))</f>
        <v>118.17</v>
      </c>
      <c r="P799" s="2">
        <f>(16112*Table1[[#This Row],[Generation (TWh)]]*10^9)/10^6</f>
        <v>1798702.43328</v>
      </c>
      <c r="Q799" s="2">
        <f>Table1[[#This Row],[Emission Factor (kg CO2/ mmBtu)]]*Table1[[#This Row],[Fuel Consumption (mmBtu)]]*10^3</f>
        <v>212552666540.6976</v>
      </c>
      <c r="R799" s="2">
        <f>(Table1[[#This Row],[CO2 Emissions (g CO2)]])/(Table1[[#This Row],[Generation (TWh)]]*10^9)</f>
        <v>1903.9550400000003</v>
      </c>
    </row>
    <row r="800" spans="1:18">
      <c r="A800" t="s">
        <v>54</v>
      </c>
      <c r="B800" t="s">
        <v>46</v>
      </c>
      <c r="C800" t="str">
        <f>SUBSTITUTE(Table1[[#This Row],[Fuel]],", ",",")</f>
        <v>bioenergy: agricultural waste (solids)</v>
      </c>
      <c r="D800" t="s">
        <v>46</v>
      </c>
      <c r="G800">
        <v>2.7</v>
      </c>
      <c r="H800" t="s">
        <v>20</v>
      </c>
      <c r="I800" t="s">
        <v>21</v>
      </c>
      <c r="J800" t="s">
        <v>21</v>
      </c>
      <c r="K800">
        <v>46.7744</v>
      </c>
      <c r="L800">
        <v>131.12440000000001</v>
      </c>
      <c r="M800" t="s">
        <v>102</v>
      </c>
      <c r="N800" s="2">
        <f>Table1[[#This Row],[Capacity (MW)]]*8760*0.72*10^-6</f>
        <v>1.7029439999999996E-2</v>
      </c>
      <c r="O800" s="2" cm="1">
        <f t="array" ref="O800">AVERAGE(VLOOKUP(_xlfn.TEXTSPLIT(Table1[[#This Row],[Fuel (no space after comma)]], ","), FuelList_Final_EF!$A$2:$B$32, 2, FALSE))</f>
        <v>118.17</v>
      </c>
      <c r="P800" s="2">
        <f>(16112*Table1[[#This Row],[Generation (TWh)]]*10^9)/10^6</f>
        <v>274378.33727999992</v>
      </c>
      <c r="Q800" s="2">
        <f>Table1[[#This Row],[Emission Factor (kg CO2/ mmBtu)]]*Table1[[#This Row],[Fuel Consumption (mmBtu)]]*10^3</f>
        <v>32423288116.377594</v>
      </c>
      <c r="R800" s="2">
        <f>(Table1[[#This Row],[CO2 Emissions (g CO2)]])/(Table1[[#This Row],[Generation (TWh)]]*10^9)</f>
        <v>1903.9550400000001</v>
      </c>
    </row>
    <row r="801" spans="1:18">
      <c r="A801" t="s">
        <v>575</v>
      </c>
      <c r="B801" t="s">
        <v>46</v>
      </c>
      <c r="C801" t="str">
        <f>SUBSTITUTE(Table1[[#This Row],[Fuel]],", ",",")</f>
        <v>bioenergy: agricultural waste (solids)</v>
      </c>
      <c r="D801" t="s">
        <v>46</v>
      </c>
      <c r="G801">
        <v>9.6</v>
      </c>
      <c r="H801" t="s">
        <v>20</v>
      </c>
      <c r="I801" t="s">
        <v>21</v>
      </c>
      <c r="J801" t="s">
        <v>21</v>
      </c>
      <c r="K801">
        <v>46.7744</v>
      </c>
      <c r="L801">
        <v>131.12440000000001</v>
      </c>
      <c r="M801" t="s">
        <v>102</v>
      </c>
      <c r="N801" s="2">
        <f>Table1[[#This Row],[Capacity (MW)]]*8760*0.72*10^-6</f>
        <v>6.0549119999999991E-2</v>
      </c>
      <c r="O801" s="2" cm="1">
        <f t="array" ref="O801">AVERAGE(VLOOKUP(_xlfn.TEXTSPLIT(Table1[[#This Row],[Fuel (no space after comma)]], ","), FuelList_Final_EF!$A$2:$B$32, 2, FALSE))</f>
        <v>118.17</v>
      </c>
      <c r="P801" s="2">
        <f>(16112*Table1[[#This Row],[Generation (TWh)]]*10^9)/10^6</f>
        <v>975567.42143999983</v>
      </c>
      <c r="Q801" s="2">
        <f>Table1[[#This Row],[Emission Factor (kg CO2/ mmBtu)]]*Table1[[#This Row],[Fuel Consumption (mmBtu)]]*10^3</f>
        <v>115282802191.56479</v>
      </c>
      <c r="R801" s="2">
        <f>(Table1[[#This Row],[CO2 Emissions (g CO2)]])/(Table1[[#This Row],[Generation (TWh)]]*10^9)</f>
        <v>1903.9550400000001</v>
      </c>
    </row>
    <row r="802" spans="1:18" hidden="1">
      <c r="A802" t="s">
        <v>561</v>
      </c>
      <c r="B802" t="s">
        <v>105</v>
      </c>
      <c r="C802" t="str">
        <f>SUBSTITUTE(Table1[[#This Row],[Fuel]],", ",",")</f>
        <v>bioenergy: agricultural waste (solids),bioenergy: wood &amp; other biomass (solids)</v>
      </c>
      <c r="D802" t="s">
        <v>46</v>
      </c>
      <c r="E802" t="s">
        <v>25</v>
      </c>
      <c r="G802">
        <v>30</v>
      </c>
      <c r="H802" t="s">
        <v>27</v>
      </c>
      <c r="I802">
        <v>2021</v>
      </c>
      <c r="J802" t="s">
        <v>21</v>
      </c>
      <c r="K802">
        <v>46.229500000000002</v>
      </c>
      <c r="L802">
        <v>126.29600000000001</v>
      </c>
      <c r="M802" t="s">
        <v>102</v>
      </c>
      <c r="N802" s="2">
        <f>Table1[[#This Row],[Capacity (MW)]]*8760*0.72*10^-6</f>
        <v>0.189216</v>
      </c>
      <c r="O802" s="2" cm="1">
        <f t="array" ref="O802">AVERAGE(VLOOKUP(_xlfn.TEXTSPLIT(Table1[[#This Row],[Fuel (no space after comma)]], ","), FuelList_Final_EF!$A$2:$B$32, 2, FALSE))</f>
        <v>105.985</v>
      </c>
      <c r="P802" s="2">
        <f>(16112*Table1[[#This Row],[Generation (TWh)]]*10^9)/10^6</f>
        <v>3048648.1919999998</v>
      </c>
      <c r="Q802" s="2">
        <f>Table1[[#This Row],[Emission Factor (kg CO2/ mmBtu)]]*Table1[[#This Row],[Fuel Consumption (mmBtu)]]*10^3</f>
        <v>323110978629.12</v>
      </c>
      <c r="R802" s="2">
        <f>(Table1[[#This Row],[CO2 Emissions (g CO2)]])/(Table1[[#This Row],[Generation (TWh)]]*10^9)</f>
        <v>1707.63032</v>
      </c>
    </row>
    <row r="803" spans="1:18" hidden="1">
      <c r="A803" t="s">
        <v>576</v>
      </c>
      <c r="B803" t="s">
        <v>46</v>
      </c>
      <c r="C803" t="str">
        <f>SUBSTITUTE(Table1[[#This Row],[Fuel]],", ",",")</f>
        <v>bioenergy: agricultural waste (solids)</v>
      </c>
      <c r="D803" t="s">
        <v>46</v>
      </c>
      <c r="G803">
        <v>30</v>
      </c>
      <c r="H803" t="s">
        <v>27</v>
      </c>
      <c r="I803">
        <v>2020</v>
      </c>
      <c r="J803" t="s">
        <v>21</v>
      </c>
      <c r="K803">
        <v>47.178199999999997</v>
      </c>
      <c r="L803">
        <v>124.87090000000001</v>
      </c>
      <c r="M803" t="s">
        <v>102</v>
      </c>
      <c r="N803" s="2">
        <f>Table1[[#This Row],[Capacity (MW)]]*8760*0.72*10^-6</f>
        <v>0.189216</v>
      </c>
      <c r="O803" s="2" cm="1">
        <f t="array" ref="O803">AVERAGE(VLOOKUP(_xlfn.TEXTSPLIT(Table1[[#This Row],[Fuel (no space after comma)]], ","), FuelList_Final_EF!$A$2:$B$32, 2, FALSE))</f>
        <v>118.17</v>
      </c>
      <c r="P803" s="2">
        <f>(16112*Table1[[#This Row],[Generation (TWh)]]*10^9)/10^6</f>
        <v>3048648.1919999998</v>
      </c>
      <c r="Q803" s="2">
        <f>Table1[[#This Row],[Emission Factor (kg CO2/ mmBtu)]]*Table1[[#This Row],[Fuel Consumption (mmBtu)]]*10^3</f>
        <v>360258756848.63995</v>
      </c>
      <c r="R803" s="2">
        <f>(Table1[[#This Row],[CO2 Emissions (g CO2)]])/(Table1[[#This Row],[Generation (TWh)]]*10^9)</f>
        <v>1903.9550399999998</v>
      </c>
    </row>
    <row r="804" spans="1:18">
      <c r="A804" t="s">
        <v>567</v>
      </c>
      <c r="B804" t="s">
        <v>46</v>
      </c>
      <c r="C804" t="str">
        <f>SUBSTITUTE(Table1[[#This Row],[Fuel]],", ",",")</f>
        <v>bioenergy: agricultural waste (solids)</v>
      </c>
      <c r="D804" t="s">
        <v>46</v>
      </c>
      <c r="G804">
        <v>19.600000000000001</v>
      </c>
      <c r="H804" t="s">
        <v>53</v>
      </c>
      <c r="I804" t="s">
        <v>21</v>
      </c>
      <c r="J804" t="s">
        <v>21</v>
      </c>
      <c r="K804">
        <v>47.342799999999997</v>
      </c>
      <c r="L804">
        <v>123.20529999999999</v>
      </c>
      <c r="M804" t="s">
        <v>102</v>
      </c>
      <c r="N804" s="2">
        <f>Table1[[#This Row],[Capacity (MW)]]*8760*0.72*10^-6</f>
        <v>0.12362111999999999</v>
      </c>
      <c r="O804" s="2" cm="1">
        <f t="array" ref="O804">AVERAGE(VLOOKUP(_xlfn.TEXTSPLIT(Table1[[#This Row],[Fuel (no space after comma)]], ","), FuelList_Final_EF!$A$2:$B$32, 2, FALSE))</f>
        <v>118.17</v>
      </c>
      <c r="P804" s="2">
        <f>(16112*Table1[[#This Row],[Generation (TWh)]]*10^9)/10^6</f>
        <v>1991783.4854399997</v>
      </c>
      <c r="Q804" s="2">
        <f>Table1[[#This Row],[Emission Factor (kg CO2/ mmBtu)]]*Table1[[#This Row],[Fuel Consumption (mmBtu)]]*10^3</f>
        <v>235369054474.44476</v>
      </c>
      <c r="R804" s="2">
        <f>(Table1[[#This Row],[CO2 Emissions (g CO2)]])/(Table1[[#This Row],[Generation (TWh)]]*10^9)</f>
        <v>1903.9550399999998</v>
      </c>
    </row>
    <row r="805" spans="1:18">
      <c r="A805" t="s">
        <v>577</v>
      </c>
      <c r="B805" t="s">
        <v>46</v>
      </c>
      <c r="C805" t="str">
        <f>SUBSTITUTE(Table1[[#This Row],[Fuel]],", ",",")</f>
        <v>bioenergy: agricultural waste (solids)</v>
      </c>
      <c r="D805" t="s">
        <v>46</v>
      </c>
      <c r="G805">
        <v>20.399999999999999</v>
      </c>
      <c r="H805" t="s">
        <v>53</v>
      </c>
      <c r="I805" t="s">
        <v>21</v>
      </c>
      <c r="J805" t="s">
        <v>21</v>
      </c>
      <c r="K805">
        <v>47.342799999999997</v>
      </c>
      <c r="L805">
        <v>123.20529999999999</v>
      </c>
      <c r="M805" t="s">
        <v>102</v>
      </c>
      <c r="N805" s="2">
        <f>Table1[[#This Row],[Capacity (MW)]]*8760*0.72*10^-6</f>
        <v>0.12866687999999998</v>
      </c>
      <c r="O805" s="2" cm="1">
        <f t="array" ref="O805">AVERAGE(VLOOKUP(_xlfn.TEXTSPLIT(Table1[[#This Row],[Fuel (no space after comma)]], ","), FuelList_Final_EF!$A$2:$B$32, 2, FALSE))</f>
        <v>118.17</v>
      </c>
      <c r="P805" s="2">
        <f>(16112*Table1[[#This Row],[Generation (TWh)]]*10^9)/10^6</f>
        <v>2073080.7705599996</v>
      </c>
      <c r="Q805" s="2">
        <f>Table1[[#This Row],[Emission Factor (kg CO2/ mmBtu)]]*Table1[[#This Row],[Fuel Consumption (mmBtu)]]*10^3</f>
        <v>244975954657.07516</v>
      </c>
      <c r="R805" s="2">
        <f>(Table1[[#This Row],[CO2 Emissions (g CO2)]])/(Table1[[#This Row],[Generation (TWh)]]*10^9)</f>
        <v>1903.9550400000001</v>
      </c>
    </row>
    <row r="806" spans="1:18">
      <c r="A806" t="s">
        <v>567</v>
      </c>
      <c r="B806" t="s">
        <v>46</v>
      </c>
      <c r="C806" t="str">
        <f>SUBSTITUTE(Table1[[#This Row],[Fuel]],", ",",")</f>
        <v>bioenergy: agricultural waste (solids)</v>
      </c>
      <c r="D806" t="s">
        <v>46</v>
      </c>
      <c r="G806">
        <v>19.600000000000001</v>
      </c>
      <c r="H806" t="s">
        <v>53</v>
      </c>
      <c r="I806" t="s">
        <v>21</v>
      </c>
      <c r="J806" t="s">
        <v>21</v>
      </c>
      <c r="K806">
        <v>47.342799999999997</v>
      </c>
      <c r="L806">
        <v>123.20529999999999</v>
      </c>
      <c r="M806" t="s">
        <v>102</v>
      </c>
      <c r="N806" s="2">
        <f>Table1[[#This Row],[Capacity (MW)]]*8760*0.72*10^-6</f>
        <v>0.12362111999999999</v>
      </c>
      <c r="O806" s="2" cm="1">
        <f t="array" ref="O806">AVERAGE(VLOOKUP(_xlfn.TEXTSPLIT(Table1[[#This Row],[Fuel (no space after comma)]], ","), FuelList_Final_EF!$A$2:$B$32, 2, FALSE))</f>
        <v>118.17</v>
      </c>
      <c r="P806" s="2">
        <f>(16112*Table1[[#This Row],[Generation (TWh)]]*10^9)/10^6</f>
        <v>1991783.4854399997</v>
      </c>
      <c r="Q806" s="2">
        <f>Table1[[#This Row],[Emission Factor (kg CO2/ mmBtu)]]*Table1[[#This Row],[Fuel Consumption (mmBtu)]]*10^3</f>
        <v>235369054474.44476</v>
      </c>
      <c r="R806" s="2">
        <f>(Table1[[#This Row],[CO2 Emissions (g CO2)]])/(Table1[[#This Row],[Generation (TWh)]]*10^9)</f>
        <v>1903.9550399999998</v>
      </c>
    </row>
    <row r="807" spans="1:18">
      <c r="A807" t="s">
        <v>577</v>
      </c>
      <c r="B807" t="s">
        <v>46</v>
      </c>
      <c r="C807" t="str">
        <f>SUBSTITUTE(Table1[[#This Row],[Fuel]],", ",",")</f>
        <v>bioenergy: agricultural waste (solids)</v>
      </c>
      <c r="D807" t="s">
        <v>46</v>
      </c>
      <c r="G807">
        <v>20.399999999999999</v>
      </c>
      <c r="H807" t="s">
        <v>53</v>
      </c>
      <c r="I807" t="s">
        <v>21</v>
      </c>
      <c r="J807" t="s">
        <v>21</v>
      </c>
      <c r="K807">
        <v>47.342799999999997</v>
      </c>
      <c r="L807">
        <v>123.20529999999999</v>
      </c>
      <c r="M807" t="s">
        <v>102</v>
      </c>
      <c r="N807" s="2">
        <f>Table1[[#This Row],[Capacity (MW)]]*8760*0.72*10^-6</f>
        <v>0.12866687999999998</v>
      </c>
      <c r="O807" s="2" cm="1">
        <f t="array" ref="O807">AVERAGE(VLOOKUP(_xlfn.TEXTSPLIT(Table1[[#This Row],[Fuel (no space after comma)]], ","), FuelList_Final_EF!$A$2:$B$32, 2, FALSE))</f>
        <v>118.17</v>
      </c>
      <c r="P807" s="2">
        <f>(16112*Table1[[#This Row],[Generation (TWh)]]*10^9)/10^6</f>
        <v>2073080.7705599996</v>
      </c>
      <c r="Q807" s="2">
        <f>Table1[[#This Row],[Emission Factor (kg CO2/ mmBtu)]]*Table1[[#This Row],[Fuel Consumption (mmBtu)]]*10^3</f>
        <v>244975954657.07516</v>
      </c>
      <c r="R807" s="2">
        <f>(Table1[[#This Row],[CO2 Emissions (g CO2)]])/(Table1[[#This Row],[Generation (TWh)]]*10^9)</f>
        <v>1903.9550400000001</v>
      </c>
    </row>
    <row r="808" spans="1:18" hidden="1">
      <c r="A808" t="s">
        <v>117</v>
      </c>
      <c r="B808" t="s">
        <v>105</v>
      </c>
      <c r="C808" t="str">
        <f>SUBSTITUTE(Table1[[#This Row],[Fuel]],", ",",")</f>
        <v>bioenergy: agricultural waste (solids),bioenergy: wood &amp; other biomass (solids)</v>
      </c>
      <c r="D808" t="s">
        <v>46</v>
      </c>
      <c r="E808" t="s">
        <v>25</v>
      </c>
      <c r="G808">
        <v>30</v>
      </c>
      <c r="H808" t="s">
        <v>27</v>
      </c>
      <c r="I808">
        <v>2009</v>
      </c>
      <c r="J808" t="s">
        <v>21</v>
      </c>
      <c r="K808">
        <v>47.323300000000003</v>
      </c>
      <c r="L808">
        <v>123.20310000000001</v>
      </c>
      <c r="M808" t="s">
        <v>102</v>
      </c>
      <c r="N808" s="2">
        <f>Table1[[#This Row],[Capacity (MW)]]*8760*0.72*10^-6</f>
        <v>0.189216</v>
      </c>
      <c r="O808" s="2" cm="1">
        <f t="array" ref="O808">AVERAGE(VLOOKUP(_xlfn.TEXTSPLIT(Table1[[#This Row],[Fuel (no space after comma)]], ","), FuelList_Final_EF!$A$2:$B$32, 2, FALSE))</f>
        <v>105.985</v>
      </c>
      <c r="P808" s="2">
        <f>(16112*Table1[[#This Row],[Generation (TWh)]]*10^9)/10^6</f>
        <v>3048648.1919999998</v>
      </c>
      <c r="Q808" s="2">
        <f>Table1[[#This Row],[Emission Factor (kg CO2/ mmBtu)]]*Table1[[#This Row],[Fuel Consumption (mmBtu)]]*10^3</f>
        <v>323110978629.12</v>
      </c>
      <c r="R808" s="2">
        <f>(Table1[[#This Row],[CO2 Emissions (g CO2)]])/(Table1[[#This Row],[Generation (TWh)]]*10^9)</f>
        <v>1707.63032</v>
      </c>
    </row>
    <row r="809" spans="1:18" hidden="1">
      <c r="A809" t="s">
        <v>114</v>
      </c>
      <c r="B809" t="s">
        <v>46</v>
      </c>
      <c r="C809" t="str">
        <f>SUBSTITUTE(Table1[[#This Row],[Fuel]],", ",",")</f>
        <v>bioenergy: agricultural waste (solids)</v>
      </c>
      <c r="D809" t="s">
        <v>46</v>
      </c>
      <c r="G809">
        <v>3</v>
      </c>
      <c r="H809" t="s">
        <v>27</v>
      </c>
      <c r="I809">
        <v>2016</v>
      </c>
      <c r="J809" t="s">
        <v>21</v>
      </c>
      <c r="K809">
        <v>47.420200000000001</v>
      </c>
      <c r="L809">
        <v>130.5838</v>
      </c>
      <c r="M809" t="s">
        <v>102</v>
      </c>
      <c r="N809" s="2">
        <f>Table1[[#This Row],[Capacity (MW)]]*8760*0.72*10^-6</f>
        <v>1.8921599999999997E-2</v>
      </c>
      <c r="O809" s="2" cm="1">
        <f t="array" ref="O809">AVERAGE(VLOOKUP(_xlfn.TEXTSPLIT(Table1[[#This Row],[Fuel (no space after comma)]], ","), FuelList_Final_EF!$A$2:$B$32, 2, FALSE))</f>
        <v>118.17</v>
      </c>
      <c r="P809" s="2">
        <f>(16112*Table1[[#This Row],[Generation (TWh)]]*10^9)/10^6</f>
        <v>304864.81919999991</v>
      </c>
      <c r="Q809" s="2">
        <f>Table1[[#This Row],[Emission Factor (kg CO2/ mmBtu)]]*Table1[[#This Row],[Fuel Consumption (mmBtu)]]*10^3</f>
        <v>36025875684.863991</v>
      </c>
      <c r="R809" s="2">
        <f>(Table1[[#This Row],[CO2 Emissions (g CO2)]])/(Table1[[#This Row],[Generation (TWh)]]*10^9)</f>
        <v>1903.9550399999998</v>
      </c>
    </row>
    <row r="810" spans="1:18" hidden="1">
      <c r="A810" t="s">
        <v>115</v>
      </c>
      <c r="B810" t="s">
        <v>46</v>
      </c>
      <c r="C810" t="str">
        <f>SUBSTITUTE(Table1[[#This Row],[Fuel]],", ",",")</f>
        <v>bioenergy: agricultural waste (solids)</v>
      </c>
      <c r="D810" t="s">
        <v>46</v>
      </c>
      <c r="G810">
        <v>27</v>
      </c>
      <c r="H810" t="s">
        <v>27</v>
      </c>
      <c r="I810">
        <v>2016</v>
      </c>
      <c r="J810" t="s">
        <v>21</v>
      </c>
      <c r="K810">
        <v>47.420200000000001</v>
      </c>
      <c r="L810">
        <v>130.5838</v>
      </c>
      <c r="M810" t="s">
        <v>102</v>
      </c>
      <c r="N810" s="2">
        <f>Table1[[#This Row],[Capacity (MW)]]*8760*0.72*10^-6</f>
        <v>0.17029439999999998</v>
      </c>
      <c r="O810" s="2" cm="1">
        <f t="array" ref="O810">AVERAGE(VLOOKUP(_xlfn.TEXTSPLIT(Table1[[#This Row],[Fuel (no space after comma)]], ","), FuelList_Final_EF!$A$2:$B$32, 2, FALSE))</f>
        <v>118.17</v>
      </c>
      <c r="P810" s="2">
        <f>(16112*Table1[[#This Row],[Generation (TWh)]]*10^9)/10^6</f>
        <v>2743783.3727999995</v>
      </c>
      <c r="Q810" s="2">
        <f>Table1[[#This Row],[Emission Factor (kg CO2/ mmBtu)]]*Table1[[#This Row],[Fuel Consumption (mmBtu)]]*10^3</f>
        <v>324232881163.776</v>
      </c>
      <c r="R810" s="2">
        <f>(Table1[[#This Row],[CO2 Emissions (g CO2)]])/(Table1[[#This Row],[Generation (TWh)]]*10^9)</f>
        <v>1903.9550400000003</v>
      </c>
    </row>
    <row r="811" spans="1:18" hidden="1">
      <c r="A811" t="s">
        <v>577</v>
      </c>
      <c r="B811" t="s">
        <v>46</v>
      </c>
      <c r="C811" t="str">
        <f>SUBSTITUTE(Table1[[#This Row],[Fuel]],", ",",")</f>
        <v>bioenergy: agricultural waste (solids)</v>
      </c>
      <c r="D811" t="s">
        <v>46</v>
      </c>
      <c r="G811">
        <v>20.399999999999999</v>
      </c>
      <c r="H811" t="s">
        <v>27</v>
      </c>
      <c r="I811">
        <v>2021</v>
      </c>
      <c r="J811" t="s">
        <v>21</v>
      </c>
      <c r="K811">
        <v>47.301099999999998</v>
      </c>
      <c r="L811">
        <v>123.7424</v>
      </c>
      <c r="M811" t="s">
        <v>102</v>
      </c>
      <c r="N811" s="2">
        <f>Table1[[#This Row],[Capacity (MW)]]*8760*0.72*10^-6</f>
        <v>0.12866687999999998</v>
      </c>
      <c r="O811" s="2" cm="1">
        <f t="array" ref="O811">AVERAGE(VLOOKUP(_xlfn.TEXTSPLIT(Table1[[#This Row],[Fuel (no space after comma)]], ","), FuelList_Final_EF!$A$2:$B$32, 2, FALSE))</f>
        <v>118.17</v>
      </c>
      <c r="P811" s="2">
        <f>(16112*Table1[[#This Row],[Generation (TWh)]]*10^9)/10^6</f>
        <v>2073080.7705599996</v>
      </c>
      <c r="Q811" s="2">
        <f>Table1[[#This Row],[Emission Factor (kg CO2/ mmBtu)]]*Table1[[#This Row],[Fuel Consumption (mmBtu)]]*10^3</f>
        <v>244975954657.07516</v>
      </c>
      <c r="R811" s="2">
        <f>(Table1[[#This Row],[CO2 Emissions (g CO2)]])/(Table1[[#This Row],[Generation (TWh)]]*10^9)</f>
        <v>1903.9550400000001</v>
      </c>
    </row>
    <row r="812" spans="1:18" hidden="1">
      <c r="A812" t="s">
        <v>567</v>
      </c>
      <c r="B812" t="s">
        <v>46</v>
      </c>
      <c r="C812" t="str">
        <f>SUBSTITUTE(Table1[[#This Row],[Fuel]],", ",",")</f>
        <v>bioenergy: agricultural waste (solids)</v>
      </c>
      <c r="D812" t="s">
        <v>46</v>
      </c>
      <c r="G812">
        <v>19.600000000000001</v>
      </c>
      <c r="H812" t="s">
        <v>27</v>
      </c>
      <c r="I812">
        <v>2021</v>
      </c>
      <c r="J812" t="s">
        <v>21</v>
      </c>
      <c r="K812">
        <v>47.301099999999998</v>
      </c>
      <c r="L812">
        <v>123.7424</v>
      </c>
      <c r="M812" t="s">
        <v>102</v>
      </c>
      <c r="N812" s="2">
        <f>Table1[[#This Row],[Capacity (MW)]]*8760*0.72*10^-6</f>
        <v>0.12362111999999999</v>
      </c>
      <c r="O812" s="2" cm="1">
        <f t="array" ref="O812">AVERAGE(VLOOKUP(_xlfn.TEXTSPLIT(Table1[[#This Row],[Fuel (no space after comma)]], ","), FuelList_Final_EF!$A$2:$B$32, 2, FALSE))</f>
        <v>118.17</v>
      </c>
      <c r="P812" s="2">
        <f>(16112*Table1[[#This Row],[Generation (TWh)]]*10^9)/10^6</f>
        <v>1991783.4854399997</v>
      </c>
      <c r="Q812" s="2">
        <f>Table1[[#This Row],[Emission Factor (kg CO2/ mmBtu)]]*Table1[[#This Row],[Fuel Consumption (mmBtu)]]*10^3</f>
        <v>235369054474.44476</v>
      </c>
      <c r="R812" s="2">
        <f>(Table1[[#This Row],[CO2 Emissions (g CO2)]])/(Table1[[#This Row],[Generation (TWh)]]*10^9)</f>
        <v>1903.9550399999998</v>
      </c>
    </row>
    <row r="813" spans="1:18" hidden="1">
      <c r="A813" t="s">
        <v>577</v>
      </c>
      <c r="B813" t="s">
        <v>46</v>
      </c>
      <c r="C813" t="str">
        <f>SUBSTITUTE(Table1[[#This Row],[Fuel]],", ",",")</f>
        <v>bioenergy: agricultural waste (solids)</v>
      </c>
      <c r="D813" t="s">
        <v>46</v>
      </c>
      <c r="G813">
        <v>20.399999999999999</v>
      </c>
      <c r="H813" t="s">
        <v>27</v>
      </c>
      <c r="I813">
        <v>2021</v>
      </c>
      <c r="J813" t="s">
        <v>21</v>
      </c>
      <c r="K813">
        <v>47.301099999999998</v>
      </c>
      <c r="L813">
        <v>123.7424</v>
      </c>
      <c r="M813" t="s">
        <v>102</v>
      </c>
      <c r="N813" s="2">
        <f>Table1[[#This Row],[Capacity (MW)]]*8760*0.72*10^-6</f>
        <v>0.12866687999999998</v>
      </c>
      <c r="O813" s="2" cm="1">
        <f t="array" ref="O813">AVERAGE(VLOOKUP(_xlfn.TEXTSPLIT(Table1[[#This Row],[Fuel (no space after comma)]], ","), FuelList_Final_EF!$A$2:$B$32, 2, FALSE))</f>
        <v>118.17</v>
      </c>
      <c r="P813" s="2">
        <f>(16112*Table1[[#This Row],[Generation (TWh)]]*10^9)/10^6</f>
        <v>2073080.7705599996</v>
      </c>
      <c r="Q813" s="2">
        <f>Table1[[#This Row],[Emission Factor (kg CO2/ mmBtu)]]*Table1[[#This Row],[Fuel Consumption (mmBtu)]]*10^3</f>
        <v>244975954657.07516</v>
      </c>
      <c r="R813" s="2">
        <f>(Table1[[#This Row],[CO2 Emissions (g CO2)]])/(Table1[[#This Row],[Generation (TWh)]]*10^9)</f>
        <v>1903.9550400000001</v>
      </c>
    </row>
    <row r="814" spans="1:18" hidden="1">
      <c r="A814" t="s">
        <v>567</v>
      </c>
      <c r="B814" t="s">
        <v>46</v>
      </c>
      <c r="C814" t="str">
        <f>SUBSTITUTE(Table1[[#This Row],[Fuel]],", ",",")</f>
        <v>bioenergy: agricultural waste (solids)</v>
      </c>
      <c r="D814" t="s">
        <v>46</v>
      </c>
      <c r="G814">
        <v>19.600000000000001</v>
      </c>
      <c r="H814" t="s">
        <v>27</v>
      </c>
      <c r="I814">
        <v>2021</v>
      </c>
      <c r="J814" t="s">
        <v>21</v>
      </c>
      <c r="K814">
        <v>47.301099999999998</v>
      </c>
      <c r="L814">
        <v>123.7424</v>
      </c>
      <c r="M814" t="s">
        <v>102</v>
      </c>
      <c r="N814" s="2">
        <f>Table1[[#This Row],[Capacity (MW)]]*8760*0.72*10^-6</f>
        <v>0.12362111999999999</v>
      </c>
      <c r="O814" s="2" cm="1">
        <f t="array" ref="O814">AVERAGE(VLOOKUP(_xlfn.TEXTSPLIT(Table1[[#This Row],[Fuel (no space after comma)]], ","), FuelList_Final_EF!$A$2:$B$32, 2, FALSE))</f>
        <v>118.17</v>
      </c>
      <c r="P814" s="2">
        <f>(16112*Table1[[#This Row],[Generation (TWh)]]*10^9)/10^6</f>
        <v>1991783.4854399997</v>
      </c>
      <c r="Q814" s="2">
        <f>Table1[[#This Row],[Emission Factor (kg CO2/ mmBtu)]]*Table1[[#This Row],[Fuel Consumption (mmBtu)]]*10^3</f>
        <v>235369054474.44476</v>
      </c>
      <c r="R814" s="2">
        <f>(Table1[[#This Row],[CO2 Emissions (g CO2)]])/(Table1[[#This Row],[Generation (TWh)]]*10^9)</f>
        <v>1903.9550399999998</v>
      </c>
    </row>
    <row r="815" spans="1:18">
      <c r="A815" t="s">
        <v>578</v>
      </c>
      <c r="B815" t="s">
        <v>46</v>
      </c>
      <c r="C815" t="str">
        <f>SUBSTITUTE(Table1[[#This Row],[Fuel]],", ",",")</f>
        <v>bioenergy: agricultural waste (solids)</v>
      </c>
      <c r="D815" t="s">
        <v>46</v>
      </c>
      <c r="G815">
        <v>42</v>
      </c>
      <c r="H815" t="s">
        <v>53</v>
      </c>
      <c r="I815" t="s">
        <v>21</v>
      </c>
      <c r="J815" t="s">
        <v>21</v>
      </c>
      <c r="K815">
        <v>45.5366</v>
      </c>
      <c r="L815">
        <v>131.8828</v>
      </c>
      <c r="M815" t="s">
        <v>102</v>
      </c>
      <c r="N815" s="2">
        <f>Table1[[#This Row],[Capacity (MW)]]*8760*0.72*10^-6</f>
        <v>0.26490239999999993</v>
      </c>
      <c r="O815" s="2" cm="1">
        <f t="array" ref="O815">AVERAGE(VLOOKUP(_xlfn.TEXTSPLIT(Table1[[#This Row],[Fuel (no space after comma)]], ","), FuelList_Final_EF!$A$2:$B$32, 2, FALSE))</f>
        <v>118.17</v>
      </c>
      <c r="P815" s="2">
        <f>(16112*Table1[[#This Row],[Generation (TWh)]]*10^9)/10^6</f>
        <v>4268107.468799999</v>
      </c>
      <c r="Q815" s="2">
        <f>Table1[[#This Row],[Emission Factor (kg CO2/ mmBtu)]]*Table1[[#This Row],[Fuel Consumption (mmBtu)]]*10^3</f>
        <v>504362259588.09589</v>
      </c>
      <c r="R815" s="2">
        <f>(Table1[[#This Row],[CO2 Emissions (g CO2)]])/(Table1[[#This Row],[Generation (TWh)]]*10^9)</f>
        <v>1903.9550400000001</v>
      </c>
    </row>
    <row r="816" spans="1:18" hidden="1">
      <c r="A816" t="s">
        <v>579</v>
      </c>
      <c r="B816" t="s">
        <v>46</v>
      </c>
      <c r="C816" t="str">
        <f>SUBSTITUTE(Table1[[#This Row],[Fuel]],", ",",")</f>
        <v>bioenergy: agricultural waste (solids)</v>
      </c>
      <c r="D816" t="s">
        <v>46</v>
      </c>
      <c r="G816">
        <v>30</v>
      </c>
      <c r="H816" t="s">
        <v>27</v>
      </c>
      <c r="I816">
        <v>2020</v>
      </c>
      <c r="J816" t="s">
        <v>21</v>
      </c>
      <c r="K816">
        <v>45.502899999999997</v>
      </c>
      <c r="L816">
        <v>131.82320000000001</v>
      </c>
      <c r="M816" t="s">
        <v>102</v>
      </c>
      <c r="N816" s="2">
        <f>Table1[[#This Row],[Capacity (MW)]]*8760*0.72*10^-6</f>
        <v>0.189216</v>
      </c>
      <c r="O816" s="2" cm="1">
        <f t="array" ref="O816">AVERAGE(VLOOKUP(_xlfn.TEXTSPLIT(Table1[[#This Row],[Fuel (no space after comma)]], ","), FuelList_Final_EF!$A$2:$B$32, 2, FALSE))</f>
        <v>118.17</v>
      </c>
      <c r="P816" s="2">
        <f>(16112*Table1[[#This Row],[Generation (TWh)]]*10^9)/10^6</f>
        <v>3048648.1919999998</v>
      </c>
      <c r="Q816" s="2">
        <f>Table1[[#This Row],[Emission Factor (kg CO2/ mmBtu)]]*Table1[[#This Row],[Fuel Consumption (mmBtu)]]*10^3</f>
        <v>360258756848.63995</v>
      </c>
      <c r="R816" s="2">
        <f>(Table1[[#This Row],[CO2 Emissions (g CO2)]])/(Table1[[#This Row],[Generation (TWh)]]*10^9)</f>
        <v>1903.9550399999998</v>
      </c>
    </row>
    <row r="817" spans="1:18" hidden="1">
      <c r="A817" t="s">
        <v>561</v>
      </c>
      <c r="B817" t="s">
        <v>105</v>
      </c>
      <c r="C817" t="str">
        <f>SUBSTITUTE(Table1[[#This Row],[Fuel]],", ",",")</f>
        <v>bioenergy: agricultural waste (solids),bioenergy: wood &amp; other biomass (solids)</v>
      </c>
      <c r="D817" t="s">
        <v>46</v>
      </c>
      <c r="E817" t="s">
        <v>25</v>
      </c>
      <c r="G817">
        <v>30</v>
      </c>
      <c r="H817" t="s">
        <v>27</v>
      </c>
      <c r="I817">
        <v>2020</v>
      </c>
      <c r="J817" t="s">
        <v>21</v>
      </c>
      <c r="K817">
        <v>44.557299999999998</v>
      </c>
      <c r="L817">
        <v>129.8245</v>
      </c>
      <c r="M817" t="s">
        <v>102</v>
      </c>
      <c r="N817" s="2">
        <f>Table1[[#This Row],[Capacity (MW)]]*8760*0.72*10^-6</f>
        <v>0.189216</v>
      </c>
      <c r="O817" s="2" cm="1">
        <f t="array" ref="O817">AVERAGE(VLOOKUP(_xlfn.TEXTSPLIT(Table1[[#This Row],[Fuel (no space after comma)]], ","), FuelList_Final_EF!$A$2:$B$32, 2, FALSE))</f>
        <v>105.985</v>
      </c>
      <c r="P817" s="2">
        <f>(16112*Table1[[#This Row],[Generation (TWh)]]*10^9)/10^6</f>
        <v>3048648.1919999998</v>
      </c>
      <c r="Q817" s="2">
        <f>Table1[[#This Row],[Emission Factor (kg CO2/ mmBtu)]]*Table1[[#This Row],[Fuel Consumption (mmBtu)]]*10^3</f>
        <v>323110978629.12</v>
      </c>
      <c r="R817" s="2">
        <f>(Table1[[#This Row],[CO2 Emissions (g CO2)]])/(Table1[[#This Row],[Generation (TWh)]]*10^9)</f>
        <v>1707.63032</v>
      </c>
    </row>
    <row r="818" spans="1:18">
      <c r="A818" t="s">
        <v>572</v>
      </c>
      <c r="B818" t="s">
        <v>46</v>
      </c>
      <c r="C818" t="str">
        <f>SUBSTITUTE(Table1[[#This Row],[Fuel]],", ",",")</f>
        <v>bioenergy: agricultural waste (solids)</v>
      </c>
      <c r="D818" t="s">
        <v>46</v>
      </c>
      <c r="G818">
        <v>30</v>
      </c>
      <c r="H818" t="s">
        <v>53</v>
      </c>
      <c r="I818" t="s">
        <v>21</v>
      </c>
      <c r="J818" t="s">
        <v>21</v>
      </c>
      <c r="K818">
        <v>46.384900000000002</v>
      </c>
      <c r="L818">
        <v>127.8586</v>
      </c>
      <c r="M818" t="s">
        <v>102</v>
      </c>
      <c r="N818" s="2">
        <f>Table1[[#This Row],[Capacity (MW)]]*8760*0.72*10^-6</f>
        <v>0.189216</v>
      </c>
      <c r="O818" s="2" cm="1">
        <f t="array" ref="O818">AVERAGE(VLOOKUP(_xlfn.TEXTSPLIT(Table1[[#This Row],[Fuel (no space after comma)]], ","), FuelList_Final_EF!$A$2:$B$32, 2, FALSE))</f>
        <v>118.17</v>
      </c>
      <c r="P818" s="2">
        <f>(16112*Table1[[#This Row],[Generation (TWh)]]*10^9)/10^6</f>
        <v>3048648.1919999998</v>
      </c>
      <c r="Q818" s="2">
        <f>Table1[[#This Row],[Emission Factor (kg CO2/ mmBtu)]]*Table1[[#This Row],[Fuel Consumption (mmBtu)]]*10^3</f>
        <v>360258756848.63995</v>
      </c>
      <c r="R818" s="2">
        <f>(Table1[[#This Row],[CO2 Emissions (g CO2)]])/(Table1[[#This Row],[Generation (TWh)]]*10^9)</f>
        <v>1903.9550399999998</v>
      </c>
    </row>
    <row r="819" spans="1:18">
      <c r="A819" t="s">
        <v>580</v>
      </c>
      <c r="B819" t="s">
        <v>105</v>
      </c>
      <c r="C819" t="str">
        <f>SUBSTITUTE(Table1[[#This Row],[Fuel]],", ",",")</f>
        <v>bioenergy: agricultural waste (solids),bioenergy: wood &amp; other biomass (solids)</v>
      </c>
      <c r="D819" t="s">
        <v>46</v>
      </c>
      <c r="E819" t="s">
        <v>25</v>
      </c>
      <c r="G819">
        <v>40</v>
      </c>
      <c r="H819" t="s">
        <v>53</v>
      </c>
      <c r="I819" t="s">
        <v>21</v>
      </c>
      <c r="J819" t="s">
        <v>21</v>
      </c>
      <c r="K819">
        <v>48.471699999999998</v>
      </c>
      <c r="L819">
        <v>124.8145</v>
      </c>
      <c r="M819" t="s">
        <v>102</v>
      </c>
      <c r="N819" s="2">
        <f>Table1[[#This Row],[Capacity (MW)]]*8760*0.72*10^-6</f>
        <v>0.25228800000000001</v>
      </c>
      <c r="O819" s="2" cm="1">
        <f t="array" ref="O819">AVERAGE(VLOOKUP(_xlfn.TEXTSPLIT(Table1[[#This Row],[Fuel (no space after comma)]], ","), FuelList_Final_EF!$A$2:$B$32, 2, FALSE))</f>
        <v>105.985</v>
      </c>
      <c r="P819" s="2">
        <f>(16112*Table1[[#This Row],[Generation (TWh)]]*10^9)/10^6</f>
        <v>4064864.2560000005</v>
      </c>
      <c r="Q819" s="2">
        <f>Table1[[#This Row],[Emission Factor (kg CO2/ mmBtu)]]*Table1[[#This Row],[Fuel Consumption (mmBtu)]]*10^3</f>
        <v>430814638172.16003</v>
      </c>
      <c r="R819" s="2">
        <f>(Table1[[#This Row],[CO2 Emissions (g CO2)]])/(Table1[[#This Row],[Generation (TWh)]]*10^9)</f>
        <v>1707.6303200000002</v>
      </c>
    </row>
    <row r="820" spans="1:18">
      <c r="A820" t="s">
        <v>580</v>
      </c>
      <c r="B820" t="s">
        <v>105</v>
      </c>
      <c r="C820" t="str">
        <f>SUBSTITUTE(Table1[[#This Row],[Fuel]],", ",",")</f>
        <v>bioenergy: agricultural waste (solids),bioenergy: wood &amp; other biomass (solids)</v>
      </c>
      <c r="D820" t="s">
        <v>46</v>
      </c>
      <c r="E820" t="s">
        <v>25</v>
      </c>
      <c r="G820">
        <v>40</v>
      </c>
      <c r="H820" t="s">
        <v>53</v>
      </c>
      <c r="I820" t="s">
        <v>21</v>
      </c>
      <c r="J820" t="s">
        <v>21</v>
      </c>
      <c r="K820">
        <v>48.471699999999998</v>
      </c>
      <c r="L820">
        <v>124.8145</v>
      </c>
      <c r="M820" t="s">
        <v>102</v>
      </c>
      <c r="N820" s="2">
        <f>Table1[[#This Row],[Capacity (MW)]]*8760*0.72*10^-6</f>
        <v>0.25228800000000001</v>
      </c>
      <c r="O820" s="2" cm="1">
        <f t="array" ref="O820">AVERAGE(VLOOKUP(_xlfn.TEXTSPLIT(Table1[[#This Row],[Fuel (no space after comma)]], ","), FuelList_Final_EF!$A$2:$B$32, 2, FALSE))</f>
        <v>105.985</v>
      </c>
      <c r="P820" s="2">
        <f>(16112*Table1[[#This Row],[Generation (TWh)]]*10^9)/10^6</f>
        <v>4064864.2560000005</v>
      </c>
      <c r="Q820" s="2">
        <f>Table1[[#This Row],[Emission Factor (kg CO2/ mmBtu)]]*Table1[[#This Row],[Fuel Consumption (mmBtu)]]*10^3</f>
        <v>430814638172.16003</v>
      </c>
      <c r="R820" s="2">
        <f>(Table1[[#This Row],[CO2 Emissions (g CO2)]])/(Table1[[#This Row],[Generation (TWh)]]*10^9)</f>
        <v>1707.6303200000002</v>
      </c>
    </row>
    <row r="821" spans="1:18">
      <c r="A821" t="s">
        <v>118</v>
      </c>
      <c r="B821" t="s">
        <v>105</v>
      </c>
      <c r="C821" t="str">
        <f>SUBSTITUTE(Table1[[#This Row],[Fuel]],", ",",")</f>
        <v>bioenergy: agricultural waste (solids),bioenergy: wood &amp; other biomass (solids)</v>
      </c>
      <c r="D821" t="s">
        <v>46</v>
      </c>
      <c r="E821" t="s">
        <v>25</v>
      </c>
      <c r="G821">
        <v>30</v>
      </c>
      <c r="H821" t="s">
        <v>138</v>
      </c>
      <c r="I821" t="s">
        <v>21</v>
      </c>
      <c r="J821" t="s">
        <v>21</v>
      </c>
      <c r="K821">
        <v>49.198599999999999</v>
      </c>
      <c r="L821">
        <v>125.2317</v>
      </c>
      <c r="M821" t="s">
        <v>102</v>
      </c>
      <c r="N821" s="2">
        <f>Table1[[#This Row],[Capacity (MW)]]*8760*0.72*10^-6</f>
        <v>0.189216</v>
      </c>
      <c r="O821" s="2" cm="1">
        <f t="array" ref="O821">AVERAGE(VLOOKUP(_xlfn.TEXTSPLIT(Table1[[#This Row],[Fuel (no space after comma)]], ","), FuelList_Final_EF!$A$2:$B$32, 2, FALSE))</f>
        <v>105.985</v>
      </c>
      <c r="P821" s="2">
        <f>(16112*Table1[[#This Row],[Generation (TWh)]]*10^9)/10^6</f>
        <v>3048648.1919999998</v>
      </c>
      <c r="Q821" s="2">
        <f>Table1[[#This Row],[Emission Factor (kg CO2/ mmBtu)]]*Table1[[#This Row],[Fuel Consumption (mmBtu)]]*10^3</f>
        <v>323110978629.12</v>
      </c>
      <c r="R821" s="2">
        <f>(Table1[[#This Row],[CO2 Emissions (g CO2)]])/(Table1[[#This Row],[Generation (TWh)]]*10^9)</f>
        <v>1707.63032</v>
      </c>
    </row>
    <row r="822" spans="1:18">
      <c r="A822" t="s">
        <v>563</v>
      </c>
      <c r="B822" t="s">
        <v>46</v>
      </c>
      <c r="C822" t="str">
        <f>SUBSTITUTE(Table1[[#This Row],[Fuel]],", ",",")</f>
        <v>bioenergy: agricultural waste (solids)</v>
      </c>
      <c r="D822" t="s">
        <v>46</v>
      </c>
      <c r="G822">
        <v>40</v>
      </c>
      <c r="H822" t="s">
        <v>53</v>
      </c>
      <c r="I822" t="s">
        <v>21</v>
      </c>
      <c r="J822" t="s">
        <v>21</v>
      </c>
      <c r="K822">
        <v>47.522599999999997</v>
      </c>
      <c r="L822">
        <v>122.9104</v>
      </c>
      <c r="M822" t="s">
        <v>102</v>
      </c>
      <c r="N822" s="2">
        <f>Table1[[#This Row],[Capacity (MW)]]*8760*0.72*10^-6</f>
        <v>0.25228800000000001</v>
      </c>
      <c r="O822" s="2" cm="1">
        <f t="array" ref="O822">AVERAGE(VLOOKUP(_xlfn.TEXTSPLIT(Table1[[#This Row],[Fuel (no space after comma)]], ","), FuelList_Final_EF!$A$2:$B$32, 2, FALSE))</f>
        <v>118.17</v>
      </c>
      <c r="P822" s="2">
        <f>(16112*Table1[[#This Row],[Generation (TWh)]]*10^9)/10^6</f>
        <v>4064864.2560000005</v>
      </c>
      <c r="Q822" s="2">
        <f>Table1[[#This Row],[Emission Factor (kg CO2/ mmBtu)]]*Table1[[#This Row],[Fuel Consumption (mmBtu)]]*10^3</f>
        <v>480345009131.52008</v>
      </c>
      <c r="R822" s="2">
        <f>(Table1[[#This Row],[CO2 Emissions (g CO2)]])/(Table1[[#This Row],[Generation (TWh)]]*10^9)</f>
        <v>1903.9550400000003</v>
      </c>
    </row>
    <row r="823" spans="1:18" hidden="1">
      <c r="A823" t="s">
        <v>284</v>
      </c>
      <c r="B823" t="s">
        <v>105</v>
      </c>
      <c r="C823" t="str">
        <f>SUBSTITUTE(Table1[[#This Row],[Fuel]],", ",",")</f>
        <v>bioenergy: agricultural waste (solids),bioenergy: wood &amp; other biomass (solids)</v>
      </c>
      <c r="D823" t="s">
        <v>46</v>
      </c>
      <c r="E823" t="s">
        <v>25</v>
      </c>
      <c r="G823">
        <v>30</v>
      </c>
      <c r="H823" t="s">
        <v>27</v>
      </c>
      <c r="I823">
        <v>2014</v>
      </c>
      <c r="J823" t="s">
        <v>21</v>
      </c>
      <c r="K823">
        <v>44.170200000000001</v>
      </c>
      <c r="L823">
        <v>129.3443</v>
      </c>
      <c r="M823" t="s">
        <v>102</v>
      </c>
      <c r="N823" s="2">
        <f>Table1[[#This Row],[Capacity (MW)]]*8760*0.72*10^-6</f>
        <v>0.189216</v>
      </c>
      <c r="O823" s="2" cm="1">
        <f t="array" ref="O823">AVERAGE(VLOOKUP(_xlfn.TEXTSPLIT(Table1[[#This Row],[Fuel (no space after comma)]], ","), FuelList_Final_EF!$A$2:$B$32, 2, FALSE))</f>
        <v>105.985</v>
      </c>
      <c r="P823" s="2">
        <f>(16112*Table1[[#This Row],[Generation (TWh)]]*10^9)/10^6</f>
        <v>3048648.1919999998</v>
      </c>
      <c r="Q823" s="2">
        <f>Table1[[#This Row],[Emission Factor (kg CO2/ mmBtu)]]*Table1[[#This Row],[Fuel Consumption (mmBtu)]]*10^3</f>
        <v>323110978629.12</v>
      </c>
      <c r="R823" s="2">
        <f>(Table1[[#This Row],[CO2 Emissions (g CO2)]])/(Table1[[#This Row],[Generation (TWh)]]*10^9)</f>
        <v>1707.63032</v>
      </c>
    </row>
    <row r="824" spans="1:18" hidden="1">
      <c r="A824" t="s">
        <v>117</v>
      </c>
      <c r="B824" t="s">
        <v>105</v>
      </c>
      <c r="C824" t="str">
        <f>SUBSTITUTE(Table1[[#This Row],[Fuel]],", ",",")</f>
        <v>bioenergy: agricultural waste (solids),bioenergy: wood &amp; other biomass (solids)</v>
      </c>
      <c r="D824" t="s">
        <v>46</v>
      </c>
      <c r="E824" t="s">
        <v>25</v>
      </c>
      <c r="G824">
        <v>40</v>
      </c>
      <c r="H824" t="s">
        <v>27</v>
      </c>
      <c r="I824">
        <v>2014</v>
      </c>
      <c r="J824" t="s">
        <v>21</v>
      </c>
      <c r="K824">
        <v>46.873399999999997</v>
      </c>
      <c r="L824">
        <v>127.5403</v>
      </c>
      <c r="M824" t="s">
        <v>102</v>
      </c>
      <c r="N824" s="2">
        <f>Table1[[#This Row],[Capacity (MW)]]*8760*0.72*10^-6</f>
        <v>0.25228800000000001</v>
      </c>
      <c r="O824" s="2" cm="1">
        <f t="array" ref="O824">AVERAGE(VLOOKUP(_xlfn.TEXTSPLIT(Table1[[#This Row],[Fuel (no space after comma)]], ","), FuelList_Final_EF!$A$2:$B$32, 2, FALSE))</f>
        <v>105.985</v>
      </c>
      <c r="P824" s="2">
        <f>(16112*Table1[[#This Row],[Generation (TWh)]]*10^9)/10^6</f>
        <v>4064864.2560000005</v>
      </c>
      <c r="Q824" s="2">
        <f>Table1[[#This Row],[Emission Factor (kg CO2/ mmBtu)]]*Table1[[#This Row],[Fuel Consumption (mmBtu)]]*10^3</f>
        <v>430814638172.16003</v>
      </c>
      <c r="R824" s="2">
        <f>(Table1[[#This Row],[CO2 Emissions (g CO2)]])/(Table1[[#This Row],[Generation (TWh)]]*10^9)</f>
        <v>1707.6303200000002</v>
      </c>
    </row>
    <row r="825" spans="1:18" hidden="1">
      <c r="A825" t="s">
        <v>108</v>
      </c>
      <c r="B825" t="s">
        <v>105</v>
      </c>
      <c r="C825" t="str">
        <f>SUBSTITUTE(Table1[[#This Row],[Fuel]],", ",",")</f>
        <v>bioenergy: agricultural waste (solids),bioenergy: wood &amp; other biomass (solids)</v>
      </c>
      <c r="D825" t="s">
        <v>46</v>
      </c>
      <c r="E825" t="s">
        <v>25</v>
      </c>
      <c r="G825">
        <v>80</v>
      </c>
      <c r="H825" t="s">
        <v>27</v>
      </c>
      <c r="I825">
        <v>2021</v>
      </c>
      <c r="J825" t="s">
        <v>21</v>
      </c>
      <c r="K825">
        <v>46.882599999999996</v>
      </c>
      <c r="L825">
        <v>127.47929999999999</v>
      </c>
      <c r="M825" t="s">
        <v>102</v>
      </c>
      <c r="N825" s="2">
        <f>Table1[[#This Row],[Capacity (MW)]]*8760*0.72*10^-6</f>
        <v>0.50457600000000002</v>
      </c>
      <c r="O825" s="2" cm="1">
        <f t="array" ref="O825">AVERAGE(VLOOKUP(_xlfn.TEXTSPLIT(Table1[[#This Row],[Fuel (no space after comma)]], ","), FuelList_Final_EF!$A$2:$B$32, 2, FALSE))</f>
        <v>105.985</v>
      </c>
      <c r="P825" s="2">
        <f>(16112*Table1[[#This Row],[Generation (TWh)]]*10^9)/10^6</f>
        <v>8129728.512000001</v>
      </c>
      <c r="Q825" s="2">
        <f>Table1[[#This Row],[Emission Factor (kg CO2/ mmBtu)]]*Table1[[#This Row],[Fuel Consumption (mmBtu)]]*10^3</f>
        <v>861629276344.32007</v>
      </c>
      <c r="R825" s="2">
        <f>(Table1[[#This Row],[CO2 Emissions (g CO2)]])/(Table1[[#This Row],[Generation (TWh)]]*10^9)</f>
        <v>1707.6303200000002</v>
      </c>
    </row>
    <row r="826" spans="1:18" hidden="1">
      <c r="A826" t="s">
        <v>581</v>
      </c>
      <c r="B826" t="s">
        <v>105</v>
      </c>
      <c r="C826" t="str">
        <f>SUBSTITUTE(Table1[[#This Row],[Fuel]],", ",",")</f>
        <v>bioenergy: agricultural waste (solids),bioenergy: wood &amp; other biomass (solids)</v>
      </c>
      <c r="D826" t="s">
        <v>46</v>
      </c>
      <c r="E826" t="s">
        <v>25</v>
      </c>
      <c r="G826">
        <v>55.2</v>
      </c>
      <c r="H826" t="s">
        <v>27</v>
      </c>
      <c r="I826">
        <v>2021</v>
      </c>
      <c r="J826" t="s">
        <v>21</v>
      </c>
      <c r="K826">
        <v>46.882599999999996</v>
      </c>
      <c r="L826">
        <v>127.47929999999999</v>
      </c>
      <c r="M826" t="s">
        <v>102</v>
      </c>
      <c r="N826" s="2">
        <f>Table1[[#This Row],[Capacity (MW)]]*8760*0.72*10^-6</f>
        <v>0.34815743999999998</v>
      </c>
      <c r="O826" s="2" cm="1">
        <f t="array" ref="O826">AVERAGE(VLOOKUP(_xlfn.TEXTSPLIT(Table1[[#This Row],[Fuel (no space after comma)]], ","), FuelList_Final_EF!$A$2:$B$32, 2, FALSE))</f>
        <v>105.985</v>
      </c>
      <c r="P826" s="2">
        <f>(16112*Table1[[#This Row],[Generation (TWh)]]*10^9)/10^6</f>
        <v>5609512.6732799998</v>
      </c>
      <c r="Q826" s="2">
        <f>Table1[[#This Row],[Emission Factor (kg CO2/ mmBtu)]]*Table1[[#This Row],[Fuel Consumption (mmBtu)]]*10^3</f>
        <v>594524200677.58069</v>
      </c>
      <c r="R826" s="2">
        <f>(Table1[[#This Row],[CO2 Emissions (g CO2)]])/(Table1[[#This Row],[Generation (TWh)]]*10^9)</f>
        <v>1707.6303199999998</v>
      </c>
    </row>
    <row r="827" spans="1:18" hidden="1">
      <c r="A827" t="s">
        <v>561</v>
      </c>
      <c r="B827" t="s">
        <v>105</v>
      </c>
      <c r="C827" t="str">
        <f>SUBSTITUTE(Table1[[#This Row],[Fuel]],", ",",")</f>
        <v>bioenergy: agricultural waste (solids),bioenergy: wood &amp; other biomass (solids)</v>
      </c>
      <c r="D827" t="s">
        <v>46</v>
      </c>
      <c r="E827" t="s">
        <v>25</v>
      </c>
      <c r="G827">
        <v>30</v>
      </c>
      <c r="H827" t="s">
        <v>27</v>
      </c>
      <c r="I827">
        <v>2021</v>
      </c>
      <c r="J827" t="s">
        <v>21</v>
      </c>
      <c r="K827">
        <v>45.826599999999999</v>
      </c>
      <c r="L827">
        <v>131.1814</v>
      </c>
      <c r="M827" t="s">
        <v>102</v>
      </c>
      <c r="N827" s="2">
        <f>Table1[[#This Row],[Capacity (MW)]]*8760*0.72*10^-6</f>
        <v>0.189216</v>
      </c>
      <c r="O827" s="2" cm="1">
        <f t="array" ref="O827">AVERAGE(VLOOKUP(_xlfn.TEXTSPLIT(Table1[[#This Row],[Fuel (no space after comma)]], ","), FuelList_Final_EF!$A$2:$B$32, 2, FALSE))</f>
        <v>105.985</v>
      </c>
      <c r="P827" s="2">
        <f>(16112*Table1[[#This Row],[Generation (TWh)]]*10^9)/10^6</f>
        <v>3048648.1919999998</v>
      </c>
      <c r="Q827" s="2">
        <f>Table1[[#This Row],[Emission Factor (kg CO2/ mmBtu)]]*Table1[[#This Row],[Fuel Consumption (mmBtu)]]*10^3</f>
        <v>323110978629.12</v>
      </c>
      <c r="R827" s="2">
        <f>(Table1[[#This Row],[CO2 Emissions (g CO2)]])/(Table1[[#This Row],[Generation (TWh)]]*10^9)</f>
        <v>1707.63032</v>
      </c>
    </row>
    <row r="828" spans="1:18">
      <c r="A828" t="s">
        <v>582</v>
      </c>
      <c r="B828" t="s">
        <v>46</v>
      </c>
      <c r="C828" t="str">
        <f>SUBSTITUTE(Table1[[#This Row],[Fuel]],", ",",")</f>
        <v>bioenergy: agricultural waste (solids)</v>
      </c>
      <c r="D828" t="s">
        <v>46</v>
      </c>
      <c r="G828">
        <v>50</v>
      </c>
      <c r="H828" t="s">
        <v>172</v>
      </c>
      <c r="I828" t="s">
        <v>21</v>
      </c>
      <c r="J828" t="s">
        <v>21</v>
      </c>
      <c r="K828">
        <v>46.814700000000002</v>
      </c>
      <c r="L828">
        <v>133.99119999999999</v>
      </c>
      <c r="M828" t="s">
        <v>102</v>
      </c>
      <c r="N828" s="2">
        <f>Table1[[#This Row],[Capacity (MW)]]*8760*0.72*10^-6</f>
        <v>0.31535999999999997</v>
      </c>
      <c r="O828" s="2" cm="1">
        <f t="array" ref="O828">AVERAGE(VLOOKUP(_xlfn.TEXTSPLIT(Table1[[#This Row],[Fuel (no space after comma)]], ","), FuelList_Final_EF!$A$2:$B$32, 2, FALSE))</f>
        <v>118.17</v>
      </c>
      <c r="P828" s="2">
        <f>(16112*Table1[[#This Row],[Generation (TWh)]]*10^9)/10^6</f>
        <v>5081080.32</v>
      </c>
      <c r="Q828" s="2">
        <f>Table1[[#This Row],[Emission Factor (kg CO2/ mmBtu)]]*Table1[[#This Row],[Fuel Consumption (mmBtu)]]*10^3</f>
        <v>600431261414.40015</v>
      </c>
      <c r="R828" s="2">
        <f>(Table1[[#This Row],[CO2 Emissions (g CO2)]])/(Table1[[#This Row],[Generation (TWh)]]*10^9)</f>
        <v>1903.9550400000005</v>
      </c>
    </row>
    <row r="829" spans="1:18" hidden="1">
      <c r="A829" t="s">
        <v>581</v>
      </c>
      <c r="B829" t="s">
        <v>46</v>
      </c>
      <c r="C829" t="str">
        <f>SUBSTITUTE(Table1[[#This Row],[Fuel]],", ",",")</f>
        <v>bioenergy: agricultural waste (solids)</v>
      </c>
      <c r="D829" t="s">
        <v>46</v>
      </c>
      <c r="G829">
        <v>26.8</v>
      </c>
      <c r="H829" t="s">
        <v>27</v>
      </c>
      <c r="I829">
        <v>2019</v>
      </c>
      <c r="J829" t="s">
        <v>21</v>
      </c>
      <c r="K829">
        <v>45.212800000000001</v>
      </c>
      <c r="L829">
        <v>127.9984</v>
      </c>
      <c r="M829" t="s">
        <v>102</v>
      </c>
      <c r="N829" s="2">
        <f>Table1[[#This Row],[Capacity (MW)]]*8760*0.72*10^-6</f>
        <v>0.16903295999999998</v>
      </c>
      <c r="O829" s="2" cm="1">
        <f t="array" ref="O829">AVERAGE(VLOOKUP(_xlfn.TEXTSPLIT(Table1[[#This Row],[Fuel (no space after comma)]], ","), FuelList_Final_EF!$A$2:$B$32, 2, FALSE))</f>
        <v>118.17</v>
      </c>
      <c r="P829" s="2">
        <f>(16112*Table1[[#This Row],[Generation (TWh)]]*10^9)/10^6</f>
        <v>2723459.0515200002</v>
      </c>
      <c r="Q829" s="2">
        <f>Table1[[#This Row],[Emission Factor (kg CO2/ mmBtu)]]*Table1[[#This Row],[Fuel Consumption (mmBtu)]]*10^3</f>
        <v>321831156118.11841</v>
      </c>
      <c r="R829" s="2">
        <f>(Table1[[#This Row],[CO2 Emissions (g CO2)]])/(Table1[[#This Row],[Generation (TWh)]]*10^9)</f>
        <v>1903.9550400000003</v>
      </c>
    </row>
    <row r="830" spans="1:18" hidden="1">
      <c r="A830" t="s">
        <v>108</v>
      </c>
      <c r="B830" t="s">
        <v>46</v>
      </c>
      <c r="C830" t="str">
        <f>SUBSTITUTE(Table1[[#This Row],[Fuel]],", ",",")</f>
        <v>bioenergy: agricultural waste (solids)</v>
      </c>
      <c r="D830" t="s">
        <v>46</v>
      </c>
      <c r="G830">
        <v>13.2</v>
      </c>
      <c r="H830" t="s">
        <v>27</v>
      </c>
      <c r="I830">
        <v>2019</v>
      </c>
      <c r="J830" t="s">
        <v>21</v>
      </c>
      <c r="K830">
        <v>45.212800000000001</v>
      </c>
      <c r="L830">
        <v>127.9984</v>
      </c>
      <c r="M830" t="s">
        <v>102</v>
      </c>
      <c r="N830" s="2">
        <f>Table1[[#This Row],[Capacity (MW)]]*8760*0.72*10^-6</f>
        <v>8.3255039999999988E-2</v>
      </c>
      <c r="O830" s="2" cm="1">
        <f t="array" ref="O830">AVERAGE(VLOOKUP(_xlfn.TEXTSPLIT(Table1[[#This Row],[Fuel (no space after comma)]], ","), FuelList_Final_EF!$A$2:$B$32, 2, FALSE))</f>
        <v>118.17</v>
      </c>
      <c r="P830" s="2">
        <f>(16112*Table1[[#This Row],[Generation (TWh)]]*10^9)/10^6</f>
        <v>1341405.2044799998</v>
      </c>
      <c r="Q830" s="2">
        <f>Table1[[#This Row],[Emission Factor (kg CO2/ mmBtu)]]*Table1[[#This Row],[Fuel Consumption (mmBtu)]]*10^3</f>
        <v>158513853013.40161</v>
      </c>
      <c r="R830" s="2">
        <f>(Table1[[#This Row],[CO2 Emissions (g CO2)]])/(Table1[[#This Row],[Generation (TWh)]]*10^9)</f>
        <v>1903.9550400000005</v>
      </c>
    </row>
    <row r="831" spans="1:18">
      <c r="A831" t="s">
        <v>108</v>
      </c>
      <c r="B831" t="s">
        <v>105</v>
      </c>
      <c r="C831" t="str">
        <f>SUBSTITUTE(Table1[[#This Row],[Fuel]],", ",",")</f>
        <v>bioenergy: agricultural waste (solids),bioenergy: wood &amp; other biomass (solids)</v>
      </c>
      <c r="D831" t="s">
        <v>46</v>
      </c>
      <c r="E831" t="s">
        <v>25</v>
      </c>
      <c r="G831">
        <v>40</v>
      </c>
      <c r="H831" t="s">
        <v>53</v>
      </c>
      <c r="I831" t="s">
        <v>21</v>
      </c>
      <c r="J831" t="s">
        <v>21</v>
      </c>
      <c r="K831">
        <v>44.944899999999997</v>
      </c>
      <c r="L831">
        <v>128.62260000000001</v>
      </c>
      <c r="M831" t="s">
        <v>102</v>
      </c>
      <c r="N831" s="2">
        <f>Table1[[#This Row],[Capacity (MW)]]*8760*0.72*10^-6</f>
        <v>0.25228800000000001</v>
      </c>
      <c r="O831" s="2" cm="1">
        <f t="array" ref="O831">AVERAGE(VLOOKUP(_xlfn.TEXTSPLIT(Table1[[#This Row],[Fuel (no space after comma)]], ","), FuelList_Final_EF!$A$2:$B$32, 2, FALSE))</f>
        <v>105.985</v>
      </c>
      <c r="P831" s="2">
        <f>(16112*Table1[[#This Row],[Generation (TWh)]]*10^9)/10^6</f>
        <v>4064864.2560000005</v>
      </c>
      <c r="Q831" s="2">
        <f>Table1[[#This Row],[Emission Factor (kg CO2/ mmBtu)]]*Table1[[#This Row],[Fuel Consumption (mmBtu)]]*10^3</f>
        <v>430814638172.16003</v>
      </c>
      <c r="R831" s="2">
        <f>(Table1[[#This Row],[CO2 Emissions (g CO2)]])/(Table1[[#This Row],[Generation (TWh)]]*10^9)</f>
        <v>1707.6303200000002</v>
      </c>
    </row>
    <row r="832" spans="1:18" hidden="1">
      <c r="A832" t="s">
        <v>108</v>
      </c>
      <c r="B832" t="s">
        <v>105</v>
      </c>
      <c r="C832" t="str">
        <f>SUBSTITUTE(Table1[[#This Row],[Fuel]],", ",",")</f>
        <v>bioenergy: agricultural waste (solids),bioenergy: wood &amp; other biomass (solids)</v>
      </c>
      <c r="D832" t="s">
        <v>46</v>
      </c>
      <c r="E832" t="s">
        <v>25</v>
      </c>
      <c r="G832">
        <v>28.5</v>
      </c>
      <c r="H832" t="s">
        <v>27</v>
      </c>
      <c r="I832">
        <v>2021</v>
      </c>
      <c r="J832" t="s">
        <v>21</v>
      </c>
      <c r="K832">
        <v>47.280999999999999</v>
      </c>
      <c r="L832">
        <v>131.89189999999999</v>
      </c>
      <c r="M832" t="s">
        <v>102</v>
      </c>
      <c r="N832" s="2">
        <f>Table1[[#This Row],[Capacity (MW)]]*8760*0.72*10^-6</f>
        <v>0.17975519999999998</v>
      </c>
      <c r="O832" s="2" cm="1">
        <f t="array" ref="O832">AVERAGE(VLOOKUP(_xlfn.TEXTSPLIT(Table1[[#This Row],[Fuel (no space after comma)]], ","), FuelList_Final_EF!$A$2:$B$32, 2, FALSE))</f>
        <v>105.985</v>
      </c>
      <c r="P832" s="2">
        <f>(16112*Table1[[#This Row],[Generation (TWh)]]*10^9)/10^6</f>
        <v>2896215.7823999994</v>
      </c>
      <c r="Q832" s="2">
        <f>Table1[[#This Row],[Emission Factor (kg CO2/ mmBtu)]]*Table1[[#This Row],[Fuel Consumption (mmBtu)]]*10^3</f>
        <v>306955429697.66394</v>
      </c>
      <c r="R832" s="2">
        <f>(Table1[[#This Row],[CO2 Emissions (g CO2)]])/(Table1[[#This Row],[Generation (TWh)]]*10^9)</f>
        <v>1707.63032</v>
      </c>
    </row>
    <row r="833" spans="1:18" hidden="1">
      <c r="A833" t="s">
        <v>186</v>
      </c>
      <c r="B833" t="s">
        <v>105</v>
      </c>
      <c r="C833" t="str">
        <f>SUBSTITUTE(Table1[[#This Row],[Fuel]],", ",",")</f>
        <v>bioenergy: agricultural waste (solids),bioenergy: wood &amp; other biomass (solids)</v>
      </c>
      <c r="D833" t="s">
        <v>46</v>
      </c>
      <c r="E833" t="s">
        <v>25</v>
      </c>
      <c r="G833">
        <v>1.5</v>
      </c>
      <c r="H833" t="s">
        <v>27</v>
      </c>
      <c r="I833">
        <v>2021</v>
      </c>
      <c r="J833" t="s">
        <v>21</v>
      </c>
      <c r="K833">
        <v>47.280999999999999</v>
      </c>
      <c r="L833">
        <v>131.89189999999999</v>
      </c>
      <c r="M833" t="s">
        <v>102</v>
      </c>
      <c r="N833" s="2">
        <f>Table1[[#This Row],[Capacity (MW)]]*8760*0.72*10^-6</f>
        <v>9.4607999999999984E-3</v>
      </c>
      <c r="O833" s="2" cm="1">
        <f t="array" ref="O833">AVERAGE(VLOOKUP(_xlfn.TEXTSPLIT(Table1[[#This Row],[Fuel (no space after comma)]], ","), FuelList_Final_EF!$A$2:$B$32, 2, FALSE))</f>
        <v>105.985</v>
      </c>
      <c r="P833" s="2">
        <f>(16112*Table1[[#This Row],[Generation (TWh)]]*10^9)/10^6</f>
        <v>152432.40959999996</v>
      </c>
      <c r="Q833" s="2">
        <f>Table1[[#This Row],[Emission Factor (kg CO2/ mmBtu)]]*Table1[[#This Row],[Fuel Consumption (mmBtu)]]*10^3</f>
        <v>16155548931.455996</v>
      </c>
      <c r="R833" s="2">
        <f>(Table1[[#This Row],[CO2 Emissions (g CO2)]])/(Table1[[#This Row],[Generation (TWh)]]*10^9)</f>
        <v>1707.6303199999998</v>
      </c>
    </row>
    <row r="834" spans="1:18" hidden="1">
      <c r="A834" t="s">
        <v>499</v>
      </c>
      <c r="B834" t="s">
        <v>46</v>
      </c>
      <c r="C834" t="str">
        <f>SUBSTITUTE(Table1[[#This Row],[Fuel]],", ",",")</f>
        <v>bioenergy: agricultural waste (solids)</v>
      </c>
      <c r="D834" t="s">
        <v>46</v>
      </c>
      <c r="G834">
        <v>32</v>
      </c>
      <c r="H834" t="s">
        <v>27</v>
      </c>
      <c r="I834">
        <v>2021</v>
      </c>
      <c r="J834" t="s">
        <v>21</v>
      </c>
      <c r="K834">
        <v>46.615200000000002</v>
      </c>
      <c r="L834">
        <v>126.869</v>
      </c>
      <c r="M834" t="s">
        <v>102</v>
      </c>
      <c r="N834" s="2">
        <f>Table1[[#This Row],[Capacity (MW)]]*8760*0.72*10^-6</f>
        <v>0.20183039999999999</v>
      </c>
      <c r="O834" s="2" cm="1">
        <f t="array" ref="O834">AVERAGE(VLOOKUP(_xlfn.TEXTSPLIT(Table1[[#This Row],[Fuel (no space after comma)]], ","), FuelList_Final_EF!$A$2:$B$32, 2, FALSE))</f>
        <v>118.17</v>
      </c>
      <c r="P834" s="2">
        <f>(16112*Table1[[#This Row],[Generation (TWh)]]*10^9)/10^6</f>
        <v>3251891.4047999997</v>
      </c>
      <c r="Q834" s="2">
        <f>Table1[[#This Row],[Emission Factor (kg CO2/ mmBtu)]]*Table1[[#This Row],[Fuel Consumption (mmBtu)]]*10^3</f>
        <v>384276007305.21594</v>
      </c>
      <c r="R834" s="2">
        <f>(Table1[[#This Row],[CO2 Emissions (g CO2)]])/(Table1[[#This Row],[Generation (TWh)]]*10^9)</f>
        <v>1903.9550399999998</v>
      </c>
    </row>
    <row r="835" spans="1:18" hidden="1">
      <c r="A835" t="s">
        <v>583</v>
      </c>
      <c r="B835" t="s">
        <v>46</v>
      </c>
      <c r="C835" t="str">
        <f>SUBSTITUTE(Table1[[#This Row],[Fuel]],", ",",")</f>
        <v>bioenergy: agricultural waste (solids)</v>
      </c>
      <c r="D835" t="s">
        <v>46</v>
      </c>
      <c r="G835">
        <v>8</v>
      </c>
      <c r="H835" t="s">
        <v>27</v>
      </c>
      <c r="I835">
        <v>2021</v>
      </c>
      <c r="J835" t="s">
        <v>21</v>
      </c>
      <c r="K835">
        <v>46.615200000000002</v>
      </c>
      <c r="L835">
        <v>126.869</v>
      </c>
      <c r="M835" t="s">
        <v>102</v>
      </c>
      <c r="N835" s="2">
        <f>Table1[[#This Row],[Capacity (MW)]]*8760*0.72*10^-6</f>
        <v>5.0457599999999998E-2</v>
      </c>
      <c r="O835" s="2" cm="1">
        <f t="array" ref="O835">AVERAGE(VLOOKUP(_xlfn.TEXTSPLIT(Table1[[#This Row],[Fuel (no space after comma)]], ","), FuelList_Final_EF!$A$2:$B$32, 2, FALSE))</f>
        <v>118.17</v>
      </c>
      <c r="P835" s="2">
        <f>(16112*Table1[[#This Row],[Generation (TWh)]]*10^9)/10^6</f>
        <v>812972.85119999992</v>
      </c>
      <c r="Q835" s="2">
        <f>Table1[[#This Row],[Emission Factor (kg CO2/ mmBtu)]]*Table1[[#This Row],[Fuel Consumption (mmBtu)]]*10^3</f>
        <v>96069001826.303986</v>
      </c>
      <c r="R835" s="2">
        <f>(Table1[[#This Row],[CO2 Emissions (g CO2)]])/(Table1[[#This Row],[Generation (TWh)]]*10^9)</f>
        <v>1903.9550399999998</v>
      </c>
    </row>
    <row r="836" spans="1:18" hidden="1">
      <c r="A836" t="s">
        <v>499</v>
      </c>
      <c r="B836" t="s">
        <v>46</v>
      </c>
      <c r="C836" t="str">
        <f>SUBSTITUTE(Table1[[#This Row],[Fuel]],", ",",")</f>
        <v>bioenergy: agricultural waste (solids)</v>
      </c>
      <c r="D836" t="s">
        <v>46</v>
      </c>
      <c r="G836">
        <v>32</v>
      </c>
      <c r="H836" t="s">
        <v>27</v>
      </c>
      <c r="I836">
        <v>2021</v>
      </c>
      <c r="J836" t="s">
        <v>21</v>
      </c>
      <c r="K836">
        <v>46.615200000000002</v>
      </c>
      <c r="L836">
        <v>126.869</v>
      </c>
      <c r="M836" t="s">
        <v>102</v>
      </c>
      <c r="N836" s="2">
        <f>Table1[[#This Row],[Capacity (MW)]]*8760*0.72*10^-6</f>
        <v>0.20183039999999999</v>
      </c>
      <c r="O836" s="2" cm="1">
        <f t="array" ref="O836">AVERAGE(VLOOKUP(_xlfn.TEXTSPLIT(Table1[[#This Row],[Fuel (no space after comma)]], ","), FuelList_Final_EF!$A$2:$B$32, 2, FALSE))</f>
        <v>118.17</v>
      </c>
      <c r="P836" s="2">
        <f>(16112*Table1[[#This Row],[Generation (TWh)]]*10^9)/10^6</f>
        <v>3251891.4047999997</v>
      </c>
      <c r="Q836" s="2">
        <f>Table1[[#This Row],[Emission Factor (kg CO2/ mmBtu)]]*Table1[[#This Row],[Fuel Consumption (mmBtu)]]*10^3</f>
        <v>384276007305.21594</v>
      </c>
      <c r="R836" s="2">
        <f>(Table1[[#This Row],[CO2 Emissions (g CO2)]])/(Table1[[#This Row],[Generation (TWh)]]*10^9)</f>
        <v>1903.9550399999998</v>
      </c>
    </row>
    <row r="837" spans="1:18" hidden="1">
      <c r="A837" t="s">
        <v>583</v>
      </c>
      <c r="B837" t="s">
        <v>46</v>
      </c>
      <c r="C837" t="str">
        <f>SUBSTITUTE(Table1[[#This Row],[Fuel]],", ",",")</f>
        <v>bioenergy: agricultural waste (solids)</v>
      </c>
      <c r="D837" t="s">
        <v>46</v>
      </c>
      <c r="G837">
        <v>8</v>
      </c>
      <c r="H837" t="s">
        <v>27</v>
      </c>
      <c r="I837">
        <v>2021</v>
      </c>
      <c r="J837" t="s">
        <v>21</v>
      </c>
      <c r="K837">
        <v>46.615200000000002</v>
      </c>
      <c r="L837">
        <v>126.869</v>
      </c>
      <c r="M837" t="s">
        <v>102</v>
      </c>
      <c r="N837" s="2">
        <f>Table1[[#This Row],[Capacity (MW)]]*8760*0.72*10^-6</f>
        <v>5.0457599999999998E-2</v>
      </c>
      <c r="O837" s="2" cm="1">
        <f t="array" ref="O837">AVERAGE(VLOOKUP(_xlfn.TEXTSPLIT(Table1[[#This Row],[Fuel (no space after comma)]], ","), FuelList_Final_EF!$A$2:$B$32, 2, FALSE))</f>
        <v>118.17</v>
      </c>
      <c r="P837" s="2">
        <f>(16112*Table1[[#This Row],[Generation (TWh)]]*10^9)/10^6</f>
        <v>812972.85119999992</v>
      </c>
      <c r="Q837" s="2">
        <f>Table1[[#This Row],[Emission Factor (kg CO2/ mmBtu)]]*Table1[[#This Row],[Fuel Consumption (mmBtu)]]*10^3</f>
        <v>96069001826.303986</v>
      </c>
      <c r="R837" s="2">
        <f>(Table1[[#This Row],[CO2 Emissions (g CO2)]])/(Table1[[#This Row],[Generation (TWh)]]*10^9)</f>
        <v>1903.9550399999998</v>
      </c>
    </row>
    <row r="838" spans="1:18" hidden="1">
      <c r="A838" t="s">
        <v>567</v>
      </c>
      <c r="B838" t="s">
        <v>46</v>
      </c>
      <c r="C838" t="str">
        <f>SUBSTITUTE(Table1[[#This Row],[Fuel]],", ",",")</f>
        <v>bioenergy: agricultural waste (solids)</v>
      </c>
      <c r="D838" t="s">
        <v>46</v>
      </c>
      <c r="G838">
        <v>40</v>
      </c>
      <c r="H838" t="s">
        <v>27</v>
      </c>
      <c r="I838">
        <v>2022</v>
      </c>
      <c r="J838" t="s">
        <v>21</v>
      </c>
      <c r="K838">
        <v>46.349800000000002</v>
      </c>
      <c r="L838">
        <v>123.4284</v>
      </c>
      <c r="M838" t="s">
        <v>102</v>
      </c>
      <c r="N838" s="2">
        <f>Table1[[#This Row],[Capacity (MW)]]*8760*0.72*10^-6</f>
        <v>0.25228800000000001</v>
      </c>
      <c r="O838" s="2" cm="1">
        <f t="array" ref="O838">AVERAGE(VLOOKUP(_xlfn.TEXTSPLIT(Table1[[#This Row],[Fuel (no space after comma)]], ","), FuelList_Final_EF!$A$2:$B$32, 2, FALSE))</f>
        <v>118.17</v>
      </c>
      <c r="P838" s="2">
        <f>(16112*Table1[[#This Row],[Generation (TWh)]]*10^9)/10^6</f>
        <v>4064864.2560000005</v>
      </c>
      <c r="Q838" s="2">
        <f>Table1[[#This Row],[Emission Factor (kg CO2/ mmBtu)]]*Table1[[#This Row],[Fuel Consumption (mmBtu)]]*10^3</f>
        <v>480345009131.52008</v>
      </c>
      <c r="R838" s="2">
        <f>(Table1[[#This Row],[CO2 Emissions (g CO2)]])/(Table1[[#This Row],[Generation (TWh)]]*10^9)</f>
        <v>1903.9550400000003</v>
      </c>
    </row>
    <row r="839" spans="1:18" hidden="1">
      <c r="A839" t="s">
        <v>567</v>
      </c>
      <c r="B839" t="s">
        <v>46</v>
      </c>
      <c r="C839" t="str">
        <f>SUBSTITUTE(Table1[[#This Row],[Fuel]],", ",",")</f>
        <v>bioenergy: agricultural waste (solids)</v>
      </c>
      <c r="D839" t="s">
        <v>46</v>
      </c>
      <c r="G839">
        <v>40</v>
      </c>
      <c r="H839" t="s">
        <v>27</v>
      </c>
      <c r="I839">
        <v>2022</v>
      </c>
      <c r="J839" t="s">
        <v>21</v>
      </c>
      <c r="K839">
        <v>46.349800000000002</v>
      </c>
      <c r="L839">
        <v>123.4284</v>
      </c>
      <c r="M839" t="s">
        <v>102</v>
      </c>
      <c r="N839" s="2">
        <f>Table1[[#This Row],[Capacity (MW)]]*8760*0.72*10^-6</f>
        <v>0.25228800000000001</v>
      </c>
      <c r="O839" s="2" cm="1">
        <f t="array" ref="O839">AVERAGE(VLOOKUP(_xlfn.TEXTSPLIT(Table1[[#This Row],[Fuel (no space after comma)]], ","), FuelList_Final_EF!$A$2:$B$32, 2, FALSE))</f>
        <v>118.17</v>
      </c>
      <c r="P839" s="2">
        <f>(16112*Table1[[#This Row],[Generation (TWh)]]*10^9)/10^6</f>
        <v>4064864.2560000005</v>
      </c>
      <c r="Q839" s="2">
        <f>Table1[[#This Row],[Emission Factor (kg CO2/ mmBtu)]]*Table1[[#This Row],[Fuel Consumption (mmBtu)]]*10^3</f>
        <v>480345009131.52008</v>
      </c>
      <c r="R839" s="2">
        <f>(Table1[[#This Row],[CO2 Emissions (g CO2)]])/(Table1[[#This Row],[Generation (TWh)]]*10^9)</f>
        <v>1903.9550400000003</v>
      </c>
    </row>
    <row r="840" spans="1:18" hidden="1">
      <c r="A840" t="s">
        <v>584</v>
      </c>
      <c r="B840" t="s">
        <v>46</v>
      </c>
      <c r="C840" t="str">
        <f>SUBSTITUTE(Table1[[#This Row],[Fuel]],", ",",")</f>
        <v>bioenergy: agricultural waste (solids)</v>
      </c>
      <c r="D840" t="s">
        <v>46</v>
      </c>
      <c r="G840">
        <v>30</v>
      </c>
      <c r="H840" t="s">
        <v>27</v>
      </c>
      <c r="I840">
        <v>2007</v>
      </c>
      <c r="J840" t="s">
        <v>21</v>
      </c>
      <c r="K840">
        <v>46.747399999999999</v>
      </c>
      <c r="L840">
        <v>129.92320000000001</v>
      </c>
      <c r="M840" t="s">
        <v>102</v>
      </c>
      <c r="N840" s="2">
        <f>Table1[[#This Row],[Capacity (MW)]]*8760*0.72*10^-6</f>
        <v>0.189216</v>
      </c>
      <c r="O840" s="2" cm="1">
        <f t="array" ref="O840">AVERAGE(VLOOKUP(_xlfn.TEXTSPLIT(Table1[[#This Row],[Fuel (no space after comma)]], ","), FuelList_Final_EF!$A$2:$B$32, 2, FALSE))</f>
        <v>118.17</v>
      </c>
      <c r="P840" s="2">
        <f>(16112*Table1[[#This Row],[Generation (TWh)]]*10^9)/10^6</f>
        <v>3048648.1919999998</v>
      </c>
      <c r="Q840" s="2">
        <f>Table1[[#This Row],[Emission Factor (kg CO2/ mmBtu)]]*Table1[[#This Row],[Fuel Consumption (mmBtu)]]*10^3</f>
        <v>360258756848.63995</v>
      </c>
      <c r="R840" s="2">
        <f>(Table1[[#This Row],[CO2 Emissions (g CO2)]])/(Table1[[#This Row],[Generation (TWh)]]*10^9)</f>
        <v>1903.9550399999998</v>
      </c>
    </row>
    <row r="841" spans="1:18" hidden="1">
      <c r="A841" t="s">
        <v>108</v>
      </c>
      <c r="B841" t="s">
        <v>105</v>
      </c>
      <c r="C841" t="str">
        <f>SUBSTITUTE(Table1[[#This Row],[Fuel]],", ",",")</f>
        <v>bioenergy: agricultural waste (solids),bioenergy: wood &amp; other biomass (solids)</v>
      </c>
      <c r="D841" t="s">
        <v>46</v>
      </c>
      <c r="E841" t="s">
        <v>25</v>
      </c>
      <c r="G841">
        <v>80</v>
      </c>
      <c r="H841" t="s">
        <v>27</v>
      </c>
      <c r="I841">
        <v>2021</v>
      </c>
      <c r="J841" t="s">
        <v>21</v>
      </c>
      <c r="K841">
        <v>46.9803</v>
      </c>
      <c r="L841">
        <v>128.06610000000001</v>
      </c>
      <c r="M841" t="s">
        <v>102</v>
      </c>
      <c r="N841" s="2">
        <f>Table1[[#This Row],[Capacity (MW)]]*8760*0.72*10^-6</f>
        <v>0.50457600000000002</v>
      </c>
      <c r="O841" s="2" cm="1">
        <f t="array" ref="O841">AVERAGE(VLOOKUP(_xlfn.TEXTSPLIT(Table1[[#This Row],[Fuel (no space after comma)]], ","), FuelList_Final_EF!$A$2:$B$32, 2, FALSE))</f>
        <v>105.985</v>
      </c>
      <c r="P841" s="2">
        <f>(16112*Table1[[#This Row],[Generation (TWh)]]*10^9)/10^6</f>
        <v>8129728.512000001</v>
      </c>
      <c r="Q841" s="2">
        <f>Table1[[#This Row],[Emission Factor (kg CO2/ mmBtu)]]*Table1[[#This Row],[Fuel Consumption (mmBtu)]]*10^3</f>
        <v>861629276344.32007</v>
      </c>
      <c r="R841" s="2">
        <f>(Table1[[#This Row],[CO2 Emissions (g CO2)]])/(Table1[[#This Row],[Generation (TWh)]]*10^9)</f>
        <v>1707.6303200000002</v>
      </c>
    </row>
    <row r="842" spans="1:18">
      <c r="A842" t="s">
        <v>108</v>
      </c>
      <c r="B842" t="s">
        <v>105</v>
      </c>
      <c r="C842" t="str">
        <f>SUBSTITUTE(Table1[[#This Row],[Fuel]],", ",",")</f>
        <v>bioenergy: agricultural waste (solids),bioenergy: wood &amp; other biomass (solids)</v>
      </c>
      <c r="D842" t="s">
        <v>46</v>
      </c>
      <c r="E842" t="s">
        <v>25</v>
      </c>
      <c r="G842">
        <v>3</v>
      </c>
      <c r="H842" t="s">
        <v>53</v>
      </c>
      <c r="I842" t="s">
        <v>21</v>
      </c>
      <c r="J842" t="s">
        <v>21</v>
      </c>
      <c r="K842">
        <v>46.167000000000002</v>
      </c>
      <c r="L842">
        <v>129.30170000000001</v>
      </c>
      <c r="M842" t="s">
        <v>102</v>
      </c>
      <c r="N842" s="2">
        <f>Table1[[#This Row],[Capacity (MW)]]*8760*0.72*10^-6</f>
        <v>1.8921599999999997E-2</v>
      </c>
      <c r="O842" s="2" cm="1">
        <f t="array" ref="O842">AVERAGE(VLOOKUP(_xlfn.TEXTSPLIT(Table1[[#This Row],[Fuel (no space after comma)]], ","), FuelList_Final_EF!$A$2:$B$32, 2, FALSE))</f>
        <v>105.985</v>
      </c>
      <c r="P842" s="2">
        <f>(16112*Table1[[#This Row],[Generation (TWh)]]*10^9)/10^6</f>
        <v>304864.81919999991</v>
      </c>
      <c r="Q842" s="2">
        <f>Table1[[#This Row],[Emission Factor (kg CO2/ mmBtu)]]*Table1[[#This Row],[Fuel Consumption (mmBtu)]]*10^3</f>
        <v>32311097862.911991</v>
      </c>
      <c r="R842" s="2">
        <f>(Table1[[#This Row],[CO2 Emissions (g CO2)]])/(Table1[[#This Row],[Generation (TWh)]]*10^9)</f>
        <v>1707.6303199999998</v>
      </c>
    </row>
    <row r="843" spans="1:18">
      <c r="A843" t="s">
        <v>585</v>
      </c>
      <c r="B843" t="s">
        <v>105</v>
      </c>
      <c r="C843" t="str">
        <f>SUBSTITUTE(Table1[[#This Row],[Fuel]],", ",",")</f>
        <v>bioenergy: agricultural waste (solids),bioenergy: wood &amp; other biomass (solids)</v>
      </c>
      <c r="D843" t="s">
        <v>46</v>
      </c>
      <c r="E843" t="s">
        <v>25</v>
      </c>
      <c r="G843">
        <v>27</v>
      </c>
      <c r="H843" t="s">
        <v>53</v>
      </c>
      <c r="I843" t="s">
        <v>21</v>
      </c>
      <c r="J843" t="s">
        <v>21</v>
      </c>
      <c r="K843">
        <v>46.167000000000002</v>
      </c>
      <c r="L843">
        <v>129.30170000000001</v>
      </c>
      <c r="M843" t="s">
        <v>102</v>
      </c>
      <c r="N843" s="2">
        <f>Table1[[#This Row],[Capacity (MW)]]*8760*0.72*10^-6</f>
        <v>0.17029439999999998</v>
      </c>
      <c r="O843" s="2" cm="1">
        <f t="array" ref="O843">AVERAGE(VLOOKUP(_xlfn.TEXTSPLIT(Table1[[#This Row],[Fuel (no space after comma)]], ","), FuelList_Final_EF!$A$2:$B$32, 2, FALSE))</f>
        <v>105.985</v>
      </c>
      <c r="P843" s="2">
        <f>(16112*Table1[[#This Row],[Generation (TWh)]]*10^9)/10^6</f>
        <v>2743783.3727999995</v>
      </c>
      <c r="Q843" s="2">
        <f>Table1[[#This Row],[Emission Factor (kg CO2/ mmBtu)]]*Table1[[#This Row],[Fuel Consumption (mmBtu)]]*10^3</f>
        <v>290799880766.20795</v>
      </c>
      <c r="R843" s="2">
        <f>(Table1[[#This Row],[CO2 Emissions (g CO2)]])/(Table1[[#This Row],[Generation (TWh)]]*10^9)</f>
        <v>1707.63032</v>
      </c>
    </row>
    <row r="844" spans="1:18" hidden="1">
      <c r="A844" t="s">
        <v>108</v>
      </c>
      <c r="B844" t="s">
        <v>46</v>
      </c>
      <c r="C844" t="str">
        <f>SUBSTITUTE(Table1[[#This Row],[Fuel]],", ",",")</f>
        <v>bioenergy: agricultural waste (solids)</v>
      </c>
      <c r="D844" t="s">
        <v>46</v>
      </c>
      <c r="G844">
        <v>0.3</v>
      </c>
      <c r="H844" t="s">
        <v>27</v>
      </c>
      <c r="I844">
        <v>2016</v>
      </c>
      <c r="J844" t="s">
        <v>21</v>
      </c>
      <c r="K844">
        <v>47.565199999999997</v>
      </c>
      <c r="L844">
        <v>133.13120000000001</v>
      </c>
      <c r="M844" t="s">
        <v>102</v>
      </c>
      <c r="N844" s="2">
        <f>Table1[[#This Row],[Capacity (MW)]]*8760*0.72*10^-6</f>
        <v>1.8921599999999997E-3</v>
      </c>
      <c r="O844" s="2" cm="1">
        <f t="array" ref="O844">AVERAGE(VLOOKUP(_xlfn.TEXTSPLIT(Table1[[#This Row],[Fuel (no space after comma)]], ","), FuelList_Final_EF!$A$2:$B$32, 2, FALSE))</f>
        <v>118.17</v>
      </c>
      <c r="P844" s="2">
        <f>(16112*Table1[[#This Row],[Generation (TWh)]]*10^9)/10^6</f>
        <v>30486.481919999995</v>
      </c>
      <c r="Q844" s="2">
        <f>Table1[[#This Row],[Emission Factor (kg CO2/ mmBtu)]]*Table1[[#This Row],[Fuel Consumption (mmBtu)]]*10^3</f>
        <v>3602587568.4863997</v>
      </c>
      <c r="R844" s="2">
        <f>(Table1[[#This Row],[CO2 Emissions (g CO2)]])/(Table1[[#This Row],[Generation (TWh)]]*10^9)</f>
        <v>1903.9550400000001</v>
      </c>
    </row>
    <row r="845" spans="1:18" hidden="1">
      <c r="A845" t="s">
        <v>586</v>
      </c>
      <c r="B845" t="s">
        <v>46</v>
      </c>
      <c r="C845" t="str">
        <f>SUBSTITUTE(Table1[[#This Row],[Fuel]],", ",",")</f>
        <v>bioenergy: agricultural waste (solids)</v>
      </c>
      <c r="D845" t="s">
        <v>46</v>
      </c>
      <c r="G845">
        <v>29.7</v>
      </c>
      <c r="H845" t="s">
        <v>27</v>
      </c>
      <c r="I845">
        <v>2016</v>
      </c>
      <c r="J845" t="s">
        <v>21</v>
      </c>
      <c r="K845">
        <v>47.565199999999997</v>
      </c>
      <c r="L845">
        <v>133.13120000000001</v>
      </c>
      <c r="M845" t="s">
        <v>102</v>
      </c>
      <c r="N845" s="2">
        <f>Table1[[#This Row],[Capacity (MW)]]*8760*0.72*10^-6</f>
        <v>0.18732383999999999</v>
      </c>
      <c r="O845" s="2" cm="1">
        <f t="array" ref="O845">AVERAGE(VLOOKUP(_xlfn.TEXTSPLIT(Table1[[#This Row],[Fuel (no space after comma)]], ","), FuelList_Final_EF!$A$2:$B$32, 2, FALSE))</f>
        <v>118.17</v>
      </c>
      <c r="P845" s="2">
        <f>(16112*Table1[[#This Row],[Generation (TWh)]]*10^9)/10^6</f>
        <v>3018161.7100800001</v>
      </c>
      <c r="Q845" s="2">
        <f>Table1[[#This Row],[Emission Factor (kg CO2/ mmBtu)]]*Table1[[#This Row],[Fuel Consumption (mmBtu)]]*10^3</f>
        <v>356656169280.15363</v>
      </c>
      <c r="R845" s="2">
        <f>(Table1[[#This Row],[CO2 Emissions (g CO2)]])/(Table1[[#This Row],[Generation (TWh)]]*10^9)</f>
        <v>1903.9550400000001</v>
      </c>
    </row>
    <row r="846" spans="1:18" hidden="1">
      <c r="A846" t="s">
        <v>108</v>
      </c>
      <c r="B846" t="s">
        <v>46</v>
      </c>
      <c r="C846" t="str">
        <f>SUBSTITUTE(Table1[[#This Row],[Fuel]],", ",",")</f>
        <v>bioenergy: agricultural waste (solids)</v>
      </c>
      <c r="D846" t="s">
        <v>46</v>
      </c>
      <c r="G846">
        <v>30</v>
      </c>
      <c r="H846" t="s">
        <v>27</v>
      </c>
      <c r="I846">
        <v>2020</v>
      </c>
      <c r="J846" t="s">
        <v>21</v>
      </c>
      <c r="K846">
        <v>47.640099999999997</v>
      </c>
      <c r="L846">
        <v>132.51759999999999</v>
      </c>
      <c r="M846" t="s">
        <v>102</v>
      </c>
      <c r="N846" s="2">
        <f>Table1[[#This Row],[Capacity (MW)]]*8760*0.72*10^-6</f>
        <v>0.189216</v>
      </c>
      <c r="O846" s="2" cm="1">
        <f t="array" ref="O846">AVERAGE(VLOOKUP(_xlfn.TEXTSPLIT(Table1[[#This Row],[Fuel (no space after comma)]], ","), FuelList_Final_EF!$A$2:$B$32, 2, FALSE))</f>
        <v>118.17</v>
      </c>
      <c r="P846" s="2">
        <f>(16112*Table1[[#This Row],[Generation (TWh)]]*10^9)/10^6</f>
        <v>3048648.1919999998</v>
      </c>
      <c r="Q846" s="2">
        <f>Table1[[#This Row],[Emission Factor (kg CO2/ mmBtu)]]*Table1[[#This Row],[Fuel Consumption (mmBtu)]]*10^3</f>
        <v>360258756848.63995</v>
      </c>
      <c r="R846" s="2">
        <f>(Table1[[#This Row],[CO2 Emissions (g CO2)]])/(Table1[[#This Row],[Generation (TWh)]]*10^9)</f>
        <v>1903.9550399999998</v>
      </c>
    </row>
    <row r="847" spans="1:18">
      <c r="A847" t="s">
        <v>587</v>
      </c>
      <c r="B847" t="s">
        <v>105</v>
      </c>
      <c r="C847" t="str">
        <f>SUBSTITUTE(Table1[[#This Row],[Fuel]],", ",",")</f>
        <v>bioenergy: agricultural waste (solids),bioenergy: wood &amp; other biomass (solids)</v>
      </c>
      <c r="D847" t="s">
        <v>46</v>
      </c>
      <c r="E847" t="s">
        <v>25</v>
      </c>
      <c r="G847">
        <v>40</v>
      </c>
      <c r="H847" t="s">
        <v>53</v>
      </c>
      <c r="I847" t="s">
        <v>21</v>
      </c>
      <c r="J847" t="s">
        <v>21</v>
      </c>
      <c r="K847">
        <v>46.852499999999999</v>
      </c>
      <c r="L847">
        <v>130.17679999999999</v>
      </c>
      <c r="M847" t="s">
        <v>102</v>
      </c>
      <c r="N847" s="2">
        <f>Table1[[#This Row],[Capacity (MW)]]*8760*0.72*10^-6</f>
        <v>0.25228800000000001</v>
      </c>
      <c r="O847" s="2" cm="1">
        <f t="array" ref="O847">AVERAGE(VLOOKUP(_xlfn.TEXTSPLIT(Table1[[#This Row],[Fuel (no space after comma)]], ","), FuelList_Final_EF!$A$2:$B$32, 2, FALSE))</f>
        <v>105.985</v>
      </c>
      <c r="P847" s="2">
        <f>(16112*Table1[[#This Row],[Generation (TWh)]]*10^9)/10^6</f>
        <v>4064864.2560000005</v>
      </c>
      <c r="Q847" s="2">
        <f>Table1[[#This Row],[Emission Factor (kg CO2/ mmBtu)]]*Table1[[#This Row],[Fuel Consumption (mmBtu)]]*10^3</f>
        <v>430814638172.16003</v>
      </c>
      <c r="R847" s="2">
        <f>(Table1[[#This Row],[CO2 Emissions (g CO2)]])/(Table1[[#This Row],[Generation (TWh)]]*10^9)</f>
        <v>1707.6303200000002</v>
      </c>
    </row>
    <row r="848" spans="1:18" hidden="1">
      <c r="A848" t="s">
        <v>588</v>
      </c>
      <c r="B848" t="s">
        <v>46</v>
      </c>
      <c r="C848" t="str">
        <f>SUBSTITUTE(Table1[[#This Row],[Fuel]],", ",",")</f>
        <v>bioenergy: agricultural waste (solids)</v>
      </c>
      <c r="D848" t="s">
        <v>46</v>
      </c>
      <c r="G848">
        <v>3.6</v>
      </c>
      <c r="H848" t="s">
        <v>27</v>
      </c>
      <c r="I848">
        <v>2015</v>
      </c>
      <c r="J848" t="s">
        <v>21</v>
      </c>
      <c r="K848">
        <v>45.396999999999998</v>
      </c>
      <c r="L848">
        <v>126.7599</v>
      </c>
      <c r="M848" t="s">
        <v>102</v>
      </c>
      <c r="N848" s="2">
        <f>Table1[[#This Row],[Capacity (MW)]]*8760*0.72*10^-6</f>
        <v>2.2705919999999997E-2</v>
      </c>
      <c r="O848" s="2" cm="1">
        <f t="array" ref="O848">AVERAGE(VLOOKUP(_xlfn.TEXTSPLIT(Table1[[#This Row],[Fuel (no space after comma)]], ","), FuelList_Final_EF!$A$2:$B$32, 2, FALSE))</f>
        <v>118.17</v>
      </c>
      <c r="P848" s="2">
        <f>(16112*Table1[[#This Row],[Generation (TWh)]]*10^9)/10^6</f>
        <v>365837.78304000001</v>
      </c>
      <c r="Q848" s="2">
        <f>Table1[[#This Row],[Emission Factor (kg CO2/ mmBtu)]]*Table1[[#This Row],[Fuel Consumption (mmBtu)]]*10^3</f>
        <v>43231050821.8368</v>
      </c>
      <c r="R848" s="2">
        <f>(Table1[[#This Row],[CO2 Emissions (g CO2)]])/(Table1[[#This Row],[Generation (TWh)]]*10^9)</f>
        <v>1903.9550400000003</v>
      </c>
    </row>
    <row r="849" spans="1:18" hidden="1">
      <c r="A849" t="s">
        <v>589</v>
      </c>
      <c r="B849" t="s">
        <v>46</v>
      </c>
      <c r="C849" t="str">
        <f>SUBSTITUTE(Table1[[#This Row],[Fuel]],", ",",")</f>
        <v>bioenergy: agricultural waste (solids)</v>
      </c>
      <c r="D849" t="s">
        <v>46</v>
      </c>
      <c r="G849">
        <v>6.9</v>
      </c>
      <c r="H849" t="s">
        <v>27</v>
      </c>
      <c r="I849">
        <v>2015</v>
      </c>
      <c r="J849" t="s">
        <v>21</v>
      </c>
      <c r="K849">
        <v>45.396999999999998</v>
      </c>
      <c r="L849">
        <v>126.7599</v>
      </c>
      <c r="M849" t="s">
        <v>102</v>
      </c>
      <c r="N849" s="2">
        <f>Table1[[#This Row],[Capacity (MW)]]*8760*0.72*10^-6</f>
        <v>4.3519679999999998E-2</v>
      </c>
      <c r="O849" s="2" cm="1">
        <f t="array" ref="O849">AVERAGE(VLOOKUP(_xlfn.TEXTSPLIT(Table1[[#This Row],[Fuel (no space after comma)]], ","), FuelList_Final_EF!$A$2:$B$32, 2, FALSE))</f>
        <v>118.17</v>
      </c>
      <c r="P849" s="2">
        <f>(16112*Table1[[#This Row],[Generation (TWh)]]*10^9)/10^6</f>
        <v>701189.08415999997</v>
      </c>
      <c r="Q849" s="2">
        <f>Table1[[#This Row],[Emission Factor (kg CO2/ mmBtu)]]*Table1[[#This Row],[Fuel Consumption (mmBtu)]]*10^3</f>
        <v>82859514075.187195</v>
      </c>
      <c r="R849" s="2">
        <f>(Table1[[#This Row],[CO2 Emissions (g CO2)]])/(Table1[[#This Row],[Generation (TWh)]]*10^9)</f>
        <v>1903.9550399999998</v>
      </c>
    </row>
    <row r="850" spans="1:18" hidden="1">
      <c r="A850" t="s">
        <v>557</v>
      </c>
      <c r="B850" t="s">
        <v>46</v>
      </c>
      <c r="C850" t="str">
        <f>SUBSTITUTE(Table1[[#This Row],[Fuel]],", ",",")</f>
        <v>bioenergy: agricultural waste (solids)</v>
      </c>
      <c r="D850" t="s">
        <v>46</v>
      </c>
      <c r="G850">
        <v>19.5</v>
      </c>
      <c r="H850" t="s">
        <v>27</v>
      </c>
      <c r="I850">
        <v>2015</v>
      </c>
      <c r="J850" t="s">
        <v>21</v>
      </c>
      <c r="K850">
        <v>45.396999999999998</v>
      </c>
      <c r="L850">
        <v>126.7599</v>
      </c>
      <c r="M850" t="s">
        <v>102</v>
      </c>
      <c r="N850" s="2">
        <f>Table1[[#This Row],[Capacity (MW)]]*8760*0.72*10^-6</f>
        <v>0.12299039999999999</v>
      </c>
      <c r="O850" s="2" cm="1">
        <f t="array" ref="O850">AVERAGE(VLOOKUP(_xlfn.TEXTSPLIT(Table1[[#This Row],[Fuel (no space after comma)]], ","), FuelList_Final_EF!$A$2:$B$32, 2, FALSE))</f>
        <v>118.17</v>
      </c>
      <c r="P850" s="2">
        <f>(16112*Table1[[#This Row],[Generation (TWh)]]*10^9)/10^6</f>
        <v>1981621.3247999998</v>
      </c>
      <c r="Q850" s="2">
        <f>Table1[[#This Row],[Emission Factor (kg CO2/ mmBtu)]]*Table1[[#This Row],[Fuel Consumption (mmBtu)]]*10^3</f>
        <v>234168191951.616</v>
      </c>
      <c r="R850" s="2">
        <f>(Table1[[#This Row],[CO2 Emissions (g CO2)]])/(Table1[[#This Row],[Generation (TWh)]]*10^9)</f>
        <v>1903.9550400000003</v>
      </c>
    </row>
    <row r="851" spans="1:18" hidden="1">
      <c r="A851" t="s">
        <v>590</v>
      </c>
      <c r="B851" t="s">
        <v>46</v>
      </c>
      <c r="C851" t="str">
        <f>SUBSTITUTE(Table1[[#This Row],[Fuel]],", ",",")</f>
        <v>bioenergy: agricultural waste (solids)</v>
      </c>
      <c r="D851" t="s">
        <v>46</v>
      </c>
      <c r="G851">
        <v>30</v>
      </c>
      <c r="H851" t="s">
        <v>27</v>
      </c>
      <c r="I851">
        <v>2020</v>
      </c>
      <c r="J851" t="s">
        <v>21</v>
      </c>
      <c r="K851">
        <v>48.493600000000001</v>
      </c>
      <c r="L851">
        <v>126.6379</v>
      </c>
      <c r="M851" t="s">
        <v>102</v>
      </c>
      <c r="N851" s="2">
        <f>Table1[[#This Row],[Capacity (MW)]]*8760*0.72*10^-6</f>
        <v>0.189216</v>
      </c>
      <c r="O851" s="2" cm="1">
        <f t="array" ref="O851">AVERAGE(VLOOKUP(_xlfn.TEXTSPLIT(Table1[[#This Row],[Fuel (no space after comma)]], ","), FuelList_Final_EF!$A$2:$B$32, 2, FALSE))</f>
        <v>118.17</v>
      </c>
      <c r="P851" s="2">
        <f>(16112*Table1[[#This Row],[Generation (TWh)]]*10^9)/10^6</f>
        <v>3048648.1919999998</v>
      </c>
      <c r="Q851" s="2">
        <f>Table1[[#This Row],[Emission Factor (kg CO2/ mmBtu)]]*Table1[[#This Row],[Fuel Consumption (mmBtu)]]*10^3</f>
        <v>360258756848.63995</v>
      </c>
      <c r="R851" s="2">
        <f>(Table1[[#This Row],[CO2 Emissions (g CO2)]])/(Table1[[#This Row],[Generation (TWh)]]*10^9)</f>
        <v>1903.9550399999998</v>
      </c>
    </row>
    <row r="852" spans="1:18">
      <c r="A852" t="s">
        <v>591</v>
      </c>
      <c r="B852" t="s">
        <v>19</v>
      </c>
      <c r="C852" t="str">
        <f>SUBSTITUTE(Table1[[#This Row],[Fuel]],", ",",")</f>
        <v>bioenergy: refuse (municipal and industrial wastes)</v>
      </c>
      <c r="D852" t="s">
        <v>19</v>
      </c>
      <c r="G852">
        <v>6</v>
      </c>
      <c r="H852" t="s">
        <v>97</v>
      </c>
      <c r="I852" t="s">
        <v>21</v>
      </c>
      <c r="J852" t="s">
        <v>21</v>
      </c>
      <c r="K852">
        <v>45.706899999999997</v>
      </c>
      <c r="L852">
        <v>126.807</v>
      </c>
      <c r="M852" t="s">
        <v>102</v>
      </c>
      <c r="N852" s="2">
        <f>Table1[[#This Row],[Capacity (MW)]]*8760*0.72*10^-6</f>
        <v>3.7843199999999994E-2</v>
      </c>
      <c r="O852" s="2" cm="1">
        <f t="array" ref="O852">AVERAGE(VLOOKUP(_xlfn.TEXTSPLIT(Table1[[#This Row],[Fuel (no space after comma)]], ","), FuelList_Final_EF!$A$2:$B$32, 2, FALSE))</f>
        <v>105.42962572482868</v>
      </c>
      <c r="P852" s="2">
        <f>(16112*Table1[[#This Row],[Generation (TWh)]]*10^9)/10^6</f>
        <v>609729.63839999982</v>
      </c>
      <c r="Q852" s="2">
        <f>Table1[[#This Row],[Emission Factor (kg CO2/ mmBtu)]]*Table1[[#This Row],[Fuel Consumption (mmBtu)]]*10^3</f>
        <v>64283567569.847115</v>
      </c>
      <c r="R852" s="2">
        <f>(Table1[[#This Row],[CO2 Emissions (g CO2)]])/(Table1[[#This Row],[Generation (TWh)]]*10^9)</f>
        <v>1698.6821296784397</v>
      </c>
    </row>
    <row r="853" spans="1:18">
      <c r="A853" t="s">
        <v>592</v>
      </c>
      <c r="B853" t="s">
        <v>19</v>
      </c>
      <c r="C853" t="str">
        <f>SUBSTITUTE(Table1[[#This Row],[Fuel]],", ",",")</f>
        <v>bioenergy: refuse (municipal and industrial wastes)</v>
      </c>
      <c r="D853" t="s">
        <v>19</v>
      </c>
      <c r="G853">
        <v>24</v>
      </c>
      <c r="H853" t="s">
        <v>97</v>
      </c>
      <c r="I853" t="s">
        <v>21</v>
      </c>
      <c r="J853" t="s">
        <v>21</v>
      </c>
      <c r="K853">
        <v>45.706899999999997</v>
      </c>
      <c r="L853">
        <v>126.807</v>
      </c>
      <c r="M853" t="s">
        <v>102</v>
      </c>
      <c r="N853" s="2">
        <f>Table1[[#This Row],[Capacity (MW)]]*8760*0.72*10^-6</f>
        <v>0.15137279999999997</v>
      </c>
      <c r="O853" s="2" cm="1">
        <f t="array" ref="O853">AVERAGE(VLOOKUP(_xlfn.TEXTSPLIT(Table1[[#This Row],[Fuel (no space after comma)]], ","), FuelList_Final_EF!$A$2:$B$32, 2, FALSE))</f>
        <v>105.42962572482868</v>
      </c>
      <c r="P853" s="2">
        <f>(16112*Table1[[#This Row],[Generation (TWh)]]*10^9)/10^6</f>
        <v>2438918.5535999993</v>
      </c>
      <c r="Q853" s="2">
        <f>Table1[[#This Row],[Emission Factor (kg CO2/ mmBtu)]]*Table1[[#This Row],[Fuel Consumption (mmBtu)]]*10^3</f>
        <v>257134270279.38846</v>
      </c>
      <c r="R853" s="2">
        <f>(Table1[[#This Row],[CO2 Emissions (g CO2)]])/(Table1[[#This Row],[Generation (TWh)]]*10^9)</f>
        <v>1698.6821296784397</v>
      </c>
    </row>
    <row r="854" spans="1:18" hidden="1">
      <c r="A854" t="s">
        <v>593</v>
      </c>
      <c r="B854" t="s">
        <v>105</v>
      </c>
      <c r="C854" t="str">
        <f>SUBSTITUTE(Table1[[#This Row],[Fuel]],", ",",")</f>
        <v>bioenergy: agricultural waste (solids),bioenergy: wood &amp; other biomass (solids)</v>
      </c>
      <c r="D854" t="s">
        <v>46</v>
      </c>
      <c r="E854" t="s">
        <v>25</v>
      </c>
      <c r="G854">
        <v>9.9</v>
      </c>
      <c r="H854" t="s">
        <v>27</v>
      </c>
      <c r="I854">
        <v>2019</v>
      </c>
      <c r="J854" t="s">
        <v>21</v>
      </c>
      <c r="K854">
        <v>49.363399999999999</v>
      </c>
      <c r="L854">
        <v>128.07509999999999</v>
      </c>
      <c r="M854" t="s">
        <v>102</v>
      </c>
      <c r="N854" s="2">
        <f>Table1[[#This Row],[Capacity (MW)]]*8760*0.72*10^-6</f>
        <v>6.2441279999999995E-2</v>
      </c>
      <c r="O854" s="2" cm="1">
        <f t="array" ref="O854">AVERAGE(VLOOKUP(_xlfn.TEXTSPLIT(Table1[[#This Row],[Fuel (no space after comma)]], ","), FuelList_Final_EF!$A$2:$B$32, 2, FALSE))</f>
        <v>105.985</v>
      </c>
      <c r="P854" s="2">
        <f>(16112*Table1[[#This Row],[Generation (TWh)]]*10^9)/10^6</f>
        <v>1006053.9033599999</v>
      </c>
      <c r="Q854" s="2">
        <f>Table1[[#This Row],[Emission Factor (kg CO2/ mmBtu)]]*Table1[[#This Row],[Fuel Consumption (mmBtu)]]*10^3</f>
        <v>106626622947.60959</v>
      </c>
      <c r="R854" s="2">
        <f>(Table1[[#This Row],[CO2 Emissions (g CO2)]])/(Table1[[#This Row],[Generation (TWh)]]*10^9)</f>
        <v>1707.63032</v>
      </c>
    </row>
    <row r="855" spans="1:18" hidden="1">
      <c r="A855" t="s">
        <v>561</v>
      </c>
      <c r="B855" t="s">
        <v>105</v>
      </c>
      <c r="C855" t="str">
        <f>SUBSTITUTE(Table1[[#This Row],[Fuel]],", ",",")</f>
        <v>bioenergy: agricultural waste (solids),bioenergy: wood &amp; other biomass (solids)</v>
      </c>
      <c r="D855" t="s">
        <v>46</v>
      </c>
      <c r="E855" t="s">
        <v>25</v>
      </c>
      <c r="G855">
        <v>20.100000000000001</v>
      </c>
      <c r="H855" t="s">
        <v>27</v>
      </c>
      <c r="I855">
        <v>2019</v>
      </c>
      <c r="J855" t="s">
        <v>21</v>
      </c>
      <c r="K855">
        <v>49.363399999999999</v>
      </c>
      <c r="L855">
        <v>128.07509999999999</v>
      </c>
      <c r="M855" t="s">
        <v>102</v>
      </c>
      <c r="N855" s="2">
        <f>Table1[[#This Row],[Capacity (MW)]]*8760*0.72*10^-6</f>
        <v>0.12677472000000001</v>
      </c>
      <c r="O855" s="2" cm="1">
        <f t="array" ref="O855">AVERAGE(VLOOKUP(_xlfn.TEXTSPLIT(Table1[[#This Row],[Fuel (no space after comma)]], ","), FuelList_Final_EF!$A$2:$B$32, 2, FALSE))</f>
        <v>105.985</v>
      </c>
      <c r="P855" s="2">
        <f>(16112*Table1[[#This Row],[Generation (TWh)]]*10^9)/10^6</f>
        <v>2042594.2886399999</v>
      </c>
      <c r="Q855" s="2">
        <f>Table1[[#This Row],[Emission Factor (kg CO2/ mmBtu)]]*Table1[[#This Row],[Fuel Consumption (mmBtu)]]*10^3</f>
        <v>216484355681.51038</v>
      </c>
      <c r="R855" s="2">
        <f>(Table1[[#This Row],[CO2 Emissions (g CO2)]])/(Table1[[#This Row],[Generation (TWh)]]*10^9)</f>
        <v>1707.6303199999998</v>
      </c>
    </row>
    <row r="856" spans="1:18">
      <c r="A856" t="s">
        <v>108</v>
      </c>
      <c r="B856" t="s">
        <v>105</v>
      </c>
      <c r="C856" t="str">
        <f>SUBSTITUTE(Table1[[#This Row],[Fuel]],", ",",")</f>
        <v>bioenergy: agricultural waste (solids),bioenergy: wood &amp; other biomass (solids)</v>
      </c>
      <c r="D856" t="s">
        <v>46</v>
      </c>
      <c r="E856" t="s">
        <v>25</v>
      </c>
      <c r="G856">
        <v>30</v>
      </c>
      <c r="H856" t="s">
        <v>53</v>
      </c>
      <c r="I856" t="s">
        <v>21</v>
      </c>
      <c r="J856" t="s">
        <v>21</v>
      </c>
      <c r="K856">
        <v>45.449800000000003</v>
      </c>
      <c r="L856">
        <v>128.2938</v>
      </c>
      <c r="M856" t="s">
        <v>102</v>
      </c>
      <c r="N856" s="2">
        <f>Table1[[#This Row],[Capacity (MW)]]*8760*0.72*10^-6</f>
        <v>0.189216</v>
      </c>
      <c r="O856" s="2" cm="1">
        <f t="array" ref="O856">AVERAGE(VLOOKUP(_xlfn.TEXTSPLIT(Table1[[#This Row],[Fuel (no space after comma)]], ","), FuelList_Final_EF!$A$2:$B$32, 2, FALSE))</f>
        <v>105.985</v>
      </c>
      <c r="P856" s="2">
        <f>(16112*Table1[[#This Row],[Generation (TWh)]]*10^9)/10^6</f>
        <v>3048648.1919999998</v>
      </c>
      <c r="Q856" s="2">
        <f>Table1[[#This Row],[Emission Factor (kg CO2/ mmBtu)]]*Table1[[#This Row],[Fuel Consumption (mmBtu)]]*10^3</f>
        <v>323110978629.12</v>
      </c>
      <c r="R856" s="2">
        <f>(Table1[[#This Row],[CO2 Emissions (g CO2)]])/(Table1[[#This Row],[Generation (TWh)]]*10^9)</f>
        <v>1707.63032</v>
      </c>
    </row>
    <row r="857" spans="1:18" hidden="1">
      <c r="A857" t="s">
        <v>594</v>
      </c>
      <c r="B857" t="s">
        <v>46</v>
      </c>
      <c r="C857" t="str">
        <f>SUBSTITUTE(Table1[[#This Row],[Fuel]],", ",",")</f>
        <v>bioenergy: agricultural waste (solids)</v>
      </c>
      <c r="D857" t="s">
        <v>46</v>
      </c>
      <c r="G857">
        <v>40</v>
      </c>
      <c r="H857" t="s">
        <v>27</v>
      </c>
      <c r="I857">
        <v>2023</v>
      </c>
      <c r="J857" t="s">
        <v>21</v>
      </c>
      <c r="K857">
        <v>47.890500000000003</v>
      </c>
      <c r="L857">
        <v>125.3292</v>
      </c>
      <c r="M857" t="s">
        <v>102</v>
      </c>
      <c r="N857" s="2">
        <f>Table1[[#This Row],[Capacity (MW)]]*8760*0.72*10^-6</f>
        <v>0.25228800000000001</v>
      </c>
      <c r="O857" s="2" cm="1">
        <f t="array" ref="O857">AVERAGE(VLOOKUP(_xlfn.TEXTSPLIT(Table1[[#This Row],[Fuel (no space after comma)]], ","), FuelList_Final_EF!$A$2:$B$32, 2, FALSE))</f>
        <v>118.17</v>
      </c>
      <c r="P857" s="2">
        <f>(16112*Table1[[#This Row],[Generation (TWh)]]*10^9)/10^6</f>
        <v>4064864.2560000005</v>
      </c>
      <c r="Q857" s="2">
        <f>Table1[[#This Row],[Emission Factor (kg CO2/ mmBtu)]]*Table1[[#This Row],[Fuel Consumption (mmBtu)]]*10^3</f>
        <v>480345009131.52008</v>
      </c>
      <c r="R857" s="2">
        <f>(Table1[[#This Row],[CO2 Emissions (g CO2)]])/(Table1[[#This Row],[Generation (TWh)]]*10^9)</f>
        <v>1903.9550400000003</v>
      </c>
    </row>
    <row r="858" spans="1:18">
      <c r="A858" t="s">
        <v>595</v>
      </c>
      <c r="B858" t="s">
        <v>46</v>
      </c>
      <c r="C858" t="str">
        <f>SUBSTITUTE(Table1[[#This Row],[Fuel]],", ",",")</f>
        <v>bioenergy: agricultural waste (solids)</v>
      </c>
      <c r="D858" t="s">
        <v>46</v>
      </c>
      <c r="G858">
        <v>40</v>
      </c>
      <c r="H858" t="s">
        <v>172</v>
      </c>
      <c r="I858" t="s">
        <v>21</v>
      </c>
      <c r="J858" t="s">
        <v>21</v>
      </c>
      <c r="K858">
        <v>47.885199999999998</v>
      </c>
      <c r="L858">
        <v>125.2834</v>
      </c>
      <c r="M858" t="s">
        <v>102</v>
      </c>
      <c r="N858" s="2">
        <f>Table1[[#This Row],[Capacity (MW)]]*8760*0.72*10^-6</f>
        <v>0.25228800000000001</v>
      </c>
      <c r="O858" s="2" cm="1">
        <f t="array" ref="O858">AVERAGE(VLOOKUP(_xlfn.TEXTSPLIT(Table1[[#This Row],[Fuel (no space after comma)]], ","), FuelList_Final_EF!$A$2:$B$32, 2, FALSE))</f>
        <v>118.17</v>
      </c>
      <c r="P858" s="2">
        <f>(16112*Table1[[#This Row],[Generation (TWh)]]*10^9)/10^6</f>
        <v>4064864.2560000005</v>
      </c>
      <c r="Q858" s="2">
        <f>Table1[[#This Row],[Emission Factor (kg CO2/ mmBtu)]]*Table1[[#This Row],[Fuel Consumption (mmBtu)]]*10^3</f>
        <v>480345009131.52008</v>
      </c>
      <c r="R858" s="2">
        <f>(Table1[[#This Row],[CO2 Emissions (g CO2)]])/(Table1[[#This Row],[Generation (TWh)]]*10^9)</f>
        <v>1903.9550400000003</v>
      </c>
    </row>
    <row r="859" spans="1:18">
      <c r="A859" t="s">
        <v>558</v>
      </c>
      <c r="B859" t="s">
        <v>105</v>
      </c>
      <c r="C859" t="str">
        <f>SUBSTITUTE(Table1[[#This Row],[Fuel]],", ",",")</f>
        <v>bioenergy: agricultural waste (solids),bioenergy: wood &amp; other biomass (solids)</v>
      </c>
      <c r="D859" t="s">
        <v>46</v>
      </c>
      <c r="E859" t="s">
        <v>25</v>
      </c>
      <c r="G859">
        <v>40</v>
      </c>
      <c r="H859" t="s">
        <v>20</v>
      </c>
      <c r="I859" t="s">
        <v>21</v>
      </c>
      <c r="J859" t="s">
        <v>21</v>
      </c>
      <c r="K859">
        <v>47.739199999999997</v>
      </c>
      <c r="L859">
        <v>128.751</v>
      </c>
      <c r="M859" t="s">
        <v>102</v>
      </c>
      <c r="N859" s="2">
        <f>Table1[[#This Row],[Capacity (MW)]]*8760*0.72*10^-6</f>
        <v>0.25228800000000001</v>
      </c>
      <c r="O859" s="2" cm="1">
        <f t="array" ref="O859">AVERAGE(VLOOKUP(_xlfn.TEXTSPLIT(Table1[[#This Row],[Fuel (no space after comma)]], ","), FuelList_Final_EF!$A$2:$B$32, 2, FALSE))</f>
        <v>105.985</v>
      </c>
      <c r="P859" s="2">
        <f>(16112*Table1[[#This Row],[Generation (TWh)]]*10^9)/10^6</f>
        <v>4064864.2560000005</v>
      </c>
      <c r="Q859" s="2">
        <f>Table1[[#This Row],[Emission Factor (kg CO2/ mmBtu)]]*Table1[[#This Row],[Fuel Consumption (mmBtu)]]*10^3</f>
        <v>430814638172.16003</v>
      </c>
      <c r="R859" s="2">
        <f>(Table1[[#This Row],[CO2 Emissions (g CO2)]])/(Table1[[#This Row],[Generation (TWh)]]*10^9)</f>
        <v>1707.6303200000002</v>
      </c>
    </row>
    <row r="860" spans="1:18" hidden="1">
      <c r="A860" t="s">
        <v>596</v>
      </c>
      <c r="B860" t="s">
        <v>105</v>
      </c>
      <c r="C860" t="str">
        <f>SUBSTITUTE(Table1[[#This Row],[Fuel]],", ",",")</f>
        <v>bioenergy: agricultural waste (solids),bioenergy: wood &amp; other biomass (solids)</v>
      </c>
      <c r="D860" t="s">
        <v>46</v>
      </c>
      <c r="E860" t="s">
        <v>25</v>
      </c>
      <c r="G860">
        <v>15.6</v>
      </c>
      <c r="H860" t="s">
        <v>27</v>
      </c>
      <c r="I860">
        <v>2021</v>
      </c>
      <c r="J860" t="s">
        <v>21</v>
      </c>
      <c r="K860">
        <v>46.968800000000002</v>
      </c>
      <c r="L860">
        <v>127.741</v>
      </c>
      <c r="M860" t="s">
        <v>102</v>
      </c>
      <c r="N860" s="2">
        <f>Table1[[#This Row],[Capacity (MW)]]*8760*0.72*10^-6</f>
        <v>9.8392319999999991E-2</v>
      </c>
      <c r="O860" s="2" cm="1">
        <f t="array" ref="O860">AVERAGE(VLOOKUP(_xlfn.TEXTSPLIT(Table1[[#This Row],[Fuel (no space after comma)]], ","), FuelList_Final_EF!$A$2:$B$32, 2, FALSE))</f>
        <v>105.985</v>
      </c>
      <c r="P860" s="2">
        <f>(16112*Table1[[#This Row],[Generation (TWh)]]*10^9)/10^6</f>
        <v>1585297.05984</v>
      </c>
      <c r="Q860" s="2">
        <f>Table1[[#This Row],[Emission Factor (kg CO2/ mmBtu)]]*Table1[[#This Row],[Fuel Consumption (mmBtu)]]*10^3</f>
        <v>168017708887.1424</v>
      </c>
      <c r="R860" s="2">
        <f>(Table1[[#This Row],[CO2 Emissions (g CO2)]])/(Table1[[#This Row],[Generation (TWh)]]*10^9)</f>
        <v>1707.6303200000002</v>
      </c>
    </row>
    <row r="861" spans="1:18" hidden="1">
      <c r="A861" t="s">
        <v>597</v>
      </c>
      <c r="B861" t="s">
        <v>105</v>
      </c>
      <c r="C861" t="str">
        <f>SUBSTITUTE(Table1[[#This Row],[Fuel]],", ",",")</f>
        <v>bioenergy: agricultural waste (solids),bioenergy: wood &amp; other biomass (solids)</v>
      </c>
      <c r="D861" t="s">
        <v>46</v>
      </c>
      <c r="E861" t="s">
        <v>25</v>
      </c>
      <c r="G861">
        <v>10.8</v>
      </c>
      <c r="H861" t="s">
        <v>27</v>
      </c>
      <c r="I861">
        <v>2021</v>
      </c>
      <c r="J861" t="s">
        <v>21</v>
      </c>
      <c r="K861">
        <v>46.968800000000002</v>
      </c>
      <c r="L861">
        <v>127.741</v>
      </c>
      <c r="M861" t="s">
        <v>102</v>
      </c>
      <c r="N861" s="2">
        <f>Table1[[#This Row],[Capacity (MW)]]*8760*0.72*10^-6</f>
        <v>6.8117759999999986E-2</v>
      </c>
      <c r="O861" s="2" cm="1">
        <f t="array" ref="O861">AVERAGE(VLOOKUP(_xlfn.TEXTSPLIT(Table1[[#This Row],[Fuel (no space after comma)]], ","), FuelList_Final_EF!$A$2:$B$32, 2, FALSE))</f>
        <v>105.985</v>
      </c>
      <c r="P861" s="2">
        <f>(16112*Table1[[#This Row],[Generation (TWh)]]*10^9)/10^6</f>
        <v>1097513.3491199997</v>
      </c>
      <c r="Q861" s="2">
        <f>Table1[[#This Row],[Emission Factor (kg CO2/ mmBtu)]]*Table1[[#This Row],[Fuel Consumption (mmBtu)]]*10^3</f>
        <v>116319952306.48317</v>
      </c>
      <c r="R861" s="2">
        <f>(Table1[[#This Row],[CO2 Emissions (g CO2)]])/(Table1[[#This Row],[Generation (TWh)]]*10^9)</f>
        <v>1707.63032</v>
      </c>
    </row>
    <row r="862" spans="1:18" hidden="1">
      <c r="A862" t="s">
        <v>54</v>
      </c>
      <c r="B862" t="s">
        <v>105</v>
      </c>
      <c r="C862" t="str">
        <f>SUBSTITUTE(Table1[[#This Row],[Fuel]],", ",",")</f>
        <v>bioenergy: agricultural waste (solids),bioenergy: wood &amp; other biomass (solids)</v>
      </c>
      <c r="D862" t="s">
        <v>46</v>
      </c>
      <c r="E862" t="s">
        <v>25</v>
      </c>
      <c r="G862">
        <v>3.6</v>
      </c>
      <c r="H862" t="s">
        <v>27</v>
      </c>
      <c r="I862">
        <v>2021</v>
      </c>
      <c r="J862" t="s">
        <v>21</v>
      </c>
      <c r="K862">
        <v>46.968800000000002</v>
      </c>
      <c r="L862">
        <v>127.741</v>
      </c>
      <c r="M862" t="s">
        <v>102</v>
      </c>
      <c r="N862" s="2">
        <f>Table1[[#This Row],[Capacity (MW)]]*8760*0.72*10^-6</f>
        <v>2.2705919999999997E-2</v>
      </c>
      <c r="O862" s="2" cm="1">
        <f t="array" ref="O862">AVERAGE(VLOOKUP(_xlfn.TEXTSPLIT(Table1[[#This Row],[Fuel (no space after comma)]], ","), FuelList_Final_EF!$A$2:$B$32, 2, FALSE))</f>
        <v>105.985</v>
      </c>
      <c r="P862" s="2">
        <f>(16112*Table1[[#This Row],[Generation (TWh)]]*10^9)/10^6</f>
        <v>365837.78304000001</v>
      </c>
      <c r="Q862" s="2">
        <f>Table1[[#This Row],[Emission Factor (kg CO2/ mmBtu)]]*Table1[[#This Row],[Fuel Consumption (mmBtu)]]*10^3</f>
        <v>38773317435.4944</v>
      </c>
      <c r="R862" s="2">
        <f>(Table1[[#This Row],[CO2 Emissions (g CO2)]])/(Table1[[#This Row],[Generation (TWh)]]*10^9)</f>
        <v>1707.6303200000002</v>
      </c>
    </row>
    <row r="863" spans="1:18" hidden="1">
      <c r="A863" t="s">
        <v>598</v>
      </c>
      <c r="B863" t="s">
        <v>46</v>
      </c>
      <c r="C863" t="str">
        <f>SUBSTITUTE(Table1[[#This Row],[Fuel]],", ",",")</f>
        <v>bioenergy: agricultural waste (solids)</v>
      </c>
      <c r="D863" t="s">
        <v>46</v>
      </c>
      <c r="G863">
        <v>35</v>
      </c>
      <c r="H863" t="s">
        <v>27</v>
      </c>
      <c r="I863">
        <v>2021</v>
      </c>
      <c r="J863" t="s">
        <v>21</v>
      </c>
      <c r="K863">
        <v>46.292400000000001</v>
      </c>
      <c r="L863">
        <v>129.60249999999999</v>
      </c>
      <c r="M863" t="s">
        <v>102</v>
      </c>
      <c r="N863" s="2">
        <f>Table1[[#This Row],[Capacity (MW)]]*8760*0.72*10^-6</f>
        <v>0.220752</v>
      </c>
      <c r="O863" s="2" cm="1">
        <f t="array" ref="O863">AVERAGE(VLOOKUP(_xlfn.TEXTSPLIT(Table1[[#This Row],[Fuel (no space after comma)]], ","), FuelList_Final_EF!$A$2:$B$32, 2, FALSE))</f>
        <v>118.17</v>
      </c>
      <c r="P863" s="2">
        <f>(16112*Table1[[#This Row],[Generation (TWh)]]*10^9)/10^6</f>
        <v>3556756.2239999999</v>
      </c>
      <c r="Q863" s="2">
        <f>Table1[[#This Row],[Emission Factor (kg CO2/ mmBtu)]]*Table1[[#This Row],[Fuel Consumption (mmBtu)]]*10^3</f>
        <v>420301882990.08002</v>
      </c>
      <c r="R863" s="2">
        <f>(Table1[[#This Row],[CO2 Emissions (g CO2)]])/(Table1[[#This Row],[Generation (TWh)]]*10^9)</f>
        <v>1903.9550400000001</v>
      </c>
    </row>
    <row r="864" spans="1:18" hidden="1">
      <c r="A864" t="s">
        <v>599</v>
      </c>
      <c r="B864" t="s">
        <v>46</v>
      </c>
      <c r="C864" t="str">
        <f>SUBSTITUTE(Table1[[#This Row],[Fuel]],", ",",")</f>
        <v>bioenergy: agricultural waste (solids)</v>
      </c>
      <c r="D864" t="s">
        <v>46</v>
      </c>
      <c r="G864">
        <v>30</v>
      </c>
      <c r="H864" t="s">
        <v>27</v>
      </c>
      <c r="I864">
        <v>2010</v>
      </c>
      <c r="J864" t="s">
        <v>21</v>
      </c>
      <c r="K864">
        <v>46.769399999999997</v>
      </c>
      <c r="L864">
        <v>131.81180000000001</v>
      </c>
      <c r="M864" t="s">
        <v>102</v>
      </c>
      <c r="N864" s="2">
        <f>Table1[[#This Row],[Capacity (MW)]]*8760*0.72*10^-6</f>
        <v>0.189216</v>
      </c>
      <c r="O864" s="2" cm="1">
        <f t="array" ref="O864">AVERAGE(VLOOKUP(_xlfn.TEXTSPLIT(Table1[[#This Row],[Fuel (no space after comma)]], ","), FuelList_Final_EF!$A$2:$B$32, 2, FALSE))</f>
        <v>118.17</v>
      </c>
      <c r="P864" s="2">
        <f>(16112*Table1[[#This Row],[Generation (TWh)]]*10^9)/10^6</f>
        <v>3048648.1919999998</v>
      </c>
      <c r="Q864" s="2">
        <f>Table1[[#This Row],[Emission Factor (kg CO2/ mmBtu)]]*Table1[[#This Row],[Fuel Consumption (mmBtu)]]*10^3</f>
        <v>360258756848.63995</v>
      </c>
      <c r="R864" s="2">
        <f>(Table1[[#This Row],[CO2 Emissions (g CO2)]])/(Table1[[#This Row],[Generation (TWh)]]*10^9)</f>
        <v>1903.9550399999998</v>
      </c>
    </row>
    <row r="865" spans="1:18" hidden="1">
      <c r="A865" t="s">
        <v>600</v>
      </c>
      <c r="B865" t="s">
        <v>46</v>
      </c>
      <c r="C865" t="str">
        <f>SUBSTITUTE(Table1[[#This Row],[Fuel]],", ",",")</f>
        <v>bioenergy: agricultural waste (solids)</v>
      </c>
      <c r="D865" t="s">
        <v>46</v>
      </c>
      <c r="G865">
        <v>40</v>
      </c>
      <c r="H865" t="s">
        <v>27</v>
      </c>
      <c r="I865">
        <v>2022</v>
      </c>
      <c r="J865" t="s">
        <v>21</v>
      </c>
      <c r="K865">
        <v>46.104100000000003</v>
      </c>
      <c r="L865">
        <v>125.88979999999999</v>
      </c>
      <c r="M865" t="s">
        <v>102</v>
      </c>
      <c r="N865" s="2">
        <f>Table1[[#This Row],[Capacity (MW)]]*8760*0.72*10^-6</f>
        <v>0.25228800000000001</v>
      </c>
      <c r="O865" s="2" cm="1">
        <f t="array" ref="O865">AVERAGE(VLOOKUP(_xlfn.TEXTSPLIT(Table1[[#This Row],[Fuel (no space after comma)]], ","), FuelList_Final_EF!$A$2:$B$32, 2, FALSE))</f>
        <v>118.17</v>
      </c>
      <c r="P865" s="2">
        <f>(16112*Table1[[#This Row],[Generation (TWh)]]*10^9)/10^6</f>
        <v>4064864.2560000005</v>
      </c>
      <c r="Q865" s="2">
        <f>Table1[[#This Row],[Emission Factor (kg CO2/ mmBtu)]]*Table1[[#This Row],[Fuel Consumption (mmBtu)]]*10^3</f>
        <v>480345009131.52008</v>
      </c>
      <c r="R865" s="2">
        <f>(Table1[[#This Row],[CO2 Emissions (g CO2)]])/(Table1[[#This Row],[Generation (TWh)]]*10^9)</f>
        <v>1903.9550400000003</v>
      </c>
    </row>
    <row r="866" spans="1:18" hidden="1">
      <c r="A866" t="s">
        <v>600</v>
      </c>
      <c r="B866" t="s">
        <v>46</v>
      </c>
      <c r="C866" t="str">
        <f>SUBSTITUTE(Table1[[#This Row],[Fuel]],", ",",")</f>
        <v>bioenergy: agricultural waste (solids)</v>
      </c>
      <c r="D866" t="s">
        <v>46</v>
      </c>
      <c r="G866">
        <v>40</v>
      </c>
      <c r="H866" t="s">
        <v>27</v>
      </c>
      <c r="I866">
        <v>2022</v>
      </c>
      <c r="J866" t="s">
        <v>21</v>
      </c>
      <c r="K866">
        <v>46.104100000000003</v>
      </c>
      <c r="L866">
        <v>125.88979999999999</v>
      </c>
      <c r="M866" t="s">
        <v>102</v>
      </c>
      <c r="N866" s="2">
        <f>Table1[[#This Row],[Capacity (MW)]]*8760*0.72*10^-6</f>
        <v>0.25228800000000001</v>
      </c>
      <c r="O866" s="2" cm="1">
        <f t="array" ref="O866">AVERAGE(VLOOKUP(_xlfn.TEXTSPLIT(Table1[[#This Row],[Fuel (no space after comma)]], ","), FuelList_Final_EF!$A$2:$B$32, 2, FALSE))</f>
        <v>118.17</v>
      </c>
      <c r="P866" s="2">
        <f>(16112*Table1[[#This Row],[Generation (TWh)]]*10^9)/10^6</f>
        <v>4064864.2560000005</v>
      </c>
      <c r="Q866" s="2">
        <f>Table1[[#This Row],[Emission Factor (kg CO2/ mmBtu)]]*Table1[[#This Row],[Fuel Consumption (mmBtu)]]*10^3</f>
        <v>480345009131.52008</v>
      </c>
      <c r="R866" s="2">
        <f>(Table1[[#This Row],[CO2 Emissions (g CO2)]])/(Table1[[#This Row],[Generation (TWh)]]*10^9)</f>
        <v>1903.9550400000003</v>
      </c>
    </row>
    <row r="867" spans="1:18" hidden="1">
      <c r="A867" t="s">
        <v>54</v>
      </c>
      <c r="B867" t="s">
        <v>46</v>
      </c>
      <c r="C867" t="str">
        <f>SUBSTITUTE(Table1[[#This Row],[Fuel]],", ",",")</f>
        <v>bioenergy: agricultural waste (solids)</v>
      </c>
      <c r="D867" t="s">
        <v>46</v>
      </c>
      <c r="G867">
        <v>44</v>
      </c>
      <c r="H867" t="s">
        <v>27</v>
      </c>
      <c r="I867">
        <v>2021</v>
      </c>
      <c r="J867" t="s">
        <v>21</v>
      </c>
      <c r="K867">
        <v>46.07</v>
      </c>
      <c r="L867">
        <v>126.0299</v>
      </c>
      <c r="M867" t="s">
        <v>102</v>
      </c>
      <c r="N867" s="2">
        <f>Table1[[#This Row],[Capacity (MW)]]*8760*0.72*10^-6</f>
        <v>0.27751679999999995</v>
      </c>
      <c r="O867" s="2" cm="1">
        <f t="array" ref="O867">AVERAGE(VLOOKUP(_xlfn.TEXTSPLIT(Table1[[#This Row],[Fuel (no space after comma)]], ","), FuelList_Final_EF!$A$2:$B$32, 2, FALSE))</f>
        <v>118.17</v>
      </c>
      <c r="P867" s="2">
        <f>(16112*Table1[[#This Row],[Generation (TWh)]]*10^9)/10^6</f>
        <v>4471350.6815999988</v>
      </c>
      <c r="Q867" s="2">
        <f>Table1[[#This Row],[Emission Factor (kg CO2/ mmBtu)]]*Table1[[#This Row],[Fuel Consumption (mmBtu)]]*10^3</f>
        <v>528379510044.67188</v>
      </c>
      <c r="R867" s="2">
        <f>(Table1[[#This Row],[CO2 Emissions (g CO2)]])/(Table1[[#This Row],[Generation (TWh)]]*10^9)</f>
        <v>1903.9550400000001</v>
      </c>
    </row>
    <row r="868" spans="1:18" hidden="1">
      <c r="A868" t="s">
        <v>581</v>
      </c>
      <c r="B868" t="s">
        <v>46</v>
      </c>
      <c r="C868" t="str">
        <f>SUBSTITUTE(Table1[[#This Row],[Fuel]],", ",",")</f>
        <v>bioenergy: agricultural waste (solids)</v>
      </c>
      <c r="D868" t="s">
        <v>46</v>
      </c>
      <c r="G868">
        <v>36</v>
      </c>
      <c r="H868" t="s">
        <v>27</v>
      </c>
      <c r="I868">
        <v>2021</v>
      </c>
      <c r="J868" t="s">
        <v>21</v>
      </c>
      <c r="K868">
        <v>46.07</v>
      </c>
      <c r="L868">
        <v>126.0299</v>
      </c>
      <c r="M868" t="s">
        <v>102</v>
      </c>
      <c r="N868" s="2">
        <f>Table1[[#This Row],[Capacity (MW)]]*8760*0.72*10^-6</f>
        <v>0.22705919999999996</v>
      </c>
      <c r="O868" s="2" cm="1">
        <f t="array" ref="O868">AVERAGE(VLOOKUP(_xlfn.TEXTSPLIT(Table1[[#This Row],[Fuel (no space after comma)]], ","), FuelList_Final_EF!$A$2:$B$32, 2, FALSE))</f>
        <v>118.17</v>
      </c>
      <c r="P868" s="2">
        <f>(16112*Table1[[#This Row],[Generation (TWh)]]*10^9)/10^6</f>
        <v>3658377.8303999994</v>
      </c>
      <c r="Q868" s="2">
        <f>Table1[[#This Row],[Emission Factor (kg CO2/ mmBtu)]]*Table1[[#This Row],[Fuel Consumption (mmBtu)]]*10^3</f>
        <v>432310508218.36792</v>
      </c>
      <c r="R868" s="2">
        <f>(Table1[[#This Row],[CO2 Emissions (g CO2)]])/(Table1[[#This Row],[Generation (TWh)]]*10^9)</f>
        <v>1903.9550399999998</v>
      </c>
    </row>
    <row r="869" spans="1:18" hidden="1">
      <c r="A869" t="s">
        <v>601</v>
      </c>
      <c r="B869" t="s">
        <v>46</v>
      </c>
      <c r="C869" t="str">
        <f>SUBSTITUTE(Table1[[#This Row],[Fuel]],", ",",")</f>
        <v>bioenergy: agricultural waste (solids)</v>
      </c>
      <c r="D869" t="s">
        <v>46</v>
      </c>
      <c r="G869">
        <v>16</v>
      </c>
      <c r="H869" t="s">
        <v>27</v>
      </c>
      <c r="I869">
        <v>2022</v>
      </c>
      <c r="J869" t="s">
        <v>21</v>
      </c>
      <c r="K869">
        <v>46.014400000000002</v>
      </c>
      <c r="L869">
        <v>126.0286</v>
      </c>
      <c r="M869" t="s">
        <v>102</v>
      </c>
      <c r="N869" s="2">
        <f>Table1[[#This Row],[Capacity (MW)]]*8760*0.72*10^-6</f>
        <v>0.1009152</v>
      </c>
      <c r="O869" s="2" cm="1">
        <f t="array" ref="O869">AVERAGE(VLOOKUP(_xlfn.TEXTSPLIT(Table1[[#This Row],[Fuel (no space after comma)]], ","), FuelList_Final_EF!$A$2:$B$32, 2, FALSE))</f>
        <v>118.17</v>
      </c>
      <c r="P869" s="2">
        <f>(16112*Table1[[#This Row],[Generation (TWh)]]*10^9)/10^6</f>
        <v>1625945.7023999998</v>
      </c>
      <c r="Q869" s="2">
        <f>Table1[[#This Row],[Emission Factor (kg CO2/ mmBtu)]]*Table1[[#This Row],[Fuel Consumption (mmBtu)]]*10^3</f>
        <v>192138003652.60797</v>
      </c>
      <c r="R869" s="2">
        <f>(Table1[[#This Row],[CO2 Emissions (g CO2)]])/(Table1[[#This Row],[Generation (TWh)]]*10^9)</f>
        <v>1903.9550399999998</v>
      </c>
    </row>
    <row r="870" spans="1:18" hidden="1">
      <c r="A870" t="s">
        <v>558</v>
      </c>
      <c r="B870" t="s">
        <v>46</v>
      </c>
      <c r="C870" t="str">
        <f>SUBSTITUTE(Table1[[#This Row],[Fuel]],", ",",")</f>
        <v>bioenergy: agricultural waste (solids)</v>
      </c>
      <c r="D870" t="s">
        <v>46</v>
      </c>
      <c r="G870">
        <v>24</v>
      </c>
      <c r="H870" t="s">
        <v>27</v>
      </c>
      <c r="I870">
        <v>2022</v>
      </c>
      <c r="J870" t="s">
        <v>21</v>
      </c>
      <c r="K870">
        <v>46.014400000000002</v>
      </c>
      <c r="L870">
        <v>126.0286</v>
      </c>
      <c r="M870" t="s">
        <v>102</v>
      </c>
      <c r="N870" s="2">
        <f>Table1[[#This Row],[Capacity (MW)]]*8760*0.72*10^-6</f>
        <v>0.15137279999999997</v>
      </c>
      <c r="O870" s="2" cm="1">
        <f t="array" ref="O870">AVERAGE(VLOOKUP(_xlfn.TEXTSPLIT(Table1[[#This Row],[Fuel (no space after comma)]], ","), FuelList_Final_EF!$A$2:$B$32, 2, FALSE))</f>
        <v>118.17</v>
      </c>
      <c r="P870" s="2">
        <f>(16112*Table1[[#This Row],[Generation (TWh)]]*10^9)/10^6</f>
        <v>2438918.5535999993</v>
      </c>
      <c r="Q870" s="2">
        <f>Table1[[#This Row],[Emission Factor (kg CO2/ mmBtu)]]*Table1[[#This Row],[Fuel Consumption (mmBtu)]]*10^3</f>
        <v>288207005478.91193</v>
      </c>
      <c r="R870" s="2">
        <f>(Table1[[#This Row],[CO2 Emissions (g CO2)]])/(Table1[[#This Row],[Generation (TWh)]]*10^9)</f>
        <v>1903.9550399999998</v>
      </c>
    </row>
    <row r="871" spans="1:18" hidden="1">
      <c r="A871" t="s">
        <v>602</v>
      </c>
      <c r="B871" t="s">
        <v>46</v>
      </c>
      <c r="C871" t="str">
        <f>SUBSTITUTE(Table1[[#This Row],[Fuel]],", ",",")</f>
        <v>bioenergy: agricultural waste (solids)</v>
      </c>
      <c r="D871" t="s">
        <v>46</v>
      </c>
      <c r="G871">
        <v>8</v>
      </c>
      <c r="H871" t="s">
        <v>27</v>
      </c>
      <c r="I871">
        <v>2021</v>
      </c>
      <c r="J871" t="s">
        <v>21</v>
      </c>
      <c r="K871">
        <v>45.545400000000001</v>
      </c>
      <c r="L871">
        <v>125.0861</v>
      </c>
      <c r="M871" t="s">
        <v>102</v>
      </c>
      <c r="N871" s="2">
        <f>Table1[[#This Row],[Capacity (MW)]]*8760*0.72*10^-6</f>
        <v>5.0457599999999998E-2</v>
      </c>
      <c r="O871" s="2" cm="1">
        <f t="array" ref="O871">AVERAGE(VLOOKUP(_xlfn.TEXTSPLIT(Table1[[#This Row],[Fuel (no space after comma)]], ","), FuelList_Final_EF!$A$2:$B$32, 2, FALSE))</f>
        <v>118.17</v>
      </c>
      <c r="P871" s="2">
        <f>(16112*Table1[[#This Row],[Generation (TWh)]]*10^9)/10^6</f>
        <v>812972.85119999992</v>
      </c>
      <c r="Q871" s="2">
        <f>Table1[[#This Row],[Emission Factor (kg CO2/ mmBtu)]]*Table1[[#This Row],[Fuel Consumption (mmBtu)]]*10^3</f>
        <v>96069001826.303986</v>
      </c>
      <c r="R871" s="2">
        <f>(Table1[[#This Row],[CO2 Emissions (g CO2)]])/(Table1[[#This Row],[Generation (TWh)]]*10^9)</f>
        <v>1903.9550399999998</v>
      </c>
    </row>
    <row r="872" spans="1:18" hidden="1">
      <c r="A872" t="s">
        <v>603</v>
      </c>
      <c r="B872" t="s">
        <v>46</v>
      </c>
      <c r="C872" t="str">
        <f>SUBSTITUTE(Table1[[#This Row],[Fuel]],", ",",")</f>
        <v>bioenergy: agricultural waste (solids)</v>
      </c>
      <c r="D872" t="s">
        <v>46</v>
      </c>
      <c r="G872">
        <v>22.4</v>
      </c>
      <c r="H872" t="s">
        <v>27</v>
      </c>
      <c r="I872">
        <v>2021</v>
      </c>
      <c r="J872" t="s">
        <v>21</v>
      </c>
      <c r="K872">
        <v>45.545400000000001</v>
      </c>
      <c r="L872">
        <v>125.0861</v>
      </c>
      <c r="M872" t="s">
        <v>102</v>
      </c>
      <c r="N872" s="2">
        <f>Table1[[#This Row],[Capacity (MW)]]*8760*0.72*10^-6</f>
        <v>0.14128127999999998</v>
      </c>
      <c r="O872" s="2" cm="1">
        <f t="array" ref="O872">AVERAGE(VLOOKUP(_xlfn.TEXTSPLIT(Table1[[#This Row],[Fuel (no space after comma)]], ","), FuelList_Final_EF!$A$2:$B$32, 2, FALSE))</f>
        <v>118.17</v>
      </c>
      <c r="P872" s="2">
        <f>(16112*Table1[[#This Row],[Generation (TWh)]]*10^9)/10^6</f>
        <v>2276323.9833599995</v>
      </c>
      <c r="Q872" s="2">
        <f>Table1[[#This Row],[Emission Factor (kg CO2/ mmBtu)]]*Table1[[#This Row],[Fuel Consumption (mmBtu)]]*10^3</f>
        <v>268993205113.65115</v>
      </c>
      <c r="R872" s="2">
        <f>(Table1[[#This Row],[CO2 Emissions (g CO2)]])/(Table1[[#This Row],[Generation (TWh)]]*10^9)</f>
        <v>1903.9550400000001</v>
      </c>
    </row>
    <row r="873" spans="1:18" hidden="1">
      <c r="A873" t="s">
        <v>581</v>
      </c>
      <c r="B873" t="s">
        <v>46</v>
      </c>
      <c r="C873" t="str">
        <f>SUBSTITUTE(Table1[[#This Row],[Fuel]],", ",",")</f>
        <v>bioenergy: agricultural waste (solids)</v>
      </c>
      <c r="D873" t="s">
        <v>46</v>
      </c>
      <c r="G873">
        <v>49.6</v>
      </c>
      <c r="H873" t="s">
        <v>27</v>
      </c>
      <c r="I873">
        <v>2021</v>
      </c>
      <c r="J873" t="s">
        <v>21</v>
      </c>
      <c r="K873">
        <v>45.545400000000001</v>
      </c>
      <c r="L873">
        <v>125.0861</v>
      </c>
      <c r="M873" t="s">
        <v>102</v>
      </c>
      <c r="N873" s="2">
        <f>Table1[[#This Row],[Capacity (MW)]]*8760*0.72*10^-6</f>
        <v>0.31283711999999997</v>
      </c>
      <c r="O873" s="2" cm="1">
        <f t="array" ref="O873">AVERAGE(VLOOKUP(_xlfn.TEXTSPLIT(Table1[[#This Row],[Fuel (no space after comma)]], ","), FuelList_Final_EF!$A$2:$B$32, 2, FALSE))</f>
        <v>118.17</v>
      </c>
      <c r="P873" s="2">
        <f>(16112*Table1[[#This Row],[Generation (TWh)]]*10^9)/10^6</f>
        <v>5040431.6774399988</v>
      </c>
      <c r="Q873" s="2">
        <f>Table1[[#This Row],[Emission Factor (kg CO2/ mmBtu)]]*Table1[[#This Row],[Fuel Consumption (mmBtu)]]*10^3</f>
        <v>595627811323.08472</v>
      </c>
      <c r="R873" s="2">
        <f>(Table1[[#This Row],[CO2 Emissions (g CO2)]])/(Table1[[#This Row],[Generation (TWh)]]*10^9)</f>
        <v>1903.9550400000001</v>
      </c>
    </row>
    <row r="874" spans="1:18" hidden="1">
      <c r="A874" t="s">
        <v>604</v>
      </c>
      <c r="B874" t="s">
        <v>605</v>
      </c>
      <c r="C874" t="str">
        <f>SUBSTITUTE(Table1[[#This Row],[Fuel]],", ",",")</f>
        <v>bioenergy: agricultural waste (biogas),fossil gas: natural gas,fossil liquids: fuel oil</v>
      </c>
      <c r="D874" t="s">
        <v>43</v>
      </c>
      <c r="E874" t="s">
        <v>69</v>
      </c>
      <c r="F874" t="s">
        <v>606</v>
      </c>
      <c r="G874">
        <v>130</v>
      </c>
      <c r="H874" t="s">
        <v>94</v>
      </c>
      <c r="I874">
        <v>1986</v>
      </c>
      <c r="J874">
        <v>2025</v>
      </c>
      <c r="K874">
        <v>55.577970000000001</v>
      </c>
      <c r="L874">
        <v>13.01178</v>
      </c>
      <c r="M874" t="s">
        <v>34</v>
      </c>
      <c r="N874" s="2">
        <f>Table1[[#This Row],[Capacity (MW)]]*8760*0.72*10^-6</f>
        <v>0.819936</v>
      </c>
      <c r="O874" s="2" cm="1">
        <f t="array" ref="O874">AVERAGE(VLOOKUP(_xlfn.TEXTSPLIT(Table1[[#This Row],[Fuel (no space after comma)]], ","), FuelList_Final_EF!$A$2:$B$32, 2, FALSE))</f>
        <v>61.078894099257525</v>
      </c>
      <c r="P874" s="2">
        <f>(16112*Table1[[#This Row],[Generation (TWh)]]*10^9)/10^6</f>
        <v>13210808.832</v>
      </c>
      <c r="Q874" s="2">
        <f>Table1[[#This Row],[Emission Factor (kg CO2/ mmBtu)]]*Table1[[#This Row],[Fuel Consumption (mmBtu)]]*10^3</f>
        <v>806901593615.26404</v>
      </c>
      <c r="R874" s="2">
        <f>(Table1[[#This Row],[CO2 Emissions (g CO2)]])/(Table1[[#This Row],[Generation (TWh)]]*10^9)</f>
        <v>984.10314172723724</v>
      </c>
    </row>
    <row r="875" spans="1:18" hidden="1">
      <c r="A875" t="s">
        <v>117</v>
      </c>
      <c r="B875" t="s">
        <v>46</v>
      </c>
      <c r="C875" t="str">
        <f>SUBSTITUTE(Table1[[#This Row],[Fuel]],", ",",")</f>
        <v>bioenergy: agricultural waste (solids)</v>
      </c>
      <c r="D875" t="s">
        <v>46</v>
      </c>
      <c r="G875">
        <v>30</v>
      </c>
      <c r="H875" t="s">
        <v>27</v>
      </c>
      <c r="I875">
        <v>2007</v>
      </c>
      <c r="J875" t="s">
        <v>21</v>
      </c>
      <c r="K875">
        <v>46.843400000000003</v>
      </c>
      <c r="L875">
        <v>126.4623</v>
      </c>
      <c r="M875" t="s">
        <v>102</v>
      </c>
      <c r="N875" s="2">
        <f>Table1[[#This Row],[Capacity (MW)]]*8760*0.72*10^-6</f>
        <v>0.189216</v>
      </c>
      <c r="O875" s="2" cm="1">
        <f t="array" ref="O875">AVERAGE(VLOOKUP(_xlfn.TEXTSPLIT(Table1[[#This Row],[Fuel (no space after comma)]], ","), FuelList_Final_EF!$A$2:$B$32, 2, FALSE))</f>
        <v>118.17</v>
      </c>
      <c r="P875" s="2">
        <f>(16112*Table1[[#This Row],[Generation (TWh)]]*10^9)/10^6</f>
        <v>3048648.1919999998</v>
      </c>
      <c r="Q875" s="2">
        <f>Table1[[#This Row],[Emission Factor (kg CO2/ mmBtu)]]*Table1[[#This Row],[Fuel Consumption (mmBtu)]]*10^3</f>
        <v>360258756848.63995</v>
      </c>
      <c r="R875" s="2">
        <f>(Table1[[#This Row],[CO2 Emissions (g CO2)]])/(Table1[[#This Row],[Generation (TWh)]]*10^9)</f>
        <v>1903.9550399999998</v>
      </c>
    </row>
    <row r="876" spans="1:18" hidden="1">
      <c r="A876" t="s">
        <v>607</v>
      </c>
      <c r="B876" t="s">
        <v>46</v>
      </c>
      <c r="C876" t="str">
        <f>SUBSTITUTE(Table1[[#This Row],[Fuel]],", ",",")</f>
        <v>bioenergy: agricultural waste (solids)</v>
      </c>
      <c r="D876" t="s">
        <v>46</v>
      </c>
      <c r="G876">
        <v>30</v>
      </c>
      <c r="H876" t="s">
        <v>27</v>
      </c>
      <c r="I876">
        <v>2021</v>
      </c>
      <c r="J876" t="s">
        <v>21</v>
      </c>
      <c r="K876">
        <v>35.191099999999999</v>
      </c>
      <c r="L876">
        <v>114.54259999999999</v>
      </c>
      <c r="M876" t="s">
        <v>102</v>
      </c>
      <c r="N876" s="2">
        <f>Table1[[#This Row],[Capacity (MW)]]*8760*0.72*10^-6</f>
        <v>0.189216</v>
      </c>
      <c r="O876" s="2" cm="1">
        <f t="array" ref="O876">AVERAGE(VLOOKUP(_xlfn.TEXTSPLIT(Table1[[#This Row],[Fuel (no space after comma)]], ","), FuelList_Final_EF!$A$2:$B$32, 2, FALSE))</f>
        <v>118.17</v>
      </c>
      <c r="P876" s="2">
        <f>(16112*Table1[[#This Row],[Generation (TWh)]]*10^9)/10^6</f>
        <v>3048648.1919999998</v>
      </c>
      <c r="Q876" s="2">
        <f>Table1[[#This Row],[Emission Factor (kg CO2/ mmBtu)]]*Table1[[#This Row],[Fuel Consumption (mmBtu)]]*10^3</f>
        <v>360258756848.63995</v>
      </c>
      <c r="R876" s="2">
        <f>(Table1[[#This Row],[CO2 Emissions (g CO2)]])/(Table1[[#This Row],[Generation (TWh)]]*10^9)</f>
        <v>1903.9550399999998</v>
      </c>
    </row>
    <row r="877" spans="1:18" hidden="1">
      <c r="A877" t="s">
        <v>608</v>
      </c>
      <c r="B877" t="s">
        <v>105</v>
      </c>
      <c r="C877" t="str">
        <f>SUBSTITUTE(Table1[[#This Row],[Fuel]],", ",",")</f>
        <v>bioenergy: agricultural waste (solids),bioenergy: wood &amp; other biomass (solids)</v>
      </c>
      <c r="D877" t="s">
        <v>46</v>
      </c>
      <c r="E877" t="s">
        <v>25</v>
      </c>
      <c r="G877">
        <v>30</v>
      </c>
      <c r="H877" t="s">
        <v>27</v>
      </c>
      <c r="I877">
        <v>2019</v>
      </c>
      <c r="J877" t="s">
        <v>21</v>
      </c>
      <c r="K877">
        <v>35.072899999999997</v>
      </c>
      <c r="L877">
        <v>114.4019</v>
      </c>
      <c r="M877" t="s">
        <v>102</v>
      </c>
      <c r="N877" s="2">
        <f>Table1[[#This Row],[Capacity (MW)]]*8760*0.72*10^-6</f>
        <v>0.189216</v>
      </c>
      <c r="O877" s="2" cm="1">
        <f t="array" ref="O877">AVERAGE(VLOOKUP(_xlfn.TEXTSPLIT(Table1[[#This Row],[Fuel (no space after comma)]], ","), FuelList_Final_EF!$A$2:$B$32, 2, FALSE))</f>
        <v>105.985</v>
      </c>
      <c r="P877" s="2">
        <f>(16112*Table1[[#This Row],[Generation (TWh)]]*10^9)/10^6</f>
        <v>3048648.1919999998</v>
      </c>
      <c r="Q877" s="2">
        <f>Table1[[#This Row],[Emission Factor (kg CO2/ mmBtu)]]*Table1[[#This Row],[Fuel Consumption (mmBtu)]]*10^3</f>
        <v>323110978629.12</v>
      </c>
      <c r="R877" s="2">
        <f>(Table1[[#This Row],[CO2 Emissions (g CO2)]])/(Table1[[#This Row],[Generation (TWh)]]*10^9)</f>
        <v>1707.63032</v>
      </c>
    </row>
    <row r="878" spans="1:18" hidden="1">
      <c r="A878" t="s">
        <v>117</v>
      </c>
      <c r="B878" t="s">
        <v>105</v>
      </c>
      <c r="C878" t="str">
        <f>SUBSTITUTE(Table1[[#This Row],[Fuel]],", ",",")</f>
        <v>bioenergy: agricultural waste (solids),bioenergy: wood &amp; other biomass (solids)</v>
      </c>
      <c r="D878" t="s">
        <v>46</v>
      </c>
      <c r="E878" t="s">
        <v>25</v>
      </c>
      <c r="G878">
        <v>30</v>
      </c>
      <c r="H878" t="s">
        <v>27</v>
      </c>
      <c r="I878">
        <v>2021</v>
      </c>
      <c r="J878" t="s">
        <v>21</v>
      </c>
      <c r="K878">
        <v>34.0717</v>
      </c>
      <c r="L878">
        <v>114.40989999999999</v>
      </c>
      <c r="M878" t="s">
        <v>102</v>
      </c>
      <c r="N878" s="2">
        <f>Table1[[#This Row],[Capacity (MW)]]*8760*0.72*10^-6</f>
        <v>0.189216</v>
      </c>
      <c r="O878" s="2" cm="1">
        <f t="array" ref="O878">AVERAGE(VLOOKUP(_xlfn.TEXTSPLIT(Table1[[#This Row],[Fuel (no space after comma)]], ","), FuelList_Final_EF!$A$2:$B$32, 2, FALSE))</f>
        <v>105.985</v>
      </c>
      <c r="P878" s="2">
        <f>(16112*Table1[[#This Row],[Generation (TWh)]]*10^9)/10^6</f>
        <v>3048648.1919999998</v>
      </c>
      <c r="Q878" s="2">
        <f>Table1[[#This Row],[Emission Factor (kg CO2/ mmBtu)]]*Table1[[#This Row],[Fuel Consumption (mmBtu)]]*10^3</f>
        <v>323110978629.12</v>
      </c>
      <c r="R878" s="2">
        <f>(Table1[[#This Row],[CO2 Emissions (g CO2)]])/(Table1[[#This Row],[Generation (TWh)]]*10^9)</f>
        <v>1707.63032</v>
      </c>
    </row>
    <row r="879" spans="1:18" hidden="1">
      <c r="A879" t="s">
        <v>609</v>
      </c>
      <c r="B879" t="s">
        <v>46</v>
      </c>
      <c r="C879" t="str">
        <f>SUBSTITUTE(Table1[[#This Row],[Fuel]],", ",",")</f>
        <v>bioenergy: agricultural waste (solids)</v>
      </c>
      <c r="D879" t="s">
        <v>46</v>
      </c>
      <c r="G879">
        <v>30</v>
      </c>
      <c r="H879" t="s">
        <v>27</v>
      </c>
      <c r="I879">
        <v>2020</v>
      </c>
      <c r="J879" t="s">
        <v>21</v>
      </c>
      <c r="K879">
        <v>32.117600000000003</v>
      </c>
      <c r="L879">
        <v>114.88160000000001</v>
      </c>
      <c r="M879" t="s">
        <v>102</v>
      </c>
      <c r="N879" s="2">
        <f>Table1[[#This Row],[Capacity (MW)]]*8760*0.72*10^-6</f>
        <v>0.189216</v>
      </c>
      <c r="O879" s="2" cm="1">
        <f t="array" ref="O879">AVERAGE(VLOOKUP(_xlfn.TEXTSPLIT(Table1[[#This Row],[Fuel (no space after comma)]], ","), FuelList_Final_EF!$A$2:$B$32, 2, FALSE))</f>
        <v>118.17</v>
      </c>
      <c r="P879" s="2">
        <f>(16112*Table1[[#This Row],[Generation (TWh)]]*10^9)/10^6</f>
        <v>3048648.1919999998</v>
      </c>
      <c r="Q879" s="2">
        <f>Table1[[#This Row],[Emission Factor (kg CO2/ mmBtu)]]*Table1[[#This Row],[Fuel Consumption (mmBtu)]]*10^3</f>
        <v>360258756848.63995</v>
      </c>
      <c r="R879" s="2">
        <f>(Table1[[#This Row],[CO2 Emissions (g CO2)]])/(Table1[[#This Row],[Generation (TWh)]]*10^9)</f>
        <v>1903.9550399999998</v>
      </c>
    </row>
    <row r="880" spans="1:18" hidden="1">
      <c r="A880" t="s">
        <v>54</v>
      </c>
      <c r="B880" t="s">
        <v>46</v>
      </c>
      <c r="C880" t="str">
        <f>SUBSTITUTE(Table1[[#This Row],[Fuel]],", ",",")</f>
        <v>bioenergy: agricultural waste (solids)</v>
      </c>
      <c r="D880" t="s">
        <v>46</v>
      </c>
      <c r="G880">
        <v>40</v>
      </c>
      <c r="H880" t="s">
        <v>27</v>
      </c>
      <c r="I880">
        <v>2022</v>
      </c>
      <c r="J880" t="s">
        <v>21</v>
      </c>
      <c r="K880">
        <v>32.193100000000001</v>
      </c>
      <c r="L880">
        <v>115.6147</v>
      </c>
      <c r="M880" t="s">
        <v>102</v>
      </c>
      <c r="N880" s="2">
        <f>Table1[[#This Row],[Capacity (MW)]]*8760*0.72*10^-6</f>
        <v>0.25228800000000001</v>
      </c>
      <c r="O880" s="2" cm="1">
        <f t="array" ref="O880">AVERAGE(VLOOKUP(_xlfn.TEXTSPLIT(Table1[[#This Row],[Fuel (no space after comma)]], ","), FuelList_Final_EF!$A$2:$B$32, 2, FALSE))</f>
        <v>118.17</v>
      </c>
      <c r="P880" s="2">
        <f>(16112*Table1[[#This Row],[Generation (TWh)]]*10^9)/10^6</f>
        <v>4064864.2560000005</v>
      </c>
      <c r="Q880" s="2">
        <f>Table1[[#This Row],[Emission Factor (kg CO2/ mmBtu)]]*Table1[[#This Row],[Fuel Consumption (mmBtu)]]*10^3</f>
        <v>480345009131.52008</v>
      </c>
      <c r="R880" s="2">
        <f>(Table1[[#This Row],[CO2 Emissions (g CO2)]])/(Table1[[#This Row],[Generation (TWh)]]*10^9)</f>
        <v>1903.9550400000003</v>
      </c>
    </row>
    <row r="881" spans="1:18" hidden="1">
      <c r="A881" t="s">
        <v>284</v>
      </c>
      <c r="B881" t="s">
        <v>46</v>
      </c>
      <c r="C881" t="str">
        <f>SUBSTITUTE(Table1[[#This Row],[Fuel]],", ",",")</f>
        <v>bioenergy: agricultural waste (solids)</v>
      </c>
      <c r="D881" t="s">
        <v>46</v>
      </c>
      <c r="G881">
        <v>35</v>
      </c>
      <c r="H881" t="s">
        <v>27</v>
      </c>
      <c r="I881">
        <v>2020</v>
      </c>
      <c r="J881" t="s">
        <v>21</v>
      </c>
      <c r="K881">
        <v>35.381799999999998</v>
      </c>
      <c r="L881">
        <v>114.6508</v>
      </c>
      <c r="M881" t="s">
        <v>102</v>
      </c>
      <c r="N881" s="2">
        <f>Table1[[#This Row],[Capacity (MW)]]*8760*0.72*10^-6</f>
        <v>0.220752</v>
      </c>
      <c r="O881" s="2" cm="1">
        <f t="array" ref="O881">AVERAGE(VLOOKUP(_xlfn.TEXTSPLIT(Table1[[#This Row],[Fuel (no space after comma)]], ","), FuelList_Final_EF!$A$2:$B$32, 2, FALSE))</f>
        <v>118.17</v>
      </c>
      <c r="P881" s="2">
        <f>(16112*Table1[[#This Row],[Generation (TWh)]]*10^9)/10^6</f>
        <v>3556756.2239999999</v>
      </c>
      <c r="Q881" s="2">
        <f>Table1[[#This Row],[Emission Factor (kg CO2/ mmBtu)]]*Table1[[#This Row],[Fuel Consumption (mmBtu)]]*10^3</f>
        <v>420301882990.08002</v>
      </c>
      <c r="R881" s="2">
        <f>(Table1[[#This Row],[CO2 Emissions (g CO2)]])/(Table1[[#This Row],[Generation (TWh)]]*10^9)</f>
        <v>1903.9550400000001</v>
      </c>
    </row>
    <row r="882" spans="1:18" hidden="1">
      <c r="A882" t="s">
        <v>610</v>
      </c>
      <c r="B882" t="s">
        <v>105</v>
      </c>
      <c r="C882" t="str">
        <f>SUBSTITUTE(Table1[[#This Row],[Fuel]],", ",",")</f>
        <v>bioenergy: agricultural waste (solids),bioenergy: wood &amp; other biomass (solids)</v>
      </c>
      <c r="D882" t="s">
        <v>46</v>
      </c>
      <c r="E882" t="s">
        <v>25</v>
      </c>
      <c r="G882">
        <v>12.25</v>
      </c>
      <c r="H882" t="s">
        <v>27</v>
      </c>
      <c r="I882">
        <v>2019</v>
      </c>
      <c r="J882" t="s">
        <v>21</v>
      </c>
      <c r="K882">
        <v>34.551400000000001</v>
      </c>
      <c r="L882">
        <v>110.9363</v>
      </c>
      <c r="M882" t="s">
        <v>102</v>
      </c>
      <c r="N882" s="2">
        <f>Table1[[#This Row],[Capacity (MW)]]*8760*0.72*10^-6</f>
        <v>7.726319999999999E-2</v>
      </c>
      <c r="O882" s="2" cm="1">
        <f t="array" ref="O882">AVERAGE(VLOOKUP(_xlfn.TEXTSPLIT(Table1[[#This Row],[Fuel (no space after comma)]], ","), FuelList_Final_EF!$A$2:$B$32, 2, FALSE))</f>
        <v>105.985</v>
      </c>
      <c r="P882" s="2">
        <f>(16112*Table1[[#This Row],[Generation (TWh)]]*10^9)/10^6</f>
        <v>1244864.6783999999</v>
      </c>
      <c r="Q882" s="2">
        <f>Table1[[#This Row],[Emission Factor (kg CO2/ mmBtu)]]*Table1[[#This Row],[Fuel Consumption (mmBtu)]]*10^3</f>
        <v>131936982940.22398</v>
      </c>
      <c r="R882" s="2">
        <f>(Table1[[#This Row],[CO2 Emissions (g CO2)]])/(Table1[[#This Row],[Generation (TWh)]]*10^9)</f>
        <v>1707.6303200000002</v>
      </c>
    </row>
    <row r="883" spans="1:18" hidden="1">
      <c r="A883" t="s">
        <v>611</v>
      </c>
      <c r="B883" t="s">
        <v>105</v>
      </c>
      <c r="C883" t="str">
        <f>SUBSTITUTE(Table1[[#This Row],[Fuel]],", ",",")</f>
        <v>bioenergy: agricultural waste (solids),bioenergy: wood &amp; other biomass (solids)</v>
      </c>
      <c r="D883" t="s">
        <v>46</v>
      </c>
      <c r="E883" t="s">
        <v>25</v>
      </c>
      <c r="G883">
        <v>22.75</v>
      </c>
      <c r="H883" t="s">
        <v>27</v>
      </c>
      <c r="I883">
        <v>2019</v>
      </c>
      <c r="J883" t="s">
        <v>21</v>
      </c>
      <c r="K883">
        <v>34.551400000000001</v>
      </c>
      <c r="L883">
        <v>110.9363</v>
      </c>
      <c r="M883" t="s">
        <v>102</v>
      </c>
      <c r="N883" s="2">
        <f>Table1[[#This Row],[Capacity (MW)]]*8760*0.72*10^-6</f>
        <v>0.14348879999999997</v>
      </c>
      <c r="O883" s="2" cm="1">
        <f t="array" ref="O883">AVERAGE(VLOOKUP(_xlfn.TEXTSPLIT(Table1[[#This Row],[Fuel (no space after comma)]], ","), FuelList_Final_EF!$A$2:$B$32, 2, FALSE))</f>
        <v>105.985</v>
      </c>
      <c r="P883" s="2">
        <f>(16112*Table1[[#This Row],[Generation (TWh)]]*10^9)/10^6</f>
        <v>2311891.5455999994</v>
      </c>
      <c r="Q883" s="2">
        <f>Table1[[#This Row],[Emission Factor (kg CO2/ mmBtu)]]*Table1[[#This Row],[Fuel Consumption (mmBtu)]]*10^3</f>
        <v>245025825460.41592</v>
      </c>
      <c r="R883" s="2">
        <f>(Table1[[#This Row],[CO2 Emissions (g CO2)]])/(Table1[[#This Row],[Generation (TWh)]]*10^9)</f>
        <v>1707.6303199999998</v>
      </c>
    </row>
    <row r="884" spans="1:18" hidden="1">
      <c r="A884" t="s">
        <v>612</v>
      </c>
      <c r="B884" t="s">
        <v>19</v>
      </c>
      <c r="C884" t="str">
        <f>SUBSTITUTE(Table1[[#This Row],[Fuel]],", ",",")</f>
        <v>bioenergy: refuse (municipal and industrial wastes)</v>
      </c>
      <c r="D884" t="s">
        <v>19</v>
      </c>
      <c r="G884">
        <v>17.149999999999999</v>
      </c>
      <c r="H884" t="s">
        <v>27</v>
      </c>
      <c r="I884">
        <v>2021</v>
      </c>
      <c r="J884" t="s">
        <v>21</v>
      </c>
      <c r="K884">
        <v>33.512700000000002</v>
      </c>
      <c r="L884">
        <v>113.99469999999999</v>
      </c>
      <c r="M884" t="s">
        <v>102</v>
      </c>
      <c r="N884" s="2">
        <f>Table1[[#This Row],[Capacity (MW)]]*8760*0.72*10^-6</f>
        <v>0.10816848</v>
      </c>
      <c r="O884" s="2" cm="1">
        <f t="array" ref="O884">AVERAGE(VLOOKUP(_xlfn.TEXTSPLIT(Table1[[#This Row],[Fuel (no space after comma)]], ","), FuelList_Final_EF!$A$2:$B$32, 2, FALSE))</f>
        <v>105.42962572482868</v>
      </c>
      <c r="P884" s="2">
        <f>(16112*Table1[[#This Row],[Generation (TWh)]]*10^9)/10^6</f>
        <v>1742810.5497600001</v>
      </c>
      <c r="Q884" s="2">
        <f>Table1[[#This Row],[Emission Factor (kg CO2/ mmBtu)]]*Table1[[#This Row],[Fuel Consumption (mmBtu)]]*10^3</f>
        <v>183743863970.47974</v>
      </c>
      <c r="R884" s="2">
        <f>(Table1[[#This Row],[CO2 Emissions (g CO2)]])/(Table1[[#This Row],[Generation (TWh)]]*10^9)</f>
        <v>1698.6821296784399</v>
      </c>
    </row>
    <row r="885" spans="1:18" hidden="1">
      <c r="A885" t="s">
        <v>482</v>
      </c>
      <c r="B885" t="s">
        <v>19</v>
      </c>
      <c r="C885" t="str">
        <f>SUBSTITUTE(Table1[[#This Row],[Fuel]],", ",",")</f>
        <v>bioenergy: refuse (municipal and industrial wastes)</v>
      </c>
      <c r="D885" t="s">
        <v>19</v>
      </c>
      <c r="G885">
        <v>0.35</v>
      </c>
      <c r="H885" t="s">
        <v>27</v>
      </c>
      <c r="I885">
        <v>2021</v>
      </c>
      <c r="J885" t="s">
        <v>21</v>
      </c>
      <c r="K885">
        <v>33.512700000000002</v>
      </c>
      <c r="L885">
        <v>113.99469999999999</v>
      </c>
      <c r="M885" t="s">
        <v>102</v>
      </c>
      <c r="N885" s="2">
        <f>Table1[[#This Row],[Capacity (MW)]]*8760*0.72*10^-6</f>
        <v>2.2075199999999997E-3</v>
      </c>
      <c r="O885" s="2" cm="1">
        <f t="array" ref="O885">AVERAGE(VLOOKUP(_xlfn.TEXTSPLIT(Table1[[#This Row],[Fuel (no space after comma)]], ","), FuelList_Final_EF!$A$2:$B$32, 2, FALSE))</f>
        <v>105.42962572482868</v>
      </c>
      <c r="P885" s="2">
        <f>(16112*Table1[[#This Row],[Generation (TWh)]]*10^9)/10^6</f>
        <v>35567.562239999992</v>
      </c>
      <c r="Q885" s="2">
        <f>Table1[[#This Row],[Emission Factor (kg CO2/ mmBtu)]]*Table1[[#This Row],[Fuel Consumption (mmBtu)]]*10^3</f>
        <v>3749874774.9077482</v>
      </c>
      <c r="R885" s="2">
        <f>(Table1[[#This Row],[CO2 Emissions (g CO2)]])/(Table1[[#This Row],[Generation (TWh)]]*10^9)</f>
        <v>1698.6821296784397</v>
      </c>
    </row>
    <row r="886" spans="1:18" hidden="1">
      <c r="A886" t="s">
        <v>613</v>
      </c>
      <c r="B886" t="s">
        <v>19</v>
      </c>
      <c r="C886" t="str">
        <f>SUBSTITUTE(Table1[[#This Row],[Fuel]],", ",",")</f>
        <v>bioenergy: refuse (municipal and industrial wastes)</v>
      </c>
      <c r="D886" t="s">
        <v>19</v>
      </c>
      <c r="G886">
        <v>0.35</v>
      </c>
      <c r="H886" t="s">
        <v>27</v>
      </c>
      <c r="I886">
        <v>2021</v>
      </c>
      <c r="J886" t="s">
        <v>21</v>
      </c>
      <c r="K886">
        <v>33.512700000000002</v>
      </c>
      <c r="L886">
        <v>113.99469999999999</v>
      </c>
      <c r="M886" t="s">
        <v>102</v>
      </c>
      <c r="N886" s="2">
        <f>Table1[[#This Row],[Capacity (MW)]]*8760*0.72*10^-6</f>
        <v>2.2075199999999997E-3</v>
      </c>
      <c r="O886" s="2" cm="1">
        <f t="array" ref="O886">AVERAGE(VLOOKUP(_xlfn.TEXTSPLIT(Table1[[#This Row],[Fuel (no space after comma)]], ","), FuelList_Final_EF!$A$2:$B$32, 2, FALSE))</f>
        <v>105.42962572482868</v>
      </c>
      <c r="P886" s="2">
        <f>(16112*Table1[[#This Row],[Generation (TWh)]]*10^9)/10^6</f>
        <v>35567.562239999992</v>
      </c>
      <c r="Q886" s="2">
        <f>Table1[[#This Row],[Emission Factor (kg CO2/ mmBtu)]]*Table1[[#This Row],[Fuel Consumption (mmBtu)]]*10^3</f>
        <v>3749874774.9077482</v>
      </c>
      <c r="R886" s="2">
        <f>(Table1[[#This Row],[CO2 Emissions (g CO2)]])/(Table1[[#This Row],[Generation (TWh)]]*10^9)</f>
        <v>1698.6821296784397</v>
      </c>
    </row>
    <row r="887" spans="1:18" hidden="1">
      <c r="A887" t="s">
        <v>614</v>
      </c>
      <c r="B887" t="s">
        <v>19</v>
      </c>
      <c r="C887" t="str">
        <f>SUBSTITUTE(Table1[[#This Row],[Fuel]],", ",",")</f>
        <v>bioenergy: refuse (municipal and industrial wastes)</v>
      </c>
      <c r="D887" t="s">
        <v>19</v>
      </c>
      <c r="G887">
        <v>17.149999999999999</v>
      </c>
      <c r="H887" t="s">
        <v>27</v>
      </c>
      <c r="I887">
        <v>2021</v>
      </c>
      <c r="J887" t="s">
        <v>21</v>
      </c>
      <c r="K887">
        <v>33.512700000000002</v>
      </c>
      <c r="L887">
        <v>113.99469999999999</v>
      </c>
      <c r="M887" t="s">
        <v>102</v>
      </c>
      <c r="N887" s="2">
        <f>Table1[[#This Row],[Capacity (MW)]]*8760*0.72*10^-6</f>
        <v>0.10816848</v>
      </c>
      <c r="O887" s="2" cm="1">
        <f t="array" ref="O887">AVERAGE(VLOOKUP(_xlfn.TEXTSPLIT(Table1[[#This Row],[Fuel (no space after comma)]], ","), FuelList_Final_EF!$A$2:$B$32, 2, FALSE))</f>
        <v>105.42962572482868</v>
      </c>
      <c r="P887" s="2">
        <f>(16112*Table1[[#This Row],[Generation (TWh)]]*10^9)/10^6</f>
        <v>1742810.5497600001</v>
      </c>
      <c r="Q887" s="2">
        <f>Table1[[#This Row],[Emission Factor (kg CO2/ mmBtu)]]*Table1[[#This Row],[Fuel Consumption (mmBtu)]]*10^3</f>
        <v>183743863970.47974</v>
      </c>
      <c r="R887" s="2">
        <f>(Table1[[#This Row],[CO2 Emissions (g CO2)]])/(Table1[[#This Row],[Generation (TWh)]]*10^9)</f>
        <v>1698.6821296784399</v>
      </c>
    </row>
    <row r="888" spans="1:18" hidden="1">
      <c r="A888" t="s">
        <v>121</v>
      </c>
      <c r="B888" t="s">
        <v>105</v>
      </c>
      <c r="C888" t="str">
        <f>SUBSTITUTE(Table1[[#This Row],[Fuel]],", ",",")</f>
        <v>bioenergy: agricultural waste (solids),bioenergy: wood &amp; other biomass (solids)</v>
      </c>
      <c r="D888" t="s">
        <v>46</v>
      </c>
      <c r="E888" t="s">
        <v>25</v>
      </c>
      <c r="G888">
        <v>30</v>
      </c>
      <c r="H888" t="s">
        <v>27</v>
      </c>
      <c r="I888">
        <v>2019</v>
      </c>
      <c r="J888" t="s">
        <v>21</v>
      </c>
      <c r="K888">
        <v>32.189500000000002</v>
      </c>
      <c r="L888">
        <v>114.547</v>
      </c>
      <c r="M888" t="s">
        <v>102</v>
      </c>
      <c r="N888" s="2">
        <f>Table1[[#This Row],[Capacity (MW)]]*8760*0.72*10^-6</f>
        <v>0.189216</v>
      </c>
      <c r="O888" s="2" cm="1">
        <f t="array" ref="O888">AVERAGE(VLOOKUP(_xlfn.TEXTSPLIT(Table1[[#This Row],[Fuel (no space after comma)]], ","), FuelList_Final_EF!$A$2:$B$32, 2, FALSE))</f>
        <v>105.985</v>
      </c>
      <c r="P888" s="2">
        <f>(16112*Table1[[#This Row],[Generation (TWh)]]*10^9)/10^6</f>
        <v>3048648.1919999998</v>
      </c>
      <c r="Q888" s="2">
        <f>Table1[[#This Row],[Emission Factor (kg CO2/ mmBtu)]]*Table1[[#This Row],[Fuel Consumption (mmBtu)]]*10^3</f>
        <v>323110978629.12</v>
      </c>
      <c r="R888" s="2">
        <f>(Table1[[#This Row],[CO2 Emissions (g CO2)]])/(Table1[[#This Row],[Generation (TWh)]]*10^9)</f>
        <v>1707.63032</v>
      </c>
    </row>
    <row r="889" spans="1:18" hidden="1">
      <c r="A889" t="s">
        <v>615</v>
      </c>
      <c r="B889" t="s">
        <v>46</v>
      </c>
      <c r="C889" t="str">
        <f>SUBSTITUTE(Table1[[#This Row],[Fuel]],", ",",")</f>
        <v>bioenergy: agricultural waste (solids)</v>
      </c>
      <c r="D889" t="s">
        <v>46</v>
      </c>
      <c r="G889">
        <v>27</v>
      </c>
      <c r="H889" t="s">
        <v>27</v>
      </c>
      <c r="I889">
        <v>2021</v>
      </c>
      <c r="J889" t="s">
        <v>21</v>
      </c>
      <c r="K889">
        <v>33.614199999999997</v>
      </c>
      <c r="L889">
        <v>113.01949999999999</v>
      </c>
      <c r="M889" t="s">
        <v>102</v>
      </c>
      <c r="N889" s="2">
        <f>Table1[[#This Row],[Capacity (MW)]]*8760*0.72*10^-6</f>
        <v>0.17029439999999998</v>
      </c>
      <c r="O889" s="2" cm="1">
        <f t="array" ref="O889">AVERAGE(VLOOKUP(_xlfn.TEXTSPLIT(Table1[[#This Row],[Fuel (no space after comma)]], ","), FuelList_Final_EF!$A$2:$B$32, 2, FALSE))</f>
        <v>118.17</v>
      </c>
      <c r="P889" s="2">
        <f>(16112*Table1[[#This Row],[Generation (TWh)]]*10^9)/10^6</f>
        <v>2743783.3727999995</v>
      </c>
      <c r="Q889" s="2">
        <f>Table1[[#This Row],[Emission Factor (kg CO2/ mmBtu)]]*Table1[[#This Row],[Fuel Consumption (mmBtu)]]*10^3</f>
        <v>324232881163.776</v>
      </c>
      <c r="R889" s="2">
        <f>(Table1[[#This Row],[CO2 Emissions (g CO2)]])/(Table1[[#This Row],[Generation (TWh)]]*10^9)</f>
        <v>1903.9550400000003</v>
      </c>
    </row>
    <row r="890" spans="1:18" hidden="1">
      <c r="A890" t="s">
        <v>616</v>
      </c>
      <c r="B890" t="s">
        <v>46</v>
      </c>
      <c r="C890" t="str">
        <f>SUBSTITUTE(Table1[[#This Row],[Fuel]],", ",",")</f>
        <v>bioenergy: agricultural waste (solids)</v>
      </c>
      <c r="D890" t="s">
        <v>46</v>
      </c>
      <c r="G890">
        <v>3</v>
      </c>
      <c r="H890" t="s">
        <v>27</v>
      </c>
      <c r="I890">
        <v>2021</v>
      </c>
      <c r="J890" t="s">
        <v>21</v>
      </c>
      <c r="K890">
        <v>33.614199999999997</v>
      </c>
      <c r="L890">
        <v>113.01949999999999</v>
      </c>
      <c r="M890" t="s">
        <v>102</v>
      </c>
      <c r="N890" s="2">
        <f>Table1[[#This Row],[Capacity (MW)]]*8760*0.72*10^-6</f>
        <v>1.8921599999999997E-2</v>
      </c>
      <c r="O890" s="2" cm="1">
        <f t="array" ref="O890">AVERAGE(VLOOKUP(_xlfn.TEXTSPLIT(Table1[[#This Row],[Fuel (no space after comma)]], ","), FuelList_Final_EF!$A$2:$B$32, 2, FALSE))</f>
        <v>118.17</v>
      </c>
      <c r="P890" s="2">
        <f>(16112*Table1[[#This Row],[Generation (TWh)]]*10^9)/10^6</f>
        <v>304864.81919999991</v>
      </c>
      <c r="Q890" s="2">
        <f>Table1[[#This Row],[Emission Factor (kg CO2/ mmBtu)]]*Table1[[#This Row],[Fuel Consumption (mmBtu)]]*10^3</f>
        <v>36025875684.863991</v>
      </c>
      <c r="R890" s="2">
        <f>(Table1[[#This Row],[CO2 Emissions (g CO2)]])/(Table1[[#This Row],[Generation (TWh)]]*10^9)</f>
        <v>1903.9550399999998</v>
      </c>
    </row>
    <row r="891" spans="1:18" hidden="1">
      <c r="A891" t="s">
        <v>117</v>
      </c>
      <c r="B891" t="s">
        <v>46</v>
      </c>
      <c r="C891" t="str">
        <f>SUBSTITUTE(Table1[[#This Row],[Fuel]],", ",",")</f>
        <v>bioenergy: agricultural waste (solids)</v>
      </c>
      <c r="D891" t="s">
        <v>46</v>
      </c>
      <c r="G891">
        <v>30</v>
      </c>
      <c r="H891" t="s">
        <v>27</v>
      </c>
      <c r="I891">
        <v>2014</v>
      </c>
      <c r="J891" t="s">
        <v>21</v>
      </c>
      <c r="K891">
        <v>33.897599999999997</v>
      </c>
      <c r="L891">
        <v>115.4777</v>
      </c>
      <c r="M891" t="s">
        <v>102</v>
      </c>
      <c r="N891" s="2">
        <f>Table1[[#This Row],[Capacity (MW)]]*8760*0.72*10^-6</f>
        <v>0.189216</v>
      </c>
      <c r="O891" s="2" cm="1">
        <f t="array" ref="O891">AVERAGE(VLOOKUP(_xlfn.TEXTSPLIT(Table1[[#This Row],[Fuel (no space after comma)]], ","), FuelList_Final_EF!$A$2:$B$32, 2, FALSE))</f>
        <v>118.17</v>
      </c>
      <c r="P891" s="2">
        <f>(16112*Table1[[#This Row],[Generation (TWh)]]*10^9)/10^6</f>
        <v>3048648.1919999998</v>
      </c>
      <c r="Q891" s="2">
        <f>Table1[[#This Row],[Emission Factor (kg CO2/ mmBtu)]]*Table1[[#This Row],[Fuel Consumption (mmBtu)]]*10^3</f>
        <v>360258756848.63995</v>
      </c>
      <c r="R891" s="2">
        <f>(Table1[[#This Row],[CO2 Emissions (g CO2)]])/(Table1[[#This Row],[Generation (TWh)]]*10^9)</f>
        <v>1903.9550399999998</v>
      </c>
    </row>
    <row r="892" spans="1:18" hidden="1">
      <c r="A892" t="s">
        <v>617</v>
      </c>
      <c r="B892" t="s">
        <v>46</v>
      </c>
      <c r="C892" t="str">
        <f>SUBSTITUTE(Table1[[#This Row],[Fuel]],", ",",")</f>
        <v>bioenergy: agricultural waste (solids)</v>
      </c>
      <c r="D892" t="s">
        <v>46</v>
      </c>
      <c r="G892">
        <v>5.3999999999999986</v>
      </c>
      <c r="H892" t="s">
        <v>27</v>
      </c>
      <c r="I892">
        <v>2019</v>
      </c>
      <c r="J892" t="s">
        <v>21</v>
      </c>
      <c r="K892">
        <v>36.072800000000001</v>
      </c>
      <c r="L892">
        <v>115.34910000000001</v>
      </c>
      <c r="M892" t="s">
        <v>102</v>
      </c>
      <c r="N892" s="2">
        <f>Table1[[#This Row],[Capacity (MW)]]*8760*0.72*10^-6</f>
        <v>3.4058879999999986E-2</v>
      </c>
      <c r="O892" s="2" cm="1">
        <f t="array" ref="O892">AVERAGE(VLOOKUP(_xlfn.TEXTSPLIT(Table1[[#This Row],[Fuel (no space after comma)]], ","), FuelList_Final_EF!$A$2:$B$32, 2, FALSE))</f>
        <v>118.17</v>
      </c>
      <c r="P892" s="2">
        <f>(16112*Table1[[#This Row],[Generation (TWh)]]*10^9)/10^6</f>
        <v>548756.67455999972</v>
      </c>
      <c r="Q892" s="2">
        <f>Table1[[#This Row],[Emission Factor (kg CO2/ mmBtu)]]*Table1[[#This Row],[Fuel Consumption (mmBtu)]]*10^3</f>
        <v>64846576232.755173</v>
      </c>
      <c r="R892" s="2">
        <f>(Table1[[#This Row],[CO2 Emissions (g CO2)]])/(Table1[[#This Row],[Generation (TWh)]]*10^9)</f>
        <v>1903.9550400000001</v>
      </c>
    </row>
    <row r="893" spans="1:18" hidden="1">
      <c r="A893" t="s">
        <v>618</v>
      </c>
      <c r="B893" t="s">
        <v>46</v>
      </c>
      <c r="C893" t="str">
        <f>SUBSTITUTE(Table1[[#This Row],[Fuel]],", ",",")</f>
        <v>bioenergy: agricultural waste (solids)</v>
      </c>
      <c r="D893" t="s">
        <v>46</v>
      </c>
      <c r="G893">
        <v>4.5</v>
      </c>
      <c r="H893" t="s">
        <v>27</v>
      </c>
      <c r="I893">
        <v>2019</v>
      </c>
      <c r="J893" t="s">
        <v>21</v>
      </c>
      <c r="K893">
        <v>36.072800000000001</v>
      </c>
      <c r="L893">
        <v>115.34910000000001</v>
      </c>
      <c r="M893" t="s">
        <v>102</v>
      </c>
      <c r="N893" s="2">
        <f>Table1[[#This Row],[Capacity (MW)]]*8760*0.72*10^-6</f>
        <v>2.8382399999999995E-2</v>
      </c>
      <c r="O893" s="2" cm="1">
        <f t="array" ref="O893">AVERAGE(VLOOKUP(_xlfn.TEXTSPLIT(Table1[[#This Row],[Fuel (no space after comma)]], ","), FuelList_Final_EF!$A$2:$B$32, 2, FALSE))</f>
        <v>118.17</v>
      </c>
      <c r="P893" s="2">
        <f>(16112*Table1[[#This Row],[Generation (TWh)]]*10^9)/10^6</f>
        <v>457297.22879999992</v>
      </c>
      <c r="Q893" s="2">
        <f>Table1[[#This Row],[Emission Factor (kg CO2/ mmBtu)]]*Table1[[#This Row],[Fuel Consumption (mmBtu)]]*10^3</f>
        <v>54038813527.29599</v>
      </c>
      <c r="R893" s="2">
        <f>(Table1[[#This Row],[CO2 Emissions (g CO2)]])/(Table1[[#This Row],[Generation (TWh)]]*10^9)</f>
        <v>1903.9550399999998</v>
      </c>
    </row>
    <row r="894" spans="1:18" hidden="1">
      <c r="A894" t="s">
        <v>619</v>
      </c>
      <c r="B894" t="s">
        <v>46</v>
      </c>
      <c r="C894" t="str">
        <f>SUBSTITUTE(Table1[[#This Row],[Fuel]],", ",",")</f>
        <v>bioenergy: agricultural waste (solids)</v>
      </c>
      <c r="D894" t="s">
        <v>46</v>
      </c>
      <c r="G894">
        <v>11.4</v>
      </c>
      <c r="H894" t="s">
        <v>27</v>
      </c>
      <c r="I894">
        <v>2019</v>
      </c>
      <c r="J894" t="s">
        <v>21</v>
      </c>
      <c r="K894">
        <v>36.072800000000001</v>
      </c>
      <c r="L894">
        <v>115.34910000000001</v>
      </c>
      <c r="M894" t="s">
        <v>102</v>
      </c>
      <c r="N894" s="2">
        <f>Table1[[#This Row],[Capacity (MW)]]*8760*0.72*10^-6</f>
        <v>7.1902079999999993E-2</v>
      </c>
      <c r="O894" s="2" cm="1">
        <f t="array" ref="O894">AVERAGE(VLOOKUP(_xlfn.TEXTSPLIT(Table1[[#This Row],[Fuel (no space after comma)]], ","), FuelList_Final_EF!$A$2:$B$32, 2, FALSE))</f>
        <v>118.17</v>
      </c>
      <c r="P894" s="2">
        <f>(16112*Table1[[#This Row],[Generation (TWh)]]*10^9)/10^6</f>
        <v>1158486.3129599998</v>
      </c>
      <c r="Q894" s="2">
        <f>Table1[[#This Row],[Emission Factor (kg CO2/ mmBtu)]]*Table1[[#This Row],[Fuel Consumption (mmBtu)]]*10^3</f>
        <v>136898327602.48318</v>
      </c>
      <c r="R894" s="2">
        <f>(Table1[[#This Row],[CO2 Emissions (g CO2)]])/(Table1[[#This Row],[Generation (TWh)]]*10^9)</f>
        <v>1903.9550399999998</v>
      </c>
    </row>
    <row r="895" spans="1:18" hidden="1">
      <c r="A895" t="s">
        <v>620</v>
      </c>
      <c r="B895" t="s">
        <v>46</v>
      </c>
      <c r="C895" t="str">
        <f>SUBSTITUTE(Table1[[#This Row],[Fuel]],", ",",")</f>
        <v>bioenergy: agricultural waste (solids)</v>
      </c>
      <c r="D895" t="s">
        <v>46</v>
      </c>
      <c r="G895">
        <v>0.6</v>
      </c>
      <c r="H895" t="s">
        <v>27</v>
      </c>
      <c r="I895">
        <v>2019</v>
      </c>
      <c r="J895" t="s">
        <v>21</v>
      </c>
      <c r="K895">
        <v>36.072800000000001</v>
      </c>
      <c r="L895">
        <v>115.34910000000001</v>
      </c>
      <c r="M895" t="s">
        <v>102</v>
      </c>
      <c r="N895" s="2">
        <f>Table1[[#This Row],[Capacity (MW)]]*8760*0.72*10^-6</f>
        <v>3.7843199999999994E-3</v>
      </c>
      <c r="O895" s="2" cm="1">
        <f t="array" ref="O895">AVERAGE(VLOOKUP(_xlfn.TEXTSPLIT(Table1[[#This Row],[Fuel (no space after comma)]], ","), FuelList_Final_EF!$A$2:$B$32, 2, FALSE))</f>
        <v>118.17</v>
      </c>
      <c r="P895" s="2">
        <f>(16112*Table1[[#This Row],[Generation (TWh)]]*10^9)/10^6</f>
        <v>60972.963839999989</v>
      </c>
      <c r="Q895" s="2">
        <f>Table1[[#This Row],[Emission Factor (kg CO2/ mmBtu)]]*Table1[[#This Row],[Fuel Consumption (mmBtu)]]*10^3</f>
        <v>7205175136.9727993</v>
      </c>
      <c r="R895" s="2">
        <f>(Table1[[#This Row],[CO2 Emissions (g CO2)]])/(Table1[[#This Row],[Generation (TWh)]]*10^9)</f>
        <v>1903.9550400000001</v>
      </c>
    </row>
    <row r="896" spans="1:18" hidden="1">
      <c r="A896" t="s">
        <v>621</v>
      </c>
      <c r="B896" t="s">
        <v>46</v>
      </c>
      <c r="C896" t="str">
        <f>SUBSTITUTE(Table1[[#This Row],[Fuel]],", ",",")</f>
        <v>bioenergy: agricultural waste (solids)</v>
      </c>
      <c r="D896" t="s">
        <v>46</v>
      </c>
      <c r="G896">
        <v>5.3999999999999986</v>
      </c>
      <c r="H896" t="s">
        <v>27</v>
      </c>
      <c r="I896">
        <v>2019</v>
      </c>
      <c r="J896" t="s">
        <v>21</v>
      </c>
      <c r="K896">
        <v>36.072800000000001</v>
      </c>
      <c r="L896">
        <v>115.34910000000001</v>
      </c>
      <c r="M896" t="s">
        <v>102</v>
      </c>
      <c r="N896" s="2">
        <f>Table1[[#This Row],[Capacity (MW)]]*8760*0.72*10^-6</f>
        <v>3.4058879999999986E-2</v>
      </c>
      <c r="O896" s="2" cm="1">
        <f t="array" ref="O896">AVERAGE(VLOOKUP(_xlfn.TEXTSPLIT(Table1[[#This Row],[Fuel (no space after comma)]], ","), FuelList_Final_EF!$A$2:$B$32, 2, FALSE))</f>
        <v>118.17</v>
      </c>
      <c r="P896" s="2">
        <f>(16112*Table1[[#This Row],[Generation (TWh)]]*10^9)/10^6</f>
        <v>548756.67455999972</v>
      </c>
      <c r="Q896" s="2">
        <f>Table1[[#This Row],[Emission Factor (kg CO2/ mmBtu)]]*Table1[[#This Row],[Fuel Consumption (mmBtu)]]*10^3</f>
        <v>64846576232.755173</v>
      </c>
      <c r="R896" s="2">
        <f>(Table1[[#This Row],[CO2 Emissions (g CO2)]])/(Table1[[#This Row],[Generation (TWh)]]*10^9)</f>
        <v>1903.9550400000001</v>
      </c>
    </row>
    <row r="897" spans="1:18" hidden="1">
      <c r="A897" t="s">
        <v>622</v>
      </c>
      <c r="B897" t="s">
        <v>46</v>
      </c>
      <c r="C897" t="str">
        <f>SUBSTITUTE(Table1[[#This Row],[Fuel]],", ",",")</f>
        <v>bioenergy: agricultural waste (solids)</v>
      </c>
      <c r="D897" t="s">
        <v>46</v>
      </c>
      <c r="G897">
        <v>2.7</v>
      </c>
      <c r="H897" t="s">
        <v>27</v>
      </c>
      <c r="I897">
        <v>2019</v>
      </c>
      <c r="J897" t="s">
        <v>21</v>
      </c>
      <c r="K897">
        <v>36.072800000000001</v>
      </c>
      <c r="L897">
        <v>115.34910000000001</v>
      </c>
      <c r="M897" t="s">
        <v>102</v>
      </c>
      <c r="N897" s="2">
        <f>Table1[[#This Row],[Capacity (MW)]]*8760*0.72*10^-6</f>
        <v>1.7029439999999996E-2</v>
      </c>
      <c r="O897" s="2" cm="1">
        <f t="array" ref="O897">AVERAGE(VLOOKUP(_xlfn.TEXTSPLIT(Table1[[#This Row],[Fuel (no space after comma)]], ","), FuelList_Final_EF!$A$2:$B$32, 2, FALSE))</f>
        <v>118.17</v>
      </c>
      <c r="P897" s="2">
        <f>(16112*Table1[[#This Row],[Generation (TWh)]]*10^9)/10^6</f>
        <v>274378.33727999992</v>
      </c>
      <c r="Q897" s="2">
        <f>Table1[[#This Row],[Emission Factor (kg CO2/ mmBtu)]]*Table1[[#This Row],[Fuel Consumption (mmBtu)]]*10^3</f>
        <v>32423288116.377594</v>
      </c>
      <c r="R897" s="2">
        <f>(Table1[[#This Row],[CO2 Emissions (g CO2)]])/(Table1[[#This Row],[Generation (TWh)]]*10^9)</f>
        <v>1903.9550400000001</v>
      </c>
    </row>
    <row r="898" spans="1:18" hidden="1">
      <c r="A898" t="s">
        <v>623</v>
      </c>
      <c r="B898" t="s">
        <v>46</v>
      </c>
      <c r="C898" t="str">
        <f>SUBSTITUTE(Table1[[#This Row],[Fuel]],", ",",")</f>
        <v>bioenergy: agricultural waste (solids)</v>
      </c>
      <c r="D898" t="s">
        <v>46</v>
      </c>
      <c r="G898">
        <v>30</v>
      </c>
      <c r="H898" t="s">
        <v>27</v>
      </c>
      <c r="I898">
        <v>2021</v>
      </c>
      <c r="J898" t="s">
        <v>21</v>
      </c>
      <c r="K898">
        <v>33.287199999999999</v>
      </c>
      <c r="L898">
        <v>112.6476</v>
      </c>
      <c r="M898" t="s">
        <v>102</v>
      </c>
      <c r="N898" s="2">
        <f>Table1[[#This Row],[Capacity (MW)]]*8760*0.72*10^-6</f>
        <v>0.189216</v>
      </c>
      <c r="O898" s="2" cm="1">
        <f t="array" ref="O898">AVERAGE(VLOOKUP(_xlfn.TEXTSPLIT(Table1[[#This Row],[Fuel (no space after comma)]], ","), FuelList_Final_EF!$A$2:$B$32, 2, FALSE))</f>
        <v>118.17</v>
      </c>
      <c r="P898" s="2">
        <f>(16112*Table1[[#This Row],[Generation (TWh)]]*10^9)/10^6</f>
        <v>3048648.1919999998</v>
      </c>
      <c r="Q898" s="2">
        <f>Table1[[#This Row],[Emission Factor (kg CO2/ mmBtu)]]*Table1[[#This Row],[Fuel Consumption (mmBtu)]]*10^3</f>
        <v>360258756848.63995</v>
      </c>
      <c r="R898" s="2">
        <f>(Table1[[#This Row],[CO2 Emissions (g CO2)]])/(Table1[[#This Row],[Generation (TWh)]]*10^9)</f>
        <v>1903.9550399999998</v>
      </c>
    </row>
    <row r="899" spans="1:18">
      <c r="A899" t="s">
        <v>624</v>
      </c>
      <c r="B899" t="s">
        <v>105</v>
      </c>
      <c r="C899" t="str">
        <f>SUBSTITUTE(Table1[[#This Row],[Fuel]],", ",",")</f>
        <v>bioenergy: agricultural waste (solids),bioenergy: wood &amp; other biomass (solids)</v>
      </c>
      <c r="D899" t="s">
        <v>46</v>
      </c>
      <c r="E899" t="s">
        <v>25</v>
      </c>
      <c r="G899">
        <v>30</v>
      </c>
      <c r="H899" t="s">
        <v>138</v>
      </c>
      <c r="I899" t="s">
        <v>21</v>
      </c>
      <c r="J899" t="s">
        <v>21</v>
      </c>
      <c r="K899">
        <v>34.461300000000001</v>
      </c>
      <c r="L899">
        <v>115.3377</v>
      </c>
      <c r="M899" t="s">
        <v>102</v>
      </c>
      <c r="N899" s="2">
        <f>Table1[[#This Row],[Capacity (MW)]]*8760*0.72*10^-6</f>
        <v>0.189216</v>
      </c>
      <c r="O899" s="2" cm="1">
        <f t="array" ref="O899">AVERAGE(VLOOKUP(_xlfn.TEXTSPLIT(Table1[[#This Row],[Fuel (no space after comma)]], ","), FuelList_Final_EF!$A$2:$B$32, 2, FALSE))</f>
        <v>105.985</v>
      </c>
      <c r="P899" s="2">
        <f>(16112*Table1[[#This Row],[Generation (TWh)]]*10^9)/10^6</f>
        <v>3048648.1919999998</v>
      </c>
      <c r="Q899" s="2">
        <f>Table1[[#This Row],[Emission Factor (kg CO2/ mmBtu)]]*Table1[[#This Row],[Fuel Consumption (mmBtu)]]*10^3</f>
        <v>323110978629.12</v>
      </c>
      <c r="R899" s="2">
        <f>(Table1[[#This Row],[CO2 Emissions (g CO2)]])/(Table1[[#This Row],[Generation (TWh)]]*10^9)</f>
        <v>1707.63032</v>
      </c>
    </row>
    <row r="900" spans="1:18">
      <c r="A900" t="s">
        <v>624</v>
      </c>
      <c r="B900" t="s">
        <v>105</v>
      </c>
      <c r="C900" t="str">
        <f>SUBSTITUTE(Table1[[#This Row],[Fuel]],", ",",")</f>
        <v>bioenergy: agricultural waste (solids),bioenergy: wood &amp; other biomass (solids)</v>
      </c>
      <c r="D900" t="s">
        <v>46</v>
      </c>
      <c r="E900" t="s">
        <v>25</v>
      </c>
      <c r="G900">
        <v>40</v>
      </c>
      <c r="H900" t="s">
        <v>138</v>
      </c>
      <c r="I900" t="s">
        <v>21</v>
      </c>
      <c r="J900" t="s">
        <v>21</v>
      </c>
      <c r="K900">
        <v>34.461300000000001</v>
      </c>
      <c r="L900">
        <v>115.3377</v>
      </c>
      <c r="M900" t="s">
        <v>102</v>
      </c>
      <c r="N900" s="2">
        <f>Table1[[#This Row],[Capacity (MW)]]*8760*0.72*10^-6</f>
        <v>0.25228800000000001</v>
      </c>
      <c r="O900" s="2" cm="1">
        <f t="array" ref="O900">AVERAGE(VLOOKUP(_xlfn.TEXTSPLIT(Table1[[#This Row],[Fuel (no space after comma)]], ","), FuelList_Final_EF!$A$2:$B$32, 2, FALSE))</f>
        <v>105.985</v>
      </c>
      <c r="P900" s="2">
        <f>(16112*Table1[[#This Row],[Generation (TWh)]]*10^9)/10^6</f>
        <v>4064864.2560000005</v>
      </c>
      <c r="Q900" s="2">
        <f>Table1[[#This Row],[Emission Factor (kg CO2/ mmBtu)]]*Table1[[#This Row],[Fuel Consumption (mmBtu)]]*10^3</f>
        <v>430814638172.16003</v>
      </c>
      <c r="R900" s="2">
        <f>(Table1[[#This Row],[CO2 Emissions (g CO2)]])/(Table1[[#This Row],[Generation (TWh)]]*10^9)</f>
        <v>1707.6303200000002</v>
      </c>
    </row>
    <row r="901" spans="1:18">
      <c r="A901" t="s">
        <v>284</v>
      </c>
      <c r="B901" t="s">
        <v>105</v>
      </c>
      <c r="C901" t="str">
        <f>SUBSTITUTE(Table1[[#This Row],[Fuel]],", ",",")</f>
        <v>bioenergy: agricultural waste (solids),bioenergy: wood &amp; other biomass (solids)</v>
      </c>
      <c r="D901" t="s">
        <v>46</v>
      </c>
      <c r="E901" t="s">
        <v>25</v>
      </c>
      <c r="G901">
        <v>40</v>
      </c>
      <c r="H901" t="s">
        <v>138</v>
      </c>
      <c r="I901" t="s">
        <v>21</v>
      </c>
      <c r="J901" t="s">
        <v>21</v>
      </c>
      <c r="K901">
        <v>32.4773</v>
      </c>
      <c r="L901">
        <v>114.0414</v>
      </c>
      <c r="M901" t="s">
        <v>102</v>
      </c>
      <c r="N901" s="2">
        <f>Table1[[#This Row],[Capacity (MW)]]*8760*0.72*10^-6</f>
        <v>0.25228800000000001</v>
      </c>
      <c r="O901" s="2" cm="1">
        <f t="array" ref="O901">AVERAGE(VLOOKUP(_xlfn.TEXTSPLIT(Table1[[#This Row],[Fuel (no space after comma)]], ","), FuelList_Final_EF!$A$2:$B$32, 2, FALSE))</f>
        <v>105.985</v>
      </c>
      <c r="P901" s="2">
        <f>(16112*Table1[[#This Row],[Generation (TWh)]]*10^9)/10^6</f>
        <v>4064864.2560000005</v>
      </c>
      <c r="Q901" s="2">
        <f>Table1[[#This Row],[Emission Factor (kg CO2/ mmBtu)]]*Table1[[#This Row],[Fuel Consumption (mmBtu)]]*10^3</f>
        <v>430814638172.16003</v>
      </c>
      <c r="R901" s="2">
        <f>(Table1[[#This Row],[CO2 Emissions (g CO2)]])/(Table1[[#This Row],[Generation (TWh)]]*10^9)</f>
        <v>1707.6303200000002</v>
      </c>
    </row>
    <row r="902" spans="1:18" hidden="1">
      <c r="A902" t="s">
        <v>625</v>
      </c>
      <c r="B902" t="s">
        <v>46</v>
      </c>
      <c r="C902" t="str">
        <f>SUBSTITUTE(Table1[[#This Row],[Fuel]],", ",",")</f>
        <v>bioenergy: agricultural waste (solids)</v>
      </c>
      <c r="D902" t="s">
        <v>46</v>
      </c>
      <c r="G902">
        <v>3</v>
      </c>
      <c r="H902" t="s">
        <v>27</v>
      </c>
      <c r="I902">
        <v>2021</v>
      </c>
      <c r="J902" t="s">
        <v>21</v>
      </c>
      <c r="K902">
        <v>34.538200000000003</v>
      </c>
      <c r="L902">
        <v>114.80410000000001</v>
      </c>
      <c r="M902" t="s">
        <v>102</v>
      </c>
      <c r="N902" s="2">
        <f>Table1[[#This Row],[Capacity (MW)]]*8760*0.72*10^-6</f>
        <v>1.8921599999999997E-2</v>
      </c>
      <c r="O902" s="2" cm="1">
        <f t="array" ref="O902">AVERAGE(VLOOKUP(_xlfn.TEXTSPLIT(Table1[[#This Row],[Fuel (no space after comma)]], ","), FuelList_Final_EF!$A$2:$B$32, 2, FALSE))</f>
        <v>118.17</v>
      </c>
      <c r="P902" s="2">
        <f>(16112*Table1[[#This Row],[Generation (TWh)]]*10^9)/10^6</f>
        <v>304864.81919999991</v>
      </c>
      <c r="Q902" s="2">
        <f>Table1[[#This Row],[Emission Factor (kg CO2/ mmBtu)]]*Table1[[#This Row],[Fuel Consumption (mmBtu)]]*10^3</f>
        <v>36025875684.863991</v>
      </c>
      <c r="R902" s="2">
        <f>(Table1[[#This Row],[CO2 Emissions (g CO2)]])/(Table1[[#This Row],[Generation (TWh)]]*10^9)</f>
        <v>1903.9550399999998</v>
      </c>
    </row>
    <row r="903" spans="1:18" hidden="1">
      <c r="A903" t="s">
        <v>615</v>
      </c>
      <c r="B903" t="s">
        <v>46</v>
      </c>
      <c r="C903" t="str">
        <f>SUBSTITUTE(Table1[[#This Row],[Fuel]],", ",",")</f>
        <v>bioenergy: agricultural waste (solids)</v>
      </c>
      <c r="D903" t="s">
        <v>46</v>
      </c>
      <c r="G903">
        <v>27</v>
      </c>
      <c r="H903" t="s">
        <v>27</v>
      </c>
      <c r="I903">
        <v>2021</v>
      </c>
      <c r="J903" t="s">
        <v>21</v>
      </c>
      <c r="K903">
        <v>34.538200000000003</v>
      </c>
      <c r="L903">
        <v>114.80410000000001</v>
      </c>
      <c r="M903" t="s">
        <v>102</v>
      </c>
      <c r="N903" s="2">
        <f>Table1[[#This Row],[Capacity (MW)]]*8760*0.72*10^-6</f>
        <v>0.17029439999999998</v>
      </c>
      <c r="O903" s="2" cm="1">
        <f t="array" ref="O903">AVERAGE(VLOOKUP(_xlfn.TEXTSPLIT(Table1[[#This Row],[Fuel (no space after comma)]], ","), FuelList_Final_EF!$A$2:$B$32, 2, FALSE))</f>
        <v>118.17</v>
      </c>
      <c r="P903" s="2">
        <f>(16112*Table1[[#This Row],[Generation (TWh)]]*10^9)/10^6</f>
        <v>2743783.3727999995</v>
      </c>
      <c r="Q903" s="2">
        <f>Table1[[#This Row],[Emission Factor (kg CO2/ mmBtu)]]*Table1[[#This Row],[Fuel Consumption (mmBtu)]]*10^3</f>
        <v>324232881163.776</v>
      </c>
      <c r="R903" s="2">
        <f>(Table1[[#This Row],[CO2 Emissions (g CO2)]])/(Table1[[#This Row],[Generation (TWh)]]*10^9)</f>
        <v>1903.9550400000003</v>
      </c>
    </row>
    <row r="904" spans="1:18" hidden="1">
      <c r="A904" t="s">
        <v>530</v>
      </c>
      <c r="B904" t="s">
        <v>105</v>
      </c>
      <c r="C904" t="str">
        <f>SUBSTITUTE(Table1[[#This Row],[Fuel]],", ",",")</f>
        <v>bioenergy: agricultural waste (solids),bioenergy: wood &amp; other biomass (solids)</v>
      </c>
      <c r="D904" t="s">
        <v>46</v>
      </c>
      <c r="E904" t="s">
        <v>25</v>
      </c>
      <c r="G904">
        <v>30</v>
      </c>
      <c r="H904" t="s">
        <v>27</v>
      </c>
      <c r="I904">
        <v>2020</v>
      </c>
      <c r="J904" t="s">
        <v>21</v>
      </c>
      <c r="K904">
        <v>32.966299999999997</v>
      </c>
      <c r="L904">
        <v>114.3224</v>
      </c>
      <c r="M904" t="s">
        <v>102</v>
      </c>
      <c r="N904" s="2">
        <f>Table1[[#This Row],[Capacity (MW)]]*8760*0.72*10^-6</f>
        <v>0.189216</v>
      </c>
      <c r="O904" s="2" cm="1">
        <f t="array" ref="O904">AVERAGE(VLOOKUP(_xlfn.TEXTSPLIT(Table1[[#This Row],[Fuel (no space after comma)]], ","), FuelList_Final_EF!$A$2:$B$32, 2, FALSE))</f>
        <v>105.985</v>
      </c>
      <c r="P904" s="2">
        <f>(16112*Table1[[#This Row],[Generation (TWh)]]*10^9)/10^6</f>
        <v>3048648.1919999998</v>
      </c>
      <c r="Q904" s="2">
        <f>Table1[[#This Row],[Emission Factor (kg CO2/ mmBtu)]]*Table1[[#This Row],[Fuel Consumption (mmBtu)]]*10^3</f>
        <v>323110978629.12</v>
      </c>
      <c r="R904" s="2">
        <f>(Table1[[#This Row],[CO2 Emissions (g CO2)]])/(Table1[[#This Row],[Generation (TWh)]]*10^9)</f>
        <v>1707.63032</v>
      </c>
    </row>
    <row r="905" spans="1:18" hidden="1">
      <c r="A905" t="s">
        <v>117</v>
      </c>
      <c r="B905" t="s">
        <v>46</v>
      </c>
      <c r="C905" t="str">
        <f>SUBSTITUTE(Table1[[#This Row],[Fuel]],", ",",")</f>
        <v>bioenergy: agricultural waste (solids)</v>
      </c>
      <c r="D905" t="s">
        <v>46</v>
      </c>
      <c r="G905">
        <v>30</v>
      </c>
      <c r="H905" t="s">
        <v>27</v>
      </c>
      <c r="I905">
        <v>2014</v>
      </c>
      <c r="J905" t="s">
        <v>21</v>
      </c>
      <c r="K905">
        <v>33.271900000000002</v>
      </c>
      <c r="L905">
        <v>114.3254</v>
      </c>
      <c r="M905" t="s">
        <v>102</v>
      </c>
      <c r="N905" s="2">
        <f>Table1[[#This Row],[Capacity (MW)]]*8760*0.72*10^-6</f>
        <v>0.189216</v>
      </c>
      <c r="O905" s="2" cm="1">
        <f t="array" ref="O905">AVERAGE(VLOOKUP(_xlfn.TEXTSPLIT(Table1[[#This Row],[Fuel (no space after comma)]], ","), FuelList_Final_EF!$A$2:$B$32, 2, FALSE))</f>
        <v>118.17</v>
      </c>
      <c r="P905" s="2">
        <f>(16112*Table1[[#This Row],[Generation (TWh)]]*10^9)/10^6</f>
        <v>3048648.1919999998</v>
      </c>
      <c r="Q905" s="2">
        <f>Table1[[#This Row],[Emission Factor (kg CO2/ mmBtu)]]*Table1[[#This Row],[Fuel Consumption (mmBtu)]]*10^3</f>
        <v>360258756848.63995</v>
      </c>
      <c r="R905" s="2">
        <f>(Table1[[#This Row],[CO2 Emissions (g CO2)]])/(Table1[[#This Row],[Generation (TWh)]]*10^9)</f>
        <v>1903.9550399999998</v>
      </c>
    </row>
    <row r="906" spans="1:18" hidden="1">
      <c r="A906" t="s">
        <v>612</v>
      </c>
      <c r="B906" t="s">
        <v>19</v>
      </c>
      <c r="C906" t="str">
        <f>SUBSTITUTE(Table1[[#This Row],[Fuel]],", ",",")</f>
        <v>bioenergy: refuse (municipal and industrial wastes)</v>
      </c>
      <c r="D906" t="s">
        <v>19</v>
      </c>
      <c r="G906">
        <v>3</v>
      </c>
      <c r="H906" t="s">
        <v>27</v>
      </c>
      <c r="I906">
        <v>2021</v>
      </c>
      <c r="J906" t="s">
        <v>21</v>
      </c>
      <c r="K906">
        <v>33.5443</v>
      </c>
      <c r="L906">
        <v>114.5732</v>
      </c>
      <c r="M906" t="s">
        <v>102</v>
      </c>
      <c r="N906" s="2">
        <f>Table1[[#This Row],[Capacity (MW)]]*8760*0.72*10^-6</f>
        <v>1.8921599999999997E-2</v>
      </c>
      <c r="O906" s="2" cm="1">
        <f t="array" ref="O906">AVERAGE(VLOOKUP(_xlfn.TEXTSPLIT(Table1[[#This Row],[Fuel (no space after comma)]], ","), FuelList_Final_EF!$A$2:$B$32, 2, FALSE))</f>
        <v>105.42962572482868</v>
      </c>
      <c r="P906" s="2">
        <f>(16112*Table1[[#This Row],[Generation (TWh)]]*10^9)/10^6</f>
        <v>304864.81919999991</v>
      </c>
      <c r="Q906" s="2">
        <f>Table1[[#This Row],[Emission Factor (kg CO2/ mmBtu)]]*Table1[[#This Row],[Fuel Consumption (mmBtu)]]*10^3</f>
        <v>32141783784.923557</v>
      </c>
      <c r="R906" s="2">
        <f>(Table1[[#This Row],[CO2 Emissions (g CO2)]])/(Table1[[#This Row],[Generation (TWh)]]*10^9)</f>
        <v>1698.6821296784397</v>
      </c>
    </row>
    <row r="907" spans="1:18" hidden="1">
      <c r="A907" t="s">
        <v>626</v>
      </c>
      <c r="B907" t="s">
        <v>19</v>
      </c>
      <c r="C907" t="str">
        <f>SUBSTITUTE(Table1[[#This Row],[Fuel]],", ",",")</f>
        <v>bioenergy: refuse (municipal and industrial wastes)</v>
      </c>
      <c r="D907" t="s">
        <v>19</v>
      </c>
      <c r="G907">
        <v>27</v>
      </c>
      <c r="H907" t="s">
        <v>27</v>
      </c>
      <c r="I907">
        <v>2021</v>
      </c>
      <c r="J907" t="s">
        <v>21</v>
      </c>
      <c r="K907">
        <v>33.5443</v>
      </c>
      <c r="L907">
        <v>114.5732</v>
      </c>
      <c r="M907" t="s">
        <v>102</v>
      </c>
      <c r="N907" s="2">
        <f>Table1[[#This Row],[Capacity (MW)]]*8760*0.72*10^-6</f>
        <v>0.17029439999999998</v>
      </c>
      <c r="O907" s="2" cm="1">
        <f t="array" ref="O907">AVERAGE(VLOOKUP(_xlfn.TEXTSPLIT(Table1[[#This Row],[Fuel (no space after comma)]], ","), FuelList_Final_EF!$A$2:$B$32, 2, FALSE))</f>
        <v>105.42962572482868</v>
      </c>
      <c r="P907" s="2">
        <f>(16112*Table1[[#This Row],[Generation (TWh)]]*10^9)/10^6</f>
        <v>2743783.3727999995</v>
      </c>
      <c r="Q907" s="2">
        <f>Table1[[#This Row],[Emission Factor (kg CO2/ mmBtu)]]*Table1[[#This Row],[Fuel Consumption (mmBtu)]]*10^3</f>
        <v>289276054064.31201</v>
      </c>
      <c r="R907" s="2">
        <f>(Table1[[#This Row],[CO2 Emissions (g CO2)]])/(Table1[[#This Row],[Generation (TWh)]]*10^9)</f>
        <v>1698.6821296784397</v>
      </c>
    </row>
    <row r="908" spans="1:18" hidden="1">
      <c r="A908" t="s">
        <v>111</v>
      </c>
      <c r="B908" t="s">
        <v>105</v>
      </c>
      <c r="C908" t="str">
        <f>SUBSTITUTE(Table1[[#This Row],[Fuel]],", ",",")</f>
        <v>bioenergy: agricultural waste (solids),bioenergy: wood &amp; other biomass (solids)</v>
      </c>
      <c r="D908" t="s">
        <v>46</v>
      </c>
      <c r="E908" t="s">
        <v>25</v>
      </c>
      <c r="G908">
        <v>30</v>
      </c>
      <c r="H908" t="s">
        <v>27</v>
      </c>
      <c r="I908">
        <v>2019</v>
      </c>
      <c r="J908" t="s">
        <v>21</v>
      </c>
      <c r="K908">
        <v>33.020000000000003</v>
      </c>
      <c r="L908">
        <v>112.95440000000001</v>
      </c>
      <c r="M908" t="s">
        <v>102</v>
      </c>
      <c r="N908" s="2">
        <f>Table1[[#This Row],[Capacity (MW)]]*8760*0.72*10^-6</f>
        <v>0.189216</v>
      </c>
      <c r="O908" s="2" cm="1">
        <f t="array" ref="O908">AVERAGE(VLOOKUP(_xlfn.TEXTSPLIT(Table1[[#This Row],[Fuel (no space after comma)]], ","), FuelList_Final_EF!$A$2:$B$32, 2, FALSE))</f>
        <v>105.985</v>
      </c>
      <c r="P908" s="2">
        <f>(16112*Table1[[#This Row],[Generation (TWh)]]*10^9)/10^6</f>
        <v>3048648.1919999998</v>
      </c>
      <c r="Q908" s="2">
        <f>Table1[[#This Row],[Emission Factor (kg CO2/ mmBtu)]]*Table1[[#This Row],[Fuel Consumption (mmBtu)]]*10^3</f>
        <v>323110978629.12</v>
      </c>
      <c r="R908" s="2">
        <f>(Table1[[#This Row],[CO2 Emissions (g CO2)]])/(Table1[[#This Row],[Generation (TWh)]]*10^9)</f>
        <v>1707.63032</v>
      </c>
    </row>
    <row r="909" spans="1:18" hidden="1">
      <c r="A909" t="s">
        <v>608</v>
      </c>
      <c r="B909" t="s">
        <v>105</v>
      </c>
      <c r="C909" t="str">
        <f>SUBSTITUTE(Table1[[#This Row],[Fuel]],", ",",")</f>
        <v>bioenergy: agricultural waste (solids),bioenergy: wood &amp; other biomass (solids)</v>
      </c>
      <c r="D909" t="s">
        <v>46</v>
      </c>
      <c r="E909" t="s">
        <v>25</v>
      </c>
      <c r="G909">
        <v>30</v>
      </c>
      <c r="H909" t="s">
        <v>27</v>
      </c>
      <c r="I909">
        <v>2017</v>
      </c>
      <c r="J909" t="s">
        <v>21</v>
      </c>
      <c r="K909">
        <v>34.415599999999998</v>
      </c>
      <c r="L909">
        <v>115.03830000000001</v>
      </c>
      <c r="M909" t="s">
        <v>102</v>
      </c>
      <c r="N909" s="2">
        <f>Table1[[#This Row],[Capacity (MW)]]*8760*0.72*10^-6</f>
        <v>0.189216</v>
      </c>
      <c r="O909" s="2" cm="1">
        <f t="array" ref="O909">AVERAGE(VLOOKUP(_xlfn.TEXTSPLIT(Table1[[#This Row],[Fuel (no space after comma)]], ","), FuelList_Final_EF!$A$2:$B$32, 2, FALSE))</f>
        <v>105.985</v>
      </c>
      <c r="P909" s="2">
        <f>(16112*Table1[[#This Row],[Generation (TWh)]]*10^9)/10^6</f>
        <v>3048648.1919999998</v>
      </c>
      <c r="Q909" s="2">
        <f>Table1[[#This Row],[Emission Factor (kg CO2/ mmBtu)]]*Table1[[#This Row],[Fuel Consumption (mmBtu)]]*10^3</f>
        <v>323110978629.12</v>
      </c>
      <c r="R909" s="2">
        <f>(Table1[[#This Row],[CO2 Emissions (g CO2)]])/(Table1[[#This Row],[Generation (TWh)]]*10^9)</f>
        <v>1707.63032</v>
      </c>
    </row>
    <row r="910" spans="1:18" hidden="1">
      <c r="A910" t="s">
        <v>627</v>
      </c>
      <c r="B910" t="s">
        <v>105</v>
      </c>
      <c r="C910" t="str">
        <f>SUBSTITUTE(Table1[[#This Row],[Fuel]],", ",",")</f>
        <v>bioenergy: agricultural waste (solids),bioenergy: wood &amp; other biomass (solids)</v>
      </c>
      <c r="D910" t="s">
        <v>46</v>
      </c>
      <c r="E910" t="s">
        <v>25</v>
      </c>
      <c r="G910">
        <v>14.7</v>
      </c>
      <c r="H910" t="s">
        <v>27</v>
      </c>
      <c r="I910">
        <v>2018</v>
      </c>
      <c r="J910" t="s">
        <v>21</v>
      </c>
      <c r="K910">
        <v>35.935699999999997</v>
      </c>
      <c r="L910">
        <v>115.8421</v>
      </c>
      <c r="M910" t="s">
        <v>102</v>
      </c>
      <c r="N910" s="2">
        <f>Table1[[#This Row],[Capacity (MW)]]*8760*0.72*10^-6</f>
        <v>9.2715839999999994E-2</v>
      </c>
      <c r="O910" s="2" cm="1">
        <f t="array" ref="O910">AVERAGE(VLOOKUP(_xlfn.TEXTSPLIT(Table1[[#This Row],[Fuel (no space after comma)]], ","), FuelList_Final_EF!$A$2:$B$32, 2, FALSE))</f>
        <v>105.985</v>
      </c>
      <c r="P910" s="2">
        <f>(16112*Table1[[#This Row],[Generation (TWh)]]*10^9)/10^6</f>
        <v>1493837.6140799997</v>
      </c>
      <c r="Q910" s="2">
        <f>Table1[[#This Row],[Emission Factor (kg CO2/ mmBtu)]]*Table1[[#This Row],[Fuel Consumption (mmBtu)]]*10^3</f>
        <v>158324379528.2688</v>
      </c>
      <c r="R910" s="2">
        <f>(Table1[[#This Row],[CO2 Emissions (g CO2)]])/(Table1[[#This Row],[Generation (TWh)]]*10^9)</f>
        <v>1707.63032</v>
      </c>
    </row>
    <row r="911" spans="1:18" hidden="1">
      <c r="A911" t="s">
        <v>628</v>
      </c>
      <c r="B911" t="s">
        <v>105</v>
      </c>
      <c r="C911" t="str">
        <f>SUBSTITUTE(Table1[[#This Row],[Fuel]],", ",",")</f>
        <v>bioenergy: agricultural waste (solids),bioenergy: wood &amp; other biomass (solids)</v>
      </c>
      <c r="D911" t="s">
        <v>46</v>
      </c>
      <c r="E911" t="s">
        <v>25</v>
      </c>
      <c r="G911">
        <v>15.3</v>
      </c>
      <c r="H911" t="s">
        <v>27</v>
      </c>
      <c r="I911">
        <v>2018</v>
      </c>
      <c r="J911" t="s">
        <v>21</v>
      </c>
      <c r="K911">
        <v>35.935699999999997</v>
      </c>
      <c r="L911">
        <v>115.8421</v>
      </c>
      <c r="M911" t="s">
        <v>102</v>
      </c>
      <c r="N911" s="2">
        <f>Table1[[#This Row],[Capacity (MW)]]*8760*0.72*10^-6</f>
        <v>9.6500160000000001E-2</v>
      </c>
      <c r="O911" s="2" cm="1">
        <f t="array" ref="O911">AVERAGE(VLOOKUP(_xlfn.TEXTSPLIT(Table1[[#This Row],[Fuel (no space after comma)]], ","), FuelList_Final_EF!$A$2:$B$32, 2, FALSE))</f>
        <v>105.985</v>
      </c>
      <c r="P911" s="2">
        <f>(16112*Table1[[#This Row],[Generation (TWh)]]*10^9)/10^6</f>
        <v>1554810.5779200001</v>
      </c>
      <c r="Q911" s="2">
        <f>Table1[[#This Row],[Emission Factor (kg CO2/ mmBtu)]]*Table1[[#This Row],[Fuel Consumption (mmBtu)]]*10^3</f>
        <v>164786599100.8512</v>
      </c>
      <c r="R911" s="2">
        <f>(Table1[[#This Row],[CO2 Emissions (g CO2)]])/(Table1[[#This Row],[Generation (TWh)]]*10^9)</f>
        <v>1707.63032</v>
      </c>
    </row>
    <row r="912" spans="1:18" hidden="1">
      <c r="A912" t="s">
        <v>608</v>
      </c>
      <c r="B912" t="s">
        <v>105</v>
      </c>
      <c r="C912" t="str">
        <f>SUBSTITUTE(Table1[[#This Row],[Fuel]],", ",",")</f>
        <v>bioenergy: agricultural waste (solids),bioenergy: wood &amp; other biomass (solids)</v>
      </c>
      <c r="D912" t="s">
        <v>46</v>
      </c>
      <c r="E912" t="s">
        <v>25</v>
      </c>
      <c r="G912">
        <v>30</v>
      </c>
      <c r="H912" t="s">
        <v>27</v>
      </c>
      <c r="I912">
        <v>2021</v>
      </c>
      <c r="J912" t="s">
        <v>21</v>
      </c>
      <c r="K912">
        <v>34.9011</v>
      </c>
      <c r="L912">
        <v>113.068</v>
      </c>
      <c r="M912" t="s">
        <v>102</v>
      </c>
      <c r="N912" s="2">
        <f>Table1[[#This Row],[Capacity (MW)]]*8760*0.72*10^-6</f>
        <v>0.189216</v>
      </c>
      <c r="O912" s="2" cm="1">
        <f t="array" ref="O912">AVERAGE(VLOOKUP(_xlfn.TEXTSPLIT(Table1[[#This Row],[Fuel (no space after comma)]], ","), FuelList_Final_EF!$A$2:$B$32, 2, FALSE))</f>
        <v>105.985</v>
      </c>
      <c r="P912" s="2">
        <f>(16112*Table1[[#This Row],[Generation (TWh)]]*10^9)/10^6</f>
        <v>3048648.1919999998</v>
      </c>
      <c r="Q912" s="2">
        <f>Table1[[#This Row],[Emission Factor (kg CO2/ mmBtu)]]*Table1[[#This Row],[Fuel Consumption (mmBtu)]]*10^3</f>
        <v>323110978629.12</v>
      </c>
      <c r="R912" s="2">
        <f>(Table1[[#This Row],[CO2 Emissions (g CO2)]])/(Table1[[#This Row],[Generation (TWh)]]*10^9)</f>
        <v>1707.63032</v>
      </c>
    </row>
    <row r="913" spans="1:18" hidden="1">
      <c r="A913" t="s">
        <v>111</v>
      </c>
      <c r="B913" t="s">
        <v>105</v>
      </c>
      <c r="C913" t="str">
        <f>SUBSTITUTE(Table1[[#This Row],[Fuel]],", ",",")</f>
        <v>bioenergy: agricultural waste (solids),bioenergy: wood &amp; other biomass (solids)</v>
      </c>
      <c r="D913" t="s">
        <v>46</v>
      </c>
      <c r="E913" t="s">
        <v>25</v>
      </c>
      <c r="G913">
        <v>30</v>
      </c>
      <c r="H913" t="s">
        <v>27</v>
      </c>
      <c r="I913">
        <v>2020</v>
      </c>
      <c r="J913" t="s">
        <v>21</v>
      </c>
      <c r="K913">
        <v>34.201099999999997</v>
      </c>
      <c r="L913">
        <v>116.1507</v>
      </c>
      <c r="M913" t="s">
        <v>102</v>
      </c>
      <c r="N913" s="2">
        <f>Table1[[#This Row],[Capacity (MW)]]*8760*0.72*10^-6</f>
        <v>0.189216</v>
      </c>
      <c r="O913" s="2" cm="1">
        <f t="array" ref="O913">AVERAGE(VLOOKUP(_xlfn.TEXTSPLIT(Table1[[#This Row],[Fuel (no space after comma)]], ","), FuelList_Final_EF!$A$2:$B$32, 2, FALSE))</f>
        <v>105.985</v>
      </c>
      <c r="P913" s="2">
        <f>(16112*Table1[[#This Row],[Generation (TWh)]]*10^9)/10^6</f>
        <v>3048648.1919999998</v>
      </c>
      <c r="Q913" s="2">
        <f>Table1[[#This Row],[Emission Factor (kg CO2/ mmBtu)]]*Table1[[#This Row],[Fuel Consumption (mmBtu)]]*10^3</f>
        <v>323110978629.12</v>
      </c>
      <c r="R913" s="2">
        <f>(Table1[[#This Row],[CO2 Emissions (g CO2)]])/(Table1[[#This Row],[Generation (TWh)]]*10^9)</f>
        <v>1707.63032</v>
      </c>
    </row>
    <row r="914" spans="1:18">
      <c r="A914" t="s">
        <v>629</v>
      </c>
      <c r="B914" t="s">
        <v>19</v>
      </c>
      <c r="C914" t="str">
        <f>SUBSTITUTE(Table1[[#This Row],[Fuel]],", ",",")</f>
        <v>bioenergy: refuse (municipal and industrial wastes)</v>
      </c>
      <c r="D914" t="s">
        <v>19</v>
      </c>
      <c r="G914">
        <v>30</v>
      </c>
      <c r="H914" t="s">
        <v>53</v>
      </c>
      <c r="I914" t="s">
        <v>21</v>
      </c>
      <c r="J914" t="s">
        <v>21</v>
      </c>
      <c r="K914">
        <v>34.804600000000001</v>
      </c>
      <c r="L914">
        <v>113.40940000000001</v>
      </c>
      <c r="M914" t="s">
        <v>102</v>
      </c>
      <c r="N914" s="2">
        <f>Table1[[#This Row],[Capacity (MW)]]*8760*0.72*10^-6</f>
        <v>0.189216</v>
      </c>
      <c r="O914" s="2" cm="1">
        <f t="array" ref="O914">AVERAGE(VLOOKUP(_xlfn.TEXTSPLIT(Table1[[#This Row],[Fuel (no space after comma)]], ","), FuelList_Final_EF!$A$2:$B$32, 2, FALSE))</f>
        <v>105.42962572482868</v>
      </c>
      <c r="P914" s="2">
        <f>(16112*Table1[[#This Row],[Generation (TWh)]]*10^9)/10^6</f>
        <v>3048648.1919999998</v>
      </c>
      <c r="Q914" s="2">
        <f>Table1[[#This Row],[Emission Factor (kg CO2/ mmBtu)]]*Table1[[#This Row],[Fuel Consumption (mmBtu)]]*10^3</f>
        <v>321417837849.23566</v>
      </c>
      <c r="R914" s="2">
        <f>(Table1[[#This Row],[CO2 Emissions (g CO2)]])/(Table1[[#This Row],[Generation (TWh)]]*10^9)</f>
        <v>1698.6821296784397</v>
      </c>
    </row>
    <row r="915" spans="1:18">
      <c r="A915" t="s">
        <v>629</v>
      </c>
      <c r="B915" t="s">
        <v>19</v>
      </c>
      <c r="C915" t="str">
        <f>SUBSTITUTE(Table1[[#This Row],[Fuel]],", ",",")</f>
        <v>bioenergy: refuse (municipal and industrial wastes)</v>
      </c>
      <c r="D915" t="s">
        <v>19</v>
      </c>
      <c r="G915">
        <v>30</v>
      </c>
      <c r="H915" t="s">
        <v>53</v>
      </c>
      <c r="I915" t="s">
        <v>21</v>
      </c>
      <c r="J915" t="s">
        <v>21</v>
      </c>
      <c r="K915">
        <v>34.804600000000001</v>
      </c>
      <c r="L915">
        <v>113.40940000000001</v>
      </c>
      <c r="M915" t="s">
        <v>102</v>
      </c>
      <c r="N915" s="2">
        <f>Table1[[#This Row],[Capacity (MW)]]*8760*0.72*10^-6</f>
        <v>0.189216</v>
      </c>
      <c r="O915" s="2" cm="1">
        <f t="array" ref="O915">AVERAGE(VLOOKUP(_xlfn.TEXTSPLIT(Table1[[#This Row],[Fuel (no space after comma)]], ","), FuelList_Final_EF!$A$2:$B$32, 2, FALSE))</f>
        <v>105.42962572482868</v>
      </c>
      <c r="P915" s="2">
        <f>(16112*Table1[[#This Row],[Generation (TWh)]]*10^9)/10^6</f>
        <v>3048648.1919999998</v>
      </c>
      <c r="Q915" s="2">
        <f>Table1[[#This Row],[Emission Factor (kg CO2/ mmBtu)]]*Table1[[#This Row],[Fuel Consumption (mmBtu)]]*10^3</f>
        <v>321417837849.23566</v>
      </c>
      <c r="R915" s="2">
        <f>(Table1[[#This Row],[CO2 Emissions (g CO2)]])/(Table1[[#This Row],[Generation (TWh)]]*10^9)</f>
        <v>1698.6821296784397</v>
      </c>
    </row>
    <row r="916" spans="1:18" hidden="1">
      <c r="A916" t="s">
        <v>630</v>
      </c>
      <c r="B916" t="s">
        <v>19</v>
      </c>
      <c r="C916" t="str">
        <f>SUBSTITUTE(Table1[[#This Row],[Fuel]],", ",",")</f>
        <v>bioenergy: refuse (municipal and industrial wastes)</v>
      </c>
      <c r="D916" t="s">
        <v>19</v>
      </c>
      <c r="G916">
        <v>40</v>
      </c>
      <c r="H916" t="s">
        <v>53</v>
      </c>
      <c r="I916">
        <v>2024</v>
      </c>
      <c r="J916" t="s">
        <v>21</v>
      </c>
      <c r="K916">
        <v>34.634399999999999</v>
      </c>
      <c r="L916">
        <v>113.3546</v>
      </c>
      <c r="M916" t="s">
        <v>102</v>
      </c>
      <c r="N916" s="2">
        <f>Table1[[#This Row],[Capacity (MW)]]*8760*0.72*10^-6</f>
        <v>0.25228800000000001</v>
      </c>
      <c r="O916" s="2" cm="1">
        <f t="array" ref="O916">AVERAGE(VLOOKUP(_xlfn.TEXTSPLIT(Table1[[#This Row],[Fuel (no space after comma)]], ","), FuelList_Final_EF!$A$2:$B$32, 2, FALSE))</f>
        <v>105.42962572482868</v>
      </c>
      <c r="P916" s="2">
        <f>(16112*Table1[[#This Row],[Generation (TWh)]]*10^9)/10^6</f>
        <v>4064864.2560000005</v>
      </c>
      <c r="Q916" s="2">
        <f>Table1[[#This Row],[Emission Factor (kg CO2/ mmBtu)]]*Table1[[#This Row],[Fuel Consumption (mmBtu)]]*10^3</f>
        <v>428557117132.31427</v>
      </c>
      <c r="R916" s="2">
        <f>(Table1[[#This Row],[CO2 Emissions (g CO2)]])/(Table1[[#This Row],[Generation (TWh)]]*10^9)</f>
        <v>1698.6821296784401</v>
      </c>
    </row>
    <row r="917" spans="1:18" hidden="1">
      <c r="A917" t="s">
        <v>630</v>
      </c>
      <c r="B917" t="s">
        <v>19</v>
      </c>
      <c r="C917" t="str">
        <f>SUBSTITUTE(Table1[[#This Row],[Fuel]],", ",",")</f>
        <v>bioenergy: refuse (municipal and industrial wastes)</v>
      </c>
      <c r="D917" t="s">
        <v>19</v>
      </c>
      <c r="G917">
        <v>40</v>
      </c>
      <c r="H917" t="s">
        <v>53</v>
      </c>
      <c r="I917">
        <v>2024</v>
      </c>
      <c r="J917" t="s">
        <v>21</v>
      </c>
      <c r="K917">
        <v>34.634399999999999</v>
      </c>
      <c r="L917">
        <v>113.3546</v>
      </c>
      <c r="M917" t="s">
        <v>102</v>
      </c>
      <c r="N917" s="2">
        <f>Table1[[#This Row],[Capacity (MW)]]*8760*0.72*10^-6</f>
        <v>0.25228800000000001</v>
      </c>
      <c r="O917" s="2" cm="1">
        <f t="array" ref="O917">AVERAGE(VLOOKUP(_xlfn.TEXTSPLIT(Table1[[#This Row],[Fuel (no space after comma)]], ","), FuelList_Final_EF!$A$2:$B$32, 2, FALSE))</f>
        <v>105.42962572482868</v>
      </c>
      <c r="P917" s="2">
        <f>(16112*Table1[[#This Row],[Generation (TWh)]]*10^9)/10^6</f>
        <v>4064864.2560000005</v>
      </c>
      <c r="Q917" s="2">
        <f>Table1[[#This Row],[Emission Factor (kg CO2/ mmBtu)]]*Table1[[#This Row],[Fuel Consumption (mmBtu)]]*10^3</f>
        <v>428557117132.31427</v>
      </c>
      <c r="R917" s="2">
        <f>(Table1[[#This Row],[CO2 Emissions (g CO2)]])/(Table1[[#This Row],[Generation (TWh)]]*10^9)</f>
        <v>1698.6821296784401</v>
      </c>
    </row>
    <row r="918" spans="1:18" hidden="1">
      <c r="A918" t="s">
        <v>630</v>
      </c>
      <c r="B918" t="s">
        <v>19</v>
      </c>
      <c r="C918" t="str">
        <f>SUBSTITUTE(Table1[[#This Row],[Fuel]],", ",",")</f>
        <v>bioenergy: refuse (municipal and industrial wastes)</v>
      </c>
      <c r="D918" t="s">
        <v>19</v>
      </c>
      <c r="G918">
        <v>40</v>
      </c>
      <c r="H918" t="s">
        <v>53</v>
      </c>
      <c r="I918">
        <v>2024</v>
      </c>
      <c r="J918" t="s">
        <v>21</v>
      </c>
      <c r="K918">
        <v>34.634399999999999</v>
      </c>
      <c r="L918">
        <v>113.3546</v>
      </c>
      <c r="M918" t="s">
        <v>102</v>
      </c>
      <c r="N918" s="2">
        <f>Table1[[#This Row],[Capacity (MW)]]*8760*0.72*10^-6</f>
        <v>0.25228800000000001</v>
      </c>
      <c r="O918" s="2" cm="1">
        <f t="array" ref="O918">AVERAGE(VLOOKUP(_xlfn.TEXTSPLIT(Table1[[#This Row],[Fuel (no space after comma)]], ","), FuelList_Final_EF!$A$2:$B$32, 2, FALSE))</f>
        <v>105.42962572482868</v>
      </c>
      <c r="P918" s="2">
        <f>(16112*Table1[[#This Row],[Generation (TWh)]]*10^9)/10^6</f>
        <v>4064864.2560000005</v>
      </c>
      <c r="Q918" s="2">
        <f>Table1[[#This Row],[Emission Factor (kg CO2/ mmBtu)]]*Table1[[#This Row],[Fuel Consumption (mmBtu)]]*10^3</f>
        <v>428557117132.31427</v>
      </c>
      <c r="R918" s="2">
        <f>(Table1[[#This Row],[CO2 Emissions (g CO2)]])/(Table1[[#This Row],[Generation (TWh)]]*10^9)</f>
        <v>1698.6821296784401</v>
      </c>
    </row>
    <row r="919" spans="1:18" hidden="1">
      <c r="A919" t="s">
        <v>615</v>
      </c>
      <c r="B919" t="s">
        <v>19</v>
      </c>
      <c r="C919" t="str">
        <f>SUBSTITUTE(Table1[[#This Row],[Fuel]],", ",",")</f>
        <v>bioenergy: refuse (municipal and industrial wastes)</v>
      </c>
      <c r="D919" t="s">
        <v>19</v>
      </c>
      <c r="G919">
        <v>34.299999999999997</v>
      </c>
      <c r="H919" t="s">
        <v>27</v>
      </c>
      <c r="I919">
        <v>2020</v>
      </c>
      <c r="J919" t="s">
        <v>21</v>
      </c>
      <c r="K919">
        <v>35.285200000000003</v>
      </c>
      <c r="L919">
        <v>114.1317</v>
      </c>
      <c r="M919" t="s">
        <v>102</v>
      </c>
      <c r="N919" s="2">
        <f>Table1[[#This Row],[Capacity (MW)]]*8760*0.72*10^-6</f>
        <v>0.21633695999999999</v>
      </c>
      <c r="O919" s="2" cm="1">
        <f t="array" ref="O919">AVERAGE(VLOOKUP(_xlfn.TEXTSPLIT(Table1[[#This Row],[Fuel (no space after comma)]], ","), FuelList_Final_EF!$A$2:$B$32, 2, FALSE))</f>
        <v>105.42962572482868</v>
      </c>
      <c r="P919" s="2">
        <f>(16112*Table1[[#This Row],[Generation (TWh)]]*10^9)/10^6</f>
        <v>3485621.0995200002</v>
      </c>
      <c r="Q919" s="2">
        <f>Table1[[#This Row],[Emission Factor (kg CO2/ mmBtu)]]*Table1[[#This Row],[Fuel Consumption (mmBtu)]]*10^3</f>
        <v>367487727940.95947</v>
      </c>
      <c r="R919" s="2">
        <f>(Table1[[#This Row],[CO2 Emissions (g CO2)]])/(Table1[[#This Row],[Generation (TWh)]]*10^9)</f>
        <v>1698.6821296784399</v>
      </c>
    </row>
    <row r="920" spans="1:18" hidden="1">
      <c r="A920" t="s">
        <v>108</v>
      </c>
      <c r="B920" t="s">
        <v>19</v>
      </c>
      <c r="C920" t="str">
        <f>SUBSTITUTE(Table1[[#This Row],[Fuel]],", ",",")</f>
        <v>bioenergy: refuse (municipal and industrial wastes)</v>
      </c>
      <c r="D920" t="s">
        <v>19</v>
      </c>
      <c r="G920">
        <v>0.70000000000000007</v>
      </c>
      <c r="H920" t="s">
        <v>27</v>
      </c>
      <c r="I920">
        <v>2020</v>
      </c>
      <c r="J920" t="s">
        <v>21</v>
      </c>
      <c r="K920">
        <v>35.285200000000003</v>
      </c>
      <c r="L920">
        <v>114.1317</v>
      </c>
      <c r="M920" t="s">
        <v>102</v>
      </c>
      <c r="N920" s="2">
        <f>Table1[[#This Row],[Capacity (MW)]]*8760*0.72*10^-6</f>
        <v>4.4150400000000003E-3</v>
      </c>
      <c r="O920" s="2" cm="1">
        <f t="array" ref="O920">AVERAGE(VLOOKUP(_xlfn.TEXTSPLIT(Table1[[#This Row],[Fuel (no space after comma)]], ","), FuelList_Final_EF!$A$2:$B$32, 2, FALSE))</f>
        <v>105.42962572482868</v>
      </c>
      <c r="P920" s="2">
        <f>(16112*Table1[[#This Row],[Generation (TWh)]]*10^9)/10^6</f>
        <v>71135.124479999999</v>
      </c>
      <c r="Q920" s="2">
        <f>Table1[[#This Row],[Emission Factor (kg CO2/ mmBtu)]]*Table1[[#This Row],[Fuel Consumption (mmBtu)]]*10^3</f>
        <v>7499749549.8154984</v>
      </c>
      <c r="R920" s="2">
        <f>(Table1[[#This Row],[CO2 Emissions (g CO2)]])/(Table1[[#This Row],[Generation (TWh)]]*10^9)</f>
        <v>1698.6821296784397</v>
      </c>
    </row>
    <row r="921" spans="1:18">
      <c r="A921" t="s">
        <v>54</v>
      </c>
      <c r="B921" t="s">
        <v>61</v>
      </c>
      <c r="C921" t="str">
        <f>SUBSTITUTE(Table1[[#This Row],[Fuel]],", ",",")</f>
        <v>bioenergy: paper mill wastes</v>
      </c>
      <c r="D921" t="s">
        <v>61</v>
      </c>
      <c r="G921">
        <v>30</v>
      </c>
      <c r="H921" t="s">
        <v>97</v>
      </c>
      <c r="I921" t="s">
        <v>21</v>
      </c>
      <c r="J921" t="s">
        <v>21</v>
      </c>
      <c r="K921">
        <v>35.102400000000003</v>
      </c>
      <c r="L921">
        <v>113.81480000000001</v>
      </c>
      <c r="M921" t="s">
        <v>102</v>
      </c>
      <c r="N921" s="2">
        <f>Table1[[#This Row],[Capacity (MW)]]*8760*0.72*10^-6</f>
        <v>0.189216</v>
      </c>
      <c r="O921" s="2" cm="1">
        <f t="array" ref="O921">AVERAGE(VLOOKUP(_xlfn.TEXTSPLIT(Table1[[#This Row],[Fuel (no space after comma)]], ","), FuelList_Final_EF!$A$2:$B$32, 2, FALSE))</f>
        <v>100.47443331576173</v>
      </c>
      <c r="P921" s="2">
        <f>(16112*Table1[[#This Row],[Generation (TWh)]]*10^9)/10^6</f>
        <v>3048648.1919999998</v>
      </c>
      <c r="Q921" s="2">
        <f>Table1[[#This Row],[Emission Factor (kg CO2/ mmBtu)]]*Table1[[#This Row],[Fuel Consumption (mmBtu)]]*10^3</f>
        <v>306311199470.32153</v>
      </c>
      <c r="R921" s="2">
        <f>(Table1[[#This Row],[CO2 Emissions (g CO2)]])/(Table1[[#This Row],[Generation (TWh)]]*10^9)</f>
        <v>1618.8440695835529</v>
      </c>
    </row>
    <row r="922" spans="1:18" hidden="1">
      <c r="A922" t="s">
        <v>514</v>
      </c>
      <c r="B922" t="s">
        <v>19</v>
      </c>
      <c r="C922" t="str">
        <f>SUBSTITUTE(Table1[[#This Row],[Fuel]],", ",",")</f>
        <v>bioenergy: refuse (municipal and industrial wastes)</v>
      </c>
      <c r="D922" t="s">
        <v>19</v>
      </c>
      <c r="G922">
        <v>35</v>
      </c>
      <c r="H922" t="s">
        <v>27</v>
      </c>
      <c r="I922">
        <v>2021</v>
      </c>
      <c r="J922" t="s">
        <v>21</v>
      </c>
      <c r="K922">
        <v>32.1967</v>
      </c>
      <c r="L922">
        <v>114.25700000000001</v>
      </c>
      <c r="M922" t="s">
        <v>102</v>
      </c>
      <c r="N922" s="2">
        <f>Table1[[#This Row],[Capacity (MW)]]*8760*0.72*10^-6</f>
        <v>0.220752</v>
      </c>
      <c r="O922" s="2" cm="1">
        <f t="array" ref="O922">AVERAGE(VLOOKUP(_xlfn.TEXTSPLIT(Table1[[#This Row],[Fuel (no space after comma)]], ","), FuelList_Final_EF!$A$2:$B$32, 2, FALSE))</f>
        <v>105.42962572482868</v>
      </c>
      <c r="P922" s="2">
        <f>(16112*Table1[[#This Row],[Generation (TWh)]]*10^9)/10^6</f>
        <v>3556756.2239999999</v>
      </c>
      <c r="Q922" s="2">
        <f>Table1[[#This Row],[Emission Factor (kg CO2/ mmBtu)]]*Table1[[#This Row],[Fuel Consumption (mmBtu)]]*10^3</f>
        <v>374987477490.7749</v>
      </c>
      <c r="R922" s="2">
        <f>(Table1[[#This Row],[CO2 Emissions (g CO2)]])/(Table1[[#This Row],[Generation (TWh)]]*10^9)</f>
        <v>1698.6821296784397</v>
      </c>
    </row>
    <row r="923" spans="1:18" hidden="1">
      <c r="A923" t="s">
        <v>284</v>
      </c>
      <c r="B923" t="s">
        <v>46</v>
      </c>
      <c r="C923" t="str">
        <f>SUBSTITUTE(Table1[[#This Row],[Fuel]],", ",",")</f>
        <v>bioenergy: agricultural waste (solids)</v>
      </c>
      <c r="D923" t="s">
        <v>46</v>
      </c>
      <c r="G923">
        <v>30</v>
      </c>
      <c r="H923" t="s">
        <v>27</v>
      </c>
      <c r="I923">
        <v>2022</v>
      </c>
      <c r="J923" t="s">
        <v>21</v>
      </c>
      <c r="K923">
        <v>32.4908</v>
      </c>
      <c r="L923">
        <v>112.29730000000001</v>
      </c>
      <c r="M923" t="s">
        <v>102</v>
      </c>
      <c r="N923" s="2">
        <f>Table1[[#This Row],[Capacity (MW)]]*8760*0.72*10^-6</f>
        <v>0.189216</v>
      </c>
      <c r="O923" s="2" cm="1">
        <f t="array" ref="O923">AVERAGE(VLOOKUP(_xlfn.TEXTSPLIT(Table1[[#This Row],[Fuel (no space after comma)]], ","), FuelList_Final_EF!$A$2:$B$32, 2, FALSE))</f>
        <v>118.17</v>
      </c>
      <c r="P923" s="2">
        <f>(16112*Table1[[#This Row],[Generation (TWh)]]*10^9)/10^6</f>
        <v>3048648.1919999998</v>
      </c>
      <c r="Q923" s="2">
        <f>Table1[[#This Row],[Emission Factor (kg CO2/ mmBtu)]]*Table1[[#This Row],[Fuel Consumption (mmBtu)]]*10^3</f>
        <v>360258756848.63995</v>
      </c>
      <c r="R923" s="2">
        <f>(Table1[[#This Row],[CO2 Emissions (g CO2)]])/(Table1[[#This Row],[Generation (TWh)]]*10^9)</f>
        <v>1903.9550399999998</v>
      </c>
    </row>
    <row r="924" spans="1:18">
      <c r="A924" t="s">
        <v>108</v>
      </c>
      <c r="B924" t="s">
        <v>46</v>
      </c>
      <c r="C924" t="str">
        <f>SUBSTITUTE(Table1[[#This Row],[Fuel]],", ",",")</f>
        <v>bioenergy: agricultural waste (solids)</v>
      </c>
      <c r="D924" t="s">
        <v>46</v>
      </c>
      <c r="G924">
        <v>10.5</v>
      </c>
      <c r="H924" t="s">
        <v>138</v>
      </c>
      <c r="I924" t="s">
        <v>21</v>
      </c>
      <c r="J924" t="s">
        <v>21</v>
      </c>
      <c r="K924">
        <v>33.367100000000001</v>
      </c>
      <c r="L924">
        <v>114.0316</v>
      </c>
      <c r="M924" t="s">
        <v>102</v>
      </c>
      <c r="N924" s="2">
        <f>Table1[[#This Row],[Capacity (MW)]]*8760*0.72*10^-6</f>
        <v>6.6225599999999982E-2</v>
      </c>
      <c r="O924" s="2" cm="1">
        <f t="array" ref="O924">AVERAGE(VLOOKUP(_xlfn.TEXTSPLIT(Table1[[#This Row],[Fuel (no space after comma)]], ","), FuelList_Final_EF!$A$2:$B$32, 2, FALSE))</f>
        <v>118.17</v>
      </c>
      <c r="P924" s="2">
        <f>(16112*Table1[[#This Row],[Generation (TWh)]]*10^9)/10^6</f>
        <v>1067026.8671999997</v>
      </c>
      <c r="Q924" s="2">
        <f>Table1[[#This Row],[Emission Factor (kg CO2/ mmBtu)]]*Table1[[#This Row],[Fuel Consumption (mmBtu)]]*10^3</f>
        <v>126090564897.02397</v>
      </c>
      <c r="R924" s="2">
        <f>(Table1[[#This Row],[CO2 Emissions (g CO2)]])/(Table1[[#This Row],[Generation (TWh)]]*10^9)</f>
        <v>1903.9550400000001</v>
      </c>
    </row>
    <row r="925" spans="1:18">
      <c r="A925" t="s">
        <v>631</v>
      </c>
      <c r="B925" t="s">
        <v>46</v>
      </c>
      <c r="C925" t="str">
        <f>SUBSTITUTE(Table1[[#This Row],[Fuel]],", ",",")</f>
        <v>bioenergy: agricultural waste (solids)</v>
      </c>
      <c r="D925" t="s">
        <v>46</v>
      </c>
      <c r="G925">
        <v>19.5</v>
      </c>
      <c r="H925" t="s">
        <v>138</v>
      </c>
      <c r="I925" t="s">
        <v>21</v>
      </c>
      <c r="J925" t="s">
        <v>21</v>
      </c>
      <c r="K925">
        <v>33.367100000000001</v>
      </c>
      <c r="L925">
        <v>114.0316</v>
      </c>
      <c r="M925" t="s">
        <v>102</v>
      </c>
      <c r="N925" s="2">
        <f>Table1[[#This Row],[Capacity (MW)]]*8760*0.72*10^-6</f>
        <v>0.12299039999999999</v>
      </c>
      <c r="O925" s="2" cm="1">
        <f t="array" ref="O925">AVERAGE(VLOOKUP(_xlfn.TEXTSPLIT(Table1[[#This Row],[Fuel (no space after comma)]], ","), FuelList_Final_EF!$A$2:$B$32, 2, FALSE))</f>
        <v>118.17</v>
      </c>
      <c r="P925" s="2">
        <f>(16112*Table1[[#This Row],[Generation (TWh)]]*10^9)/10^6</f>
        <v>1981621.3247999998</v>
      </c>
      <c r="Q925" s="2">
        <f>Table1[[#This Row],[Emission Factor (kg CO2/ mmBtu)]]*Table1[[#This Row],[Fuel Consumption (mmBtu)]]*10^3</f>
        <v>234168191951.616</v>
      </c>
      <c r="R925" s="2">
        <f>(Table1[[#This Row],[CO2 Emissions (g CO2)]])/(Table1[[#This Row],[Generation (TWh)]]*10^9)</f>
        <v>1903.9550400000003</v>
      </c>
    </row>
    <row r="926" spans="1:18">
      <c r="A926" t="s">
        <v>108</v>
      </c>
      <c r="B926" t="s">
        <v>46</v>
      </c>
      <c r="C926" t="str">
        <f>SUBSTITUTE(Table1[[#This Row],[Fuel]],", ",",")</f>
        <v>bioenergy: agricultural waste (solids)</v>
      </c>
      <c r="D926" t="s">
        <v>46</v>
      </c>
      <c r="G926">
        <v>10.5</v>
      </c>
      <c r="H926" t="s">
        <v>138</v>
      </c>
      <c r="I926" t="s">
        <v>21</v>
      </c>
      <c r="J926" t="s">
        <v>21</v>
      </c>
      <c r="K926">
        <v>33.367100000000001</v>
      </c>
      <c r="L926">
        <v>114.0316</v>
      </c>
      <c r="M926" t="s">
        <v>102</v>
      </c>
      <c r="N926" s="2">
        <f>Table1[[#This Row],[Capacity (MW)]]*8760*0.72*10^-6</f>
        <v>6.6225599999999982E-2</v>
      </c>
      <c r="O926" s="2" cm="1">
        <f t="array" ref="O926">AVERAGE(VLOOKUP(_xlfn.TEXTSPLIT(Table1[[#This Row],[Fuel (no space after comma)]], ","), FuelList_Final_EF!$A$2:$B$32, 2, FALSE))</f>
        <v>118.17</v>
      </c>
      <c r="P926" s="2">
        <f>(16112*Table1[[#This Row],[Generation (TWh)]]*10^9)/10^6</f>
        <v>1067026.8671999997</v>
      </c>
      <c r="Q926" s="2">
        <f>Table1[[#This Row],[Emission Factor (kg CO2/ mmBtu)]]*Table1[[#This Row],[Fuel Consumption (mmBtu)]]*10^3</f>
        <v>126090564897.02397</v>
      </c>
      <c r="R926" s="2">
        <f>(Table1[[#This Row],[CO2 Emissions (g CO2)]])/(Table1[[#This Row],[Generation (TWh)]]*10^9)</f>
        <v>1903.9550400000001</v>
      </c>
    </row>
    <row r="927" spans="1:18">
      <c r="A927" t="s">
        <v>631</v>
      </c>
      <c r="B927" t="s">
        <v>46</v>
      </c>
      <c r="C927" t="str">
        <f>SUBSTITUTE(Table1[[#This Row],[Fuel]],", ",",")</f>
        <v>bioenergy: agricultural waste (solids)</v>
      </c>
      <c r="D927" t="s">
        <v>46</v>
      </c>
      <c r="G927">
        <v>19.5</v>
      </c>
      <c r="H927" t="s">
        <v>138</v>
      </c>
      <c r="I927" t="s">
        <v>21</v>
      </c>
      <c r="J927" t="s">
        <v>21</v>
      </c>
      <c r="K927">
        <v>33.367100000000001</v>
      </c>
      <c r="L927">
        <v>114.0316</v>
      </c>
      <c r="M927" t="s">
        <v>102</v>
      </c>
      <c r="N927" s="2">
        <f>Table1[[#This Row],[Capacity (MW)]]*8760*0.72*10^-6</f>
        <v>0.12299039999999999</v>
      </c>
      <c r="O927" s="2" cm="1">
        <f t="array" ref="O927">AVERAGE(VLOOKUP(_xlfn.TEXTSPLIT(Table1[[#This Row],[Fuel (no space after comma)]], ","), FuelList_Final_EF!$A$2:$B$32, 2, FALSE))</f>
        <v>118.17</v>
      </c>
      <c r="P927" s="2">
        <f>(16112*Table1[[#This Row],[Generation (TWh)]]*10^9)/10^6</f>
        <v>1981621.3247999998</v>
      </c>
      <c r="Q927" s="2">
        <f>Table1[[#This Row],[Emission Factor (kg CO2/ mmBtu)]]*Table1[[#This Row],[Fuel Consumption (mmBtu)]]*10^3</f>
        <v>234168191951.616</v>
      </c>
      <c r="R927" s="2">
        <f>(Table1[[#This Row],[CO2 Emissions (g CO2)]])/(Table1[[#This Row],[Generation (TWh)]]*10^9)</f>
        <v>1903.9550400000003</v>
      </c>
    </row>
    <row r="928" spans="1:18" hidden="1">
      <c r="A928" t="s">
        <v>282</v>
      </c>
      <c r="B928" t="s">
        <v>19</v>
      </c>
      <c r="C928" t="str">
        <f>SUBSTITUTE(Table1[[#This Row],[Fuel]],", ",",")</f>
        <v>bioenergy: refuse (municipal and industrial wastes)</v>
      </c>
      <c r="D928" t="s">
        <v>19</v>
      </c>
      <c r="G928">
        <v>10</v>
      </c>
      <c r="H928" t="s">
        <v>27</v>
      </c>
      <c r="I928">
        <v>2022</v>
      </c>
      <c r="J928" t="s">
        <v>21</v>
      </c>
      <c r="K928">
        <v>35.182899999999997</v>
      </c>
      <c r="L928">
        <v>113.4311</v>
      </c>
      <c r="M928" t="s">
        <v>102</v>
      </c>
      <c r="N928" s="2">
        <f>Table1[[#This Row],[Capacity (MW)]]*8760*0.72*10^-6</f>
        <v>6.3072000000000003E-2</v>
      </c>
      <c r="O928" s="2" cm="1">
        <f t="array" ref="O928">AVERAGE(VLOOKUP(_xlfn.TEXTSPLIT(Table1[[#This Row],[Fuel (no space after comma)]], ","), FuelList_Final_EF!$A$2:$B$32, 2, FALSE))</f>
        <v>105.42962572482868</v>
      </c>
      <c r="P928" s="2">
        <f>(16112*Table1[[#This Row],[Generation (TWh)]]*10^9)/10^6</f>
        <v>1016216.0640000001</v>
      </c>
      <c r="Q928" s="2">
        <f>Table1[[#This Row],[Emission Factor (kg CO2/ mmBtu)]]*Table1[[#This Row],[Fuel Consumption (mmBtu)]]*10^3</f>
        <v>107139279283.07857</v>
      </c>
      <c r="R928" s="2">
        <f>(Table1[[#This Row],[CO2 Emissions (g CO2)]])/(Table1[[#This Row],[Generation (TWh)]]*10^9)</f>
        <v>1698.6821296784401</v>
      </c>
    </row>
    <row r="929" spans="1:18" hidden="1">
      <c r="A929" t="s">
        <v>612</v>
      </c>
      <c r="B929" t="s">
        <v>19</v>
      </c>
      <c r="C929" t="str">
        <f>SUBSTITUTE(Table1[[#This Row],[Fuel]],", ",",")</f>
        <v>bioenergy: refuse (municipal and industrial wastes)</v>
      </c>
      <c r="D929" t="s">
        <v>19</v>
      </c>
      <c r="G929">
        <v>20</v>
      </c>
      <c r="H929" t="s">
        <v>27</v>
      </c>
      <c r="I929">
        <v>2022</v>
      </c>
      <c r="J929" t="s">
        <v>21</v>
      </c>
      <c r="K929">
        <v>35.182899999999997</v>
      </c>
      <c r="L929">
        <v>113.4311</v>
      </c>
      <c r="M929" t="s">
        <v>102</v>
      </c>
      <c r="N929" s="2">
        <f>Table1[[#This Row],[Capacity (MW)]]*8760*0.72*10^-6</f>
        <v>0.12614400000000001</v>
      </c>
      <c r="O929" s="2" cm="1">
        <f t="array" ref="O929">AVERAGE(VLOOKUP(_xlfn.TEXTSPLIT(Table1[[#This Row],[Fuel (no space after comma)]], ","), FuelList_Final_EF!$A$2:$B$32, 2, FALSE))</f>
        <v>105.42962572482868</v>
      </c>
      <c r="P929" s="2">
        <f>(16112*Table1[[#This Row],[Generation (TWh)]]*10^9)/10^6</f>
        <v>2032432.1280000003</v>
      </c>
      <c r="Q929" s="2">
        <f>Table1[[#This Row],[Emission Factor (kg CO2/ mmBtu)]]*Table1[[#This Row],[Fuel Consumption (mmBtu)]]*10^3</f>
        <v>214278558566.15714</v>
      </c>
      <c r="R929" s="2">
        <f>(Table1[[#This Row],[CO2 Emissions (g CO2)]])/(Table1[[#This Row],[Generation (TWh)]]*10^9)</f>
        <v>1698.6821296784401</v>
      </c>
    </row>
    <row r="930" spans="1:18" hidden="1">
      <c r="A930" t="s">
        <v>632</v>
      </c>
      <c r="B930" t="s">
        <v>19</v>
      </c>
      <c r="C930" t="str">
        <f>SUBSTITUTE(Table1[[#This Row],[Fuel]],", ",",")</f>
        <v>bioenergy: refuse (municipal and industrial wastes)</v>
      </c>
      <c r="D930" t="s">
        <v>19</v>
      </c>
      <c r="G930">
        <v>20</v>
      </c>
      <c r="H930" t="s">
        <v>27</v>
      </c>
      <c r="I930">
        <v>2022</v>
      </c>
      <c r="J930" t="s">
        <v>21</v>
      </c>
      <c r="K930">
        <v>35.182899999999997</v>
      </c>
      <c r="L930">
        <v>113.4311</v>
      </c>
      <c r="M930" t="s">
        <v>102</v>
      </c>
      <c r="N930" s="2">
        <f>Table1[[#This Row],[Capacity (MW)]]*8760*0.72*10^-6</f>
        <v>0.12614400000000001</v>
      </c>
      <c r="O930" s="2" cm="1">
        <f t="array" ref="O930">AVERAGE(VLOOKUP(_xlfn.TEXTSPLIT(Table1[[#This Row],[Fuel (no space after comma)]], ","), FuelList_Final_EF!$A$2:$B$32, 2, FALSE))</f>
        <v>105.42962572482868</v>
      </c>
      <c r="P930" s="2">
        <f>(16112*Table1[[#This Row],[Generation (TWh)]]*10^9)/10^6</f>
        <v>2032432.1280000003</v>
      </c>
      <c r="Q930" s="2">
        <f>Table1[[#This Row],[Emission Factor (kg CO2/ mmBtu)]]*Table1[[#This Row],[Fuel Consumption (mmBtu)]]*10^3</f>
        <v>214278558566.15714</v>
      </c>
      <c r="R930" s="2">
        <f>(Table1[[#This Row],[CO2 Emissions (g CO2)]])/(Table1[[#This Row],[Generation (TWh)]]*10^9)</f>
        <v>1698.6821296784401</v>
      </c>
    </row>
    <row r="931" spans="1:18" hidden="1">
      <c r="A931" t="s">
        <v>633</v>
      </c>
      <c r="B931" t="s">
        <v>105</v>
      </c>
      <c r="C931" t="str">
        <f>SUBSTITUTE(Table1[[#This Row],[Fuel]],", ",",")</f>
        <v>bioenergy: agricultural waste (solids),bioenergy: wood &amp; other biomass (solids)</v>
      </c>
      <c r="D931" t="s">
        <v>46</v>
      </c>
      <c r="E931" t="s">
        <v>25</v>
      </c>
      <c r="G931">
        <v>29.1</v>
      </c>
      <c r="H931" t="s">
        <v>27</v>
      </c>
      <c r="I931">
        <v>2022</v>
      </c>
      <c r="J931" t="s">
        <v>21</v>
      </c>
      <c r="K931">
        <v>33.344799999999999</v>
      </c>
      <c r="L931">
        <v>111.5016</v>
      </c>
      <c r="M931" t="s">
        <v>102</v>
      </c>
      <c r="N931" s="2">
        <f>Table1[[#This Row],[Capacity (MW)]]*8760*0.72*10^-6</f>
        <v>0.18353951999999998</v>
      </c>
      <c r="O931" s="2" cm="1">
        <f t="array" ref="O931">AVERAGE(VLOOKUP(_xlfn.TEXTSPLIT(Table1[[#This Row],[Fuel (no space after comma)]], ","), FuelList_Final_EF!$A$2:$B$32, 2, FALSE))</f>
        <v>105.985</v>
      </c>
      <c r="P931" s="2">
        <f>(16112*Table1[[#This Row],[Generation (TWh)]]*10^9)/10^6</f>
        <v>2957188.7462399993</v>
      </c>
      <c r="Q931" s="2">
        <f>Table1[[#This Row],[Emission Factor (kg CO2/ mmBtu)]]*Table1[[#This Row],[Fuel Consumption (mmBtu)]]*10^3</f>
        <v>313417649270.24634</v>
      </c>
      <c r="R931" s="2">
        <f>(Table1[[#This Row],[CO2 Emissions (g CO2)]])/(Table1[[#This Row],[Generation (TWh)]]*10^9)</f>
        <v>1707.63032</v>
      </c>
    </row>
    <row r="932" spans="1:18" hidden="1">
      <c r="A932" t="s">
        <v>634</v>
      </c>
      <c r="B932" t="s">
        <v>105</v>
      </c>
      <c r="C932" t="str">
        <f>SUBSTITUTE(Table1[[#This Row],[Fuel]],", ",",")</f>
        <v>bioenergy: agricultural waste (solids),bioenergy: wood &amp; other biomass (solids)</v>
      </c>
      <c r="D932" t="s">
        <v>46</v>
      </c>
      <c r="E932" t="s">
        <v>25</v>
      </c>
      <c r="G932">
        <v>0.89999999999999991</v>
      </c>
      <c r="H932" t="s">
        <v>27</v>
      </c>
      <c r="I932">
        <v>2022</v>
      </c>
      <c r="J932" t="s">
        <v>21</v>
      </c>
      <c r="K932">
        <v>33.344799999999999</v>
      </c>
      <c r="L932">
        <v>111.5016</v>
      </c>
      <c r="M932" t="s">
        <v>102</v>
      </c>
      <c r="N932" s="2">
        <f>Table1[[#This Row],[Capacity (MW)]]*8760*0.72*10^-6</f>
        <v>5.6764799999999994E-3</v>
      </c>
      <c r="O932" s="2" cm="1">
        <f t="array" ref="O932">AVERAGE(VLOOKUP(_xlfn.TEXTSPLIT(Table1[[#This Row],[Fuel (no space after comma)]], ","), FuelList_Final_EF!$A$2:$B$32, 2, FALSE))</f>
        <v>105.985</v>
      </c>
      <c r="P932" s="2">
        <f>(16112*Table1[[#This Row],[Generation (TWh)]]*10^9)/10^6</f>
        <v>91459.445760000002</v>
      </c>
      <c r="Q932" s="2">
        <f>Table1[[#This Row],[Emission Factor (kg CO2/ mmBtu)]]*Table1[[#This Row],[Fuel Consumption (mmBtu)]]*10^3</f>
        <v>9693329358.8736</v>
      </c>
      <c r="R932" s="2">
        <f>(Table1[[#This Row],[CO2 Emissions (g CO2)]])/(Table1[[#This Row],[Generation (TWh)]]*10^9)</f>
        <v>1707.6303200000002</v>
      </c>
    </row>
    <row r="933" spans="1:18" hidden="1">
      <c r="A933" t="s">
        <v>117</v>
      </c>
      <c r="B933" t="s">
        <v>46</v>
      </c>
      <c r="C933" t="str">
        <f>SUBSTITUTE(Table1[[#This Row],[Fuel]],", ",",")</f>
        <v>bioenergy: agricultural waste (solids)</v>
      </c>
      <c r="D933" t="s">
        <v>46</v>
      </c>
      <c r="G933">
        <v>30</v>
      </c>
      <c r="H933" t="s">
        <v>27</v>
      </c>
      <c r="I933">
        <v>2007</v>
      </c>
      <c r="J933" t="s">
        <v>21</v>
      </c>
      <c r="K933">
        <v>35.680599999999998</v>
      </c>
      <c r="L933">
        <v>114.5506</v>
      </c>
      <c r="M933" t="s">
        <v>102</v>
      </c>
      <c r="N933" s="2">
        <f>Table1[[#This Row],[Capacity (MW)]]*8760*0.72*10^-6</f>
        <v>0.189216</v>
      </c>
      <c r="O933" s="2" cm="1">
        <f t="array" ref="O933">AVERAGE(VLOOKUP(_xlfn.TEXTSPLIT(Table1[[#This Row],[Fuel (no space after comma)]], ","), FuelList_Final_EF!$A$2:$B$32, 2, FALSE))</f>
        <v>118.17</v>
      </c>
      <c r="P933" s="2">
        <f>(16112*Table1[[#This Row],[Generation (TWh)]]*10^9)/10^6</f>
        <v>3048648.1919999998</v>
      </c>
      <c r="Q933" s="2">
        <f>Table1[[#This Row],[Emission Factor (kg CO2/ mmBtu)]]*Table1[[#This Row],[Fuel Consumption (mmBtu)]]*10^3</f>
        <v>360258756848.63995</v>
      </c>
      <c r="R933" s="2">
        <f>(Table1[[#This Row],[CO2 Emissions (g CO2)]])/(Table1[[#This Row],[Generation (TWh)]]*10^9)</f>
        <v>1903.9550399999998</v>
      </c>
    </row>
    <row r="934" spans="1:18" hidden="1">
      <c r="A934" t="s">
        <v>54</v>
      </c>
      <c r="B934" t="s">
        <v>105</v>
      </c>
      <c r="C934" t="str">
        <f>SUBSTITUTE(Table1[[#This Row],[Fuel]],", ",",")</f>
        <v>bioenergy: agricultural waste (solids),bioenergy: wood &amp; other biomass (solids)</v>
      </c>
      <c r="D934" t="s">
        <v>46</v>
      </c>
      <c r="E934" t="s">
        <v>25</v>
      </c>
      <c r="G934">
        <v>15.9</v>
      </c>
      <c r="H934" t="s">
        <v>27</v>
      </c>
      <c r="I934">
        <v>2017</v>
      </c>
      <c r="J934" t="s">
        <v>21</v>
      </c>
      <c r="K934">
        <v>33.692999999999998</v>
      </c>
      <c r="L934">
        <v>113.7891</v>
      </c>
      <c r="M934" t="s">
        <v>102</v>
      </c>
      <c r="N934" s="2">
        <f>Table1[[#This Row],[Capacity (MW)]]*8760*0.72*10^-6</f>
        <v>0.10028448</v>
      </c>
      <c r="O934" s="2" cm="1">
        <f t="array" ref="O934">AVERAGE(VLOOKUP(_xlfn.TEXTSPLIT(Table1[[#This Row],[Fuel (no space after comma)]], ","), FuelList_Final_EF!$A$2:$B$32, 2, FALSE))</f>
        <v>105.985</v>
      </c>
      <c r="P934" s="2">
        <f>(16112*Table1[[#This Row],[Generation (TWh)]]*10^9)/10^6</f>
        <v>1615783.5417599999</v>
      </c>
      <c r="Q934" s="2">
        <f>Table1[[#This Row],[Emission Factor (kg CO2/ mmBtu)]]*Table1[[#This Row],[Fuel Consumption (mmBtu)]]*10^3</f>
        <v>171248818673.43359</v>
      </c>
      <c r="R934" s="2">
        <f>(Table1[[#This Row],[CO2 Emissions (g CO2)]])/(Table1[[#This Row],[Generation (TWh)]]*10^9)</f>
        <v>1707.63032</v>
      </c>
    </row>
    <row r="935" spans="1:18" hidden="1">
      <c r="A935" t="s">
        <v>635</v>
      </c>
      <c r="B935" t="s">
        <v>105</v>
      </c>
      <c r="C935" t="str">
        <f>SUBSTITUTE(Table1[[#This Row],[Fuel]],", ",",")</f>
        <v>bioenergy: agricultural waste (solids),bioenergy: wood &amp; other biomass (solids)</v>
      </c>
      <c r="D935" t="s">
        <v>46</v>
      </c>
      <c r="E935" t="s">
        <v>25</v>
      </c>
      <c r="G935">
        <v>14.1</v>
      </c>
      <c r="H935" t="s">
        <v>27</v>
      </c>
      <c r="I935">
        <v>2017</v>
      </c>
      <c r="J935" t="s">
        <v>21</v>
      </c>
      <c r="K935">
        <v>33.692999999999998</v>
      </c>
      <c r="L935">
        <v>113.7891</v>
      </c>
      <c r="M935" t="s">
        <v>102</v>
      </c>
      <c r="N935" s="2">
        <f>Table1[[#This Row],[Capacity (MW)]]*8760*0.72*10^-6</f>
        <v>8.8931519999999986E-2</v>
      </c>
      <c r="O935" s="2" cm="1">
        <f t="array" ref="O935">AVERAGE(VLOOKUP(_xlfn.TEXTSPLIT(Table1[[#This Row],[Fuel (no space after comma)]], ","), FuelList_Final_EF!$A$2:$B$32, 2, FALSE))</f>
        <v>105.985</v>
      </c>
      <c r="P935" s="2">
        <f>(16112*Table1[[#This Row],[Generation (TWh)]]*10^9)/10^6</f>
        <v>1432864.6502399999</v>
      </c>
      <c r="Q935" s="2">
        <f>Table1[[#This Row],[Emission Factor (kg CO2/ mmBtu)]]*Table1[[#This Row],[Fuel Consumption (mmBtu)]]*10^3</f>
        <v>151862159955.6864</v>
      </c>
      <c r="R935" s="2">
        <f>(Table1[[#This Row],[CO2 Emissions (g CO2)]])/(Table1[[#This Row],[Generation (TWh)]]*10^9)</f>
        <v>1707.6303200000002</v>
      </c>
    </row>
    <row r="936" spans="1:18" hidden="1">
      <c r="A936" t="s">
        <v>108</v>
      </c>
      <c r="B936" t="s">
        <v>105</v>
      </c>
      <c r="C936" t="str">
        <f>SUBSTITUTE(Table1[[#This Row],[Fuel]],", ",",")</f>
        <v>bioenergy: agricultural waste (solids),bioenergy: wood &amp; other biomass (solids)</v>
      </c>
      <c r="D936" t="s">
        <v>46</v>
      </c>
      <c r="E936" t="s">
        <v>25</v>
      </c>
      <c r="G936">
        <v>3.6</v>
      </c>
      <c r="H936" t="s">
        <v>27</v>
      </c>
      <c r="I936">
        <v>2022</v>
      </c>
      <c r="J936" t="s">
        <v>21</v>
      </c>
      <c r="K936">
        <v>35.190800000000003</v>
      </c>
      <c r="L936">
        <v>114.136</v>
      </c>
      <c r="M936" t="s">
        <v>102</v>
      </c>
      <c r="N936" s="2">
        <f>Table1[[#This Row],[Capacity (MW)]]*8760*0.72*10^-6</f>
        <v>2.2705919999999997E-2</v>
      </c>
      <c r="O936" s="2" cm="1">
        <f t="array" ref="O936">AVERAGE(VLOOKUP(_xlfn.TEXTSPLIT(Table1[[#This Row],[Fuel (no space after comma)]], ","), FuelList_Final_EF!$A$2:$B$32, 2, FALSE))</f>
        <v>105.985</v>
      </c>
      <c r="P936" s="2">
        <f>(16112*Table1[[#This Row],[Generation (TWh)]]*10^9)/10^6</f>
        <v>365837.78304000001</v>
      </c>
      <c r="Q936" s="2">
        <f>Table1[[#This Row],[Emission Factor (kg CO2/ mmBtu)]]*Table1[[#This Row],[Fuel Consumption (mmBtu)]]*10^3</f>
        <v>38773317435.4944</v>
      </c>
      <c r="R936" s="2">
        <f>(Table1[[#This Row],[CO2 Emissions (g CO2)]])/(Table1[[#This Row],[Generation (TWh)]]*10^9)</f>
        <v>1707.6303200000002</v>
      </c>
    </row>
    <row r="937" spans="1:18" hidden="1">
      <c r="A937" t="s">
        <v>636</v>
      </c>
      <c r="B937" t="s">
        <v>105</v>
      </c>
      <c r="C937" t="str">
        <f>SUBSTITUTE(Table1[[#This Row],[Fuel]],", ",",")</f>
        <v>bioenergy: agricultural waste (solids),bioenergy: wood &amp; other biomass (solids)</v>
      </c>
      <c r="D937" t="s">
        <v>46</v>
      </c>
      <c r="E937" t="s">
        <v>25</v>
      </c>
      <c r="G937">
        <v>26.4</v>
      </c>
      <c r="H937" t="s">
        <v>27</v>
      </c>
      <c r="I937">
        <v>2022</v>
      </c>
      <c r="J937" t="s">
        <v>21</v>
      </c>
      <c r="K937">
        <v>35.190800000000003</v>
      </c>
      <c r="L937">
        <v>114.136</v>
      </c>
      <c r="M937" t="s">
        <v>102</v>
      </c>
      <c r="N937" s="2">
        <f>Table1[[#This Row],[Capacity (MW)]]*8760*0.72*10^-6</f>
        <v>0.16651007999999998</v>
      </c>
      <c r="O937" s="2" cm="1">
        <f t="array" ref="O937">AVERAGE(VLOOKUP(_xlfn.TEXTSPLIT(Table1[[#This Row],[Fuel (no space after comma)]], ","), FuelList_Final_EF!$A$2:$B$32, 2, FALSE))</f>
        <v>105.985</v>
      </c>
      <c r="P937" s="2">
        <f>(16112*Table1[[#This Row],[Generation (TWh)]]*10^9)/10^6</f>
        <v>2682810.4089599997</v>
      </c>
      <c r="Q937" s="2">
        <f>Table1[[#This Row],[Emission Factor (kg CO2/ mmBtu)]]*Table1[[#This Row],[Fuel Consumption (mmBtu)]]*10^3</f>
        <v>284337661193.62555</v>
      </c>
      <c r="R937" s="2">
        <f>(Table1[[#This Row],[CO2 Emissions (g CO2)]])/(Table1[[#This Row],[Generation (TWh)]]*10^9)</f>
        <v>1707.63032</v>
      </c>
    </row>
    <row r="938" spans="1:18" hidden="1">
      <c r="A938" t="s">
        <v>534</v>
      </c>
      <c r="B938" t="s">
        <v>19</v>
      </c>
      <c r="C938" t="str">
        <f>SUBSTITUTE(Table1[[#This Row],[Fuel]],", ",",")</f>
        <v>bioenergy: refuse (municipal and industrial wastes)</v>
      </c>
      <c r="D938" t="s">
        <v>19</v>
      </c>
      <c r="G938">
        <v>30</v>
      </c>
      <c r="H938" t="s">
        <v>27</v>
      </c>
      <c r="I938">
        <v>2021</v>
      </c>
      <c r="J938" t="s">
        <v>21</v>
      </c>
      <c r="K938">
        <v>34.575600000000001</v>
      </c>
      <c r="L938">
        <v>112.77719999999999</v>
      </c>
      <c r="M938" t="s">
        <v>102</v>
      </c>
      <c r="N938" s="2">
        <f>Table1[[#This Row],[Capacity (MW)]]*8760*0.72*10^-6</f>
        <v>0.189216</v>
      </c>
      <c r="O938" s="2" cm="1">
        <f t="array" ref="O938">AVERAGE(VLOOKUP(_xlfn.TEXTSPLIT(Table1[[#This Row],[Fuel (no space after comma)]], ","), FuelList_Final_EF!$A$2:$B$32, 2, FALSE))</f>
        <v>105.42962572482868</v>
      </c>
      <c r="P938" s="2">
        <f>(16112*Table1[[#This Row],[Generation (TWh)]]*10^9)/10^6</f>
        <v>3048648.1919999998</v>
      </c>
      <c r="Q938" s="2">
        <f>Table1[[#This Row],[Emission Factor (kg CO2/ mmBtu)]]*Table1[[#This Row],[Fuel Consumption (mmBtu)]]*10^3</f>
        <v>321417837849.23566</v>
      </c>
      <c r="R938" s="2">
        <f>(Table1[[#This Row],[CO2 Emissions (g CO2)]])/(Table1[[#This Row],[Generation (TWh)]]*10^9)</f>
        <v>1698.6821296784397</v>
      </c>
    </row>
    <row r="939" spans="1:18">
      <c r="A939" t="s">
        <v>637</v>
      </c>
      <c r="B939" t="s">
        <v>46</v>
      </c>
      <c r="C939" t="str">
        <f>SUBSTITUTE(Table1[[#This Row],[Fuel]],", ",",")</f>
        <v>bioenergy: agricultural waste (solids)</v>
      </c>
      <c r="D939" t="s">
        <v>46</v>
      </c>
      <c r="G939">
        <v>15.3</v>
      </c>
      <c r="H939" t="s">
        <v>138</v>
      </c>
      <c r="I939" t="s">
        <v>21</v>
      </c>
      <c r="J939" t="s">
        <v>21</v>
      </c>
      <c r="K939">
        <v>33.6785</v>
      </c>
      <c r="L939">
        <v>113.4196</v>
      </c>
      <c r="M939" t="s">
        <v>102</v>
      </c>
      <c r="N939" s="2">
        <f>Table1[[#This Row],[Capacity (MW)]]*8760*0.72*10^-6</f>
        <v>9.6500160000000001E-2</v>
      </c>
      <c r="O939" s="2" cm="1">
        <f t="array" ref="O939">AVERAGE(VLOOKUP(_xlfn.TEXTSPLIT(Table1[[#This Row],[Fuel (no space after comma)]], ","), FuelList_Final_EF!$A$2:$B$32, 2, FALSE))</f>
        <v>118.17</v>
      </c>
      <c r="P939" s="2">
        <f>(16112*Table1[[#This Row],[Generation (TWh)]]*10^9)/10^6</f>
        <v>1554810.5779200001</v>
      </c>
      <c r="Q939" s="2">
        <f>Table1[[#This Row],[Emission Factor (kg CO2/ mmBtu)]]*Table1[[#This Row],[Fuel Consumption (mmBtu)]]*10^3</f>
        <v>183731965992.8064</v>
      </c>
      <c r="R939" s="2">
        <f>(Table1[[#This Row],[CO2 Emissions (g CO2)]])/(Table1[[#This Row],[Generation (TWh)]]*10^9)</f>
        <v>1903.9550400000001</v>
      </c>
    </row>
    <row r="940" spans="1:18">
      <c r="A940" t="s">
        <v>499</v>
      </c>
      <c r="B940" t="s">
        <v>46</v>
      </c>
      <c r="C940" t="str">
        <f>SUBSTITUTE(Table1[[#This Row],[Fuel]],", ",",")</f>
        <v>bioenergy: agricultural waste (solids)</v>
      </c>
      <c r="D940" t="s">
        <v>46</v>
      </c>
      <c r="G940">
        <v>14.7</v>
      </c>
      <c r="H940" t="s">
        <v>138</v>
      </c>
      <c r="I940" t="s">
        <v>21</v>
      </c>
      <c r="J940" t="s">
        <v>21</v>
      </c>
      <c r="K940">
        <v>33.6785</v>
      </c>
      <c r="L940">
        <v>113.4196</v>
      </c>
      <c r="M940" t="s">
        <v>102</v>
      </c>
      <c r="N940" s="2">
        <f>Table1[[#This Row],[Capacity (MW)]]*8760*0.72*10^-6</f>
        <v>9.2715839999999994E-2</v>
      </c>
      <c r="O940" s="2" cm="1">
        <f t="array" ref="O940">AVERAGE(VLOOKUP(_xlfn.TEXTSPLIT(Table1[[#This Row],[Fuel (no space after comma)]], ","), FuelList_Final_EF!$A$2:$B$32, 2, FALSE))</f>
        <v>118.17</v>
      </c>
      <c r="P940" s="2">
        <f>(16112*Table1[[#This Row],[Generation (TWh)]]*10^9)/10^6</f>
        <v>1493837.6140799997</v>
      </c>
      <c r="Q940" s="2">
        <f>Table1[[#This Row],[Emission Factor (kg CO2/ mmBtu)]]*Table1[[#This Row],[Fuel Consumption (mmBtu)]]*10^3</f>
        <v>176526790855.83356</v>
      </c>
      <c r="R940" s="2">
        <f>(Table1[[#This Row],[CO2 Emissions (g CO2)]])/(Table1[[#This Row],[Generation (TWh)]]*10^9)</f>
        <v>1903.9550399999996</v>
      </c>
    </row>
    <row r="941" spans="1:18" hidden="1">
      <c r="A941" t="s">
        <v>284</v>
      </c>
      <c r="B941" t="s">
        <v>46</v>
      </c>
      <c r="C941" t="str">
        <f>SUBSTITUTE(Table1[[#This Row],[Fuel]],", ",",")</f>
        <v>bioenergy: agricultural waste (solids)</v>
      </c>
      <c r="D941" t="s">
        <v>46</v>
      </c>
      <c r="G941">
        <v>35</v>
      </c>
      <c r="H941" t="s">
        <v>27</v>
      </c>
      <c r="I941">
        <v>2020</v>
      </c>
      <c r="J941" t="s">
        <v>21</v>
      </c>
      <c r="K941">
        <v>33.9664</v>
      </c>
      <c r="L941">
        <v>116.2976</v>
      </c>
      <c r="M941" t="s">
        <v>102</v>
      </c>
      <c r="N941" s="2">
        <f>Table1[[#This Row],[Capacity (MW)]]*8760*0.72*10^-6</f>
        <v>0.220752</v>
      </c>
      <c r="O941" s="2" cm="1">
        <f t="array" ref="O941">AVERAGE(VLOOKUP(_xlfn.TEXTSPLIT(Table1[[#This Row],[Fuel (no space after comma)]], ","), FuelList_Final_EF!$A$2:$B$32, 2, FALSE))</f>
        <v>118.17</v>
      </c>
      <c r="P941" s="2">
        <f>(16112*Table1[[#This Row],[Generation (TWh)]]*10^9)/10^6</f>
        <v>3556756.2239999999</v>
      </c>
      <c r="Q941" s="2">
        <f>Table1[[#This Row],[Emission Factor (kg CO2/ mmBtu)]]*Table1[[#This Row],[Fuel Consumption (mmBtu)]]*10^3</f>
        <v>420301882990.08002</v>
      </c>
      <c r="R941" s="2">
        <f>(Table1[[#This Row],[CO2 Emissions (g CO2)]])/(Table1[[#This Row],[Generation (TWh)]]*10^9)</f>
        <v>1903.9550400000001</v>
      </c>
    </row>
    <row r="942" spans="1:18" hidden="1">
      <c r="A942" t="s">
        <v>608</v>
      </c>
      <c r="B942" t="s">
        <v>105</v>
      </c>
      <c r="C942" t="str">
        <f>SUBSTITUTE(Table1[[#This Row],[Fuel]],", ",",")</f>
        <v>bioenergy: agricultural waste (solids),bioenergy: wood &amp; other biomass (solids)</v>
      </c>
      <c r="D942" t="s">
        <v>46</v>
      </c>
      <c r="E942" t="s">
        <v>25</v>
      </c>
      <c r="G942">
        <v>30</v>
      </c>
      <c r="H942" t="s">
        <v>27</v>
      </c>
      <c r="I942">
        <v>2020</v>
      </c>
      <c r="J942" t="s">
        <v>21</v>
      </c>
      <c r="K942">
        <v>34.543100000000003</v>
      </c>
      <c r="L942">
        <v>115.95050000000001</v>
      </c>
      <c r="M942" t="s">
        <v>102</v>
      </c>
      <c r="N942" s="2">
        <f>Table1[[#This Row],[Capacity (MW)]]*8760*0.72*10^-6</f>
        <v>0.189216</v>
      </c>
      <c r="O942" s="2" cm="1">
        <f t="array" ref="O942">AVERAGE(VLOOKUP(_xlfn.TEXTSPLIT(Table1[[#This Row],[Fuel (no space after comma)]], ","), FuelList_Final_EF!$A$2:$B$32, 2, FALSE))</f>
        <v>105.985</v>
      </c>
      <c r="P942" s="2">
        <f>(16112*Table1[[#This Row],[Generation (TWh)]]*10^9)/10^6</f>
        <v>3048648.1919999998</v>
      </c>
      <c r="Q942" s="2">
        <f>Table1[[#This Row],[Emission Factor (kg CO2/ mmBtu)]]*Table1[[#This Row],[Fuel Consumption (mmBtu)]]*10^3</f>
        <v>323110978629.12</v>
      </c>
      <c r="R942" s="2">
        <f>(Table1[[#This Row],[CO2 Emissions (g CO2)]])/(Table1[[#This Row],[Generation (TWh)]]*10^9)</f>
        <v>1707.63032</v>
      </c>
    </row>
    <row r="943" spans="1:18" hidden="1">
      <c r="A943" t="s">
        <v>111</v>
      </c>
      <c r="B943" t="s">
        <v>46</v>
      </c>
      <c r="C943" t="str">
        <f>SUBSTITUTE(Table1[[#This Row],[Fuel]],", ",",")</f>
        <v>bioenergy: agricultural waste (solids)</v>
      </c>
      <c r="D943" t="s">
        <v>46</v>
      </c>
      <c r="G943">
        <v>30</v>
      </c>
      <c r="H943" t="s">
        <v>27</v>
      </c>
      <c r="I943">
        <v>2020</v>
      </c>
      <c r="J943" t="s">
        <v>21</v>
      </c>
      <c r="K943">
        <v>34.14</v>
      </c>
      <c r="L943">
        <v>115.4126</v>
      </c>
      <c r="M943" t="s">
        <v>102</v>
      </c>
      <c r="N943" s="2">
        <f>Table1[[#This Row],[Capacity (MW)]]*8760*0.72*10^-6</f>
        <v>0.189216</v>
      </c>
      <c r="O943" s="2" cm="1">
        <f t="array" ref="O943">AVERAGE(VLOOKUP(_xlfn.TEXTSPLIT(Table1[[#This Row],[Fuel (no space after comma)]], ","), FuelList_Final_EF!$A$2:$B$32, 2, FALSE))</f>
        <v>118.17</v>
      </c>
      <c r="P943" s="2">
        <f>(16112*Table1[[#This Row],[Generation (TWh)]]*10^9)/10^6</f>
        <v>3048648.1919999998</v>
      </c>
      <c r="Q943" s="2">
        <f>Table1[[#This Row],[Emission Factor (kg CO2/ mmBtu)]]*Table1[[#This Row],[Fuel Consumption (mmBtu)]]*10^3</f>
        <v>360258756848.63995</v>
      </c>
      <c r="R943" s="2">
        <f>(Table1[[#This Row],[CO2 Emissions (g CO2)]])/(Table1[[#This Row],[Generation (TWh)]]*10^9)</f>
        <v>1903.9550399999998</v>
      </c>
    </row>
    <row r="944" spans="1:18" hidden="1">
      <c r="A944" t="s">
        <v>117</v>
      </c>
      <c r="B944" t="s">
        <v>46</v>
      </c>
      <c r="C944" t="str">
        <f>SUBSTITUTE(Table1[[#This Row],[Fuel]],", ",",")</f>
        <v>bioenergy: agricultural waste (solids)</v>
      </c>
      <c r="D944" t="s">
        <v>46</v>
      </c>
      <c r="G944">
        <v>35</v>
      </c>
      <c r="H944" t="s">
        <v>27</v>
      </c>
      <c r="I944">
        <v>2021</v>
      </c>
      <c r="J944" t="s">
        <v>21</v>
      </c>
      <c r="K944">
        <v>32.560699999999997</v>
      </c>
      <c r="L944">
        <v>114.43810000000001</v>
      </c>
      <c r="M944" t="s">
        <v>102</v>
      </c>
      <c r="N944" s="2">
        <f>Table1[[#This Row],[Capacity (MW)]]*8760*0.72*10^-6</f>
        <v>0.220752</v>
      </c>
      <c r="O944" s="2" cm="1">
        <f t="array" ref="O944">AVERAGE(VLOOKUP(_xlfn.TEXTSPLIT(Table1[[#This Row],[Fuel (no space after comma)]], ","), FuelList_Final_EF!$A$2:$B$32, 2, FALSE))</f>
        <v>118.17</v>
      </c>
      <c r="P944" s="2">
        <f>(16112*Table1[[#This Row],[Generation (TWh)]]*10^9)/10^6</f>
        <v>3556756.2239999999</v>
      </c>
      <c r="Q944" s="2">
        <f>Table1[[#This Row],[Emission Factor (kg CO2/ mmBtu)]]*Table1[[#This Row],[Fuel Consumption (mmBtu)]]*10^3</f>
        <v>420301882990.08002</v>
      </c>
      <c r="R944" s="2">
        <f>(Table1[[#This Row],[CO2 Emissions (g CO2)]])/(Table1[[#This Row],[Generation (TWh)]]*10^9)</f>
        <v>1903.9550400000001</v>
      </c>
    </row>
    <row r="945" spans="1:18" hidden="1">
      <c r="A945" t="s">
        <v>282</v>
      </c>
      <c r="B945" t="s">
        <v>19</v>
      </c>
      <c r="C945" t="str">
        <f>SUBSTITUTE(Table1[[#This Row],[Fuel]],", ",",")</f>
        <v>bioenergy: refuse (municipal and industrial wastes)</v>
      </c>
      <c r="D945" t="s">
        <v>19</v>
      </c>
      <c r="G945">
        <v>10.199999999999999</v>
      </c>
      <c r="H945" t="s">
        <v>27</v>
      </c>
      <c r="I945">
        <v>2019</v>
      </c>
      <c r="J945" t="s">
        <v>21</v>
      </c>
      <c r="K945">
        <v>34.628</v>
      </c>
      <c r="L945">
        <v>113.9644</v>
      </c>
      <c r="M945" t="s">
        <v>102</v>
      </c>
      <c r="N945" s="2">
        <f>Table1[[#This Row],[Capacity (MW)]]*8760*0.72*10^-6</f>
        <v>6.4333439999999992E-2</v>
      </c>
      <c r="O945" s="2" cm="1">
        <f t="array" ref="O945">AVERAGE(VLOOKUP(_xlfn.TEXTSPLIT(Table1[[#This Row],[Fuel (no space after comma)]], ","), FuelList_Final_EF!$A$2:$B$32, 2, FALSE))</f>
        <v>105.42962572482868</v>
      </c>
      <c r="P945" s="2">
        <f>(16112*Table1[[#This Row],[Generation (TWh)]]*10^9)/10^6</f>
        <v>1036540.3852799998</v>
      </c>
      <c r="Q945" s="2">
        <f>Table1[[#This Row],[Emission Factor (kg CO2/ mmBtu)]]*Table1[[#This Row],[Fuel Consumption (mmBtu)]]*10^3</f>
        <v>109282064868.7401</v>
      </c>
      <c r="R945" s="2">
        <f>(Table1[[#This Row],[CO2 Emissions (g CO2)]])/(Table1[[#This Row],[Generation (TWh)]]*10^9)</f>
        <v>1698.6821296784397</v>
      </c>
    </row>
    <row r="946" spans="1:18" hidden="1">
      <c r="A946" t="s">
        <v>630</v>
      </c>
      <c r="B946" t="s">
        <v>19</v>
      </c>
      <c r="C946" t="str">
        <f>SUBSTITUTE(Table1[[#This Row],[Fuel]],", ",",")</f>
        <v>bioenergy: refuse (municipal and industrial wastes)</v>
      </c>
      <c r="D946" t="s">
        <v>19</v>
      </c>
      <c r="G946">
        <v>19.8</v>
      </c>
      <c r="H946" t="s">
        <v>27</v>
      </c>
      <c r="I946">
        <v>2019</v>
      </c>
      <c r="J946" t="s">
        <v>21</v>
      </c>
      <c r="K946">
        <v>34.628</v>
      </c>
      <c r="L946">
        <v>113.9644</v>
      </c>
      <c r="M946" t="s">
        <v>102</v>
      </c>
      <c r="N946" s="2">
        <f>Table1[[#This Row],[Capacity (MW)]]*8760*0.72*10^-6</f>
        <v>0.12488255999999999</v>
      </c>
      <c r="O946" s="2" cm="1">
        <f t="array" ref="O946">AVERAGE(VLOOKUP(_xlfn.TEXTSPLIT(Table1[[#This Row],[Fuel (no space after comma)]], ","), FuelList_Final_EF!$A$2:$B$32, 2, FALSE))</f>
        <v>105.42962572482868</v>
      </c>
      <c r="P946" s="2">
        <f>(16112*Table1[[#This Row],[Generation (TWh)]]*10^9)/10^6</f>
        <v>2012107.8067199998</v>
      </c>
      <c r="Q946" s="2">
        <f>Table1[[#This Row],[Emission Factor (kg CO2/ mmBtu)]]*Table1[[#This Row],[Fuel Consumption (mmBtu)]]*10^3</f>
        <v>212135772980.49551</v>
      </c>
      <c r="R946" s="2">
        <f>(Table1[[#This Row],[CO2 Emissions (g CO2)]])/(Table1[[#This Row],[Generation (TWh)]]*10^9)</f>
        <v>1698.6821296784399</v>
      </c>
    </row>
    <row r="947" spans="1:18" hidden="1">
      <c r="A947" t="s">
        <v>282</v>
      </c>
      <c r="B947" t="s">
        <v>19</v>
      </c>
      <c r="C947" t="str">
        <f>SUBSTITUTE(Table1[[#This Row],[Fuel]],", ",",")</f>
        <v>bioenergy: refuse (municipal and industrial wastes)</v>
      </c>
      <c r="D947" t="s">
        <v>19</v>
      </c>
      <c r="G947">
        <v>10.199999999999999</v>
      </c>
      <c r="H947" t="s">
        <v>27</v>
      </c>
      <c r="I947">
        <v>2019</v>
      </c>
      <c r="J947" t="s">
        <v>21</v>
      </c>
      <c r="K947">
        <v>34.628</v>
      </c>
      <c r="L947">
        <v>113.9644</v>
      </c>
      <c r="M947" t="s">
        <v>102</v>
      </c>
      <c r="N947" s="2">
        <f>Table1[[#This Row],[Capacity (MW)]]*8760*0.72*10^-6</f>
        <v>6.4333439999999992E-2</v>
      </c>
      <c r="O947" s="2" cm="1">
        <f t="array" ref="O947">AVERAGE(VLOOKUP(_xlfn.TEXTSPLIT(Table1[[#This Row],[Fuel (no space after comma)]], ","), FuelList_Final_EF!$A$2:$B$32, 2, FALSE))</f>
        <v>105.42962572482868</v>
      </c>
      <c r="P947" s="2">
        <f>(16112*Table1[[#This Row],[Generation (TWh)]]*10^9)/10^6</f>
        <v>1036540.3852799998</v>
      </c>
      <c r="Q947" s="2">
        <f>Table1[[#This Row],[Emission Factor (kg CO2/ mmBtu)]]*Table1[[#This Row],[Fuel Consumption (mmBtu)]]*10^3</f>
        <v>109282064868.7401</v>
      </c>
      <c r="R947" s="2">
        <f>(Table1[[#This Row],[CO2 Emissions (g CO2)]])/(Table1[[#This Row],[Generation (TWh)]]*10^9)</f>
        <v>1698.6821296784397</v>
      </c>
    </row>
    <row r="948" spans="1:18" hidden="1">
      <c r="A948" t="s">
        <v>630</v>
      </c>
      <c r="B948" t="s">
        <v>19</v>
      </c>
      <c r="C948" t="str">
        <f>SUBSTITUTE(Table1[[#This Row],[Fuel]],", ",",")</f>
        <v>bioenergy: refuse (municipal and industrial wastes)</v>
      </c>
      <c r="D948" t="s">
        <v>19</v>
      </c>
      <c r="G948">
        <v>19.8</v>
      </c>
      <c r="H948" t="s">
        <v>27</v>
      </c>
      <c r="I948">
        <v>2019</v>
      </c>
      <c r="J948" t="s">
        <v>21</v>
      </c>
      <c r="K948">
        <v>34.628</v>
      </c>
      <c r="L948">
        <v>113.9644</v>
      </c>
      <c r="M948" t="s">
        <v>102</v>
      </c>
      <c r="N948" s="2">
        <f>Table1[[#This Row],[Capacity (MW)]]*8760*0.72*10^-6</f>
        <v>0.12488255999999999</v>
      </c>
      <c r="O948" s="2" cm="1">
        <f t="array" ref="O948">AVERAGE(VLOOKUP(_xlfn.TEXTSPLIT(Table1[[#This Row],[Fuel (no space after comma)]], ","), FuelList_Final_EF!$A$2:$B$32, 2, FALSE))</f>
        <v>105.42962572482868</v>
      </c>
      <c r="P948" s="2">
        <f>(16112*Table1[[#This Row],[Generation (TWh)]]*10^9)/10^6</f>
        <v>2012107.8067199998</v>
      </c>
      <c r="Q948" s="2">
        <f>Table1[[#This Row],[Emission Factor (kg CO2/ mmBtu)]]*Table1[[#This Row],[Fuel Consumption (mmBtu)]]*10^3</f>
        <v>212135772980.49551</v>
      </c>
      <c r="R948" s="2">
        <f>(Table1[[#This Row],[CO2 Emissions (g CO2)]])/(Table1[[#This Row],[Generation (TWh)]]*10^9)</f>
        <v>1698.6821296784399</v>
      </c>
    </row>
    <row r="949" spans="1:18" hidden="1">
      <c r="A949" t="s">
        <v>630</v>
      </c>
      <c r="B949" t="s">
        <v>19</v>
      </c>
      <c r="C949" t="str">
        <f>SUBSTITUTE(Table1[[#This Row],[Fuel]],", ",",")</f>
        <v>bioenergy: refuse (municipal and industrial wastes)</v>
      </c>
      <c r="D949" t="s">
        <v>19</v>
      </c>
      <c r="G949">
        <v>19.8</v>
      </c>
      <c r="H949" t="s">
        <v>27</v>
      </c>
      <c r="I949">
        <v>2019</v>
      </c>
      <c r="J949" t="s">
        <v>21</v>
      </c>
      <c r="K949">
        <v>34.628</v>
      </c>
      <c r="L949">
        <v>113.9644</v>
      </c>
      <c r="M949" t="s">
        <v>102</v>
      </c>
      <c r="N949" s="2">
        <f>Table1[[#This Row],[Capacity (MW)]]*8760*0.72*10^-6</f>
        <v>0.12488255999999999</v>
      </c>
      <c r="O949" s="2" cm="1">
        <f t="array" ref="O949">AVERAGE(VLOOKUP(_xlfn.TEXTSPLIT(Table1[[#This Row],[Fuel (no space after comma)]], ","), FuelList_Final_EF!$A$2:$B$32, 2, FALSE))</f>
        <v>105.42962572482868</v>
      </c>
      <c r="P949" s="2">
        <f>(16112*Table1[[#This Row],[Generation (TWh)]]*10^9)/10^6</f>
        <v>2012107.8067199998</v>
      </c>
      <c r="Q949" s="2">
        <f>Table1[[#This Row],[Emission Factor (kg CO2/ mmBtu)]]*Table1[[#This Row],[Fuel Consumption (mmBtu)]]*10^3</f>
        <v>212135772980.49551</v>
      </c>
      <c r="R949" s="2">
        <f>(Table1[[#This Row],[CO2 Emissions (g CO2)]])/(Table1[[#This Row],[Generation (TWh)]]*10^9)</f>
        <v>1698.6821296784399</v>
      </c>
    </row>
    <row r="950" spans="1:18" hidden="1">
      <c r="A950" t="s">
        <v>282</v>
      </c>
      <c r="B950" t="s">
        <v>19</v>
      </c>
      <c r="C950" t="str">
        <f>SUBSTITUTE(Table1[[#This Row],[Fuel]],", ",",")</f>
        <v>bioenergy: refuse (municipal and industrial wastes)</v>
      </c>
      <c r="D950" t="s">
        <v>19</v>
      </c>
      <c r="G950">
        <v>10.199999999999999</v>
      </c>
      <c r="H950" t="s">
        <v>27</v>
      </c>
      <c r="I950">
        <v>2019</v>
      </c>
      <c r="J950" t="s">
        <v>21</v>
      </c>
      <c r="K950">
        <v>34.628</v>
      </c>
      <c r="L950">
        <v>113.9644</v>
      </c>
      <c r="M950" t="s">
        <v>102</v>
      </c>
      <c r="N950" s="2">
        <f>Table1[[#This Row],[Capacity (MW)]]*8760*0.72*10^-6</f>
        <v>6.4333439999999992E-2</v>
      </c>
      <c r="O950" s="2" cm="1">
        <f t="array" ref="O950">AVERAGE(VLOOKUP(_xlfn.TEXTSPLIT(Table1[[#This Row],[Fuel (no space after comma)]], ","), FuelList_Final_EF!$A$2:$B$32, 2, FALSE))</f>
        <v>105.42962572482868</v>
      </c>
      <c r="P950" s="2">
        <f>(16112*Table1[[#This Row],[Generation (TWh)]]*10^9)/10^6</f>
        <v>1036540.3852799998</v>
      </c>
      <c r="Q950" s="2">
        <f>Table1[[#This Row],[Emission Factor (kg CO2/ mmBtu)]]*Table1[[#This Row],[Fuel Consumption (mmBtu)]]*10^3</f>
        <v>109282064868.7401</v>
      </c>
      <c r="R950" s="2">
        <f>(Table1[[#This Row],[CO2 Emissions (g CO2)]])/(Table1[[#This Row],[Generation (TWh)]]*10^9)</f>
        <v>1698.6821296784397</v>
      </c>
    </row>
    <row r="951" spans="1:18" hidden="1">
      <c r="A951" t="s">
        <v>148</v>
      </c>
      <c r="B951" t="s">
        <v>25</v>
      </c>
      <c r="C951" t="str">
        <f>SUBSTITUTE(Table1[[#This Row],[Fuel]],", ",",")</f>
        <v>bioenergy: wood &amp; other biomass (solids)</v>
      </c>
      <c r="D951" t="s">
        <v>25</v>
      </c>
      <c r="G951">
        <v>80</v>
      </c>
      <c r="H951" t="s">
        <v>27</v>
      </c>
      <c r="I951">
        <v>1982</v>
      </c>
      <c r="J951" t="s">
        <v>21</v>
      </c>
      <c r="K951">
        <v>56.121400000000001</v>
      </c>
      <c r="L951">
        <v>9.0068000000000001</v>
      </c>
      <c r="M951" t="s">
        <v>83</v>
      </c>
      <c r="N951" s="2">
        <f>Table1[[#This Row],[Capacity (MW)]]*8760*0.72*10^-6</f>
        <v>0.50457600000000002</v>
      </c>
      <c r="O951" s="2" cm="1">
        <f t="array" ref="O951">AVERAGE(VLOOKUP(_xlfn.TEXTSPLIT(Table1[[#This Row],[Fuel (no space after comma)]], ","), FuelList_Final_EF!$A$2:$B$32, 2, FALSE))</f>
        <v>93.8</v>
      </c>
      <c r="P951" s="2">
        <f>(16112*Table1[[#This Row],[Generation (TWh)]]*10^9)/10^6</f>
        <v>8129728.512000001</v>
      </c>
      <c r="Q951" s="2">
        <f>Table1[[#This Row],[Emission Factor (kg CO2/ mmBtu)]]*Table1[[#This Row],[Fuel Consumption (mmBtu)]]*10^3</f>
        <v>762568534425.6001</v>
      </c>
      <c r="R951" s="2">
        <f>(Table1[[#This Row],[CO2 Emissions (g CO2)]])/(Table1[[#This Row],[Generation (TWh)]]*10^9)</f>
        <v>1511.3056000000001</v>
      </c>
    </row>
    <row r="952" spans="1:18" hidden="1">
      <c r="A952" t="s">
        <v>638</v>
      </c>
      <c r="B952" t="s">
        <v>105</v>
      </c>
      <c r="C952" t="str">
        <f>SUBSTITUTE(Table1[[#This Row],[Fuel]],", ",",")</f>
        <v>bioenergy: agricultural waste (solids),bioenergy: wood &amp; other biomass (solids)</v>
      </c>
      <c r="D952" t="s">
        <v>46</v>
      </c>
      <c r="E952" t="s">
        <v>25</v>
      </c>
      <c r="G952">
        <v>43</v>
      </c>
      <c r="H952" t="s">
        <v>27</v>
      </c>
      <c r="I952">
        <v>2016</v>
      </c>
      <c r="J952" t="s">
        <v>21</v>
      </c>
      <c r="K952">
        <v>15.6165</v>
      </c>
      <c r="L952">
        <v>-87.973500000000001</v>
      </c>
      <c r="M952" t="s">
        <v>249</v>
      </c>
      <c r="N952" s="2">
        <f>Table1[[#This Row],[Capacity (MW)]]*8760*0.72*10^-6</f>
        <v>0.27120959999999994</v>
      </c>
      <c r="O952" s="2" cm="1">
        <f t="array" ref="O952">AVERAGE(VLOOKUP(_xlfn.TEXTSPLIT(Table1[[#This Row],[Fuel (no space after comma)]], ","), FuelList_Final_EF!$A$2:$B$32, 2, FALSE))</f>
        <v>105.985</v>
      </c>
      <c r="P952" s="2">
        <f>(16112*Table1[[#This Row],[Generation (TWh)]]*10^9)/10^6</f>
        <v>4369729.0751999989</v>
      </c>
      <c r="Q952" s="2">
        <f>Table1[[#This Row],[Emission Factor (kg CO2/ mmBtu)]]*Table1[[#This Row],[Fuel Consumption (mmBtu)]]*10^3</f>
        <v>463125736035.0719</v>
      </c>
      <c r="R952" s="2">
        <f>(Table1[[#This Row],[CO2 Emissions (g CO2)]])/(Table1[[#This Row],[Generation (TWh)]]*10^9)</f>
        <v>1707.63032</v>
      </c>
    </row>
    <row r="953" spans="1:18" hidden="1">
      <c r="A953" t="s">
        <v>639</v>
      </c>
      <c r="B953" t="s">
        <v>25</v>
      </c>
      <c r="C953" t="str">
        <f>SUBSTITUTE(Table1[[#This Row],[Fuel]],", ",",")</f>
        <v>bioenergy: wood &amp; other biomass (solids)</v>
      </c>
      <c r="D953" t="s">
        <v>25</v>
      </c>
      <c r="G953">
        <v>112</v>
      </c>
      <c r="H953" t="s">
        <v>53</v>
      </c>
      <c r="I953">
        <v>2026</v>
      </c>
      <c r="J953" t="s">
        <v>21</v>
      </c>
      <c r="K953">
        <v>33.940000009999999</v>
      </c>
      <c r="L953">
        <v>130.83056300000001</v>
      </c>
      <c r="M953" t="s">
        <v>51</v>
      </c>
      <c r="N953" s="2">
        <f>Table1[[#This Row],[Capacity (MW)]]*8760*0.72*10^-6</f>
        <v>0.70640639999999999</v>
      </c>
      <c r="O953" s="2" cm="1">
        <f t="array" ref="O953">AVERAGE(VLOOKUP(_xlfn.TEXTSPLIT(Table1[[#This Row],[Fuel (no space after comma)]], ","), FuelList_Final_EF!$A$2:$B$32, 2, FALSE))</f>
        <v>93.8</v>
      </c>
      <c r="P953" s="2">
        <f>(16112*Table1[[#This Row],[Generation (TWh)]]*10^9)/10^6</f>
        <v>11381619.9168</v>
      </c>
      <c r="Q953" s="2">
        <f>Table1[[#This Row],[Emission Factor (kg CO2/ mmBtu)]]*Table1[[#This Row],[Fuel Consumption (mmBtu)]]*10^3</f>
        <v>1067595948195.84</v>
      </c>
      <c r="R953" s="2">
        <f>(Table1[[#This Row],[CO2 Emissions (g CO2)]])/(Table1[[#This Row],[Generation (TWh)]]*10^9)</f>
        <v>1511.3055999999999</v>
      </c>
    </row>
    <row r="954" spans="1:18">
      <c r="A954" t="s">
        <v>640</v>
      </c>
      <c r="B954" t="s">
        <v>46</v>
      </c>
      <c r="C954" t="str">
        <f>SUBSTITUTE(Table1[[#This Row],[Fuel]],", ",",")</f>
        <v>bioenergy: agricultural waste (solids)</v>
      </c>
      <c r="D954" t="s">
        <v>46</v>
      </c>
      <c r="G954">
        <v>39</v>
      </c>
      <c r="H954" t="s">
        <v>27</v>
      </c>
      <c r="I954" t="s">
        <v>21</v>
      </c>
      <c r="J954" t="s">
        <v>21</v>
      </c>
      <c r="K954">
        <v>-21.070799999999998</v>
      </c>
      <c r="L954">
        <v>31.647099999999998</v>
      </c>
      <c r="M954" t="s">
        <v>280</v>
      </c>
      <c r="N954" s="2">
        <f>Table1[[#This Row],[Capacity (MW)]]*8760*0.72*10^-6</f>
        <v>0.24598079999999997</v>
      </c>
      <c r="O954" s="2" cm="1">
        <f t="array" ref="O954">AVERAGE(VLOOKUP(_xlfn.TEXTSPLIT(Table1[[#This Row],[Fuel (no space after comma)]], ","), FuelList_Final_EF!$A$2:$B$32, 2, FALSE))</f>
        <v>118.17</v>
      </c>
      <c r="P954" s="2">
        <f>(16112*Table1[[#This Row],[Generation (TWh)]]*10^9)/10^6</f>
        <v>3963242.6495999997</v>
      </c>
      <c r="Q954" s="2">
        <f>Table1[[#This Row],[Emission Factor (kg CO2/ mmBtu)]]*Table1[[#This Row],[Fuel Consumption (mmBtu)]]*10^3</f>
        <v>468336383903.23199</v>
      </c>
      <c r="R954" s="2">
        <f>(Table1[[#This Row],[CO2 Emissions (g CO2)]])/(Table1[[#This Row],[Generation (TWh)]]*10^9)</f>
        <v>1903.9550400000003</v>
      </c>
    </row>
    <row r="955" spans="1:18" hidden="1">
      <c r="A955" t="s">
        <v>641</v>
      </c>
      <c r="B955" t="s">
        <v>210</v>
      </c>
      <c r="C955" t="str">
        <f>SUBSTITUTE(Table1[[#This Row],[Fuel]],", ",",")</f>
        <v>bioenergy: wood &amp; other biomass (solids),bioenergy: agricultural waste (solids)</v>
      </c>
      <c r="D955" t="s">
        <v>25</v>
      </c>
      <c r="E955" t="s">
        <v>46</v>
      </c>
      <c r="G955">
        <v>75</v>
      </c>
      <c r="H955" t="s">
        <v>27</v>
      </c>
      <c r="I955">
        <v>2023</v>
      </c>
      <c r="J955" t="s">
        <v>21</v>
      </c>
      <c r="K955">
        <v>34.778500000000001</v>
      </c>
      <c r="L955">
        <v>134.61680000000001</v>
      </c>
      <c r="M955" t="s">
        <v>51</v>
      </c>
      <c r="N955" s="2">
        <f>Table1[[#This Row],[Capacity (MW)]]*8760*0.72*10^-6</f>
        <v>0.47303999999999996</v>
      </c>
      <c r="O955" s="2" cm="1">
        <f t="array" ref="O955">AVERAGE(VLOOKUP(_xlfn.TEXTSPLIT(Table1[[#This Row],[Fuel (no space after comma)]], ","), FuelList_Final_EF!$A$2:$B$32, 2, FALSE))</f>
        <v>105.985</v>
      </c>
      <c r="P955" s="2">
        <f>(16112*Table1[[#This Row],[Generation (TWh)]]*10^9)/10^6</f>
        <v>7621620.4800000004</v>
      </c>
      <c r="Q955" s="2">
        <f>Table1[[#This Row],[Emission Factor (kg CO2/ mmBtu)]]*Table1[[#This Row],[Fuel Consumption (mmBtu)]]*10^3</f>
        <v>807777446572.80005</v>
      </c>
      <c r="R955" s="2">
        <f>(Table1[[#This Row],[CO2 Emissions (g CO2)]])/(Table1[[#This Row],[Generation (TWh)]]*10^9)</f>
        <v>1707.6303200000002</v>
      </c>
    </row>
    <row r="956" spans="1:18" hidden="1">
      <c r="A956" t="s">
        <v>642</v>
      </c>
      <c r="B956" t="s">
        <v>19</v>
      </c>
      <c r="C956" t="str">
        <f>SUBSTITUTE(Table1[[#This Row],[Fuel]],", ",",")</f>
        <v>bioenergy: refuse (municipal and industrial wastes)</v>
      </c>
      <c r="D956" t="s">
        <v>19</v>
      </c>
      <c r="G956">
        <v>34</v>
      </c>
      <c r="H956" t="s">
        <v>27</v>
      </c>
      <c r="I956">
        <v>2008</v>
      </c>
      <c r="J956" t="s">
        <v>21</v>
      </c>
      <c r="K956">
        <v>51.320900000000002</v>
      </c>
      <c r="L956">
        <v>9.8498999999999999</v>
      </c>
      <c r="M956" t="s">
        <v>154</v>
      </c>
      <c r="N956" s="2">
        <f>Table1[[#This Row],[Capacity (MW)]]*8760*0.72*10^-6</f>
        <v>0.21444479999999999</v>
      </c>
      <c r="O956" s="2" cm="1">
        <f t="array" ref="O956">AVERAGE(VLOOKUP(_xlfn.TEXTSPLIT(Table1[[#This Row],[Fuel (no space after comma)]], ","), FuelList_Final_EF!$A$2:$B$32, 2, FALSE))</f>
        <v>105.42962572482868</v>
      </c>
      <c r="P956" s="2">
        <f>(16112*Table1[[#This Row],[Generation (TWh)]]*10^9)/10^6</f>
        <v>3455134.6175999995</v>
      </c>
      <c r="Q956" s="2">
        <f>Table1[[#This Row],[Emission Factor (kg CO2/ mmBtu)]]*Table1[[#This Row],[Fuel Consumption (mmBtu)]]*10^3</f>
        <v>364273549562.46704</v>
      </c>
      <c r="R956" s="2">
        <f>(Table1[[#This Row],[CO2 Emissions (g CO2)]])/(Table1[[#This Row],[Generation (TWh)]]*10^9)</f>
        <v>1698.6821296784397</v>
      </c>
    </row>
    <row r="957" spans="1:18" hidden="1">
      <c r="A957" t="s">
        <v>643</v>
      </c>
      <c r="B957" t="s">
        <v>25</v>
      </c>
      <c r="C957" t="str">
        <f>SUBSTITUTE(Table1[[#This Row],[Fuel]],", ",",")</f>
        <v>bioenergy: wood &amp; other biomass (solids)</v>
      </c>
      <c r="D957" t="s">
        <v>25</v>
      </c>
      <c r="G957">
        <v>30</v>
      </c>
      <c r="H957" t="s">
        <v>27</v>
      </c>
      <c r="I957">
        <v>1958</v>
      </c>
      <c r="J957" t="s">
        <v>21</v>
      </c>
      <c r="K957">
        <v>48.847759000000003</v>
      </c>
      <c r="L957">
        <v>17.120128999999999</v>
      </c>
      <c r="M957" t="s">
        <v>644</v>
      </c>
      <c r="N957" s="2">
        <f>Table1[[#This Row],[Capacity (MW)]]*8760*0.72*10^-6</f>
        <v>0.189216</v>
      </c>
      <c r="O957" s="2" cm="1">
        <f t="array" ref="O957">AVERAGE(VLOOKUP(_xlfn.TEXTSPLIT(Table1[[#This Row],[Fuel (no space after comma)]], ","), FuelList_Final_EF!$A$2:$B$32, 2, FALSE))</f>
        <v>93.8</v>
      </c>
      <c r="P957" s="2">
        <f>(16112*Table1[[#This Row],[Generation (TWh)]]*10^9)/10^6</f>
        <v>3048648.1919999998</v>
      </c>
      <c r="Q957" s="2">
        <f>Table1[[#This Row],[Emission Factor (kg CO2/ mmBtu)]]*Table1[[#This Row],[Fuel Consumption (mmBtu)]]*10^3</f>
        <v>285963200409.59998</v>
      </c>
      <c r="R957" s="2">
        <f>(Table1[[#This Row],[CO2 Emissions (g CO2)]])/(Table1[[#This Row],[Generation (TWh)]]*10^9)</f>
        <v>1511.3055999999999</v>
      </c>
    </row>
    <row r="958" spans="1:18" hidden="1">
      <c r="A958" t="s">
        <v>233</v>
      </c>
      <c r="B958" t="s">
        <v>645</v>
      </c>
      <c r="C958" t="str">
        <f>SUBSTITUTE(Table1[[#This Row],[Fuel]],", ",",")</f>
        <v>bioenergy: refuse (municipal and industrial wastes),bioenergy: biodiesel</v>
      </c>
      <c r="D958" t="s">
        <v>19</v>
      </c>
      <c r="E958" t="s">
        <v>36</v>
      </c>
      <c r="G958">
        <v>71</v>
      </c>
      <c r="H958" t="s">
        <v>27</v>
      </c>
      <c r="I958">
        <v>1969</v>
      </c>
      <c r="J958" t="s">
        <v>21</v>
      </c>
      <c r="K958">
        <v>59.258099999999999</v>
      </c>
      <c r="L958">
        <v>18.060300000000002</v>
      </c>
      <c r="M958" t="s">
        <v>34</v>
      </c>
      <c r="N958" s="2">
        <f>Table1[[#This Row],[Capacity (MW)]]*8760*0.72*10^-6</f>
        <v>0.44781119999999996</v>
      </c>
      <c r="O958" s="2" cm="1">
        <f t="array" ref="O958">AVERAGE(VLOOKUP(_xlfn.TEXTSPLIT(Table1[[#This Row],[Fuel (no space after comma)]], ","), FuelList_Final_EF!$A$2:$B$32, 2, FALSE))</f>
        <v>89.63481286241435</v>
      </c>
      <c r="P958" s="2">
        <f>(16112*Table1[[#This Row],[Generation (TWh)]]*10^9)/10^6</f>
        <v>7215134.0543999998</v>
      </c>
      <c r="Q958" s="2">
        <f>Table1[[#This Row],[Emission Factor (kg CO2/ mmBtu)]]*Table1[[#This Row],[Fuel Consumption (mmBtu)]]*10^3</f>
        <v>646727190743.37683</v>
      </c>
      <c r="R958" s="2">
        <f>(Table1[[#This Row],[CO2 Emissions (g CO2)]])/(Table1[[#This Row],[Generation (TWh)]]*10^9)</f>
        <v>1444.19610483922</v>
      </c>
    </row>
    <row r="959" spans="1:18">
      <c r="A959" t="s">
        <v>646</v>
      </c>
      <c r="B959" t="s">
        <v>25</v>
      </c>
      <c r="C959" t="str">
        <f>SUBSTITUTE(Table1[[#This Row],[Fuel]],", ",",")</f>
        <v>bioenergy: wood &amp; other biomass (solids)</v>
      </c>
      <c r="D959" t="s">
        <v>25</v>
      </c>
      <c r="G959">
        <v>149</v>
      </c>
      <c r="H959" t="s">
        <v>71</v>
      </c>
      <c r="I959" t="s">
        <v>21</v>
      </c>
      <c r="J959" t="s">
        <v>21</v>
      </c>
      <c r="K959">
        <v>53.3001</v>
      </c>
      <c r="L959">
        <v>-4.6185999999999998</v>
      </c>
      <c r="M959" t="s">
        <v>22</v>
      </c>
      <c r="N959" s="2">
        <f>Table1[[#This Row],[Capacity (MW)]]*8760*0.72*10^-6</f>
        <v>0.93977279999999985</v>
      </c>
      <c r="O959" s="2" cm="1">
        <f t="array" ref="O959">AVERAGE(VLOOKUP(_xlfn.TEXTSPLIT(Table1[[#This Row],[Fuel (no space after comma)]], ","), FuelList_Final_EF!$A$2:$B$32, 2, FALSE))</f>
        <v>93.8</v>
      </c>
      <c r="P959" s="2">
        <f>(16112*Table1[[#This Row],[Generation (TWh)]]*10^9)/10^6</f>
        <v>15141619.353599997</v>
      </c>
      <c r="Q959" s="2">
        <f>Table1[[#This Row],[Emission Factor (kg CO2/ mmBtu)]]*Table1[[#This Row],[Fuel Consumption (mmBtu)]]*10^3</f>
        <v>1420283895367.6797</v>
      </c>
      <c r="R959" s="2">
        <f>(Table1[[#This Row],[CO2 Emissions (g CO2)]])/(Table1[[#This Row],[Generation (TWh)]]*10^9)</f>
        <v>1511.3055999999999</v>
      </c>
    </row>
    <row r="960" spans="1:18">
      <c r="A960" t="s">
        <v>646</v>
      </c>
      <c r="B960" t="s">
        <v>25</v>
      </c>
      <c r="C960" t="str">
        <f>SUBSTITUTE(Table1[[#This Row],[Fuel]],", ",",")</f>
        <v>bioenergy: wood &amp; other biomass (solids)</v>
      </c>
      <c r="D960" t="s">
        <v>25</v>
      </c>
      <c r="G960">
        <v>150</v>
      </c>
      <c r="H960" t="s">
        <v>71</v>
      </c>
      <c r="I960" t="s">
        <v>21</v>
      </c>
      <c r="J960" t="s">
        <v>21</v>
      </c>
      <c r="K960">
        <v>53.3001</v>
      </c>
      <c r="L960">
        <v>-4.6185999999999998</v>
      </c>
      <c r="M960" t="s">
        <v>22</v>
      </c>
      <c r="N960" s="2">
        <f>Table1[[#This Row],[Capacity (MW)]]*8760*0.72*10^-6</f>
        <v>0.94607999999999992</v>
      </c>
      <c r="O960" s="2" cm="1">
        <f t="array" ref="O960">AVERAGE(VLOOKUP(_xlfn.TEXTSPLIT(Table1[[#This Row],[Fuel (no space after comma)]], ","), FuelList_Final_EF!$A$2:$B$32, 2, FALSE))</f>
        <v>93.8</v>
      </c>
      <c r="P960" s="2">
        <f>(16112*Table1[[#This Row],[Generation (TWh)]]*10^9)/10^6</f>
        <v>15243240.960000001</v>
      </c>
      <c r="Q960" s="2">
        <f>Table1[[#This Row],[Emission Factor (kg CO2/ mmBtu)]]*Table1[[#This Row],[Fuel Consumption (mmBtu)]]*10^3</f>
        <v>1429816002048</v>
      </c>
      <c r="R960" s="2">
        <f>(Table1[[#This Row],[CO2 Emissions (g CO2)]])/(Table1[[#This Row],[Generation (TWh)]]*10^9)</f>
        <v>1511.3056000000001</v>
      </c>
    </row>
    <row r="961" spans="1:18" hidden="1">
      <c r="A961" t="s">
        <v>296</v>
      </c>
      <c r="B961" t="s">
        <v>25</v>
      </c>
      <c r="C961" t="str">
        <f>SUBSTITUTE(Table1[[#This Row],[Fuel]],", ",",")</f>
        <v>bioenergy: wood &amp; other biomass (solids)</v>
      </c>
      <c r="D961" t="s">
        <v>25</v>
      </c>
      <c r="G961">
        <v>30</v>
      </c>
      <c r="H961" t="s">
        <v>27</v>
      </c>
      <c r="I961">
        <v>1989</v>
      </c>
      <c r="J961" t="s">
        <v>21</v>
      </c>
      <c r="K961">
        <v>40.368299999999998</v>
      </c>
      <c r="L961">
        <v>-120.2647</v>
      </c>
      <c r="M961" t="s">
        <v>62</v>
      </c>
      <c r="N961" s="2">
        <f>Table1[[#This Row],[Capacity (MW)]]*8760*0.72*10^-6</f>
        <v>0.189216</v>
      </c>
      <c r="O961" s="2" cm="1">
        <f t="array" ref="O961">AVERAGE(VLOOKUP(_xlfn.TEXTSPLIT(Table1[[#This Row],[Fuel (no space after comma)]], ","), FuelList_Final_EF!$A$2:$B$32, 2, FALSE))</f>
        <v>93.8</v>
      </c>
      <c r="P961" s="2">
        <f>(16112*Table1[[#This Row],[Generation (TWh)]]*10^9)/10^6</f>
        <v>3048648.1919999998</v>
      </c>
      <c r="Q961" s="2">
        <f>Table1[[#This Row],[Emission Factor (kg CO2/ mmBtu)]]*Table1[[#This Row],[Fuel Consumption (mmBtu)]]*10^3</f>
        <v>285963200409.59998</v>
      </c>
      <c r="R961" s="2">
        <f>(Table1[[#This Row],[CO2 Emissions (g CO2)]])/(Table1[[#This Row],[Generation (TWh)]]*10^9)</f>
        <v>1511.3055999999999</v>
      </c>
    </row>
    <row r="962" spans="1:18" hidden="1">
      <c r="A962" t="s">
        <v>317</v>
      </c>
      <c r="B962" t="s">
        <v>145</v>
      </c>
      <c r="C962" t="str">
        <f>SUBSTITUTE(Table1[[#This Row],[Fuel]],", ",",")</f>
        <v>bioenergy: paper mill wastes,bioenergy: wood &amp; other biomass (solids),fossil gas: natural gas</v>
      </c>
      <c r="D962" t="s">
        <v>61</v>
      </c>
      <c r="E962" t="s">
        <v>25</v>
      </c>
      <c r="F962" t="s">
        <v>69</v>
      </c>
      <c r="G962">
        <v>48</v>
      </c>
      <c r="H962" t="s">
        <v>27</v>
      </c>
      <c r="I962">
        <v>1980</v>
      </c>
      <c r="J962" t="s">
        <v>21</v>
      </c>
      <c r="K962">
        <v>37.291400000000003</v>
      </c>
      <c r="L962">
        <v>-77.281599999999997</v>
      </c>
      <c r="M962" t="s">
        <v>62</v>
      </c>
      <c r="N962" s="2">
        <f>Table1[[#This Row],[Capacity (MW)]]*8760*0.72*10^-6</f>
        <v>0.30274559999999995</v>
      </c>
      <c r="O962" s="2" cm="1">
        <f t="array" ref="O962">AVERAGE(VLOOKUP(_xlfn.TEXTSPLIT(Table1[[#This Row],[Fuel (no space after comma)]], ","), FuelList_Final_EF!$A$2:$B$32, 2, FALSE))</f>
        <v>82.444811105253905</v>
      </c>
      <c r="P962" s="2">
        <f>(16112*Table1[[#This Row],[Generation (TWh)]]*10^9)/10^6</f>
        <v>4877837.1071999986</v>
      </c>
      <c r="Q962" s="2">
        <f>Table1[[#This Row],[Emission Factor (kg CO2/ mmBtu)]]*Table1[[#This Row],[Fuel Consumption (mmBtu)]]*10^3</f>
        <v>402152358905.30206</v>
      </c>
      <c r="R962" s="2">
        <f>(Table1[[#This Row],[CO2 Emissions (g CO2)]])/(Table1[[#This Row],[Generation (TWh)]]*10^9)</f>
        <v>1328.3507965278509</v>
      </c>
    </row>
    <row r="963" spans="1:18" hidden="1">
      <c r="A963" t="s">
        <v>81</v>
      </c>
      <c r="B963" t="s">
        <v>25</v>
      </c>
      <c r="C963" t="str">
        <f>SUBSTITUTE(Table1[[#This Row],[Fuel]],", ",",")</f>
        <v>bioenergy: wood &amp; other biomass (solids)</v>
      </c>
      <c r="D963" t="s">
        <v>25</v>
      </c>
      <c r="G963">
        <v>71</v>
      </c>
      <c r="H963" t="s">
        <v>27</v>
      </c>
      <c r="I963">
        <v>1992</v>
      </c>
      <c r="J963" t="s">
        <v>21</v>
      </c>
      <c r="K963">
        <v>37.297395999999999</v>
      </c>
      <c r="L963">
        <v>-77.283501999999999</v>
      </c>
      <c r="M963" t="s">
        <v>62</v>
      </c>
      <c r="N963" s="2">
        <f>Table1[[#This Row],[Capacity (MW)]]*8760*0.72*10^-6</f>
        <v>0.44781119999999996</v>
      </c>
      <c r="O963" s="2" cm="1">
        <f t="array" ref="O963">AVERAGE(VLOOKUP(_xlfn.TEXTSPLIT(Table1[[#This Row],[Fuel (no space after comma)]], ","), FuelList_Final_EF!$A$2:$B$32, 2, FALSE))</f>
        <v>93.8</v>
      </c>
      <c r="P963" s="2">
        <f>(16112*Table1[[#This Row],[Generation (TWh)]]*10^9)/10^6</f>
        <v>7215134.0543999998</v>
      </c>
      <c r="Q963" s="2">
        <f>Table1[[#This Row],[Emission Factor (kg CO2/ mmBtu)]]*Table1[[#This Row],[Fuel Consumption (mmBtu)]]*10^3</f>
        <v>676779574302.71997</v>
      </c>
      <c r="R963" s="2">
        <f>(Table1[[#This Row],[CO2 Emissions (g CO2)]])/(Table1[[#This Row],[Generation (TWh)]]*10^9)</f>
        <v>1511.3056000000001</v>
      </c>
    </row>
    <row r="964" spans="1:18" hidden="1">
      <c r="A964" t="s">
        <v>647</v>
      </c>
      <c r="B964" t="s">
        <v>25</v>
      </c>
      <c r="C964" t="str">
        <f>SUBSTITUTE(Table1[[#This Row],[Fuel]],", ",",")</f>
        <v>bioenergy: wood &amp; other biomass (solids)</v>
      </c>
      <c r="D964" t="s">
        <v>25</v>
      </c>
      <c r="G964">
        <v>40</v>
      </c>
      <c r="H964" t="s">
        <v>27</v>
      </c>
      <c r="I964">
        <v>2009</v>
      </c>
      <c r="J964" t="s">
        <v>21</v>
      </c>
      <c r="K964">
        <v>63.275399999999998</v>
      </c>
      <c r="L964">
        <v>18.715699999999998</v>
      </c>
      <c r="M964" t="s">
        <v>34</v>
      </c>
      <c r="N964" s="2">
        <f>Table1[[#This Row],[Capacity (MW)]]*8760*0.72*10^-6</f>
        <v>0.25228800000000001</v>
      </c>
      <c r="O964" s="2" cm="1">
        <f t="array" ref="O964">AVERAGE(VLOOKUP(_xlfn.TEXTSPLIT(Table1[[#This Row],[Fuel (no space after comma)]], ","), FuelList_Final_EF!$A$2:$B$32, 2, FALSE))</f>
        <v>93.8</v>
      </c>
      <c r="P964" s="2">
        <f>(16112*Table1[[#This Row],[Generation (TWh)]]*10^9)/10^6</f>
        <v>4064864.2560000005</v>
      </c>
      <c r="Q964" s="2">
        <f>Table1[[#This Row],[Emission Factor (kg CO2/ mmBtu)]]*Table1[[#This Row],[Fuel Consumption (mmBtu)]]*10^3</f>
        <v>381284267212.80005</v>
      </c>
      <c r="R964" s="2">
        <f>(Table1[[#This Row],[CO2 Emissions (g CO2)]])/(Table1[[#This Row],[Generation (TWh)]]*10^9)</f>
        <v>1511.3056000000001</v>
      </c>
    </row>
    <row r="965" spans="1:18">
      <c r="A965" t="s">
        <v>21</v>
      </c>
      <c r="B965" t="s">
        <v>261</v>
      </c>
      <c r="C965" t="str">
        <f>SUBSTITUTE(Table1[[#This Row],[Fuel]],", ",",")</f>
        <v>bioenergy: wood &amp; other biomass (solids),bioenergy: paper mill wastes,fossil gas: natural gas</v>
      </c>
      <c r="D965" t="s">
        <v>25</v>
      </c>
      <c r="E965" t="s">
        <v>61</v>
      </c>
      <c r="F965" t="s">
        <v>69</v>
      </c>
      <c r="G965">
        <v>50</v>
      </c>
      <c r="H965" t="s">
        <v>27</v>
      </c>
      <c r="I965" t="s">
        <v>21</v>
      </c>
      <c r="J965" t="s">
        <v>21</v>
      </c>
      <c r="K965">
        <v>49.521999999999998</v>
      </c>
      <c r="L965">
        <v>-123.4862</v>
      </c>
      <c r="M965" t="s">
        <v>79</v>
      </c>
      <c r="N965" s="2">
        <f>Table1[[#This Row],[Capacity (MW)]]*8760*0.72*10^-6</f>
        <v>0.31535999999999997</v>
      </c>
      <c r="O965" s="2" cm="1">
        <f t="array" ref="O965">AVERAGE(VLOOKUP(_xlfn.TEXTSPLIT(Table1[[#This Row],[Fuel (no space after comma)]], ","), FuelList_Final_EF!$A$2:$B$32, 2, FALSE))</f>
        <v>82.444811105253905</v>
      </c>
      <c r="P965" s="2">
        <f>(16112*Table1[[#This Row],[Generation (TWh)]]*10^9)/10^6</f>
        <v>5081080.32</v>
      </c>
      <c r="Q965" s="2">
        <f>Table1[[#This Row],[Emission Factor (kg CO2/ mmBtu)]]*Table1[[#This Row],[Fuel Consumption (mmBtu)]]*10^3</f>
        <v>418908707193.02307</v>
      </c>
      <c r="R965" s="2">
        <f>(Table1[[#This Row],[CO2 Emissions (g CO2)]])/(Table1[[#This Row],[Generation (TWh)]]*10^9)</f>
        <v>1328.3507965278509</v>
      </c>
    </row>
    <row r="966" spans="1:18">
      <c r="A966" t="s">
        <v>21</v>
      </c>
      <c r="B966" t="s">
        <v>261</v>
      </c>
      <c r="C966" t="str">
        <f>SUBSTITUTE(Table1[[#This Row],[Fuel]],", ",",")</f>
        <v>bioenergy: wood &amp; other biomass (solids),bioenergy: paper mill wastes,fossil gas: natural gas</v>
      </c>
      <c r="D966" t="s">
        <v>25</v>
      </c>
      <c r="E966" t="s">
        <v>61</v>
      </c>
      <c r="F966" t="s">
        <v>69</v>
      </c>
      <c r="G966">
        <v>63</v>
      </c>
      <c r="H966" t="s">
        <v>27</v>
      </c>
      <c r="I966" t="s">
        <v>21</v>
      </c>
      <c r="J966" t="s">
        <v>21</v>
      </c>
      <c r="K966">
        <v>49.521999999999998</v>
      </c>
      <c r="L966">
        <v>-123.4862</v>
      </c>
      <c r="M966" t="s">
        <v>79</v>
      </c>
      <c r="N966" s="2">
        <f>Table1[[#This Row],[Capacity (MW)]]*8760*0.72*10^-6</f>
        <v>0.39735359999999997</v>
      </c>
      <c r="O966" s="2" cm="1">
        <f t="array" ref="O966">AVERAGE(VLOOKUP(_xlfn.TEXTSPLIT(Table1[[#This Row],[Fuel (no space after comma)]], ","), FuelList_Final_EF!$A$2:$B$32, 2, FALSE))</f>
        <v>82.444811105253905</v>
      </c>
      <c r="P966" s="2">
        <f>(16112*Table1[[#This Row],[Generation (TWh)]]*10^9)/10^6</f>
        <v>6402161.2031999994</v>
      </c>
      <c r="Q966" s="2">
        <f>Table1[[#This Row],[Emission Factor (kg CO2/ mmBtu)]]*Table1[[#This Row],[Fuel Consumption (mmBtu)]]*10^3</f>
        <v>527824971063.20898</v>
      </c>
      <c r="R966" s="2">
        <f>(Table1[[#This Row],[CO2 Emissions (g CO2)]])/(Table1[[#This Row],[Generation (TWh)]]*10^9)</f>
        <v>1328.3507965278507</v>
      </c>
    </row>
    <row r="967" spans="1:18">
      <c r="A967" t="s">
        <v>648</v>
      </c>
      <c r="B967" t="s">
        <v>25</v>
      </c>
      <c r="C967" t="str">
        <f>SUBSTITUTE(Table1[[#This Row],[Fuel]],", ",",")</f>
        <v>bioenergy: wood &amp; other biomass (solids)</v>
      </c>
      <c r="D967" t="s">
        <v>25</v>
      </c>
      <c r="G967">
        <v>500</v>
      </c>
      <c r="H967" t="s">
        <v>71</v>
      </c>
      <c r="I967" t="s">
        <v>21</v>
      </c>
      <c r="J967" t="s">
        <v>21</v>
      </c>
      <c r="K967">
        <v>22.85577</v>
      </c>
      <c r="L967">
        <v>120.19716699999999</v>
      </c>
      <c r="M967" t="s">
        <v>171</v>
      </c>
      <c r="N967" s="2">
        <f>Table1[[#This Row],[Capacity (MW)]]*8760*0.72*10^-6</f>
        <v>3.1536</v>
      </c>
      <c r="O967" s="2" cm="1">
        <f t="array" ref="O967">AVERAGE(VLOOKUP(_xlfn.TEXTSPLIT(Table1[[#This Row],[Fuel (no space after comma)]], ","), FuelList_Final_EF!$A$2:$B$32, 2, FALSE))</f>
        <v>93.8</v>
      </c>
      <c r="P967" s="2">
        <f>(16112*Table1[[#This Row],[Generation (TWh)]]*10^9)/10^6</f>
        <v>50810803.200000003</v>
      </c>
      <c r="Q967" s="2">
        <f>Table1[[#This Row],[Emission Factor (kg CO2/ mmBtu)]]*Table1[[#This Row],[Fuel Consumption (mmBtu)]]*10^3</f>
        <v>4766053340160</v>
      </c>
      <c r="R967" s="2">
        <f>(Table1[[#This Row],[CO2 Emissions (g CO2)]])/(Table1[[#This Row],[Generation (TWh)]]*10^9)</f>
        <v>1511.3055999999999</v>
      </c>
    </row>
    <row r="968" spans="1:18">
      <c r="A968" t="s">
        <v>649</v>
      </c>
      <c r="B968" t="s">
        <v>650</v>
      </c>
      <c r="C968" t="str">
        <f>SUBSTITUTE(Table1[[#This Row],[Fuel]],", ",",")</f>
        <v>bioenergy: agricultural waste (solids),bioenergy: unknown</v>
      </c>
      <c r="D968" t="s">
        <v>46</v>
      </c>
      <c r="E968" t="s">
        <v>96</v>
      </c>
      <c r="G968">
        <v>36</v>
      </c>
      <c r="H968" t="s">
        <v>53</v>
      </c>
      <c r="I968" t="s">
        <v>21</v>
      </c>
      <c r="J968" t="s">
        <v>21</v>
      </c>
      <c r="K968">
        <v>19.843499999999999</v>
      </c>
      <c r="L968">
        <v>-155.08709999999999</v>
      </c>
      <c r="M968" t="s">
        <v>62</v>
      </c>
      <c r="N968" s="2">
        <f>Table1[[#This Row],[Capacity (MW)]]*8760*0.72*10^-6</f>
        <v>0.22705919999999996</v>
      </c>
      <c r="O968" s="2" cm="1">
        <f t="array" ref="O968">AVERAGE(VLOOKUP(_xlfn.TEXTSPLIT(Table1[[#This Row],[Fuel (no space after comma)]], ","), FuelList_Final_EF!$A$2:$B$32, 2, FALSE))</f>
        <v>95.477803008799327</v>
      </c>
      <c r="P968" s="2">
        <f>(16112*Table1[[#This Row],[Generation (TWh)]]*10^9)/10^6</f>
        <v>3658377.8303999994</v>
      </c>
      <c r="Q968" s="2">
        <f>Table1[[#This Row],[Emission Factor (kg CO2/ mmBtu)]]*Table1[[#This Row],[Fuel Consumption (mmBtu)]]*10^3</f>
        <v>349293877822.68982</v>
      </c>
      <c r="R968" s="2">
        <f>(Table1[[#This Row],[CO2 Emissions (g CO2)]])/(Table1[[#This Row],[Generation (TWh)]]*10^9)</f>
        <v>1538.3383620777747</v>
      </c>
    </row>
    <row r="969" spans="1:18" hidden="1">
      <c r="A969" t="s">
        <v>651</v>
      </c>
      <c r="B969" t="s">
        <v>46</v>
      </c>
      <c r="C969" t="str">
        <f>SUBSTITUTE(Table1[[#This Row],[Fuel]],", ",",")</f>
        <v>bioenergy: agricultural waste (solids)</v>
      </c>
      <c r="D969" t="s">
        <v>46</v>
      </c>
      <c r="G969">
        <v>30</v>
      </c>
      <c r="H969" t="s">
        <v>27</v>
      </c>
      <c r="I969">
        <v>2021</v>
      </c>
      <c r="J969" t="s">
        <v>21</v>
      </c>
      <c r="K969">
        <v>36.947499999999998</v>
      </c>
      <c r="L969">
        <v>117.1242</v>
      </c>
      <c r="M969" t="s">
        <v>102</v>
      </c>
      <c r="N969" s="2">
        <f>Table1[[#This Row],[Capacity (MW)]]*8760*0.72*10^-6</f>
        <v>0.189216</v>
      </c>
      <c r="O969" s="2" cm="1">
        <f t="array" ref="O969">AVERAGE(VLOOKUP(_xlfn.TEXTSPLIT(Table1[[#This Row],[Fuel (no space after comma)]], ","), FuelList_Final_EF!$A$2:$B$32, 2, FALSE))</f>
        <v>118.17</v>
      </c>
      <c r="P969" s="2">
        <f>(16112*Table1[[#This Row],[Generation (TWh)]]*10^9)/10^6</f>
        <v>3048648.1919999998</v>
      </c>
      <c r="Q969" s="2">
        <f>Table1[[#This Row],[Emission Factor (kg CO2/ mmBtu)]]*Table1[[#This Row],[Fuel Consumption (mmBtu)]]*10^3</f>
        <v>360258756848.63995</v>
      </c>
      <c r="R969" s="2">
        <f>(Table1[[#This Row],[CO2 Emissions (g CO2)]])/(Table1[[#This Row],[Generation (TWh)]]*10^9)</f>
        <v>1903.9550399999998</v>
      </c>
    </row>
    <row r="970" spans="1:18" hidden="1">
      <c r="A970" t="s">
        <v>652</v>
      </c>
      <c r="B970" t="s">
        <v>653</v>
      </c>
      <c r="C970" t="str">
        <f>SUBSTITUTE(Table1[[#This Row],[Fuel]],", ",",")</f>
        <v>bioenergy: wood &amp; other biomass (solids),bioenergy: paper mill wastes</v>
      </c>
      <c r="D970" t="s">
        <v>25</v>
      </c>
      <c r="E970" t="s">
        <v>61</v>
      </c>
      <c r="G970">
        <v>50</v>
      </c>
      <c r="H970" t="s">
        <v>27</v>
      </c>
      <c r="I970">
        <v>2019</v>
      </c>
      <c r="J970" t="s">
        <v>21</v>
      </c>
      <c r="K970">
        <v>30.4222</v>
      </c>
      <c r="L970">
        <v>114.97969999999999</v>
      </c>
      <c r="M970" t="s">
        <v>102</v>
      </c>
      <c r="N970" s="2">
        <f>Table1[[#This Row],[Capacity (MW)]]*8760*0.72*10^-6</f>
        <v>0.31535999999999997</v>
      </c>
      <c r="O970" s="2" cm="1">
        <f t="array" ref="O970">AVERAGE(VLOOKUP(_xlfn.TEXTSPLIT(Table1[[#This Row],[Fuel (no space after comma)]], ","), FuelList_Final_EF!$A$2:$B$32, 2, FALSE))</f>
        <v>97.137216657880856</v>
      </c>
      <c r="P970" s="2">
        <f>(16112*Table1[[#This Row],[Generation (TWh)]]*10^9)/10^6</f>
        <v>5081080.32</v>
      </c>
      <c r="Q970" s="2">
        <f>Table1[[#This Row],[Emission Factor (kg CO2/ mmBtu)]]*Table1[[#This Row],[Fuel Consumption (mmBtu)]]*10^3</f>
        <v>493561999899.93457</v>
      </c>
      <c r="R970" s="2">
        <f>(Table1[[#This Row],[CO2 Emissions (g CO2)]])/(Table1[[#This Row],[Generation (TWh)]]*10^9)</f>
        <v>1565.0748347917763</v>
      </c>
    </row>
    <row r="971" spans="1:18" hidden="1">
      <c r="A971" t="s">
        <v>652</v>
      </c>
      <c r="B971" t="s">
        <v>653</v>
      </c>
      <c r="C971" t="str">
        <f>SUBSTITUTE(Table1[[#This Row],[Fuel]],", ",",")</f>
        <v>bioenergy: wood &amp; other biomass (solids),bioenergy: paper mill wastes</v>
      </c>
      <c r="D971" t="s">
        <v>25</v>
      </c>
      <c r="E971" t="s">
        <v>61</v>
      </c>
      <c r="G971">
        <v>50</v>
      </c>
      <c r="H971" t="s">
        <v>27</v>
      </c>
      <c r="I971">
        <v>2019</v>
      </c>
      <c r="J971" t="s">
        <v>21</v>
      </c>
      <c r="K971">
        <v>30.4222</v>
      </c>
      <c r="L971">
        <v>114.97969999999999</v>
      </c>
      <c r="M971" t="s">
        <v>102</v>
      </c>
      <c r="N971" s="2">
        <f>Table1[[#This Row],[Capacity (MW)]]*8760*0.72*10^-6</f>
        <v>0.31535999999999997</v>
      </c>
      <c r="O971" s="2" cm="1">
        <f t="array" ref="O971">AVERAGE(VLOOKUP(_xlfn.TEXTSPLIT(Table1[[#This Row],[Fuel (no space after comma)]], ","), FuelList_Final_EF!$A$2:$B$32, 2, FALSE))</f>
        <v>97.137216657880856</v>
      </c>
      <c r="P971" s="2">
        <f>(16112*Table1[[#This Row],[Generation (TWh)]]*10^9)/10^6</f>
        <v>5081080.32</v>
      </c>
      <c r="Q971" s="2">
        <f>Table1[[#This Row],[Emission Factor (kg CO2/ mmBtu)]]*Table1[[#This Row],[Fuel Consumption (mmBtu)]]*10^3</f>
        <v>493561999899.93457</v>
      </c>
      <c r="R971" s="2">
        <f>(Table1[[#This Row],[CO2 Emissions (g CO2)]])/(Table1[[#This Row],[Generation (TWh)]]*10^9)</f>
        <v>1565.0748347917763</v>
      </c>
    </row>
    <row r="972" spans="1:18" hidden="1">
      <c r="A972" t="s">
        <v>118</v>
      </c>
      <c r="B972" t="s">
        <v>105</v>
      </c>
      <c r="C972" t="str">
        <f>SUBSTITUTE(Table1[[#This Row],[Fuel]],", ",",")</f>
        <v>bioenergy: agricultural waste (solids),bioenergy: wood &amp; other biomass (solids)</v>
      </c>
      <c r="D972" t="s">
        <v>46</v>
      </c>
      <c r="E972" t="s">
        <v>25</v>
      </c>
      <c r="G972">
        <v>30</v>
      </c>
      <c r="H972" t="s">
        <v>27</v>
      </c>
      <c r="I972">
        <v>2013</v>
      </c>
      <c r="J972" t="s">
        <v>21</v>
      </c>
      <c r="K972">
        <v>29.857299999999999</v>
      </c>
      <c r="L972">
        <v>113.661</v>
      </c>
      <c r="M972" t="s">
        <v>102</v>
      </c>
      <c r="N972" s="2">
        <f>Table1[[#This Row],[Capacity (MW)]]*8760*0.72*10^-6</f>
        <v>0.189216</v>
      </c>
      <c r="O972" s="2" cm="1">
        <f t="array" ref="O972">AVERAGE(VLOOKUP(_xlfn.TEXTSPLIT(Table1[[#This Row],[Fuel (no space after comma)]], ","), FuelList_Final_EF!$A$2:$B$32, 2, FALSE))</f>
        <v>105.985</v>
      </c>
      <c r="P972" s="2">
        <f>(16112*Table1[[#This Row],[Generation (TWh)]]*10^9)/10^6</f>
        <v>3048648.1919999998</v>
      </c>
      <c r="Q972" s="2">
        <f>Table1[[#This Row],[Emission Factor (kg CO2/ mmBtu)]]*Table1[[#This Row],[Fuel Consumption (mmBtu)]]*10^3</f>
        <v>323110978629.12</v>
      </c>
      <c r="R972" s="2">
        <f>(Table1[[#This Row],[CO2 Emissions (g CO2)]])/(Table1[[#This Row],[Generation (TWh)]]*10^9)</f>
        <v>1707.63032</v>
      </c>
    </row>
    <row r="973" spans="1:18" hidden="1">
      <c r="A973" t="s">
        <v>118</v>
      </c>
      <c r="B973" t="s">
        <v>46</v>
      </c>
      <c r="C973" t="str">
        <f>SUBSTITUTE(Table1[[#This Row],[Fuel]],", ",",")</f>
        <v>bioenergy: agricultural waste (solids)</v>
      </c>
      <c r="D973" t="s">
        <v>46</v>
      </c>
      <c r="G973">
        <v>30</v>
      </c>
      <c r="H973" t="s">
        <v>27</v>
      </c>
      <c r="I973">
        <v>2012</v>
      </c>
      <c r="J973" t="s">
        <v>21</v>
      </c>
      <c r="K973">
        <v>29.551200000000001</v>
      </c>
      <c r="L973">
        <v>114.04689999999999</v>
      </c>
      <c r="M973" t="s">
        <v>102</v>
      </c>
      <c r="N973" s="2">
        <f>Table1[[#This Row],[Capacity (MW)]]*8760*0.72*10^-6</f>
        <v>0.189216</v>
      </c>
      <c r="O973" s="2" cm="1">
        <f t="array" ref="O973">AVERAGE(VLOOKUP(_xlfn.TEXTSPLIT(Table1[[#This Row],[Fuel (no space after comma)]], ","), FuelList_Final_EF!$A$2:$B$32, 2, FALSE))</f>
        <v>118.17</v>
      </c>
      <c r="P973" s="2">
        <f>(16112*Table1[[#This Row],[Generation (TWh)]]*10^9)/10^6</f>
        <v>3048648.1919999998</v>
      </c>
      <c r="Q973" s="2">
        <f>Table1[[#This Row],[Emission Factor (kg CO2/ mmBtu)]]*Table1[[#This Row],[Fuel Consumption (mmBtu)]]*10^3</f>
        <v>360258756848.63995</v>
      </c>
      <c r="R973" s="2">
        <f>(Table1[[#This Row],[CO2 Emissions (g CO2)]])/(Table1[[#This Row],[Generation (TWh)]]*10^9)</f>
        <v>1903.9550399999998</v>
      </c>
    </row>
    <row r="974" spans="1:18">
      <c r="A974" t="s">
        <v>54</v>
      </c>
      <c r="B974" t="s">
        <v>105</v>
      </c>
      <c r="C974" t="str">
        <f>SUBSTITUTE(Table1[[#This Row],[Fuel]],", ",",")</f>
        <v>bioenergy: agricultural waste (solids),bioenergy: wood &amp; other biomass (solids)</v>
      </c>
      <c r="D974" t="s">
        <v>46</v>
      </c>
      <c r="E974" t="s">
        <v>25</v>
      </c>
      <c r="G974">
        <v>30</v>
      </c>
      <c r="H974" t="s">
        <v>27</v>
      </c>
      <c r="I974" t="s">
        <v>21</v>
      </c>
      <c r="J974" t="s">
        <v>21</v>
      </c>
      <c r="K974">
        <v>32.054200000000002</v>
      </c>
      <c r="L974">
        <v>110.7681</v>
      </c>
      <c r="M974" t="s">
        <v>102</v>
      </c>
      <c r="N974" s="2">
        <f>Table1[[#This Row],[Capacity (MW)]]*8760*0.72*10^-6</f>
        <v>0.189216</v>
      </c>
      <c r="O974" s="2" cm="1">
        <f t="array" ref="O974">AVERAGE(VLOOKUP(_xlfn.TEXTSPLIT(Table1[[#This Row],[Fuel (no space after comma)]], ","), FuelList_Final_EF!$A$2:$B$32, 2, FALSE))</f>
        <v>105.985</v>
      </c>
      <c r="P974" s="2">
        <f>(16112*Table1[[#This Row],[Generation (TWh)]]*10^9)/10^6</f>
        <v>3048648.1919999998</v>
      </c>
      <c r="Q974" s="2">
        <f>Table1[[#This Row],[Emission Factor (kg CO2/ mmBtu)]]*Table1[[#This Row],[Fuel Consumption (mmBtu)]]*10^3</f>
        <v>323110978629.12</v>
      </c>
      <c r="R974" s="2">
        <f>(Table1[[#This Row],[CO2 Emissions (g CO2)]])/(Table1[[#This Row],[Generation (TWh)]]*10^9)</f>
        <v>1707.63032</v>
      </c>
    </row>
    <row r="975" spans="1:18">
      <c r="A975" t="s">
        <v>624</v>
      </c>
      <c r="B975" t="s">
        <v>105</v>
      </c>
      <c r="C975" t="str">
        <f>SUBSTITUTE(Table1[[#This Row],[Fuel]],", ",",")</f>
        <v>bioenergy: agricultural waste (solids),bioenergy: wood &amp; other biomass (solids)</v>
      </c>
      <c r="D975" t="s">
        <v>46</v>
      </c>
      <c r="E975" t="s">
        <v>25</v>
      </c>
      <c r="G975">
        <v>30</v>
      </c>
      <c r="H975" t="s">
        <v>138</v>
      </c>
      <c r="I975" t="s">
        <v>21</v>
      </c>
      <c r="J975" t="s">
        <v>21</v>
      </c>
      <c r="K975">
        <v>30.045100000000001</v>
      </c>
      <c r="L975">
        <v>112.2702</v>
      </c>
      <c r="M975" t="s">
        <v>102</v>
      </c>
      <c r="N975" s="2">
        <f>Table1[[#This Row],[Capacity (MW)]]*8760*0.72*10^-6</f>
        <v>0.189216</v>
      </c>
      <c r="O975" s="2" cm="1">
        <f t="array" ref="O975">AVERAGE(VLOOKUP(_xlfn.TEXTSPLIT(Table1[[#This Row],[Fuel (no space after comma)]], ","), FuelList_Final_EF!$A$2:$B$32, 2, FALSE))</f>
        <v>105.985</v>
      </c>
      <c r="P975" s="2">
        <f>(16112*Table1[[#This Row],[Generation (TWh)]]*10^9)/10^6</f>
        <v>3048648.1919999998</v>
      </c>
      <c r="Q975" s="2">
        <f>Table1[[#This Row],[Emission Factor (kg CO2/ mmBtu)]]*Table1[[#This Row],[Fuel Consumption (mmBtu)]]*10^3</f>
        <v>323110978629.12</v>
      </c>
      <c r="R975" s="2">
        <f>(Table1[[#This Row],[CO2 Emissions (g CO2)]])/(Table1[[#This Row],[Generation (TWh)]]*10^9)</f>
        <v>1707.63032</v>
      </c>
    </row>
    <row r="976" spans="1:18">
      <c r="A976" t="s">
        <v>624</v>
      </c>
      <c r="B976" t="s">
        <v>105</v>
      </c>
      <c r="C976" t="str">
        <f>SUBSTITUTE(Table1[[#This Row],[Fuel]],", ",",")</f>
        <v>bioenergy: agricultural waste (solids),bioenergy: wood &amp; other biomass (solids)</v>
      </c>
      <c r="D976" t="s">
        <v>46</v>
      </c>
      <c r="E976" t="s">
        <v>25</v>
      </c>
      <c r="G976">
        <v>30</v>
      </c>
      <c r="H976" t="s">
        <v>138</v>
      </c>
      <c r="I976" t="s">
        <v>21</v>
      </c>
      <c r="J976" t="s">
        <v>21</v>
      </c>
      <c r="K976">
        <v>30.045100000000001</v>
      </c>
      <c r="L976">
        <v>112.2702</v>
      </c>
      <c r="M976" t="s">
        <v>102</v>
      </c>
      <c r="N976" s="2">
        <f>Table1[[#This Row],[Capacity (MW)]]*8760*0.72*10^-6</f>
        <v>0.189216</v>
      </c>
      <c r="O976" s="2" cm="1">
        <f t="array" ref="O976">AVERAGE(VLOOKUP(_xlfn.TEXTSPLIT(Table1[[#This Row],[Fuel (no space after comma)]], ","), FuelList_Final_EF!$A$2:$B$32, 2, FALSE))</f>
        <v>105.985</v>
      </c>
      <c r="P976" s="2">
        <f>(16112*Table1[[#This Row],[Generation (TWh)]]*10^9)/10^6</f>
        <v>3048648.1919999998</v>
      </c>
      <c r="Q976" s="2">
        <f>Table1[[#This Row],[Emission Factor (kg CO2/ mmBtu)]]*Table1[[#This Row],[Fuel Consumption (mmBtu)]]*10^3</f>
        <v>323110978629.12</v>
      </c>
      <c r="R976" s="2">
        <f>(Table1[[#This Row],[CO2 Emissions (g CO2)]])/(Table1[[#This Row],[Generation (TWh)]]*10^9)</f>
        <v>1707.63032</v>
      </c>
    </row>
    <row r="977" spans="1:18">
      <c r="A977" t="s">
        <v>624</v>
      </c>
      <c r="B977" t="s">
        <v>105</v>
      </c>
      <c r="C977" t="str">
        <f>SUBSTITUTE(Table1[[#This Row],[Fuel]],", ",",")</f>
        <v>bioenergy: agricultural waste (solids),bioenergy: wood &amp; other biomass (solids)</v>
      </c>
      <c r="D977" t="s">
        <v>46</v>
      </c>
      <c r="E977" t="s">
        <v>25</v>
      </c>
      <c r="G977">
        <v>30</v>
      </c>
      <c r="H977" t="s">
        <v>138</v>
      </c>
      <c r="I977" t="s">
        <v>21</v>
      </c>
      <c r="J977" t="s">
        <v>21</v>
      </c>
      <c r="K977">
        <v>30.045100000000001</v>
      </c>
      <c r="L977">
        <v>112.2702</v>
      </c>
      <c r="M977" t="s">
        <v>102</v>
      </c>
      <c r="N977" s="2">
        <f>Table1[[#This Row],[Capacity (MW)]]*8760*0.72*10^-6</f>
        <v>0.189216</v>
      </c>
      <c r="O977" s="2" cm="1">
        <f t="array" ref="O977">AVERAGE(VLOOKUP(_xlfn.TEXTSPLIT(Table1[[#This Row],[Fuel (no space after comma)]], ","), FuelList_Final_EF!$A$2:$B$32, 2, FALSE))</f>
        <v>105.985</v>
      </c>
      <c r="P977" s="2">
        <f>(16112*Table1[[#This Row],[Generation (TWh)]]*10^9)/10^6</f>
        <v>3048648.1919999998</v>
      </c>
      <c r="Q977" s="2">
        <f>Table1[[#This Row],[Emission Factor (kg CO2/ mmBtu)]]*Table1[[#This Row],[Fuel Consumption (mmBtu)]]*10^3</f>
        <v>323110978629.12</v>
      </c>
      <c r="R977" s="2">
        <f>(Table1[[#This Row],[CO2 Emissions (g CO2)]])/(Table1[[#This Row],[Generation (TWh)]]*10^9)</f>
        <v>1707.63032</v>
      </c>
    </row>
    <row r="978" spans="1:18" hidden="1">
      <c r="A978" t="s">
        <v>118</v>
      </c>
      <c r="B978" t="s">
        <v>105</v>
      </c>
      <c r="C978" t="str">
        <f>SUBSTITUTE(Table1[[#This Row],[Fuel]],", ",",")</f>
        <v>bioenergy: agricultural waste (solids),bioenergy: wood &amp; other biomass (solids)</v>
      </c>
      <c r="D978" t="s">
        <v>46</v>
      </c>
      <c r="E978" t="s">
        <v>25</v>
      </c>
      <c r="G978">
        <v>30</v>
      </c>
      <c r="H978" t="s">
        <v>27</v>
      </c>
      <c r="I978">
        <v>2013</v>
      </c>
      <c r="J978" t="s">
        <v>21</v>
      </c>
      <c r="K978">
        <v>32.29</v>
      </c>
      <c r="L978">
        <v>111.56359999999999</v>
      </c>
      <c r="M978" t="s">
        <v>102</v>
      </c>
      <c r="N978" s="2">
        <f>Table1[[#This Row],[Capacity (MW)]]*8760*0.72*10^-6</f>
        <v>0.189216</v>
      </c>
      <c r="O978" s="2" cm="1">
        <f t="array" ref="O978">AVERAGE(VLOOKUP(_xlfn.TEXTSPLIT(Table1[[#This Row],[Fuel (no space after comma)]], ","), FuelList_Final_EF!$A$2:$B$32, 2, FALSE))</f>
        <v>105.985</v>
      </c>
      <c r="P978" s="2">
        <f>(16112*Table1[[#This Row],[Generation (TWh)]]*10^9)/10^6</f>
        <v>3048648.1919999998</v>
      </c>
      <c r="Q978" s="2">
        <f>Table1[[#This Row],[Emission Factor (kg CO2/ mmBtu)]]*Table1[[#This Row],[Fuel Consumption (mmBtu)]]*10^3</f>
        <v>323110978629.12</v>
      </c>
      <c r="R978" s="2">
        <f>(Table1[[#This Row],[CO2 Emissions (g CO2)]])/(Table1[[#This Row],[Generation (TWh)]]*10^9)</f>
        <v>1707.63032</v>
      </c>
    </row>
    <row r="979" spans="1:18" hidden="1">
      <c r="A979" t="s">
        <v>118</v>
      </c>
      <c r="B979" t="s">
        <v>105</v>
      </c>
      <c r="C979" t="str">
        <f>SUBSTITUTE(Table1[[#This Row],[Fuel]],", ",",")</f>
        <v>bioenergy: agricultural waste (solids),bioenergy: wood &amp; other biomass (solids)</v>
      </c>
      <c r="D979" t="s">
        <v>46</v>
      </c>
      <c r="E979" t="s">
        <v>25</v>
      </c>
      <c r="G979">
        <v>30</v>
      </c>
      <c r="H979" t="s">
        <v>27</v>
      </c>
      <c r="I979">
        <v>2014</v>
      </c>
      <c r="J979" t="s">
        <v>21</v>
      </c>
      <c r="K979">
        <v>30.087199999999999</v>
      </c>
      <c r="L979">
        <v>112.3544</v>
      </c>
      <c r="M979" t="s">
        <v>102</v>
      </c>
      <c r="N979" s="2">
        <f>Table1[[#This Row],[Capacity (MW)]]*8760*0.72*10^-6</f>
        <v>0.189216</v>
      </c>
      <c r="O979" s="2" cm="1">
        <f t="array" ref="O979">AVERAGE(VLOOKUP(_xlfn.TEXTSPLIT(Table1[[#This Row],[Fuel (no space after comma)]], ","), FuelList_Final_EF!$A$2:$B$32, 2, FALSE))</f>
        <v>105.985</v>
      </c>
      <c r="P979" s="2">
        <f>(16112*Table1[[#This Row],[Generation (TWh)]]*10^9)/10^6</f>
        <v>3048648.1919999998</v>
      </c>
      <c r="Q979" s="2">
        <f>Table1[[#This Row],[Emission Factor (kg CO2/ mmBtu)]]*Table1[[#This Row],[Fuel Consumption (mmBtu)]]*10^3</f>
        <v>323110978629.12</v>
      </c>
      <c r="R979" s="2">
        <f>(Table1[[#This Row],[CO2 Emissions (g CO2)]])/(Table1[[#This Row],[Generation (TWh)]]*10^9)</f>
        <v>1707.63032</v>
      </c>
    </row>
    <row r="980" spans="1:18" hidden="1">
      <c r="A980" t="s">
        <v>463</v>
      </c>
      <c r="B980" t="s">
        <v>100</v>
      </c>
      <c r="C980" t="str">
        <f>SUBSTITUTE(Table1[[#This Row],[Fuel]],", ",",")</f>
        <v>bioenergy: paper mill wastes,bioenergy: wood &amp; other biomass (solids),bioenergy: wastewater and sewage sludge (solids or biogas)</v>
      </c>
      <c r="D980" t="s">
        <v>61</v>
      </c>
      <c r="E980" t="s">
        <v>25</v>
      </c>
      <c r="F980" t="s">
        <v>42</v>
      </c>
      <c r="G980">
        <v>80</v>
      </c>
      <c r="H980" t="s">
        <v>27</v>
      </c>
      <c r="I980">
        <v>2022</v>
      </c>
      <c r="J980" t="s">
        <v>21</v>
      </c>
      <c r="K980">
        <v>29.6309</v>
      </c>
      <c r="L980">
        <v>113.2633</v>
      </c>
      <c r="M980" t="s">
        <v>102</v>
      </c>
      <c r="N980" s="2">
        <f>Table1[[#This Row],[Capacity (MW)]]*8760*0.72*10^-6</f>
        <v>0.50457600000000002</v>
      </c>
      <c r="O980" s="2" cm="1">
        <f t="array" ref="O980">AVERAGE(VLOOKUP(_xlfn.TEXTSPLIT(Table1[[#This Row],[Fuel (no space after comma)]], ","), FuelList_Final_EF!$A$2:$B$32, 2, FALSE))</f>
        <v>83.946336320506063</v>
      </c>
      <c r="P980" s="2">
        <f>(16112*Table1[[#This Row],[Generation (TWh)]]*10^9)/10^6</f>
        <v>8129728.512000001</v>
      </c>
      <c r="Q980" s="2">
        <f>Table1[[#This Row],[Emission Factor (kg CO2/ mmBtu)]]*Table1[[#This Row],[Fuel Consumption (mmBtu)]]*10^3</f>
        <v>682460923862.7594</v>
      </c>
      <c r="R980" s="2">
        <f>(Table1[[#This Row],[CO2 Emissions (g CO2)]])/(Table1[[#This Row],[Generation (TWh)]]*10^9)</f>
        <v>1352.543370795994</v>
      </c>
    </row>
    <row r="981" spans="1:18" hidden="1">
      <c r="A981" t="s">
        <v>463</v>
      </c>
      <c r="B981" t="s">
        <v>100</v>
      </c>
      <c r="C981" t="str">
        <f>SUBSTITUTE(Table1[[#This Row],[Fuel]],", ",",")</f>
        <v>bioenergy: paper mill wastes,bioenergy: wood &amp; other biomass (solids),bioenergy: wastewater and sewage sludge (solids or biogas)</v>
      </c>
      <c r="D981" t="s">
        <v>61</v>
      </c>
      <c r="E981" t="s">
        <v>25</v>
      </c>
      <c r="F981" t="s">
        <v>42</v>
      </c>
      <c r="G981">
        <v>80</v>
      </c>
      <c r="H981" t="s">
        <v>27</v>
      </c>
      <c r="I981">
        <v>2022</v>
      </c>
      <c r="J981" t="s">
        <v>21</v>
      </c>
      <c r="K981">
        <v>29.6309</v>
      </c>
      <c r="L981">
        <v>113.2633</v>
      </c>
      <c r="M981" t="s">
        <v>102</v>
      </c>
      <c r="N981" s="2">
        <f>Table1[[#This Row],[Capacity (MW)]]*8760*0.72*10^-6</f>
        <v>0.50457600000000002</v>
      </c>
      <c r="O981" s="2" cm="1">
        <f t="array" ref="O981">AVERAGE(VLOOKUP(_xlfn.TEXTSPLIT(Table1[[#This Row],[Fuel (no space after comma)]], ","), FuelList_Final_EF!$A$2:$B$32, 2, FALSE))</f>
        <v>83.946336320506063</v>
      </c>
      <c r="P981" s="2">
        <f>(16112*Table1[[#This Row],[Generation (TWh)]]*10^9)/10^6</f>
        <v>8129728.512000001</v>
      </c>
      <c r="Q981" s="2">
        <f>Table1[[#This Row],[Emission Factor (kg CO2/ mmBtu)]]*Table1[[#This Row],[Fuel Consumption (mmBtu)]]*10^3</f>
        <v>682460923862.7594</v>
      </c>
      <c r="R981" s="2">
        <f>(Table1[[#This Row],[CO2 Emissions (g CO2)]])/(Table1[[#This Row],[Generation (TWh)]]*10^9)</f>
        <v>1352.543370795994</v>
      </c>
    </row>
    <row r="982" spans="1:18" hidden="1">
      <c r="A982" t="s">
        <v>463</v>
      </c>
      <c r="B982" t="s">
        <v>100</v>
      </c>
      <c r="C982" t="str">
        <f>SUBSTITUTE(Table1[[#This Row],[Fuel]],", ",",")</f>
        <v>bioenergy: paper mill wastes,bioenergy: wood &amp; other biomass (solids),bioenergy: wastewater and sewage sludge (solids or biogas)</v>
      </c>
      <c r="D982" t="s">
        <v>61</v>
      </c>
      <c r="E982" t="s">
        <v>25</v>
      </c>
      <c r="F982" t="s">
        <v>42</v>
      </c>
      <c r="G982">
        <v>80</v>
      </c>
      <c r="H982" t="s">
        <v>27</v>
      </c>
      <c r="I982">
        <v>2022</v>
      </c>
      <c r="J982" t="s">
        <v>21</v>
      </c>
      <c r="K982">
        <v>29.6309</v>
      </c>
      <c r="L982">
        <v>113.2633</v>
      </c>
      <c r="M982" t="s">
        <v>102</v>
      </c>
      <c r="N982" s="2">
        <f>Table1[[#This Row],[Capacity (MW)]]*8760*0.72*10^-6</f>
        <v>0.50457600000000002</v>
      </c>
      <c r="O982" s="2" cm="1">
        <f t="array" ref="O982">AVERAGE(VLOOKUP(_xlfn.TEXTSPLIT(Table1[[#This Row],[Fuel (no space after comma)]], ","), FuelList_Final_EF!$A$2:$B$32, 2, FALSE))</f>
        <v>83.946336320506063</v>
      </c>
      <c r="P982" s="2">
        <f>(16112*Table1[[#This Row],[Generation (TWh)]]*10^9)/10^6</f>
        <v>8129728.512000001</v>
      </c>
      <c r="Q982" s="2">
        <f>Table1[[#This Row],[Emission Factor (kg CO2/ mmBtu)]]*Table1[[#This Row],[Fuel Consumption (mmBtu)]]*10^3</f>
        <v>682460923862.7594</v>
      </c>
      <c r="R982" s="2">
        <f>(Table1[[#This Row],[CO2 Emissions (g CO2)]])/(Table1[[#This Row],[Generation (TWh)]]*10^9)</f>
        <v>1352.543370795994</v>
      </c>
    </row>
    <row r="983" spans="1:18">
      <c r="A983" t="s">
        <v>463</v>
      </c>
      <c r="B983" t="s">
        <v>100</v>
      </c>
      <c r="C983" t="str">
        <f>SUBSTITUTE(Table1[[#This Row],[Fuel]],", ",",")</f>
        <v>bioenergy: paper mill wastes,bioenergy: wood &amp; other biomass (solids),bioenergy: wastewater and sewage sludge (solids or biogas)</v>
      </c>
      <c r="D983" t="s">
        <v>61</v>
      </c>
      <c r="E983" t="s">
        <v>25</v>
      </c>
      <c r="F983" t="s">
        <v>42</v>
      </c>
      <c r="G983">
        <v>80</v>
      </c>
      <c r="H983" t="s">
        <v>97</v>
      </c>
      <c r="I983" t="s">
        <v>21</v>
      </c>
      <c r="J983" t="s">
        <v>21</v>
      </c>
      <c r="K983">
        <v>29.6309</v>
      </c>
      <c r="L983">
        <v>113.2633</v>
      </c>
      <c r="M983" t="s">
        <v>102</v>
      </c>
      <c r="N983" s="2">
        <f>Table1[[#This Row],[Capacity (MW)]]*8760*0.72*10^-6</f>
        <v>0.50457600000000002</v>
      </c>
      <c r="O983" s="2" cm="1">
        <f t="array" ref="O983">AVERAGE(VLOOKUP(_xlfn.TEXTSPLIT(Table1[[#This Row],[Fuel (no space after comma)]], ","), FuelList_Final_EF!$A$2:$B$32, 2, FALSE))</f>
        <v>83.946336320506063</v>
      </c>
      <c r="P983" s="2">
        <f>(16112*Table1[[#This Row],[Generation (TWh)]]*10^9)/10^6</f>
        <v>8129728.512000001</v>
      </c>
      <c r="Q983" s="2">
        <f>Table1[[#This Row],[Emission Factor (kg CO2/ mmBtu)]]*Table1[[#This Row],[Fuel Consumption (mmBtu)]]*10^3</f>
        <v>682460923862.7594</v>
      </c>
      <c r="R983" s="2">
        <f>(Table1[[#This Row],[CO2 Emissions (g CO2)]])/(Table1[[#This Row],[Generation (TWh)]]*10^9)</f>
        <v>1352.543370795994</v>
      </c>
    </row>
    <row r="984" spans="1:18">
      <c r="A984" t="s">
        <v>463</v>
      </c>
      <c r="B984" t="s">
        <v>100</v>
      </c>
      <c r="C984" t="str">
        <f>SUBSTITUTE(Table1[[#This Row],[Fuel]],", ",",")</f>
        <v>bioenergy: paper mill wastes,bioenergy: wood &amp; other biomass (solids),bioenergy: wastewater and sewage sludge (solids or biogas)</v>
      </c>
      <c r="D984" t="s">
        <v>61</v>
      </c>
      <c r="E984" t="s">
        <v>25</v>
      </c>
      <c r="F984" t="s">
        <v>42</v>
      </c>
      <c r="G984">
        <v>80</v>
      </c>
      <c r="H984" t="s">
        <v>97</v>
      </c>
      <c r="I984" t="s">
        <v>21</v>
      </c>
      <c r="J984" t="s">
        <v>21</v>
      </c>
      <c r="K984">
        <v>29.6309</v>
      </c>
      <c r="L984">
        <v>113.2633</v>
      </c>
      <c r="M984" t="s">
        <v>102</v>
      </c>
      <c r="N984" s="2">
        <f>Table1[[#This Row],[Capacity (MW)]]*8760*0.72*10^-6</f>
        <v>0.50457600000000002</v>
      </c>
      <c r="O984" s="2" cm="1">
        <f t="array" ref="O984">AVERAGE(VLOOKUP(_xlfn.TEXTSPLIT(Table1[[#This Row],[Fuel (no space after comma)]], ","), FuelList_Final_EF!$A$2:$B$32, 2, FALSE))</f>
        <v>83.946336320506063</v>
      </c>
      <c r="P984" s="2">
        <f>(16112*Table1[[#This Row],[Generation (TWh)]]*10^9)/10^6</f>
        <v>8129728.512000001</v>
      </c>
      <c r="Q984" s="2">
        <f>Table1[[#This Row],[Emission Factor (kg CO2/ mmBtu)]]*Table1[[#This Row],[Fuel Consumption (mmBtu)]]*10^3</f>
        <v>682460923862.7594</v>
      </c>
      <c r="R984" s="2">
        <f>(Table1[[#This Row],[CO2 Emissions (g CO2)]])/(Table1[[#This Row],[Generation (TWh)]]*10^9)</f>
        <v>1352.543370795994</v>
      </c>
    </row>
    <row r="985" spans="1:18" hidden="1">
      <c r="A985" t="s">
        <v>120</v>
      </c>
      <c r="B985" t="s">
        <v>46</v>
      </c>
      <c r="C985" t="str">
        <f>SUBSTITUTE(Table1[[#This Row],[Fuel]],", ",",")</f>
        <v>bioenergy: agricultural waste (solids)</v>
      </c>
      <c r="D985" t="s">
        <v>46</v>
      </c>
      <c r="G985">
        <v>30</v>
      </c>
      <c r="H985" t="s">
        <v>27</v>
      </c>
      <c r="I985">
        <v>2011</v>
      </c>
      <c r="J985" t="s">
        <v>21</v>
      </c>
      <c r="K985">
        <v>29.390699999999999</v>
      </c>
      <c r="L985">
        <v>109.1079</v>
      </c>
      <c r="M985" t="s">
        <v>102</v>
      </c>
      <c r="N985" s="2">
        <f>Table1[[#This Row],[Capacity (MW)]]*8760*0.72*10^-6</f>
        <v>0.189216</v>
      </c>
      <c r="O985" s="2" cm="1">
        <f t="array" ref="O985">AVERAGE(VLOOKUP(_xlfn.TEXTSPLIT(Table1[[#This Row],[Fuel (no space after comma)]], ","), FuelList_Final_EF!$A$2:$B$32, 2, FALSE))</f>
        <v>118.17</v>
      </c>
      <c r="P985" s="2">
        <f>(16112*Table1[[#This Row],[Generation (TWh)]]*10^9)/10^6</f>
        <v>3048648.1919999998</v>
      </c>
      <c r="Q985" s="2">
        <f>Table1[[#This Row],[Emission Factor (kg CO2/ mmBtu)]]*Table1[[#This Row],[Fuel Consumption (mmBtu)]]*10^3</f>
        <v>360258756848.63995</v>
      </c>
      <c r="R985" s="2">
        <f>(Table1[[#This Row],[CO2 Emissions (g CO2)]])/(Table1[[#This Row],[Generation (TWh)]]*10^9)</f>
        <v>1903.9550399999998</v>
      </c>
    </row>
    <row r="986" spans="1:18" hidden="1">
      <c r="A986" t="s">
        <v>121</v>
      </c>
      <c r="B986" t="s">
        <v>105</v>
      </c>
      <c r="C986" t="str">
        <f>SUBSTITUTE(Table1[[#This Row],[Fuel]],", ",",")</f>
        <v>bioenergy: agricultural waste (solids),bioenergy: wood &amp; other biomass (solids)</v>
      </c>
      <c r="D986" t="s">
        <v>46</v>
      </c>
      <c r="E986" t="s">
        <v>25</v>
      </c>
      <c r="G986">
        <v>50</v>
      </c>
      <c r="H986" t="s">
        <v>27</v>
      </c>
      <c r="I986">
        <v>2020</v>
      </c>
      <c r="J986" t="s">
        <v>21</v>
      </c>
      <c r="K986">
        <v>30.339700000000001</v>
      </c>
      <c r="L986">
        <v>112.8917</v>
      </c>
      <c r="M986" t="s">
        <v>102</v>
      </c>
      <c r="N986" s="2">
        <f>Table1[[#This Row],[Capacity (MW)]]*8760*0.72*10^-6</f>
        <v>0.31535999999999997</v>
      </c>
      <c r="O986" s="2" cm="1">
        <f t="array" ref="O986">AVERAGE(VLOOKUP(_xlfn.TEXTSPLIT(Table1[[#This Row],[Fuel (no space after comma)]], ","), FuelList_Final_EF!$A$2:$B$32, 2, FALSE))</f>
        <v>105.985</v>
      </c>
      <c r="P986" s="2">
        <f>(16112*Table1[[#This Row],[Generation (TWh)]]*10^9)/10^6</f>
        <v>5081080.32</v>
      </c>
      <c r="Q986" s="2">
        <f>Table1[[#This Row],[Emission Factor (kg CO2/ mmBtu)]]*Table1[[#This Row],[Fuel Consumption (mmBtu)]]*10^3</f>
        <v>538518297715.20007</v>
      </c>
      <c r="R986" s="2">
        <f>(Table1[[#This Row],[CO2 Emissions (g CO2)]])/(Table1[[#This Row],[Generation (TWh)]]*10^9)</f>
        <v>1707.6303200000002</v>
      </c>
    </row>
    <row r="987" spans="1:18" hidden="1">
      <c r="A987" t="s">
        <v>654</v>
      </c>
      <c r="B987" t="s">
        <v>105</v>
      </c>
      <c r="C987" t="str">
        <f>SUBSTITUTE(Table1[[#This Row],[Fuel]],", ",",")</f>
        <v>bioenergy: agricultural waste (solids),bioenergy: wood &amp; other biomass (solids)</v>
      </c>
      <c r="D987" t="s">
        <v>46</v>
      </c>
      <c r="E987" t="s">
        <v>25</v>
      </c>
      <c r="G987">
        <v>40</v>
      </c>
      <c r="H987" t="s">
        <v>27</v>
      </c>
      <c r="I987">
        <v>2019</v>
      </c>
      <c r="J987" t="s">
        <v>21</v>
      </c>
      <c r="K987">
        <v>30.778199999999998</v>
      </c>
      <c r="L987">
        <v>112.4885</v>
      </c>
      <c r="M987" t="s">
        <v>102</v>
      </c>
      <c r="N987" s="2">
        <f>Table1[[#This Row],[Capacity (MW)]]*8760*0.72*10^-6</f>
        <v>0.25228800000000001</v>
      </c>
      <c r="O987" s="2" cm="1">
        <f t="array" ref="O987">AVERAGE(VLOOKUP(_xlfn.TEXTSPLIT(Table1[[#This Row],[Fuel (no space after comma)]], ","), FuelList_Final_EF!$A$2:$B$32, 2, FALSE))</f>
        <v>105.985</v>
      </c>
      <c r="P987" s="2">
        <f>(16112*Table1[[#This Row],[Generation (TWh)]]*10^9)/10^6</f>
        <v>4064864.2560000005</v>
      </c>
      <c r="Q987" s="2">
        <f>Table1[[#This Row],[Emission Factor (kg CO2/ mmBtu)]]*Table1[[#This Row],[Fuel Consumption (mmBtu)]]*10^3</f>
        <v>430814638172.16003</v>
      </c>
      <c r="R987" s="2">
        <f>(Table1[[#This Row],[CO2 Emissions (g CO2)]])/(Table1[[#This Row],[Generation (TWh)]]*10^9)</f>
        <v>1707.6303200000002</v>
      </c>
    </row>
    <row r="988" spans="1:18" hidden="1">
      <c r="A988" t="s">
        <v>118</v>
      </c>
      <c r="B988" t="s">
        <v>46</v>
      </c>
      <c r="C988" t="str">
        <f>SUBSTITUTE(Table1[[#This Row],[Fuel]],", ",",")</f>
        <v>bioenergy: agricultural waste (solids)</v>
      </c>
      <c r="D988" t="s">
        <v>46</v>
      </c>
      <c r="G988">
        <v>30</v>
      </c>
      <c r="H988" t="s">
        <v>27</v>
      </c>
      <c r="I988">
        <v>2012</v>
      </c>
      <c r="J988" t="s">
        <v>21</v>
      </c>
      <c r="K988">
        <v>29.979199999999999</v>
      </c>
      <c r="L988">
        <v>111.7829</v>
      </c>
      <c r="M988" t="s">
        <v>102</v>
      </c>
      <c r="N988" s="2">
        <f>Table1[[#This Row],[Capacity (MW)]]*8760*0.72*10^-6</f>
        <v>0.189216</v>
      </c>
      <c r="O988" s="2" cm="1">
        <f t="array" ref="O988">AVERAGE(VLOOKUP(_xlfn.TEXTSPLIT(Table1[[#This Row],[Fuel (no space after comma)]], ","), FuelList_Final_EF!$A$2:$B$32, 2, FALSE))</f>
        <v>118.17</v>
      </c>
      <c r="P988" s="2">
        <f>(16112*Table1[[#This Row],[Generation (TWh)]]*10^9)/10^6</f>
        <v>3048648.1919999998</v>
      </c>
      <c r="Q988" s="2">
        <f>Table1[[#This Row],[Emission Factor (kg CO2/ mmBtu)]]*Table1[[#This Row],[Fuel Consumption (mmBtu)]]*10^3</f>
        <v>360258756848.63995</v>
      </c>
      <c r="R988" s="2">
        <f>(Table1[[#This Row],[CO2 Emissions (g CO2)]])/(Table1[[#This Row],[Generation (TWh)]]*10^9)</f>
        <v>1903.9550399999998</v>
      </c>
    </row>
    <row r="989" spans="1:18">
      <c r="A989" t="s">
        <v>118</v>
      </c>
      <c r="B989" t="s">
        <v>105</v>
      </c>
      <c r="C989" t="str">
        <f>SUBSTITUTE(Table1[[#This Row],[Fuel]],", ",",")</f>
        <v>bioenergy: agricultural waste (solids),bioenergy: wood &amp; other biomass (solids)</v>
      </c>
      <c r="D989" t="s">
        <v>46</v>
      </c>
      <c r="E989" t="s">
        <v>25</v>
      </c>
      <c r="G989">
        <v>30</v>
      </c>
      <c r="H989" t="s">
        <v>138</v>
      </c>
      <c r="I989" t="s">
        <v>21</v>
      </c>
      <c r="J989" t="s">
        <v>21</v>
      </c>
      <c r="K989">
        <v>30.665199999999999</v>
      </c>
      <c r="L989">
        <v>113.1678</v>
      </c>
      <c r="M989" t="s">
        <v>102</v>
      </c>
      <c r="N989" s="2">
        <f>Table1[[#This Row],[Capacity (MW)]]*8760*0.72*10^-6</f>
        <v>0.189216</v>
      </c>
      <c r="O989" s="2" cm="1">
        <f t="array" ref="O989">AVERAGE(VLOOKUP(_xlfn.TEXTSPLIT(Table1[[#This Row],[Fuel (no space after comma)]], ","), FuelList_Final_EF!$A$2:$B$32, 2, FALSE))</f>
        <v>105.985</v>
      </c>
      <c r="P989" s="2">
        <f>(16112*Table1[[#This Row],[Generation (TWh)]]*10^9)/10^6</f>
        <v>3048648.1919999998</v>
      </c>
      <c r="Q989" s="2">
        <f>Table1[[#This Row],[Emission Factor (kg CO2/ mmBtu)]]*Table1[[#This Row],[Fuel Consumption (mmBtu)]]*10^3</f>
        <v>323110978629.12</v>
      </c>
      <c r="R989" s="2">
        <f>(Table1[[#This Row],[CO2 Emissions (g CO2)]])/(Table1[[#This Row],[Generation (TWh)]]*10^9)</f>
        <v>1707.63032</v>
      </c>
    </row>
    <row r="990" spans="1:18" hidden="1">
      <c r="A990" t="s">
        <v>655</v>
      </c>
      <c r="B990" t="s">
        <v>41</v>
      </c>
      <c r="C990" t="str">
        <f>SUBSTITUTE(Table1[[#This Row],[Fuel]],", ",",")</f>
        <v>bioenergy: refuse (municipal and industrial wastes),bioenergy: wastewater and sewage sludge (solids or biogas)</v>
      </c>
      <c r="D990" t="s">
        <v>19</v>
      </c>
      <c r="E990" t="s">
        <v>42</v>
      </c>
      <c r="G990">
        <v>23.45</v>
      </c>
      <c r="H990" t="s">
        <v>27</v>
      </c>
      <c r="I990">
        <v>2023</v>
      </c>
      <c r="J990" t="s">
        <v>21</v>
      </c>
      <c r="K990">
        <v>30.4085</v>
      </c>
      <c r="L990">
        <v>114.0337</v>
      </c>
      <c r="M990" t="s">
        <v>102</v>
      </c>
      <c r="N990" s="2">
        <f>Table1[[#This Row],[Capacity (MW)]]*8760*0.72*10^-6</f>
        <v>0.14790383999999998</v>
      </c>
      <c r="O990" s="2" cm="1">
        <f t="array" ref="O990">AVERAGE(VLOOKUP(_xlfn.TEXTSPLIT(Table1[[#This Row],[Fuel (no space after comma)]], ","), FuelList_Final_EF!$A$2:$B$32, 2, FALSE))</f>
        <v>81.497100685292565</v>
      </c>
      <c r="P990" s="2">
        <f>(16112*Table1[[#This Row],[Generation (TWh)]]*10^9)/10^6</f>
        <v>2383026.6700800001</v>
      </c>
      <c r="Q990" s="2">
        <f>Table1[[#This Row],[Emission Factor (kg CO2/ mmBtu)]]*Table1[[#This Row],[Fuel Consumption (mmBtu)]]*10^3</f>
        <v>194209764467.24725</v>
      </c>
      <c r="R990" s="2">
        <f>(Table1[[#This Row],[CO2 Emissions (g CO2)]])/(Table1[[#This Row],[Generation (TWh)]]*10^9)</f>
        <v>1313.0812862414343</v>
      </c>
    </row>
    <row r="991" spans="1:18" hidden="1">
      <c r="A991" t="s">
        <v>482</v>
      </c>
      <c r="B991" t="s">
        <v>41</v>
      </c>
      <c r="C991" t="str">
        <f>SUBSTITUTE(Table1[[#This Row],[Fuel]],", ",",")</f>
        <v>bioenergy: refuse (municipal and industrial wastes),bioenergy: wastewater and sewage sludge (solids or biogas)</v>
      </c>
      <c r="D991" t="s">
        <v>19</v>
      </c>
      <c r="E991" t="s">
        <v>42</v>
      </c>
      <c r="G991">
        <v>8.0500000000000007</v>
      </c>
      <c r="H991" t="s">
        <v>27</v>
      </c>
      <c r="I991">
        <v>2023</v>
      </c>
      <c r="J991" t="s">
        <v>21</v>
      </c>
      <c r="K991">
        <v>30.4085</v>
      </c>
      <c r="L991">
        <v>114.0337</v>
      </c>
      <c r="M991" t="s">
        <v>102</v>
      </c>
      <c r="N991" s="2">
        <f>Table1[[#This Row],[Capacity (MW)]]*8760*0.72*10^-6</f>
        <v>5.0772959999999999E-2</v>
      </c>
      <c r="O991" s="2" cm="1">
        <f t="array" ref="O991">AVERAGE(VLOOKUP(_xlfn.TEXTSPLIT(Table1[[#This Row],[Fuel (no space after comma)]], ","), FuelList_Final_EF!$A$2:$B$32, 2, FALSE))</f>
        <v>81.497100685292565</v>
      </c>
      <c r="P991" s="2">
        <f>(16112*Table1[[#This Row],[Generation (TWh)]]*10^9)/10^6</f>
        <v>818053.93151999998</v>
      </c>
      <c r="Q991" s="2">
        <f>Table1[[#This Row],[Emission Factor (kg CO2/ mmBtu)]]*Table1[[#This Row],[Fuel Consumption (mmBtu)]]*10^3</f>
        <v>66669023623.084862</v>
      </c>
      <c r="R991" s="2">
        <f>(Table1[[#This Row],[CO2 Emissions (g CO2)]])/(Table1[[#This Row],[Generation (TWh)]]*10^9)</f>
        <v>1313.0812862414336</v>
      </c>
    </row>
    <row r="992" spans="1:18" hidden="1">
      <c r="A992" t="s">
        <v>656</v>
      </c>
      <c r="B992" t="s">
        <v>41</v>
      </c>
      <c r="C992" t="str">
        <f>SUBSTITUTE(Table1[[#This Row],[Fuel]],", ",",")</f>
        <v>bioenergy: refuse (municipal and industrial wastes),bioenergy: wastewater and sewage sludge (solids or biogas)</v>
      </c>
      <c r="D992" t="s">
        <v>19</v>
      </c>
      <c r="E992" t="s">
        <v>42</v>
      </c>
      <c r="G992">
        <v>3.5</v>
      </c>
      <c r="H992" t="s">
        <v>27</v>
      </c>
      <c r="I992">
        <v>2023</v>
      </c>
      <c r="J992" t="s">
        <v>21</v>
      </c>
      <c r="K992">
        <v>30.4085</v>
      </c>
      <c r="L992">
        <v>114.0337</v>
      </c>
      <c r="M992" t="s">
        <v>102</v>
      </c>
      <c r="N992" s="2">
        <f>Table1[[#This Row],[Capacity (MW)]]*8760*0.72*10^-6</f>
        <v>2.20752E-2</v>
      </c>
      <c r="O992" s="2" cm="1">
        <f t="array" ref="O992">AVERAGE(VLOOKUP(_xlfn.TEXTSPLIT(Table1[[#This Row],[Fuel (no space after comma)]], ","), FuelList_Final_EF!$A$2:$B$32, 2, FALSE))</f>
        <v>81.497100685292565</v>
      </c>
      <c r="P992" s="2">
        <f>(16112*Table1[[#This Row],[Generation (TWh)]]*10^9)/10^6</f>
        <v>355675.62239999999</v>
      </c>
      <c r="Q992" s="2">
        <f>Table1[[#This Row],[Emission Factor (kg CO2/ mmBtu)]]*Table1[[#This Row],[Fuel Consumption (mmBtu)]]*10^3</f>
        <v>28986532010.0369</v>
      </c>
      <c r="R992" s="2">
        <f>(Table1[[#This Row],[CO2 Emissions (g CO2)]])/(Table1[[#This Row],[Generation (TWh)]]*10^9)</f>
        <v>1313.0812862414339</v>
      </c>
    </row>
    <row r="993" spans="1:18" hidden="1">
      <c r="A993" t="s">
        <v>657</v>
      </c>
      <c r="B993" t="s">
        <v>41</v>
      </c>
      <c r="C993" t="str">
        <f>SUBSTITUTE(Table1[[#This Row],[Fuel]],", ",",")</f>
        <v>bioenergy: refuse (municipal and industrial wastes),bioenergy: wastewater and sewage sludge (solids or biogas)</v>
      </c>
      <c r="D993" t="s">
        <v>19</v>
      </c>
      <c r="E993" t="s">
        <v>42</v>
      </c>
      <c r="G993">
        <v>45</v>
      </c>
      <c r="H993" t="s">
        <v>27</v>
      </c>
      <c r="I993">
        <v>2023</v>
      </c>
      <c r="J993" t="s">
        <v>21</v>
      </c>
      <c r="K993">
        <v>30.4085</v>
      </c>
      <c r="L993">
        <v>114.0337</v>
      </c>
      <c r="M993" t="s">
        <v>102</v>
      </c>
      <c r="N993" s="2">
        <f>Table1[[#This Row],[Capacity (MW)]]*8760*0.72*10^-6</f>
        <v>0.28382399999999997</v>
      </c>
      <c r="O993" s="2" cm="1">
        <f t="array" ref="O993">AVERAGE(VLOOKUP(_xlfn.TEXTSPLIT(Table1[[#This Row],[Fuel (no space after comma)]], ","), FuelList_Final_EF!$A$2:$B$32, 2, FALSE))</f>
        <v>81.497100685292565</v>
      </c>
      <c r="P993" s="2">
        <f>(16112*Table1[[#This Row],[Generation (TWh)]]*10^9)/10^6</f>
        <v>4572972.2879999988</v>
      </c>
      <c r="Q993" s="2">
        <f>Table1[[#This Row],[Emission Factor (kg CO2/ mmBtu)]]*Table1[[#This Row],[Fuel Consumption (mmBtu)]]*10^3</f>
        <v>372683982986.1886</v>
      </c>
      <c r="R993" s="2">
        <f>(Table1[[#This Row],[CO2 Emissions (g CO2)]])/(Table1[[#This Row],[Generation (TWh)]]*10^9)</f>
        <v>1313.0812862414336</v>
      </c>
    </row>
    <row r="994" spans="1:18">
      <c r="A994" t="s">
        <v>539</v>
      </c>
      <c r="B994" t="s">
        <v>41</v>
      </c>
      <c r="C994" t="str">
        <f>SUBSTITUTE(Table1[[#This Row],[Fuel]],", ",",")</f>
        <v>bioenergy: refuse (municipal and industrial wastes),bioenergy: wastewater and sewage sludge (solids or biogas)</v>
      </c>
      <c r="D994" t="s">
        <v>19</v>
      </c>
      <c r="E994" t="s">
        <v>42</v>
      </c>
      <c r="G994">
        <v>55</v>
      </c>
      <c r="H994" t="s">
        <v>53</v>
      </c>
      <c r="I994" t="s">
        <v>21</v>
      </c>
      <c r="J994" t="s">
        <v>21</v>
      </c>
      <c r="K994">
        <v>30.3582</v>
      </c>
      <c r="L994">
        <v>114.22020000000001</v>
      </c>
      <c r="M994" t="s">
        <v>102</v>
      </c>
      <c r="N994" s="2">
        <f>Table1[[#This Row],[Capacity (MW)]]*8760*0.72*10^-6</f>
        <v>0.34689599999999998</v>
      </c>
      <c r="O994" s="2" cm="1">
        <f t="array" ref="O994">AVERAGE(VLOOKUP(_xlfn.TEXTSPLIT(Table1[[#This Row],[Fuel (no space after comma)]], ","), FuelList_Final_EF!$A$2:$B$32, 2, FALSE))</f>
        <v>81.497100685292565</v>
      </c>
      <c r="P994" s="2">
        <f>(16112*Table1[[#This Row],[Generation (TWh)]]*10^9)/10^6</f>
        <v>5589188.352</v>
      </c>
      <c r="Q994" s="2">
        <f>Table1[[#This Row],[Emission Factor (kg CO2/ mmBtu)]]*Table1[[#This Row],[Fuel Consumption (mmBtu)]]*10^3</f>
        <v>455502645872.00842</v>
      </c>
      <c r="R994" s="2">
        <f>(Table1[[#This Row],[CO2 Emissions (g CO2)]])/(Table1[[#This Row],[Generation (TWh)]]*10^9)</f>
        <v>1313.0812862414339</v>
      </c>
    </row>
    <row r="995" spans="1:18">
      <c r="A995" t="s">
        <v>539</v>
      </c>
      <c r="B995" t="s">
        <v>41</v>
      </c>
      <c r="C995" t="str">
        <f>SUBSTITUTE(Table1[[#This Row],[Fuel]],", ",",")</f>
        <v>bioenergy: refuse (municipal and industrial wastes),bioenergy: wastewater and sewage sludge (solids or biogas)</v>
      </c>
      <c r="D995" t="s">
        <v>19</v>
      </c>
      <c r="E995" t="s">
        <v>42</v>
      </c>
      <c r="G995">
        <v>55</v>
      </c>
      <c r="H995" t="s">
        <v>53</v>
      </c>
      <c r="I995" t="s">
        <v>21</v>
      </c>
      <c r="J995" t="s">
        <v>21</v>
      </c>
      <c r="K995">
        <v>30.3582</v>
      </c>
      <c r="L995">
        <v>114.22020000000001</v>
      </c>
      <c r="M995" t="s">
        <v>102</v>
      </c>
      <c r="N995" s="2">
        <f>Table1[[#This Row],[Capacity (MW)]]*8760*0.72*10^-6</f>
        <v>0.34689599999999998</v>
      </c>
      <c r="O995" s="2" cm="1">
        <f t="array" ref="O995">AVERAGE(VLOOKUP(_xlfn.TEXTSPLIT(Table1[[#This Row],[Fuel (no space after comma)]], ","), FuelList_Final_EF!$A$2:$B$32, 2, FALSE))</f>
        <v>81.497100685292565</v>
      </c>
      <c r="P995" s="2">
        <f>(16112*Table1[[#This Row],[Generation (TWh)]]*10^9)/10^6</f>
        <v>5589188.352</v>
      </c>
      <c r="Q995" s="2">
        <f>Table1[[#This Row],[Emission Factor (kg CO2/ mmBtu)]]*Table1[[#This Row],[Fuel Consumption (mmBtu)]]*10^3</f>
        <v>455502645872.00842</v>
      </c>
      <c r="R995" s="2">
        <f>(Table1[[#This Row],[CO2 Emissions (g CO2)]])/(Table1[[#This Row],[Generation (TWh)]]*10^9)</f>
        <v>1313.0812862414339</v>
      </c>
    </row>
    <row r="996" spans="1:18" hidden="1">
      <c r="A996" t="s">
        <v>192</v>
      </c>
      <c r="B996" t="s">
        <v>19</v>
      </c>
      <c r="C996" t="str">
        <f>SUBSTITUTE(Table1[[#This Row],[Fuel]],", ",",")</f>
        <v>bioenergy: refuse (municipal and industrial wastes)</v>
      </c>
      <c r="D996" t="s">
        <v>19</v>
      </c>
      <c r="G996">
        <v>30</v>
      </c>
      <c r="H996" t="s">
        <v>27</v>
      </c>
      <c r="I996">
        <v>2023</v>
      </c>
      <c r="J996" t="s">
        <v>21</v>
      </c>
      <c r="K996">
        <v>30.6373</v>
      </c>
      <c r="L996">
        <v>114.5116</v>
      </c>
      <c r="M996" t="s">
        <v>102</v>
      </c>
      <c r="N996" s="2">
        <f>Table1[[#This Row],[Capacity (MW)]]*8760*0.72*10^-6</f>
        <v>0.189216</v>
      </c>
      <c r="O996" s="2" cm="1">
        <f t="array" ref="O996">AVERAGE(VLOOKUP(_xlfn.TEXTSPLIT(Table1[[#This Row],[Fuel (no space after comma)]], ","), FuelList_Final_EF!$A$2:$B$32, 2, FALSE))</f>
        <v>105.42962572482868</v>
      </c>
      <c r="P996" s="2">
        <f>(16112*Table1[[#This Row],[Generation (TWh)]]*10^9)/10^6</f>
        <v>3048648.1919999998</v>
      </c>
      <c r="Q996" s="2">
        <f>Table1[[#This Row],[Emission Factor (kg CO2/ mmBtu)]]*Table1[[#This Row],[Fuel Consumption (mmBtu)]]*10^3</f>
        <v>321417837849.23566</v>
      </c>
      <c r="R996" s="2">
        <f>(Table1[[#This Row],[CO2 Emissions (g CO2)]])/(Table1[[#This Row],[Generation (TWh)]]*10^9)</f>
        <v>1698.6821296784397</v>
      </c>
    </row>
    <row r="997" spans="1:18" hidden="1">
      <c r="A997" t="s">
        <v>127</v>
      </c>
      <c r="B997" t="s">
        <v>19</v>
      </c>
      <c r="C997" t="str">
        <f>SUBSTITUTE(Table1[[#This Row],[Fuel]],", ",",")</f>
        <v>bioenergy: refuse (municipal and industrial wastes)</v>
      </c>
      <c r="D997" t="s">
        <v>19</v>
      </c>
      <c r="G997">
        <v>40</v>
      </c>
      <c r="H997" t="s">
        <v>27</v>
      </c>
      <c r="I997">
        <v>2023</v>
      </c>
      <c r="J997" t="s">
        <v>21</v>
      </c>
      <c r="K997">
        <v>30.679600000000001</v>
      </c>
      <c r="L997">
        <v>113.9796</v>
      </c>
      <c r="M997" t="s">
        <v>102</v>
      </c>
      <c r="N997" s="2">
        <f>Table1[[#This Row],[Capacity (MW)]]*8760*0.72*10^-6</f>
        <v>0.25228800000000001</v>
      </c>
      <c r="O997" s="2" cm="1">
        <f t="array" ref="O997">AVERAGE(VLOOKUP(_xlfn.TEXTSPLIT(Table1[[#This Row],[Fuel (no space after comma)]], ","), FuelList_Final_EF!$A$2:$B$32, 2, FALSE))</f>
        <v>105.42962572482868</v>
      </c>
      <c r="P997" s="2">
        <f>(16112*Table1[[#This Row],[Generation (TWh)]]*10^9)/10^6</f>
        <v>4064864.2560000005</v>
      </c>
      <c r="Q997" s="2">
        <f>Table1[[#This Row],[Emission Factor (kg CO2/ mmBtu)]]*Table1[[#This Row],[Fuel Consumption (mmBtu)]]*10^3</f>
        <v>428557117132.31427</v>
      </c>
      <c r="R997" s="2">
        <f>(Table1[[#This Row],[CO2 Emissions (g CO2)]])/(Table1[[#This Row],[Generation (TWh)]]*10^9)</f>
        <v>1698.6821296784401</v>
      </c>
    </row>
    <row r="998" spans="1:18" hidden="1">
      <c r="A998" t="s">
        <v>658</v>
      </c>
      <c r="B998" t="s">
        <v>19</v>
      </c>
      <c r="C998" t="str">
        <f>SUBSTITUTE(Table1[[#This Row],[Fuel]],", ",",")</f>
        <v>bioenergy: refuse (municipal and industrial wastes)</v>
      </c>
      <c r="D998" t="s">
        <v>19</v>
      </c>
      <c r="G998">
        <v>3.5</v>
      </c>
      <c r="H998" t="s">
        <v>27</v>
      </c>
      <c r="I998">
        <v>2021</v>
      </c>
      <c r="J998" t="s">
        <v>21</v>
      </c>
      <c r="K998">
        <v>30.925000000000001</v>
      </c>
      <c r="L998">
        <v>113.905</v>
      </c>
      <c r="M998" t="s">
        <v>102</v>
      </c>
      <c r="N998" s="2">
        <f>Table1[[#This Row],[Capacity (MW)]]*8760*0.72*10^-6</f>
        <v>2.20752E-2</v>
      </c>
      <c r="O998" s="2" cm="1">
        <f t="array" ref="O998">AVERAGE(VLOOKUP(_xlfn.TEXTSPLIT(Table1[[#This Row],[Fuel (no space after comma)]], ","), FuelList_Final_EF!$A$2:$B$32, 2, FALSE))</f>
        <v>105.42962572482868</v>
      </c>
      <c r="P998" s="2">
        <f>(16112*Table1[[#This Row],[Generation (TWh)]]*10^9)/10^6</f>
        <v>355675.62239999999</v>
      </c>
      <c r="Q998" s="2">
        <f>Table1[[#This Row],[Emission Factor (kg CO2/ mmBtu)]]*Table1[[#This Row],[Fuel Consumption (mmBtu)]]*10^3</f>
        <v>37498747749.077492</v>
      </c>
      <c r="R998" s="2">
        <f>(Table1[[#This Row],[CO2 Emissions (g CO2)]])/(Table1[[#This Row],[Generation (TWh)]]*10^9)</f>
        <v>1698.6821296784397</v>
      </c>
    </row>
    <row r="999" spans="1:18" hidden="1">
      <c r="A999" t="s">
        <v>659</v>
      </c>
      <c r="B999" t="s">
        <v>19</v>
      </c>
      <c r="C999" t="str">
        <f>SUBSTITUTE(Table1[[#This Row],[Fuel]],", ",",")</f>
        <v>bioenergy: refuse (municipal and industrial wastes)</v>
      </c>
      <c r="D999" t="s">
        <v>19</v>
      </c>
      <c r="G999">
        <v>31.5</v>
      </c>
      <c r="H999" t="s">
        <v>27</v>
      </c>
      <c r="I999">
        <v>2021</v>
      </c>
      <c r="J999" t="s">
        <v>21</v>
      </c>
      <c r="K999">
        <v>30.925000000000001</v>
      </c>
      <c r="L999">
        <v>113.905</v>
      </c>
      <c r="M999" t="s">
        <v>102</v>
      </c>
      <c r="N999" s="2">
        <f>Table1[[#This Row],[Capacity (MW)]]*8760*0.72*10^-6</f>
        <v>0.19867679999999999</v>
      </c>
      <c r="O999" s="2" cm="1">
        <f t="array" ref="O999">AVERAGE(VLOOKUP(_xlfn.TEXTSPLIT(Table1[[#This Row],[Fuel (no space after comma)]], ","), FuelList_Final_EF!$A$2:$B$32, 2, FALSE))</f>
        <v>105.42962572482868</v>
      </c>
      <c r="P999" s="2">
        <f>(16112*Table1[[#This Row],[Generation (TWh)]]*10^9)/10^6</f>
        <v>3201080.6015999997</v>
      </c>
      <c r="Q999" s="2">
        <f>Table1[[#This Row],[Emission Factor (kg CO2/ mmBtu)]]*Table1[[#This Row],[Fuel Consumption (mmBtu)]]*10^3</f>
        <v>337488729741.69745</v>
      </c>
      <c r="R999" s="2">
        <f>(Table1[[#This Row],[CO2 Emissions (g CO2)]])/(Table1[[#This Row],[Generation (TWh)]]*10^9)</f>
        <v>1698.6821296784399</v>
      </c>
    </row>
    <row r="1000" spans="1:18" hidden="1">
      <c r="A1000" t="s">
        <v>118</v>
      </c>
      <c r="B1000" t="s">
        <v>46</v>
      </c>
      <c r="C1000" t="str">
        <f>SUBSTITUTE(Table1[[#This Row],[Fuel]],", ",",")</f>
        <v>bioenergy: agricultural waste (solids)</v>
      </c>
      <c r="D1000" t="s">
        <v>46</v>
      </c>
      <c r="G1000">
        <v>30</v>
      </c>
      <c r="H1000" t="s">
        <v>27</v>
      </c>
      <c r="I1000">
        <v>2017</v>
      </c>
      <c r="J1000" t="s">
        <v>21</v>
      </c>
      <c r="K1000">
        <v>29.744</v>
      </c>
      <c r="L1000">
        <v>115.0334</v>
      </c>
      <c r="M1000" t="s">
        <v>102</v>
      </c>
      <c r="N1000" s="2">
        <f>Table1[[#This Row],[Capacity (MW)]]*8760*0.72*10^-6</f>
        <v>0.189216</v>
      </c>
      <c r="O1000" s="2" cm="1">
        <f t="array" ref="O1000">AVERAGE(VLOOKUP(_xlfn.TEXTSPLIT(Table1[[#This Row],[Fuel (no space after comma)]], ","), FuelList_Final_EF!$A$2:$B$32, 2, FALSE))</f>
        <v>118.17</v>
      </c>
      <c r="P1000" s="2">
        <f>(16112*Table1[[#This Row],[Generation (TWh)]]*10^9)/10^6</f>
        <v>3048648.1919999998</v>
      </c>
      <c r="Q1000" s="2">
        <f>Table1[[#This Row],[Emission Factor (kg CO2/ mmBtu)]]*Table1[[#This Row],[Fuel Consumption (mmBtu)]]*10^3</f>
        <v>360258756848.63995</v>
      </c>
      <c r="R1000" s="2">
        <f>(Table1[[#This Row],[CO2 Emissions (g CO2)]])/(Table1[[#This Row],[Generation (TWh)]]*10^9)</f>
        <v>1903.9550399999998</v>
      </c>
    </row>
    <row r="1001" spans="1:18" hidden="1">
      <c r="A1001" t="s">
        <v>660</v>
      </c>
      <c r="B1001" t="s">
        <v>19</v>
      </c>
      <c r="C1001" t="str">
        <f>SUBSTITUTE(Table1[[#This Row],[Fuel]],", ",",")</f>
        <v>bioenergy: refuse (municipal and industrial wastes)</v>
      </c>
      <c r="D1001" t="s">
        <v>19</v>
      </c>
      <c r="G1001">
        <v>8.75</v>
      </c>
      <c r="H1001" t="s">
        <v>27</v>
      </c>
      <c r="I1001">
        <v>2023</v>
      </c>
      <c r="J1001" t="s">
        <v>21</v>
      </c>
      <c r="K1001">
        <v>30.695</v>
      </c>
      <c r="L1001">
        <v>111.5783</v>
      </c>
      <c r="M1001" t="s">
        <v>102</v>
      </c>
      <c r="N1001" s="2">
        <f>Table1[[#This Row],[Capacity (MW)]]*8760*0.72*10^-6</f>
        <v>5.5188000000000001E-2</v>
      </c>
      <c r="O1001" s="2" cm="1">
        <f t="array" ref="O1001">AVERAGE(VLOOKUP(_xlfn.TEXTSPLIT(Table1[[#This Row],[Fuel (no space after comma)]], ","), FuelList_Final_EF!$A$2:$B$32, 2, FALSE))</f>
        <v>105.42962572482868</v>
      </c>
      <c r="P1001" s="2">
        <f>(16112*Table1[[#This Row],[Generation (TWh)]]*10^9)/10^6</f>
        <v>889189.05599999998</v>
      </c>
      <c r="Q1001" s="2">
        <f>Table1[[#This Row],[Emission Factor (kg CO2/ mmBtu)]]*Table1[[#This Row],[Fuel Consumption (mmBtu)]]*10^3</f>
        <v>93746869372.693726</v>
      </c>
      <c r="R1001" s="2">
        <f>(Table1[[#This Row],[CO2 Emissions (g CO2)]])/(Table1[[#This Row],[Generation (TWh)]]*10^9)</f>
        <v>1698.6821296784397</v>
      </c>
    </row>
    <row r="1002" spans="1:18" hidden="1">
      <c r="A1002" t="s">
        <v>468</v>
      </c>
      <c r="B1002" t="s">
        <v>19</v>
      </c>
      <c r="C1002" t="str">
        <f>SUBSTITUTE(Table1[[#This Row],[Fuel]],", ",",")</f>
        <v>bioenergy: refuse (municipal and industrial wastes)</v>
      </c>
      <c r="D1002" t="s">
        <v>19</v>
      </c>
      <c r="G1002">
        <v>1.75</v>
      </c>
      <c r="H1002" t="s">
        <v>27</v>
      </c>
      <c r="I1002">
        <v>2023</v>
      </c>
      <c r="J1002" t="s">
        <v>21</v>
      </c>
      <c r="K1002">
        <v>30.695</v>
      </c>
      <c r="L1002">
        <v>111.5783</v>
      </c>
      <c r="M1002" t="s">
        <v>102</v>
      </c>
      <c r="N1002" s="2">
        <f>Table1[[#This Row],[Capacity (MW)]]*8760*0.72*10^-6</f>
        <v>1.10376E-2</v>
      </c>
      <c r="O1002" s="2" cm="1">
        <f t="array" ref="O1002">AVERAGE(VLOOKUP(_xlfn.TEXTSPLIT(Table1[[#This Row],[Fuel (no space after comma)]], ","), FuelList_Final_EF!$A$2:$B$32, 2, FALSE))</f>
        <v>105.42962572482868</v>
      </c>
      <c r="P1002" s="2">
        <f>(16112*Table1[[#This Row],[Generation (TWh)]]*10^9)/10^6</f>
        <v>177837.8112</v>
      </c>
      <c r="Q1002" s="2">
        <f>Table1[[#This Row],[Emission Factor (kg CO2/ mmBtu)]]*Table1[[#This Row],[Fuel Consumption (mmBtu)]]*10^3</f>
        <v>18749373874.538746</v>
      </c>
      <c r="R1002" s="2">
        <f>(Table1[[#This Row],[CO2 Emissions (g CO2)]])/(Table1[[#This Row],[Generation (TWh)]]*10^9)</f>
        <v>1698.6821296784397</v>
      </c>
    </row>
    <row r="1003" spans="1:18" hidden="1">
      <c r="A1003" t="s">
        <v>482</v>
      </c>
      <c r="B1003" t="s">
        <v>19</v>
      </c>
      <c r="C1003" t="str">
        <f>SUBSTITUTE(Table1[[#This Row],[Fuel]],", ",",")</f>
        <v>bioenergy: refuse (municipal and industrial wastes)</v>
      </c>
      <c r="D1003" t="s">
        <v>19</v>
      </c>
      <c r="G1003">
        <v>7</v>
      </c>
      <c r="H1003" t="s">
        <v>27</v>
      </c>
      <c r="I1003">
        <v>2023</v>
      </c>
      <c r="J1003" t="s">
        <v>21</v>
      </c>
      <c r="K1003">
        <v>30.695</v>
      </c>
      <c r="L1003">
        <v>111.5783</v>
      </c>
      <c r="M1003" t="s">
        <v>102</v>
      </c>
      <c r="N1003" s="2">
        <f>Table1[[#This Row],[Capacity (MW)]]*8760*0.72*10^-6</f>
        <v>4.4150399999999999E-2</v>
      </c>
      <c r="O1003" s="2" cm="1">
        <f t="array" ref="O1003">AVERAGE(VLOOKUP(_xlfn.TEXTSPLIT(Table1[[#This Row],[Fuel (no space after comma)]], ","), FuelList_Final_EF!$A$2:$B$32, 2, FALSE))</f>
        <v>105.42962572482868</v>
      </c>
      <c r="P1003" s="2">
        <f>(16112*Table1[[#This Row],[Generation (TWh)]]*10^9)/10^6</f>
        <v>711351.24479999999</v>
      </c>
      <c r="Q1003" s="2">
        <f>Table1[[#This Row],[Emission Factor (kg CO2/ mmBtu)]]*Table1[[#This Row],[Fuel Consumption (mmBtu)]]*10^3</f>
        <v>74997495498.154984</v>
      </c>
      <c r="R1003" s="2">
        <f>(Table1[[#This Row],[CO2 Emissions (g CO2)]])/(Table1[[#This Row],[Generation (TWh)]]*10^9)</f>
        <v>1698.6821296784397</v>
      </c>
    </row>
    <row r="1004" spans="1:18" hidden="1">
      <c r="A1004" t="s">
        <v>661</v>
      </c>
      <c r="B1004" t="s">
        <v>19</v>
      </c>
      <c r="C1004" t="str">
        <f>SUBSTITUTE(Table1[[#This Row],[Fuel]],", ",",")</f>
        <v>bioenergy: refuse (municipal and industrial wastes)</v>
      </c>
      <c r="D1004" t="s">
        <v>19</v>
      </c>
      <c r="G1004">
        <v>17.5</v>
      </c>
      <c r="H1004" t="s">
        <v>27</v>
      </c>
      <c r="I1004">
        <v>2023</v>
      </c>
      <c r="J1004" t="s">
        <v>21</v>
      </c>
      <c r="K1004">
        <v>30.695</v>
      </c>
      <c r="L1004">
        <v>111.5783</v>
      </c>
      <c r="M1004" t="s">
        <v>102</v>
      </c>
      <c r="N1004" s="2">
        <f>Table1[[#This Row],[Capacity (MW)]]*8760*0.72*10^-6</f>
        <v>0.110376</v>
      </c>
      <c r="O1004" s="2" cm="1">
        <f t="array" ref="O1004">AVERAGE(VLOOKUP(_xlfn.TEXTSPLIT(Table1[[#This Row],[Fuel (no space after comma)]], ","), FuelList_Final_EF!$A$2:$B$32, 2, FALSE))</f>
        <v>105.42962572482868</v>
      </c>
      <c r="P1004" s="2">
        <f>(16112*Table1[[#This Row],[Generation (TWh)]]*10^9)/10^6</f>
        <v>1778378.112</v>
      </c>
      <c r="Q1004" s="2">
        <f>Table1[[#This Row],[Emission Factor (kg CO2/ mmBtu)]]*Table1[[#This Row],[Fuel Consumption (mmBtu)]]*10^3</f>
        <v>187493738745.38745</v>
      </c>
      <c r="R1004" s="2">
        <f>(Table1[[#This Row],[CO2 Emissions (g CO2)]])/(Table1[[#This Row],[Generation (TWh)]]*10^9)</f>
        <v>1698.6821296784397</v>
      </c>
    </row>
    <row r="1005" spans="1:18" hidden="1">
      <c r="A1005" t="s">
        <v>654</v>
      </c>
      <c r="B1005" t="s">
        <v>105</v>
      </c>
      <c r="C1005" t="str">
        <f>SUBSTITUTE(Table1[[#This Row],[Fuel]],", ",",")</f>
        <v>bioenergy: agricultural waste (solids),bioenergy: wood &amp; other biomass (solids)</v>
      </c>
      <c r="D1005" t="s">
        <v>46</v>
      </c>
      <c r="E1005" t="s">
        <v>25</v>
      </c>
      <c r="G1005">
        <v>30</v>
      </c>
      <c r="H1005" t="s">
        <v>27</v>
      </c>
      <c r="I1005">
        <v>2020</v>
      </c>
      <c r="J1005" t="s">
        <v>21</v>
      </c>
      <c r="K1005">
        <v>31.029199999999999</v>
      </c>
      <c r="L1005">
        <v>112.6662</v>
      </c>
      <c r="M1005" t="s">
        <v>102</v>
      </c>
      <c r="N1005" s="2">
        <f>Table1[[#This Row],[Capacity (MW)]]*8760*0.72*10^-6</f>
        <v>0.189216</v>
      </c>
      <c r="O1005" s="2" cm="1">
        <f t="array" ref="O1005">AVERAGE(VLOOKUP(_xlfn.TEXTSPLIT(Table1[[#This Row],[Fuel (no space after comma)]], ","), FuelList_Final_EF!$A$2:$B$32, 2, FALSE))</f>
        <v>105.985</v>
      </c>
      <c r="P1005" s="2">
        <f>(16112*Table1[[#This Row],[Generation (TWh)]]*10^9)/10^6</f>
        <v>3048648.1919999998</v>
      </c>
      <c r="Q1005" s="2">
        <f>Table1[[#This Row],[Emission Factor (kg CO2/ mmBtu)]]*Table1[[#This Row],[Fuel Consumption (mmBtu)]]*10^3</f>
        <v>323110978629.12</v>
      </c>
      <c r="R1005" s="2">
        <f>(Table1[[#This Row],[CO2 Emissions (g CO2)]])/(Table1[[#This Row],[Generation (TWh)]]*10^9)</f>
        <v>1707.63032</v>
      </c>
    </row>
    <row r="1006" spans="1:18" hidden="1">
      <c r="A1006" t="s">
        <v>118</v>
      </c>
      <c r="B1006" t="s">
        <v>105</v>
      </c>
      <c r="C1006" t="str">
        <f>SUBSTITUTE(Table1[[#This Row],[Fuel]],", ",",")</f>
        <v>bioenergy: agricultural waste (solids),bioenergy: wood &amp; other biomass (solids)</v>
      </c>
      <c r="D1006" t="s">
        <v>46</v>
      </c>
      <c r="E1006" t="s">
        <v>25</v>
      </c>
      <c r="G1006">
        <v>30</v>
      </c>
      <c r="H1006" t="s">
        <v>27</v>
      </c>
      <c r="I1006">
        <v>2013</v>
      </c>
      <c r="J1006" t="s">
        <v>21</v>
      </c>
      <c r="K1006">
        <v>26.710799999999999</v>
      </c>
      <c r="L1006">
        <v>113.26860000000001</v>
      </c>
      <c r="M1006" t="s">
        <v>102</v>
      </c>
      <c r="N1006" s="2">
        <f>Table1[[#This Row],[Capacity (MW)]]*8760*0.72*10^-6</f>
        <v>0.189216</v>
      </c>
      <c r="O1006" s="2" cm="1">
        <f t="array" ref="O1006">AVERAGE(VLOOKUP(_xlfn.TEXTSPLIT(Table1[[#This Row],[Fuel (no space after comma)]], ","), FuelList_Final_EF!$A$2:$B$32, 2, FALSE))</f>
        <v>105.985</v>
      </c>
      <c r="P1006" s="2">
        <f>(16112*Table1[[#This Row],[Generation (TWh)]]*10^9)/10^6</f>
        <v>3048648.1919999998</v>
      </c>
      <c r="Q1006" s="2">
        <f>Table1[[#This Row],[Emission Factor (kg CO2/ mmBtu)]]*Table1[[#This Row],[Fuel Consumption (mmBtu)]]*10^3</f>
        <v>323110978629.12</v>
      </c>
      <c r="R1006" s="2">
        <f>(Table1[[#This Row],[CO2 Emissions (g CO2)]])/(Table1[[#This Row],[Generation (TWh)]]*10^9)</f>
        <v>1707.63032</v>
      </c>
    </row>
    <row r="1007" spans="1:18">
      <c r="A1007" t="s">
        <v>662</v>
      </c>
      <c r="B1007" t="s">
        <v>46</v>
      </c>
      <c r="C1007" t="str">
        <f>SUBSTITUTE(Table1[[#This Row],[Fuel]],", ",",")</f>
        <v>bioenergy: agricultural waste (solids)</v>
      </c>
      <c r="D1007" t="s">
        <v>46</v>
      </c>
      <c r="G1007">
        <v>4.5</v>
      </c>
      <c r="H1007" t="s">
        <v>172</v>
      </c>
      <c r="I1007" t="s">
        <v>21</v>
      </c>
      <c r="J1007" t="s">
        <v>21</v>
      </c>
      <c r="K1007">
        <v>29.412600000000001</v>
      </c>
      <c r="L1007">
        <v>112.1429</v>
      </c>
      <c r="M1007" t="s">
        <v>102</v>
      </c>
      <c r="N1007" s="2">
        <f>Table1[[#This Row],[Capacity (MW)]]*8760*0.72*10^-6</f>
        <v>2.8382399999999995E-2</v>
      </c>
      <c r="O1007" s="2" cm="1">
        <f t="array" ref="O1007">AVERAGE(VLOOKUP(_xlfn.TEXTSPLIT(Table1[[#This Row],[Fuel (no space after comma)]], ","), FuelList_Final_EF!$A$2:$B$32, 2, FALSE))</f>
        <v>118.17</v>
      </c>
      <c r="P1007" s="2">
        <f>(16112*Table1[[#This Row],[Generation (TWh)]]*10^9)/10^6</f>
        <v>457297.22879999992</v>
      </c>
      <c r="Q1007" s="2">
        <f>Table1[[#This Row],[Emission Factor (kg CO2/ mmBtu)]]*Table1[[#This Row],[Fuel Consumption (mmBtu)]]*10^3</f>
        <v>54038813527.29599</v>
      </c>
      <c r="R1007" s="2">
        <f>(Table1[[#This Row],[CO2 Emissions (g CO2)]])/(Table1[[#This Row],[Generation (TWh)]]*10^9)</f>
        <v>1903.9550399999998</v>
      </c>
    </row>
    <row r="1008" spans="1:18">
      <c r="A1008" t="s">
        <v>663</v>
      </c>
      <c r="B1008" t="s">
        <v>46</v>
      </c>
      <c r="C1008" t="str">
        <f>SUBSTITUTE(Table1[[#This Row],[Fuel]],", ",",")</f>
        <v>bioenergy: agricultural waste (solids)</v>
      </c>
      <c r="D1008" t="s">
        <v>46</v>
      </c>
      <c r="G1008">
        <v>1.5</v>
      </c>
      <c r="H1008" t="s">
        <v>172</v>
      </c>
      <c r="I1008" t="s">
        <v>21</v>
      </c>
      <c r="J1008" t="s">
        <v>21</v>
      </c>
      <c r="K1008">
        <v>29.412600000000001</v>
      </c>
      <c r="L1008">
        <v>112.1429</v>
      </c>
      <c r="M1008" t="s">
        <v>102</v>
      </c>
      <c r="N1008" s="2">
        <f>Table1[[#This Row],[Capacity (MW)]]*8760*0.72*10^-6</f>
        <v>9.4607999999999984E-3</v>
      </c>
      <c r="O1008" s="2" cm="1">
        <f t="array" ref="O1008">AVERAGE(VLOOKUP(_xlfn.TEXTSPLIT(Table1[[#This Row],[Fuel (no space after comma)]], ","), FuelList_Final_EF!$A$2:$B$32, 2, FALSE))</f>
        <v>118.17</v>
      </c>
      <c r="P1008" s="2">
        <f>(16112*Table1[[#This Row],[Generation (TWh)]]*10^9)/10^6</f>
        <v>152432.40959999996</v>
      </c>
      <c r="Q1008" s="2">
        <f>Table1[[#This Row],[Emission Factor (kg CO2/ mmBtu)]]*Table1[[#This Row],[Fuel Consumption (mmBtu)]]*10^3</f>
        <v>18012937842.431995</v>
      </c>
      <c r="R1008" s="2">
        <f>(Table1[[#This Row],[CO2 Emissions (g CO2)]])/(Table1[[#This Row],[Generation (TWh)]]*10^9)</f>
        <v>1903.9550399999998</v>
      </c>
    </row>
    <row r="1009" spans="1:18">
      <c r="A1009" t="s">
        <v>664</v>
      </c>
      <c r="B1009" t="s">
        <v>46</v>
      </c>
      <c r="C1009" t="str">
        <f>SUBSTITUTE(Table1[[#This Row],[Fuel]],", ",",")</f>
        <v>bioenergy: agricultural waste (solids)</v>
      </c>
      <c r="D1009" t="s">
        <v>46</v>
      </c>
      <c r="G1009">
        <v>10.199999999999999</v>
      </c>
      <c r="H1009" t="s">
        <v>172</v>
      </c>
      <c r="I1009" t="s">
        <v>21</v>
      </c>
      <c r="J1009" t="s">
        <v>21</v>
      </c>
      <c r="K1009">
        <v>29.412600000000001</v>
      </c>
      <c r="L1009">
        <v>112.1429</v>
      </c>
      <c r="M1009" t="s">
        <v>102</v>
      </c>
      <c r="N1009" s="2">
        <f>Table1[[#This Row],[Capacity (MW)]]*8760*0.72*10^-6</f>
        <v>6.4333439999999992E-2</v>
      </c>
      <c r="O1009" s="2" cm="1">
        <f t="array" ref="O1009">AVERAGE(VLOOKUP(_xlfn.TEXTSPLIT(Table1[[#This Row],[Fuel (no space after comma)]], ","), FuelList_Final_EF!$A$2:$B$32, 2, FALSE))</f>
        <v>118.17</v>
      </c>
      <c r="P1009" s="2">
        <f>(16112*Table1[[#This Row],[Generation (TWh)]]*10^9)/10^6</f>
        <v>1036540.3852799998</v>
      </c>
      <c r="Q1009" s="2">
        <f>Table1[[#This Row],[Emission Factor (kg CO2/ mmBtu)]]*Table1[[#This Row],[Fuel Consumption (mmBtu)]]*10^3</f>
        <v>122487977328.53758</v>
      </c>
      <c r="R1009" s="2">
        <f>(Table1[[#This Row],[CO2 Emissions (g CO2)]])/(Table1[[#This Row],[Generation (TWh)]]*10^9)</f>
        <v>1903.9550400000001</v>
      </c>
    </row>
    <row r="1010" spans="1:18">
      <c r="A1010" t="s">
        <v>665</v>
      </c>
      <c r="B1010" t="s">
        <v>46</v>
      </c>
      <c r="C1010" t="str">
        <f>SUBSTITUTE(Table1[[#This Row],[Fuel]],", ",",")</f>
        <v>bioenergy: agricultural waste (solids)</v>
      </c>
      <c r="D1010" t="s">
        <v>46</v>
      </c>
      <c r="G1010">
        <v>7.8000000000000007</v>
      </c>
      <c r="H1010" t="s">
        <v>172</v>
      </c>
      <c r="I1010" t="s">
        <v>21</v>
      </c>
      <c r="J1010" t="s">
        <v>21</v>
      </c>
      <c r="K1010">
        <v>29.412600000000001</v>
      </c>
      <c r="L1010">
        <v>112.1429</v>
      </c>
      <c r="M1010" t="s">
        <v>102</v>
      </c>
      <c r="N1010" s="2">
        <f>Table1[[#This Row],[Capacity (MW)]]*8760*0.72*10^-6</f>
        <v>4.9196159999999996E-2</v>
      </c>
      <c r="O1010" s="2" cm="1">
        <f t="array" ref="O1010">AVERAGE(VLOOKUP(_xlfn.TEXTSPLIT(Table1[[#This Row],[Fuel (no space after comma)]], ","), FuelList_Final_EF!$A$2:$B$32, 2, FALSE))</f>
        <v>118.17</v>
      </c>
      <c r="P1010" s="2">
        <f>(16112*Table1[[#This Row],[Generation (TWh)]]*10^9)/10^6</f>
        <v>792648.52992</v>
      </c>
      <c r="Q1010" s="2">
        <f>Table1[[#This Row],[Emission Factor (kg CO2/ mmBtu)]]*Table1[[#This Row],[Fuel Consumption (mmBtu)]]*10^3</f>
        <v>93667276780.646393</v>
      </c>
      <c r="R1010" s="2">
        <f>(Table1[[#This Row],[CO2 Emissions (g CO2)]])/(Table1[[#This Row],[Generation (TWh)]]*10^9)</f>
        <v>1903.9550400000001</v>
      </c>
    </row>
    <row r="1011" spans="1:18">
      <c r="A1011" t="s">
        <v>666</v>
      </c>
      <c r="B1011" t="s">
        <v>46</v>
      </c>
      <c r="C1011" t="str">
        <f>SUBSTITUTE(Table1[[#This Row],[Fuel]],", ",",")</f>
        <v>bioenergy: agricultural waste (solids)</v>
      </c>
      <c r="D1011" t="s">
        <v>46</v>
      </c>
      <c r="G1011">
        <v>3</v>
      </c>
      <c r="H1011" t="s">
        <v>172</v>
      </c>
      <c r="I1011" t="s">
        <v>21</v>
      </c>
      <c r="J1011" t="s">
        <v>21</v>
      </c>
      <c r="K1011">
        <v>29.412600000000001</v>
      </c>
      <c r="L1011">
        <v>112.1429</v>
      </c>
      <c r="M1011" t="s">
        <v>102</v>
      </c>
      <c r="N1011" s="2">
        <f>Table1[[#This Row],[Capacity (MW)]]*8760*0.72*10^-6</f>
        <v>1.8921599999999997E-2</v>
      </c>
      <c r="O1011" s="2" cm="1">
        <f t="array" ref="O1011">AVERAGE(VLOOKUP(_xlfn.TEXTSPLIT(Table1[[#This Row],[Fuel (no space after comma)]], ","), FuelList_Final_EF!$A$2:$B$32, 2, FALSE))</f>
        <v>118.17</v>
      </c>
      <c r="P1011" s="2">
        <f>(16112*Table1[[#This Row],[Generation (TWh)]]*10^9)/10^6</f>
        <v>304864.81919999991</v>
      </c>
      <c r="Q1011" s="2">
        <f>Table1[[#This Row],[Emission Factor (kg CO2/ mmBtu)]]*Table1[[#This Row],[Fuel Consumption (mmBtu)]]*10^3</f>
        <v>36025875684.863991</v>
      </c>
      <c r="R1011" s="2">
        <f>(Table1[[#This Row],[CO2 Emissions (g CO2)]])/(Table1[[#This Row],[Generation (TWh)]]*10^9)</f>
        <v>1903.9550399999998</v>
      </c>
    </row>
    <row r="1012" spans="1:18">
      <c r="A1012" t="s">
        <v>667</v>
      </c>
      <c r="B1012" t="s">
        <v>46</v>
      </c>
      <c r="C1012" t="str">
        <f>SUBSTITUTE(Table1[[#This Row],[Fuel]],", ",",")</f>
        <v>bioenergy: agricultural waste (solids)</v>
      </c>
      <c r="D1012" t="s">
        <v>46</v>
      </c>
      <c r="G1012">
        <v>3</v>
      </c>
      <c r="H1012" t="s">
        <v>172</v>
      </c>
      <c r="I1012" t="s">
        <v>21</v>
      </c>
      <c r="J1012" t="s">
        <v>21</v>
      </c>
      <c r="K1012">
        <v>29.412600000000001</v>
      </c>
      <c r="L1012">
        <v>112.1429</v>
      </c>
      <c r="M1012" t="s">
        <v>102</v>
      </c>
      <c r="N1012" s="2">
        <f>Table1[[#This Row],[Capacity (MW)]]*8760*0.72*10^-6</f>
        <v>1.8921599999999997E-2</v>
      </c>
      <c r="O1012" s="2" cm="1">
        <f t="array" ref="O1012">AVERAGE(VLOOKUP(_xlfn.TEXTSPLIT(Table1[[#This Row],[Fuel (no space after comma)]], ","), FuelList_Final_EF!$A$2:$B$32, 2, FALSE))</f>
        <v>118.17</v>
      </c>
      <c r="P1012" s="2">
        <f>(16112*Table1[[#This Row],[Generation (TWh)]]*10^9)/10^6</f>
        <v>304864.81919999991</v>
      </c>
      <c r="Q1012" s="2">
        <f>Table1[[#This Row],[Emission Factor (kg CO2/ mmBtu)]]*Table1[[#This Row],[Fuel Consumption (mmBtu)]]*10^3</f>
        <v>36025875684.863991</v>
      </c>
      <c r="R1012" s="2">
        <f>(Table1[[#This Row],[CO2 Emissions (g CO2)]])/(Table1[[#This Row],[Generation (TWh)]]*10^9)</f>
        <v>1903.9550399999998</v>
      </c>
    </row>
    <row r="1013" spans="1:18" hidden="1">
      <c r="A1013" t="s">
        <v>54</v>
      </c>
      <c r="B1013" t="s">
        <v>19</v>
      </c>
      <c r="C1013" t="str">
        <f>SUBSTITUTE(Table1[[#This Row],[Fuel]],", ",",")</f>
        <v>bioenergy: refuse (municipal and industrial wastes)</v>
      </c>
      <c r="D1013" t="s">
        <v>19</v>
      </c>
      <c r="G1013">
        <v>15.2</v>
      </c>
      <c r="H1013" t="s">
        <v>27</v>
      </c>
      <c r="I1013">
        <v>2021</v>
      </c>
      <c r="J1013" t="s">
        <v>21</v>
      </c>
      <c r="K1013">
        <v>28.415600000000001</v>
      </c>
      <c r="L1013">
        <v>112.9778</v>
      </c>
      <c r="M1013" t="s">
        <v>102</v>
      </c>
      <c r="N1013" s="2">
        <f>Table1[[#This Row],[Capacity (MW)]]*8760*0.72*10^-6</f>
        <v>9.586944E-2</v>
      </c>
      <c r="O1013" s="2" cm="1">
        <f t="array" ref="O1013">AVERAGE(VLOOKUP(_xlfn.TEXTSPLIT(Table1[[#This Row],[Fuel (no space after comma)]], ","), FuelList_Final_EF!$A$2:$B$32, 2, FALSE))</f>
        <v>105.42962572482868</v>
      </c>
      <c r="P1013" s="2">
        <f>(16112*Table1[[#This Row],[Generation (TWh)]]*10^9)/10^6</f>
        <v>1544648.4172799999</v>
      </c>
      <c r="Q1013" s="2">
        <f>Table1[[#This Row],[Emission Factor (kg CO2/ mmBtu)]]*Table1[[#This Row],[Fuel Consumption (mmBtu)]]*10^3</f>
        <v>162851704510.27939</v>
      </c>
      <c r="R1013" s="2">
        <f>(Table1[[#This Row],[CO2 Emissions (g CO2)]])/(Table1[[#This Row],[Generation (TWh)]]*10^9)</f>
        <v>1698.6821296784397</v>
      </c>
    </row>
    <row r="1014" spans="1:18" hidden="1">
      <c r="A1014" t="s">
        <v>668</v>
      </c>
      <c r="B1014" t="s">
        <v>19</v>
      </c>
      <c r="C1014" t="str">
        <f>SUBSTITUTE(Table1[[#This Row],[Fuel]],", ",",")</f>
        <v>bioenergy: refuse (municipal and industrial wastes)</v>
      </c>
      <c r="D1014" t="s">
        <v>19</v>
      </c>
      <c r="G1014">
        <v>24.8</v>
      </c>
      <c r="H1014" t="s">
        <v>27</v>
      </c>
      <c r="I1014">
        <v>2021</v>
      </c>
      <c r="J1014" t="s">
        <v>21</v>
      </c>
      <c r="K1014">
        <v>28.415600000000001</v>
      </c>
      <c r="L1014">
        <v>112.9778</v>
      </c>
      <c r="M1014" t="s">
        <v>102</v>
      </c>
      <c r="N1014" s="2">
        <f>Table1[[#This Row],[Capacity (MW)]]*8760*0.72*10^-6</f>
        <v>0.15641855999999998</v>
      </c>
      <c r="O1014" s="2" cm="1">
        <f t="array" ref="O1014">AVERAGE(VLOOKUP(_xlfn.TEXTSPLIT(Table1[[#This Row],[Fuel (no space after comma)]], ","), FuelList_Final_EF!$A$2:$B$32, 2, FALSE))</f>
        <v>105.42962572482868</v>
      </c>
      <c r="P1014" s="2">
        <f>(16112*Table1[[#This Row],[Generation (TWh)]]*10^9)/10^6</f>
        <v>2520215.8387199994</v>
      </c>
      <c r="Q1014" s="2">
        <f>Table1[[#This Row],[Emission Factor (kg CO2/ mmBtu)]]*Table1[[#This Row],[Fuel Consumption (mmBtu)]]*10^3</f>
        <v>265705412622.03476</v>
      </c>
      <c r="R1014" s="2">
        <f>(Table1[[#This Row],[CO2 Emissions (g CO2)]])/(Table1[[#This Row],[Generation (TWh)]]*10^9)</f>
        <v>1698.6821296784397</v>
      </c>
    </row>
    <row r="1015" spans="1:18" hidden="1">
      <c r="A1015" t="s">
        <v>54</v>
      </c>
      <c r="B1015" t="s">
        <v>19</v>
      </c>
      <c r="C1015" t="str">
        <f>SUBSTITUTE(Table1[[#This Row],[Fuel]],", ",",")</f>
        <v>bioenergy: refuse (municipal and industrial wastes)</v>
      </c>
      <c r="D1015" t="s">
        <v>19</v>
      </c>
      <c r="G1015">
        <v>15.2</v>
      </c>
      <c r="H1015" t="s">
        <v>27</v>
      </c>
      <c r="I1015">
        <v>2021</v>
      </c>
      <c r="J1015" t="s">
        <v>21</v>
      </c>
      <c r="K1015">
        <v>28.415600000000001</v>
      </c>
      <c r="L1015">
        <v>112.9778</v>
      </c>
      <c r="M1015" t="s">
        <v>102</v>
      </c>
      <c r="N1015" s="2">
        <f>Table1[[#This Row],[Capacity (MW)]]*8760*0.72*10^-6</f>
        <v>9.586944E-2</v>
      </c>
      <c r="O1015" s="2" cm="1">
        <f t="array" ref="O1015">AVERAGE(VLOOKUP(_xlfn.TEXTSPLIT(Table1[[#This Row],[Fuel (no space after comma)]], ","), FuelList_Final_EF!$A$2:$B$32, 2, FALSE))</f>
        <v>105.42962572482868</v>
      </c>
      <c r="P1015" s="2">
        <f>(16112*Table1[[#This Row],[Generation (TWh)]]*10^9)/10^6</f>
        <v>1544648.4172799999</v>
      </c>
      <c r="Q1015" s="2">
        <f>Table1[[#This Row],[Emission Factor (kg CO2/ mmBtu)]]*Table1[[#This Row],[Fuel Consumption (mmBtu)]]*10^3</f>
        <v>162851704510.27939</v>
      </c>
      <c r="R1015" s="2">
        <f>(Table1[[#This Row],[CO2 Emissions (g CO2)]])/(Table1[[#This Row],[Generation (TWh)]]*10^9)</f>
        <v>1698.6821296784397</v>
      </c>
    </row>
    <row r="1016" spans="1:18" hidden="1">
      <c r="A1016" t="s">
        <v>668</v>
      </c>
      <c r="B1016" t="s">
        <v>19</v>
      </c>
      <c r="C1016" t="str">
        <f>SUBSTITUTE(Table1[[#This Row],[Fuel]],", ",",")</f>
        <v>bioenergy: refuse (municipal and industrial wastes)</v>
      </c>
      <c r="D1016" t="s">
        <v>19</v>
      </c>
      <c r="G1016">
        <v>24.8</v>
      </c>
      <c r="H1016" t="s">
        <v>27</v>
      </c>
      <c r="I1016">
        <v>2021</v>
      </c>
      <c r="J1016" t="s">
        <v>21</v>
      </c>
      <c r="K1016">
        <v>28.415600000000001</v>
      </c>
      <c r="L1016">
        <v>112.9778</v>
      </c>
      <c r="M1016" t="s">
        <v>102</v>
      </c>
      <c r="N1016" s="2">
        <f>Table1[[#This Row],[Capacity (MW)]]*8760*0.72*10^-6</f>
        <v>0.15641855999999998</v>
      </c>
      <c r="O1016" s="2" cm="1">
        <f t="array" ref="O1016">AVERAGE(VLOOKUP(_xlfn.TEXTSPLIT(Table1[[#This Row],[Fuel (no space after comma)]], ","), FuelList_Final_EF!$A$2:$B$32, 2, FALSE))</f>
        <v>105.42962572482868</v>
      </c>
      <c r="P1016" s="2">
        <f>(16112*Table1[[#This Row],[Generation (TWh)]]*10^9)/10^6</f>
        <v>2520215.8387199994</v>
      </c>
      <c r="Q1016" s="2">
        <f>Table1[[#This Row],[Emission Factor (kg CO2/ mmBtu)]]*Table1[[#This Row],[Fuel Consumption (mmBtu)]]*10^3</f>
        <v>265705412622.03476</v>
      </c>
      <c r="R1016" s="2">
        <f>(Table1[[#This Row],[CO2 Emissions (g CO2)]])/(Table1[[#This Row],[Generation (TWh)]]*10^9)</f>
        <v>1698.6821296784397</v>
      </c>
    </row>
    <row r="1017" spans="1:18" hidden="1">
      <c r="A1017" t="s">
        <v>668</v>
      </c>
      <c r="B1017" t="s">
        <v>19</v>
      </c>
      <c r="C1017" t="str">
        <f>SUBSTITUTE(Table1[[#This Row],[Fuel]],", ",",")</f>
        <v>bioenergy: refuse (municipal and industrial wastes)</v>
      </c>
      <c r="D1017" t="s">
        <v>19</v>
      </c>
      <c r="G1017">
        <v>80</v>
      </c>
      <c r="H1017" t="s">
        <v>27</v>
      </c>
      <c r="I1017">
        <v>2018</v>
      </c>
      <c r="J1017" t="s">
        <v>21</v>
      </c>
      <c r="K1017">
        <v>28.409600000000001</v>
      </c>
      <c r="L1017">
        <v>112.9315</v>
      </c>
      <c r="M1017" t="s">
        <v>102</v>
      </c>
      <c r="N1017" s="2">
        <f>Table1[[#This Row],[Capacity (MW)]]*8760*0.72*10^-6</f>
        <v>0.50457600000000002</v>
      </c>
      <c r="O1017" s="2" cm="1">
        <f t="array" ref="O1017">AVERAGE(VLOOKUP(_xlfn.TEXTSPLIT(Table1[[#This Row],[Fuel (no space after comma)]], ","), FuelList_Final_EF!$A$2:$B$32, 2, FALSE))</f>
        <v>105.42962572482868</v>
      </c>
      <c r="P1017" s="2">
        <f>(16112*Table1[[#This Row],[Generation (TWh)]]*10^9)/10^6</f>
        <v>8129728.512000001</v>
      </c>
      <c r="Q1017" s="2">
        <f>Table1[[#This Row],[Emission Factor (kg CO2/ mmBtu)]]*Table1[[#This Row],[Fuel Consumption (mmBtu)]]*10^3</f>
        <v>857114234264.62854</v>
      </c>
      <c r="R1017" s="2">
        <f>(Table1[[#This Row],[CO2 Emissions (g CO2)]])/(Table1[[#This Row],[Generation (TWh)]]*10^9)</f>
        <v>1698.6821296784401</v>
      </c>
    </row>
    <row r="1018" spans="1:18" hidden="1">
      <c r="A1018" t="s">
        <v>130</v>
      </c>
      <c r="B1018" t="s">
        <v>19</v>
      </c>
      <c r="C1018" t="str">
        <f>SUBSTITUTE(Table1[[#This Row],[Fuel]],", ",",")</f>
        <v>bioenergy: refuse (municipal and industrial wastes)</v>
      </c>
      <c r="D1018" t="s">
        <v>19</v>
      </c>
      <c r="G1018">
        <v>10</v>
      </c>
      <c r="H1018" t="s">
        <v>27</v>
      </c>
      <c r="I1018">
        <v>2018</v>
      </c>
      <c r="J1018" t="s">
        <v>21</v>
      </c>
      <c r="K1018">
        <v>28.409600000000001</v>
      </c>
      <c r="L1018">
        <v>112.9315</v>
      </c>
      <c r="M1018" t="s">
        <v>102</v>
      </c>
      <c r="N1018" s="2">
        <f>Table1[[#This Row],[Capacity (MW)]]*8760*0.72*10^-6</f>
        <v>6.3072000000000003E-2</v>
      </c>
      <c r="O1018" s="2" cm="1">
        <f t="array" ref="O1018">AVERAGE(VLOOKUP(_xlfn.TEXTSPLIT(Table1[[#This Row],[Fuel (no space after comma)]], ","), FuelList_Final_EF!$A$2:$B$32, 2, FALSE))</f>
        <v>105.42962572482868</v>
      </c>
      <c r="P1018" s="2">
        <f>(16112*Table1[[#This Row],[Generation (TWh)]]*10^9)/10^6</f>
        <v>1016216.0640000001</v>
      </c>
      <c r="Q1018" s="2">
        <f>Table1[[#This Row],[Emission Factor (kg CO2/ mmBtu)]]*Table1[[#This Row],[Fuel Consumption (mmBtu)]]*10^3</f>
        <v>107139279283.07857</v>
      </c>
      <c r="R1018" s="2">
        <f>(Table1[[#This Row],[CO2 Emissions (g CO2)]])/(Table1[[#This Row],[Generation (TWh)]]*10^9)</f>
        <v>1698.6821296784401</v>
      </c>
    </row>
    <row r="1019" spans="1:18" hidden="1">
      <c r="A1019" t="s">
        <v>669</v>
      </c>
      <c r="B1019" t="s">
        <v>19</v>
      </c>
      <c r="C1019" t="str">
        <f>SUBSTITUTE(Table1[[#This Row],[Fuel]],", ",",")</f>
        <v>bioenergy: refuse (municipal and industrial wastes)</v>
      </c>
      <c r="D1019" t="s">
        <v>19</v>
      </c>
      <c r="G1019">
        <v>10</v>
      </c>
      <c r="H1019" t="s">
        <v>27</v>
      </c>
      <c r="I1019">
        <v>2018</v>
      </c>
      <c r="J1019" t="s">
        <v>21</v>
      </c>
      <c r="K1019">
        <v>28.409600000000001</v>
      </c>
      <c r="L1019">
        <v>112.9315</v>
      </c>
      <c r="M1019" t="s">
        <v>102</v>
      </c>
      <c r="N1019" s="2">
        <f>Table1[[#This Row],[Capacity (MW)]]*8760*0.72*10^-6</f>
        <v>6.3072000000000003E-2</v>
      </c>
      <c r="O1019" s="2" cm="1">
        <f t="array" ref="O1019">AVERAGE(VLOOKUP(_xlfn.TEXTSPLIT(Table1[[#This Row],[Fuel (no space after comma)]], ","), FuelList_Final_EF!$A$2:$B$32, 2, FALSE))</f>
        <v>105.42962572482868</v>
      </c>
      <c r="P1019" s="2">
        <f>(16112*Table1[[#This Row],[Generation (TWh)]]*10^9)/10^6</f>
        <v>1016216.0640000001</v>
      </c>
      <c r="Q1019" s="2">
        <f>Table1[[#This Row],[Emission Factor (kg CO2/ mmBtu)]]*Table1[[#This Row],[Fuel Consumption (mmBtu)]]*10^3</f>
        <v>107139279283.07857</v>
      </c>
      <c r="R1019" s="2">
        <f>(Table1[[#This Row],[CO2 Emissions (g CO2)]])/(Table1[[#This Row],[Generation (TWh)]]*10^9)</f>
        <v>1698.6821296784401</v>
      </c>
    </row>
    <row r="1020" spans="1:18" hidden="1">
      <c r="A1020" t="s">
        <v>108</v>
      </c>
      <c r="B1020" t="s">
        <v>19</v>
      </c>
      <c r="C1020" t="str">
        <f>SUBSTITUTE(Table1[[#This Row],[Fuel]],", ",",")</f>
        <v>bioenergy: refuse (municipal and industrial wastes)</v>
      </c>
      <c r="D1020" t="s">
        <v>19</v>
      </c>
      <c r="G1020">
        <v>10.8</v>
      </c>
      <c r="H1020" t="s">
        <v>27</v>
      </c>
      <c r="I1020">
        <v>2018</v>
      </c>
      <c r="J1020" t="s">
        <v>21</v>
      </c>
      <c r="K1020">
        <v>25.880299999999998</v>
      </c>
      <c r="L1020">
        <v>112.992</v>
      </c>
      <c r="M1020" t="s">
        <v>102</v>
      </c>
      <c r="N1020" s="2">
        <f>Table1[[#This Row],[Capacity (MW)]]*8760*0.72*10^-6</f>
        <v>6.8117759999999986E-2</v>
      </c>
      <c r="O1020" s="2" cm="1">
        <f t="array" ref="O1020">AVERAGE(VLOOKUP(_xlfn.TEXTSPLIT(Table1[[#This Row],[Fuel (no space after comma)]], ","), FuelList_Final_EF!$A$2:$B$32, 2, FALSE))</f>
        <v>105.42962572482868</v>
      </c>
      <c r="P1020" s="2">
        <f>(16112*Table1[[#This Row],[Generation (TWh)]]*10^9)/10^6</f>
        <v>1097513.3491199997</v>
      </c>
      <c r="Q1020" s="2">
        <f>Table1[[#This Row],[Emission Factor (kg CO2/ mmBtu)]]*Table1[[#This Row],[Fuel Consumption (mmBtu)]]*10^3</f>
        <v>115710421625.72481</v>
      </c>
      <c r="R1020" s="2">
        <f>(Table1[[#This Row],[CO2 Emissions (g CO2)]])/(Table1[[#This Row],[Generation (TWh)]]*10^9)</f>
        <v>1698.6821296784397</v>
      </c>
    </row>
    <row r="1021" spans="1:18" hidden="1">
      <c r="A1021" t="s">
        <v>670</v>
      </c>
      <c r="B1021" t="s">
        <v>19</v>
      </c>
      <c r="C1021" t="str">
        <f>SUBSTITUTE(Table1[[#This Row],[Fuel]],", ",",")</f>
        <v>bioenergy: refuse (municipal and industrial wastes)</v>
      </c>
      <c r="D1021" t="s">
        <v>19</v>
      </c>
      <c r="G1021">
        <v>2.7</v>
      </c>
      <c r="H1021" t="s">
        <v>27</v>
      </c>
      <c r="I1021">
        <v>2018</v>
      </c>
      <c r="J1021" t="s">
        <v>21</v>
      </c>
      <c r="K1021">
        <v>25.880299999999998</v>
      </c>
      <c r="L1021">
        <v>112.992</v>
      </c>
      <c r="M1021" t="s">
        <v>102</v>
      </c>
      <c r="N1021" s="2">
        <f>Table1[[#This Row],[Capacity (MW)]]*8760*0.72*10^-6</f>
        <v>1.7029439999999996E-2</v>
      </c>
      <c r="O1021" s="2" cm="1">
        <f t="array" ref="O1021">AVERAGE(VLOOKUP(_xlfn.TEXTSPLIT(Table1[[#This Row],[Fuel (no space after comma)]], ","), FuelList_Final_EF!$A$2:$B$32, 2, FALSE))</f>
        <v>105.42962572482868</v>
      </c>
      <c r="P1021" s="2">
        <f>(16112*Table1[[#This Row],[Generation (TWh)]]*10^9)/10^6</f>
        <v>274378.33727999992</v>
      </c>
      <c r="Q1021" s="2">
        <f>Table1[[#This Row],[Emission Factor (kg CO2/ mmBtu)]]*Table1[[#This Row],[Fuel Consumption (mmBtu)]]*10^3</f>
        <v>28927605406.431202</v>
      </c>
      <c r="R1021" s="2">
        <f>(Table1[[#This Row],[CO2 Emissions (g CO2)]])/(Table1[[#This Row],[Generation (TWh)]]*10^9)</f>
        <v>1698.6821296784397</v>
      </c>
    </row>
    <row r="1022" spans="1:18" hidden="1">
      <c r="A1022" t="s">
        <v>671</v>
      </c>
      <c r="B1022" t="s">
        <v>19</v>
      </c>
      <c r="C1022" t="str">
        <f>SUBSTITUTE(Table1[[#This Row],[Fuel]],", ",",")</f>
        <v>bioenergy: refuse (municipal and industrial wastes)</v>
      </c>
      <c r="D1022" t="s">
        <v>19</v>
      </c>
      <c r="G1022">
        <v>16.5</v>
      </c>
      <c r="H1022" t="s">
        <v>27</v>
      </c>
      <c r="I1022">
        <v>2018</v>
      </c>
      <c r="J1022" t="s">
        <v>21</v>
      </c>
      <c r="K1022">
        <v>25.880299999999998</v>
      </c>
      <c r="L1022">
        <v>112.992</v>
      </c>
      <c r="M1022" t="s">
        <v>102</v>
      </c>
      <c r="N1022" s="2">
        <f>Table1[[#This Row],[Capacity (MW)]]*8760*0.72*10^-6</f>
        <v>0.1040688</v>
      </c>
      <c r="O1022" s="2" cm="1">
        <f t="array" ref="O1022">AVERAGE(VLOOKUP(_xlfn.TEXTSPLIT(Table1[[#This Row],[Fuel (no space after comma)]], ","), FuelList_Final_EF!$A$2:$B$32, 2, FALSE))</f>
        <v>105.42962572482868</v>
      </c>
      <c r="P1022" s="2">
        <f>(16112*Table1[[#This Row],[Generation (TWh)]]*10^9)/10^6</f>
        <v>1676756.5056</v>
      </c>
      <c r="Q1022" s="2">
        <f>Table1[[#This Row],[Emission Factor (kg CO2/ mmBtu)]]*Table1[[#This Row],[Fuel Consumption (mmBtu)]]*10^3</f>
        <v>176779810817.07959</v>
      </c>
      <c r="R1022" s="2">
        <f>(Table1[[#This Row],[CO2 Emissions (g CO2)]])/(Table1[[#This Row],[Generation (TWh)]]*10^9)</f>
        <v>1698.6821296784397</v>
      </c>
    </row>
    <row r="1023" spans="1:18">
      <c r="A1023" t="s">
        <v>118</v>
      </c>
      <c r="B1023" t="s">
        <v>105</v>
      </c>
      <c r="C1023" t="str">
        <f>SUBSTITUTE(Table1[[#This Row],[Fuel]],", ",",")</f>
        <v>bioenergy: agricultural waste (solids),bioenergy: wood &amp; other biomass (solids)</v>
      </c>
      <c r="D1023" t="s">
        <v>46</v>
      </c>
      <c r="E1023" t="s">
        <v>25</v>
      </c>
      <c r="G1023">
        <v>30</v>
      </c>
      <c r="H1023" t="s">
        <v>53</v>
      </c>
      <c r="I1023" t="s">
        <v>21</v>
      </c>
      <c r="J1023" t="s">
        <v>21</v>
      </c>
      <c r="K1023">
        <v>25.692699999999999</v>
      </c>
      <c r="L1023">
        <v>112.705</v>
      </c>
      <c r="M1023" t="s">
        <v>102</v>
      </c>
      <c r="N1023" s="2">
        <f>Table1[[#This Row],[Capacity (MW)]]*8760*0.72*10^-6</f>
        <v>0.189216</v>
      </c>
      <c r="O1023" s="2" cm="1">
        <f t="array" ref="O1023">AVERAGE(VLOOKUP(_xlfn.TEXTSPLIT(Table1[[#This Row],[Fuel (no space after comma)]], ","), FuelList_Final_EF!$A$2:$B$32, 2, FALSE))</f>
        <v>105.985</v>
      </c>
      <c r="P1023" s="2">
        <f>(16112*Table1[[#This Row],[Generation (TWh)]]*10^9)/10^6</f>
        <v>3048648.1919999998</v>
      </c>
      <c r="Q1023" s="2">
        <f>Table1[[#This Row],[Emission Factor (kg CO2/ mmBtu)]]*Table1[[#This Row],[Fuel Consumption (mmBtu)]]*10^3</f>
        <v>323110978629.12</v>
      </c>
      <c r="R1023" s="2">
        <f>(Table1[[#This Row],[CO2 Emissions (g CO2)]])/(Table1[[#This Row],[Generation (TWh)]]*10^9)</f>
        <v>1707.63032</v>
      </c>
    </row>
    <row r="1024" spans="1:18" hidden="1">
      <c r="A1024" t="s">
        <v>672</v>
      </c>
      <c r="B1024" t="s">
        <v>210</v>
      </c>
      <c r="C1024" t="str">
        <f>SUBSTITUTE(Table1[[#This Row],[Fuel]],", ",",")</f>
        <v>bioenergy: wood &amp; other biomass (solids),bioenergy: agricultural waste (solids)</v>
      </c>
      <c r="D1024" t="s">
        <v>25</v>
      </c>
      <c r="E1024" t="s">
        <v>46</v>
      </c>
      <c r="G1024">
        <v>70</v>
      </c>
      <c r="H1024" t="s">
        <v>27</v>
      </c>
      <c r="I1024">
        <v>2021</v>
      </c>
      <c r="J1024" t="s">
        <v>21</v>
      </c>
      <c r="K1024">
        <v>27.5246</v>
      </c>
      <c r="L1024">
        <v>109.9391</v>
      </c>
      <c r="M1024" t="s">
        <v>102</v>
      </c>
      <c r="N1024" s="2">
        <f>Table1[[#This Row],[Capacity (MW)]]*8760*0.72*10^-6</f>
        <v>0.44150400000000001</v>
      </c>
      <c r="O1024" s="2" cm="1">
        <f t="array" ref="O1024">AVERAGE(VLOOKUP(_xlfn.TEXTSPLIT(Table1[[#This Row],[Fuel (no space after comma)]], ","), FuelList_Final_EF!$A$2:$B$32, 2, FALSE))</f>
        <v>105.985</v>
      </c>
      <c r="P1024" s="2">
        <f>(16112*Table1[[#This Row],[Generation (TWh)]]*10^9)/10^6</f>
        <v>7113512.4479999999</v>
      </c>
      <c r="Q1024" s="2">
        <f>Table1[[#This Row],[Emission Factor (kg CO2/ mmBtu)]]*Table1[[#This Row],[Fuel Consumption (mmBtu)]]*10^3</f>
        <v>753925616801.28003</v>
      </c>
      <c r="R1024" s="2">
        <f>(Table1[[#This Row],[CO2 Emissions (g CO2)]])/(Table1[[#This Row],[Generation (TWh)]]*10^9)</f>
        <v>1707.63032</v>
      </c>
    </row>
    <row r="1025" spans="1:18" hidden="1">
      <c r="A1025" t="s">
        <v>673</v>
      </c>
      <c r="B1025" t="s">
        <v>105</v>
      </c>
      <c r="C1025" t="str">
        <f>SUBSTITUTE(Table1[[#This Row],[Fuel]],", ",",")</f>
        <v>bioenergy: agricultural waste (solids),bioenergy: wood &amp; other biomass (solids)</v>
      </c>
      <c r="D1025" t="s">
        <v>46</v>
      </c>
      <c r="E1025" t="s">
        <v>25</v>
      </c>
      <c r="G1025">
        <v>30</v>
      </c>
      <c r="H1025" t="s">
        <v>27</v>
      </c>
      <c r="I1025">
        <v>2012</v>
      </c>
      <c r="J1025" t="s">
        <v>21</v>
      </c>
      <c r="K1025">
        <v>29.4682</v>
      </c>
      <c r="L1025">
        <v>111.6371</v>
      </c>
      <c r="M1025" t="s">
        <v>102</v>
      </c>
      <c r="N1025" s="2">
        <f>Table1[[#This Row],[Capacity (MW)]]*8760*0.72*10^-6</f>
        <v>0.189216</v>
      </c>
      <c r="O1025" s="2" cm="1">
        <f t="array" ref="O1025">AVERAGE(VLOOKUP(_xlfn.TEXTSPLIT(Table1[[#This Row],[Fuel (no space after comma)]], ","), FuelList_Final_EF!$A$2:$B$32, 2, FALSE))</f>
        <v>105.985</v>
      </c>
      <c r="P1025" s="2">
        <f>(16112*Table1[[#This Row],[Generation (TWh)]]*10^9)/10^6</f>
        <v>3048648.1919999998</v>
      </c>
      <c r="Q1025" s="2">
        <f>Table1[[#This Row],[Emission Factor (kg CO2/ mmBtu)]]*Table1[[#This Row],[Fuel Consumption (mmBtu)]]*10^3</f>
        <v>323110978629.12</v>
      </c>
      <c r="R1025" s="2">
        <f>(Table1[[#This Row],[CO2 Emissions (g CO2)]])/(Table1[[#This Row],[Generation (TWh)]]*10^9)</f>
        <v>1707.63032</v>
      </c>
    </row>
    <row r="1026" spans="1:18">
      <c r="A1026" t="s">
        <v>668</v>
      </c>
      <c r="B1026" t="s">
        <v>19</v>
      </c>
      <c r="C1026" t="str">
        <f>SUBSTITUTE(Table1[[#This Row],[Fuel]],", ",",")</f>
        <v>bioenergy: refuse (municipal and industrial wastes)</v>
      </c>
      <c r="D1026" t="s">
        <v>19</v>
      </c>
      <c r="G1026">
        <v>21</v>
      </c>
      <c r="H1026" t="s">
        <v>53</v>
      </c>
      <c r="I1026" t="s">
        <v>21</v>
      </c>
      <c r="J1026" t="s">
        <v>21</v>
      </c>
      <c r="K1026">
        <v>28.095199999999998</v>
      </c>
      <c r="L1026">
        <v>113.6596</v>
      </c>
      <c r="M1026" t="s">
        <v>102</v>
      </c>
      <c r="N1026" s="2">
        <f>Table1[[#This Row],[Capacity (MW)]]*8760*0.72*10^-6</f>
        <v>0.13245119999999996</v>
      </c>
      <c r="O1026" s="2" cm="1">
        <f t="array" ref="O1026">AVERAGE(VLOOKUP(_xlfn.TEXTSPLIT(Table1[[#This Row],[Fuel (no space after comma)]], ","), FuelList_Final_EF!$A$2:$B$32, 2, FALSE))</f>
        <v>105.42962572482868</v>
      </c>
      <c r="P1026" s="2">
        <f>(16112*Table1[[#This Row],[Generation (TWh)]]*10^9)/10^6</f>
        <v>2134053.7343999995</v>
      </c>
      <c r="Q1026" s="2">
        <f>Table1[[#This Row],[Emission Factor (kg CO2/ mmBtu)]]*Table1[[#This Row],[Fuel Consumption (mmBtu)]]*10^3</f>
        <v>224992486494.4649</v>
      </c>
      <c r="R1026" s="2">
        <f>(Table1[[#This Row],[CO2 Emissions (g CO2)]])/(Table1[[#This Row],[Generation (TWh)]]*10^9)</f>
        <v>1698.6821296784397</v>
      </c>
    </row>
    <row r="1027" spans="1:18">
      <c r="A1027" t="s">
        <v>674</v>
      </c>
      <c r="B1027" t="s">
        <v>19</v>
      </c>
      <c r="C1027" t="str">
        <f>SUBSTITUTE(Table1[[#This Row],[Fuel]],", ",",")</f>
        <v>bioenergy: refuse (municipal and industrial wastes)</v>
      </c>
      <c r="D1027" t="s">
        <v>19</v>
      </c>
      <c r="G1027">
        <v>9</v>
      </c>
      <c r="H1027" t="s">
        <v>53</v>
      </c>
      <c r="I1027" t="s">
        <v>21</v>
      </c>
      <c r="J1027" t="s">
        <v>21</v>
      </c>
      <c r="K1027">
        <v>28.095199999999998</v>
      </c>
      <c r="L1027">
        <v>113.6596</v>
      </c>
      <c r="M1027" t="s">
        <v>102</v>
      </c>
      <c r="N1027" s="2">
        <f>Table1[[#This Row],[Capacity (MW)]]*8760*0.72*10^-6</f>
        <v>5.676479999999999E-2</v>
      </c>
      <c r="O1027" s="2" cm="1">
        <f t="array" ref="O1027">AVERAGE(VLOOKUP(_xlfn.TEXTSPLIT(Table1[[#This Row],[Fuel (no space after comma)]], ","), FuelList_Final_EF!$A$2:$B$32, 2, FALSE))</f>
        <v>105.42962572482868</v>
      </c>
      <c r="P1027" s="2">
        <f>(16112*Table1[[#This Row],[Generation (TWh)]]*10^9)/10^6</f>
        <v>914594.45759999985</v>
      </c>
      <c r="Q1027" s="2">
        <f>Table1[[#This Row],[Emission Factor (kg CO2/ mmBtu)]]*Table1[[#This Row],[Fuel Consumption (mmBtu)]]*10^3</f>
        <v>96425351354.770676</v>
      </c>
      <c r="R1027" s="2">
        <f>(Table1[[#This Row],[CO2 Emissions (g CO2)]])/(Table1[[#This Row],[Generation (TWh)]]*10^9)</f>
        <v>1698.6821296784397</v>
      </c>
    </row>
    <row r="1028" spans="1:18" hidden="1">
      <c r="A1028" t="s">
        <v>118</v>
      </c>
      <c r="B1028" t="s">
        <v>46</v>
      </c>
      <c r="C1028" t="str">
        <f>SUBSTITUTE(Table1[[#This Row],[Fuel]],", ",",")</f>
        <v>bioenergy: agricultural waste (solids)</v>
      </c>
      <c r="D1028" t="s">
        <v>46</v>
      </c>
      <c r="G1028">
        <v>30</v>
      </c>
      <c r="H1028" t="s">
        <v>27</v>
      </c>
      <c r="I1028">
        <v>2013</v>
      </c>
      <c r="J1028" t="s">
        <v>21</v>
      </c>
      <c r="K1028">
        <v>27.1311</v>
      </c>
      <c r="L1028">
        <v>111.0247</v>
      </c>
      <c r="M1028" t="s">
        <v>102</v>
      </c>
      <c r="N1028" s="2">
        <f>Table1[[#This Row],[Capacity (MW)]]*8760*0.72*10^-6</f>
        <v>0.189216</v>
      </c>
      <c r="O1028" s="2" cm="1">
        <f t="array" ref="O1028">AVERAGE(VLOOKUP(_xlfn.TEXTSPLIT(Table1[[#This Row],[Fuel (no space after comma)]], ","), FuelList_Final_EF!$A$2:$B$32, 2, FALSE))</f>
        <v>118.17</v>
      </c>
      <c r="P1028" s="2">
        <f>(16112*Table1[[#This Row],[Generation (TWh)]]*10^9)/10^6</f>
        <v>3048648.1919999998</v>
      </c>
      <c r="Q1028" s="2">
        <f>Table1[[#This Row],[Emission Factor (kg CO2/ mmBtu)]]*Table1[[#This Row],[Fuel Consumption (mmBtu)]]*10^3</f>
        <v>360258756848.63995</v>
      </c>
      <c r="R1028" s="2">
        <f>(Table1[[#This Row],[CO2 Emissions (g CO2)]])/(Table1[[#This Row],[Generation (TWh)]]*10^9)</f>
        <v>1903.9550399999998</v>
      </c>
    </row>
    <row r="1029" spans="1:18" hidden="1">
      <c r="A1029" t="s">
        <v>118</v>
      </c>
      <c r="B1029" t="s">
        <v>105</v>
      </c>
      <c r="C1029" t="str">
        <f>SUBSTITUTE(Table1[[#This Row],[Fuel]],", ",",")</f>
        <v>bioenergy: agricultural waste (solids),bioenergy: wood &amp; other biomass (solids)</v>
      </c>
      <c r="D1029" t="s">
        <v>46</v>
      </c>
      <c r="E1029" t="s">
        <v>25</v>
      </c>
      <c r="G1029">
        <v>30</v>
      </c>
      <c r="H1029" t="s">
        <v>27</v>
      </c>
      <c r="I1029">
        <v>2015</v>
      </c>
      <c r="J1029" t="s">
        <v>21</v>
      </c>
      <c r="K1029">
        <v>26.441600000000001</v>
      </c>
      <c r="L1029">
        <v>111.9743</v>
      </c>
      <c r="M1029" t="s">
        <v>102</v>
      </c>
      <c r="N1029" s="2">
        <f>Table1[[#This Row],[Capacity (MW)]]*8760*0.72*10^-6</f>
        <v>0.189216</v>
      </c>
      <c r="O1029" s="2" cm="1">
        <f t="array" ref="O1029">AVERAGE(VLOOKUP(_xlfn.TEXTSPLIT(Table1[[#This Row],[Fuel (no space after comma)]], ","), FuelList_Final_EF!$A$2:$B$32, 2, FALSE))</f>
        <v>105.985</v>
      </c>
      <c r="P1029" s="2">
        <f>(16112*Table1[[#This Row],[Generation (TWh)]]*10^9)/10^6</f>
        <v>3048648.1919999998</v>
      </c>
      <c r="Q1029" s="2">
        <f>Table1[[#This Row],[Emission Factor (kg CO2/ mmBtu)]]*Table1[[#This Row],[Fuel Consumption (mmBtu)]]*10^3</f>
        <v>323110978629.12</v>
      </c>
      <c r="R1029" s="2">
        <f>(Table1[[#This Row],[CO2 Emissions (g CO2)]])/(Table1[[#This Row],[Generation (TWh)]]*10^9)</f>
        <v>1707.63032</v>
      </c>
    </row>
    <row r="1030" spans="1:18" hidden="1">
      <c r="A1030" t="s">
        <v>118</v>
      </c>
      <c r="B1030" t="s">
        <v>105</v>
      </c>
      <c r="C1030" t="str">
        <f>SUBSTITUTE(Table1[[#This Row],[Fuel]],", ",",")</f>
        <v>bioenergy: agricultural waste (solids),bioenergy: wood &amp; other biomass (solids)</v>
      </c>
      <c r="D1030" t="s">
        <v>46</v>
      </c>
      <c r="E1030" t="s">
        <v>25</v>
      </c>
      <c r="G1030">
        <v>30</v>
      </c>
      <c r="H1030" t="s">
        <v>27</v>
      </c>
      <c r="I1030">
        <v>2014</v>
      </c>
      <c r="J1030" t="s">
        <v>21</v>
      </c>
      <c r="K1030">
        <v>27.437100000000001</v>
      </c>
      <c r="L1030">
        <v>112.15730000000001</v>
      </c>
      <c r="M1030" t="s">
        <v>102</v>
      </c>
      <c r="N1030" s="2">
        <f>Table1[[#This Row],[Capacity (MW)]]*8760*0.72*10^-6</f>
        <v>0.189216</v>
      </c>
      <c r="O1030" s="2" cm="1">
        <f t="array" ref="O1030">AVERAGE(VLOOKUP(_xlfn.TEXTSPLIT(Table1[[#This Row],[Fuel (no space after comma)]], ","), FuelList_Final_EF!$A$2:$B$32, 2, FALSE))</f>
        <v>105.985</v>
      </c>
      <c r="P1030" s="2">
        <f>(16112*Table1[[#This Row],[Generation (TWh)]]*10^9)/10^6</f>
        <v>3048648.1919999998</v>
      </c>
      <c r="Q1030" s="2">
        <f>Table1[[#This Row],[Emission Factor (kg CO2/ mmBtu)]]*Table1[[#This Row],[Fuel Consumption (mmBtu)]]*10^3</f>
        <v>323110978629.12</v>
      </c>
      <c r="R1030" s="2">
        <f>(Table1[[#This Row],[CO2 Emissions (g CO2)]])/(Table1[[#This Row],[Generation (TWh)]]*10^9)</f>
        <v>1707.63032</v>
      </c>
    </row>
    <row r="1031" spans="1:18" hidden="1">
      <c r="A1031" t="s">
        <v>514</v>
      </c>
      <c r="B1031" t="s">
        <v>19</v>
      </c>
      <c r="C1031" t="str">
        <f>SUBSTITUTE(Table1[[#This Row],[Fuel]],", ",",")</f>
        <v>bioenergy: refuse (municipal and industrial wastes)</v>
      </c>
      <c r="D1031" t="s">
        <v>19</v>
      </c>
      <c r="G1031">
        <v>21</v>
      </c>
      <c r="H1031" t="s">
        <v>27</v>
      </c>
      <c r="I1031">
        <v>2021</v>
      </c>
      <c r="J1031" t="s">
        <v>21</v>
      </c>
      <c r="K1031">
        <v>27.775400000000001</v>
      </c>
      <c r="L1031">
        <v>112.8327</v>
      </c>
      <c r="M1031" t="s">
        <v>102</v>
      </c>
      <c r="N1031" s="2">
        <f>Table1[[#This Row],[Capacity (MW)]]*8760*0.72*10^-6</f>
        <v>0.13245119999999996</v>
      </c>
      <c r="O1031" s="2" cm="1">
        <f t="array" ref="O1031">AVERAGE(VLOOKUP(_xlfn.TEXTSPLIT(Table1[[#This Row],[Fuel (no space after comma)]], ","), FuelList_Final_EF!$A$2:$B$32, 2, FALSE))</f>
        <v>105.42962572482868</v>
      </c>
      <c r="P1031" s="2">
        <f>(16112*Table1[[#This Row],[Generation (TWh)]]*10^9)/10^6</f>
        <v>2134053.7343999995</v>
      </c>
      <c r="Q1031" s="2">
        <f>Table1[[#This Row],[Emission Factor (kg CO2/ mmBtu)]]*Table1[[#This Row],[Fuel Consumption (mmBtu)]]*10^3</f>
        <v>224992486494.4649</v>
      </c>
      <c r="R1031" s="2">
        <f>(Table1[[#This Row],[CO2 Emissions (g CO2)]])/(Table1[[#This Row],[Generation (TWh)]]*10^9)</f>
        <v>1698.6821296784397</v>
      </c>
    </row>
    <row r="1032" spans="1:18" hidden="1">
      <c r="A1032" t="s">
        <v>675</v>
      </c>
      <c r="B1032" t="s">
        <v>19</v>
      </c>
      <c r="C1032" t="str">
        <f>SUBSTITUTE(Table1[[#This Row],[Fuel]],", ",",")</f>
        <v>bioenergy: refuse (municipal and industrial wastes)</v>
      </c>
      <c r="D1032" t="s">
        <v>19</v>
      </c>
      <c r="G1032">
        <v>9</v>
      </c>
      <c r="H1032" t="s">
        <v>27</v>
      </c>
      <c r="I1032">
        <v>2021</v>
      </c>
      <c r="J1032" t="s">
        <v>21</v>
      </c>
      <c r="K1032">
        <v>27.775400000000001</v>
      </c>
      <c r="L1032">
        <v>112.8327</v>
      </c>
      <c r="M1032" t="s">
        <v>102</v>
      </c>
      <c r="N1032" s="2">
        <f>Table1[[#This Row],[Capacity (MW)]]*8760*0.72*10^-6</f>
        <v>5.676479999999999E-2</v>
      </c>
      <c r="O1032" s="2" cm="1">
        <f t="array" ref="O1032">AVERAGE(VLOOKUP(_xlfn.TEXTSPLIT(Table1[[#This Row],[Fuel (no space after comma)]], ","), FuelList_Final_EF!$A$2:$B$32, 2, FALSE))</f>
        <v>105.42962572482868</v>
      </c>
      <c r="P1032" s="2">
        <f>(16112*Table1[[#This Row],[Generation (TWh)]]*10^9)/10^6</f>
        <v>914594.45759999985</v>
      </c>
      <c r="Q1032" s="2">
        <f>Table1[[#This Row],[Emission Factor (kg CO2/ mmBtu)]]*Table1[[#This Row],[Fuel Consumption (mmBtu)]]*10^3</f>
        <v>96425351354.770676</v>
      </c>
      <c r="R1032" s="2">
        <f>(Table1[[#This Row],[CO2 Emissions (g CO2)]])/(Table1[[#This Row],[Generation (TWh)]]*10^9)</f>
        <v>1698.6821296784397</v>
      </c>
    </row>
    <row r="1033" spans="1:18">
      <c r="A1033" t="s">
        <v>676</v>
      </c>
      <c r="B1033" t="s">
        <v>210</v>
      </c>
      <c r="C1033" t="str">
        <f>SUBSTITUTE(Table1[[#This Row],[Fuel]],", ",",")</f>
        <v>bioenergy: wood &amp; other biomass (solids),bioenergy: agricultural waste (solids)</v>
      </c>
      <c r="D1033" t="s">
        <v>25</v>
      </c>
      <c r="E1033" t="s">
        <v>46</v>
      </c>
      <c r="G1033">
        <v>18</v>
      </c>
      <c r="H1033" t="s">
        <v>53</v>
      </c>
      <c r="I1033" t="s">
        <v>21</v>
      </c>
      <c r="J1033" t="s">
        <v>21</v>
      </c>
      <c r="K1033">
        <v>25.884399999999999</v>
      </c>
      <c r="L1033">
        <v>112.1962</v>
      </c>
      <c r="M1033" t="s">
        <v>102</v>
      </c>
      <c r="N1033" s="2">
        <f>Table1[[#This Row],[Capacity (MW)]]*8760*0.72*10^-6</f>
        <v>0.11352959999999998</v>
      </c>
      <c r="O1033" s="2" cm="1">
        <f t="array" ref="O1033">AVERAGE(VLOOKUP(_xlfn.TEXTSPLIT(Table1[[#This Row],[Fuel (no space after comma)]], ","), FuelList_Final_EF!$A$2:$B$32, 2, FALSE))</f>
        <v>105.985</v>
      </c>
      <c r="P1033" s="2">
        <f>(16112*Table1[[#This Row],[Generation (TWh)]]*10^9)/10^6</f>
        <v>1829188.9151999997</v>
      </c>
      <c r="Q1033" s="2">
        <f>Table1[[#This Row],[Emission Factor (kg CO2/ mmBtu)]]*Table1[[#This Row],[Fuel Consumption (mmBtu)]]*10^3</f>
        <v>193866587177.47195</v>
      </c>
      <c r="R1033" s="2">
        <f>(Table1[[#This Row],[CO2 Emissions (g CO2)]])/(Table1[[#This Row],[Generation (TWh)]]*10^9)</f>
        <v>1707.6303199999998</v>
      </c>
    </row>
    <row r="1034" spans="1:18">
      <c r="A1034" t="s">
        <v>677</v>
      </c>
      <c r="B1034" t="s">
        <v>210</v>
      </c>
      <c r="C1034" t="str">
        <f>SUBSTITUTE(Table1[[#This Row],[Fuel]],", ",",")</f>
        <v>bioenergy: wood &amp; other biomass (solids),bioenergy: agricultural waste (solids)</v>
      </c>
      <c r="D1034" t="s">
        <v>25</v>
      </c>
      <c r="E1034" t="s">
        <v>46</v>
      </c>
      <c r="G1034">
        <v>12</v>
      </c>
      <c r="H1034" t="s">
        <v>53</v>
      </c>
      <c r="I1034" t="s">
        <v>21</v>
      </c>
      <c r="J1034" t="s">
        <v>21</v>
      </c>
      <c r="K1034">
        <v>25.884399999999999</v>
      </c>
      <c r="L1034">
        <v>112.1962</v>
      </c>
      <c r="M1034" t="s">
        <v>102</v>
      </c>
      <c r="N1034" s="2">
        <f>Table1[[#This Row],[Capacity (MW)]]*8760*0.72*10^-6</f>
        <v>7.5686399999999987E-2</v>
      </c>
      <c r="O1034" s="2" cm="1">
        <f t="array" ref="O1034">AVERAGE(VLOOKUP(_xlfn.TEXTSPLIT(Table1[[#This Row],[Fuel (no space after comma)]], ","), FuelList_Final_EF!$A$2:$B$32, 2, FALSE))</f>
        <v>105.985</v>
      </c>
      <c r="P1034" s="2">
        <f>(16112*Table1[[#This Row],[Generation (TWh)]]*10^9)/10^6</f>
        <v>1219459.2767999996</v>
      </c>
      <c r="Q1034" s="2">
        <f>Table1[[#This Row],[Emission Factor (kg CO2/ mmBtu)]]*Table1[[#This Row],[Fuel Consumption (mmBtu)]]*10^3</f>
        <v>129244391451.64796</v>
      </c>
      <c r="R1034" s="2">
        <f>(Table1[[#This Row],[CO2 Emissions (g CO2)]])/(Table1[[#This Row],[Generation (TWh)]]*10^9)</f>
        <v>1707.6303199999998</v>
      </c>
    </row>
    <row r="1035" spans="1:18">
      <c r="A1035" t="s">
        <v>677</v>
      </c>
      <c r="B1035" t="s">
        <v>210</v>
      </c>
      <c r="C1035" t="str">
        <f>SUBSTITUTE(Table1[[#This Row],[Fuel]],", ",",")</f>
        <v>bioenergy: wood &amp; other biomass (solids),bioenergy: agricultural waste (solids)</v>
      </c>
      <c r="D1035" t="s">
        <v>25</v>
      </c>
      <c r="E1035" t="s">
        <v>46</v>
      </c>
      <c r="G1035">
        <v>12</v>
      </c>
      <c r="H1035" t="s">
        <v>53</v>
      </c>
      <c r="I1035" t="s">
        <v>21</v>
      </c>
      <c r="J1035" t="s">
        <v>21</v>
      </c>
      <c r="K1035">
        <v>25.884399999999999</v>
      </c>
      <c r="L1035">
        <v>112.1962</v>
      </c>
      <c r="M1035" t="s">
        <v>102</v>
      </c>
      <c r="N1035" s="2">
        <f>Table1[[#This Row],[Capacity (MW)]]*8760*0.72*10^-6</f>
        <v>7.5686399999999987E-2</v>
      </c>
      <c r="O1035" s="2" cm="1">
        <f t="array" ref="O1035">AVERAGE(VLOOKUP(_xlfn.TEXTSPLIT(Table1[[#This Row],[Fuel (no space after comma)]], ","), FuelList_Final_EF!$A$2:$B$32, 2, FALSE))</f>
        <v>105.985</v>
      </c>
      <c r="P1035" s="2">
        <f>(16112*Table1[[#This Row],[Generation (TWh)]]*10^9)/10^6</f>
        <v>1219459.2767999996</v>
      </c>
      <c r="Q1035" s="2">
        <f>Table1[[#This Row],[Emission Factor (kg CO2/ mmBtu)]]*Table1[[#This Row],[Fuel Consumption (mmBtu)]]*10^3</f>
        <v>129244391451.64796</v>
      </c>
      <c r="R1035" s="2">
        <f>(Table1[[#This Row],[CO2 Emissions (g CO2)]])/(Table1[[#This Row],[Generation (TWh)]]*10^9)</f>
        <v>1707.6303199999998</v>
      </c>
    </row>
    <row r="1036" spans="1:18">
      <c r="A1036" t="s">
        <v>676</v>
      </c>
      <c r="B1036" t="s">
        <v>210</v>
      </c>
      <c r="C1036" t="str">
        <f>SUBSTITUTE(Table1[[#This Row],[Fuel]],", ",",")</f>
        <v>bioenergy: wood &amp; other biomass (solids),bioenergy: agricultural waste (solids)</v>
      </c>
      <c r="D1036" t="s">
        <v>25</v>
      </c>
      <c r="E1036" t="s">
        <v>46</v>
      </c>
      <c r="G1036">
        <v>18</v>
      </c>
      <c r="H1036" t="s">
        <v>53</v>
      </c>
      <c r="I1036" t="s">
        <v>21</v>
      </c>
      <c r="J1036" t="s">
        <v>21</v>
      </c>
      <c r="K1036">
        <v>25.884399999999999</v>
      </c>
      <c r="L1036">
        <v>112.1962</v>
      </c>
      <c r="M1036" t="s">
        <v>102</v>
      </c>
      <c r="N1036" s="2">
        <f>Table1[[#This Row],[Capacity (MW)]]*8760*0.72*10^-6</f>
        <v>0.11352959999999998</v>
      </c>
      <c r="O1036" s="2" cm="1">
        <f t="array" ref="O1036">AVERAGE(VLOOKUP(_xlfn.TEXTSPLIT(Table1[[#This Row],[Fuel (no space after comma)]], ","), FuelList_Final_EF!$A$2:$B$32, 2, FALSE))</f>
        <v>105.985</v>
      </c>
      <c r="P1036" s="2">
        <f>(16112*Table1[[#This Row],[Generation (TWh)]]*10^9)/10^6</f>
        <v>1829188.9151999997</v>
      </c>
      <c r="Q1036" s="2">
        <f>Table1[[#This Row],[Emission Factor (kg CO2/ mmBtu)]]*Table1[[#This Row],[Fuel Consumption (mmBtu)]]*10^3</f>
        <v>193866587177.47195</v>
      </c>
      <c r="R1036" s="2">
        <f>(Table1[[#This Row],[CO2 Emissions (g CO2)]])/(Table1[[#This Row],[Generation (TWh)]]*10^9)</f>
        <v>1707.6303199999998</v>
      </c>
    </row>
    <row r="1037" spans="1:18" hidden="1">
      <c r="A1037" t="s">
        <v>118</v>
      </c>
      <c r="B1037" t="s">
        <v>46</v>
      </c>
      <c r="C1037" t="str">
        <f>SUBSTITUTE(Table1[[#This Row],[Fuel]],", ",",")</f>
        <v>bioenergy: agricultural waste (solids)</v>
      </c>
      <c r="D1037" t="s">
        <v>46</v>
      </c>
      <c r="G1037">
        <v>30</v>
      </c>
      <c r="H1037" t="s">
        <v>27</v>
      </c>
      <c r="I1037">
        <v>2017</v>
      </c>
      <c r="J1037" t="s">
        <v>21</v>
      </c>
      <c r="K1037">
        <v>29.215</v>
      </c>
      <c r="L1037">
        <v>109.8233</v>
      </c>
      <c r="M1037" t="s">
        <v>102</v>
      </c>
      <c r="N1037" s="2">
        <f>Table1[[#This Row],[Capacity (MW)]]*8760*0.72*10^-6</f>
        <v>0.189216</v>
      </c>
      <c r="O1037" s="2" cm="1">
        <f t="array" ref="O1037">AVERAGE(VLOOKUP(_xlfn.TEXTSPLIT(Table1[[#This Row],[Fuel (no space after comma)]], ","), FuelList_Final_EF!$A$2:$B$32, 2, FALSE))</f>
        <v>118.17</v>
      </c>
      <c r="P1037" s="2">
        <f>(16112*Table1[[#This Row],[Generation (TWh)]]*10^9)/10^6</f>
        <v>3048648.1919999998</v>
      </c>
      <c r="Q1037" s="2">
        <f>Table1[[#This Row],[Emission Factor (kg CO2/ mmBtu)]]*Table1[[#This Row],[Fuel Consumption (mmBtu)]]*10^3</f>
        <v>360258756848.63995</v>
      </c>
      <c r="R1037" s="2">
        <f>(Table1[[#This Row],[CO2 Emissions (g CO2)]])/(Table1[[#This Row],[Generation (TWh)]]*10^9)</f>
        <v>1903.9550399999998</v>
      </c>
    </row>
    <row r="1038" spans="1:18">
      <c r="A1038" t="s">
        <v>678</v>
      </c>
      <c r="B1038" t="s">
        <v>105</v>
      </c>
      <c r="C1038" t="str">
        <f>SUBSTITUTE(Table1[[#This Row],[Fuel]],", ",",")</f>
        <v>bioenergy: agricultural waste (solids),bioenergy: wood &amp; other biomass (solids)</v>
      </c>
      <c r="D1038" t="s">
        <v>46</v>
      </c>
      <c r="E1038" t="s">
        <v>25</v>
      </c>
      <c r="G1038">
        <v>30</v>
      </c>
      <c r="H1038" t="s">
        <v>97</v>
      </c>
      <c r="I1038" t="s">
        <v>21</v>
      </c>
      <c r="J1038" t="s">
        <v>21</v>
      </c>
      <c r="K1038">
        <v>28.978999999999999</v>
      </c>
      <c r="L1038">
        <v>112.7038</v>
      </c>
      <c r="M1038" t="s">
        <v>102</v>
      </c>
      <c r="N1038" s="2">
        <f>Table1[[#This Row],[Capacity (MW)]]*8760*0.72*10^-6</f>
        <v>0.189216</v>
      </c>
      <c r="O1038" s="2" cm="1">
        <f t="array" ref="O1038">AVERAGE(VLOOKUP(_xlfn.TEXTSPLIT(Table1[[#This Row],[Fuel (no space after comma)]], ","), FuelList_Final_EF!$A$2:$B$32, 2, FALSE))</f>
        <v>105.985</v>
      </c>
      <c r="P1038" s="2">
        <f>(16112*Table1[[#This Row],[Generation (TWh)]]*10^9)/10^6</f>
        <v>3048648.1919999998</v>
      </c>
      <c r="Q1038" s="2">
        <f>Table1[[#This Row],[Emission Factor (kg CO2/ mmBtu)]]*Table1[[#This Row],[Fuel Consumption (mmBtu)]]*10^3</f>
        <v>323110978629.12</v>
      </c>
      <c r="R1038" s="2">
        <f>(Table1[[#This Row],[CO2 Emissions (g CO2)]])/(Table1[[#This Row],[Generation (TWh)]]*10^9)</f>
        <v>1707.63032</v>
      </c>
    </row>
    <row r="1039" spans="1:18" hidden="1">
      <c r="A1039" t="s">
        <v>679</v>
      </c>
      <c r="B1039" t="s">
        <v>46</v>
      </c>
      <c r="C1039" t="str">
        <f>SUBSTITUTE(Table1[[#This Row],[Fuel]],", ",",")</f>
        <v>bioenergy: agricultural waste (solids)</v>
      </c>
      <c r="D1039" t="s">
        <v>46</v>
      </c>
      <c r="G1039">
        <v>49</v>
      </c>
      <c r="H1039" t="s">
        <v>20</v>
      </c>
      <c r="I1039">
        <v>2024</v>
      </c>
      <c r="J1039" t="s">
        <v>21</v>
      </c>
      <c r="K1039">
        <v>31.116299999999999</v>
      </c>
      <c r="L1039">
        <v>72.055499999999995</v>
      </c>
      <c r="M1039" t="s">
        <v>160</v>
      </c>
      <c r="N1039" s="2">
        <f>Table1[[#This Row],[Capacity (MW)]]*8760*0.72*10^-6</f>
        <v>0.30905279999999996</v>
      </c>
      <c r="O1039" s="2" cm="1">
        <f t="array" ref="O1039">AVERAGE(VLOOKUP(_xlfn.TEXTSPLIT(Table1[[#This Row],[Fuel (no space after comma)]], ","), FuelList_Final_EF!$A$2:$B$32, 2, FALSE))</f>
        <v>118.17</v>
      </c>
      <c r="P1039" s="2">
        <f>(16112*Table1[[#This Row],[Generation (TWh)]]*10^9)/10^6</f>
        <v>4979458.7135999994</v>
      </c>
      <c r="Q1039" s="2">
        <f>Table1[[#This Row],[Emission Factor (kg CO2/ mmBtu)]]*Table1[[#This Row],[Fuel Consumption (mmBtu)]]*10^3</f>
        <v>588422636186.11194</v>
      </c>
      <c r="R1039" s="2">
        <f>(Table1[[#This Row],[CO2 Emissions (g CO2)]])/(Table1[[#This Row],[Generation (TWh)]]*10^9)</f>
        <v>1903.9550400000003</v>
      </c>
    </row>
    <row r="1040" spans="1:18" hidden="1">
      <c r="A1040" t="s">
        <v>680</v>
      </c>
      <c r="B1040" t="s">
        <v>19</v>
      </c>
      <c r="C1040" t="str">
        <f>SUBSTITUTE(Table1[[#This Row],[Fuel]],", ",",")</f>
        <v>bioenergy: refuse (municipal and industrial wastes)</v>
      </c>
      <c r="D1040" t="s">
        <v>19</v>
      </c>
      <c r="G1040">
        <v>68</v>
      </c>
      <c r="H1040" t="s">
        <v>27</v>
      </c>
      <c r="I1040">
        <v>1995</v>
      </c>
      <c r="J1040" t="s">
        <v>21</v>
      </c>
      <c r="K1040">
        <v>52.610599999999998</v>
      </c>
      <c r="L1040">
        <v>4.7599</v>
      </c>
      <c r="M1040" t="s">
        <v>39</v>
      </c>
      <c r="N1040" s="2">
        <f>Table1[[#This Row],[Capacity (MW)]]*8760*0.72*10^-6</f>
        <v>0.42888959999999998</v>
      </c>
      <c r="O1040" s="2" cm="1">
        <f t="array" ref="O1040">AVERAGE(VLOOKUP(_xlfn.TEXTSPLIT(Table1[[#This Row],[Fuel (no space after comma)]], ","), FuelList_Final_EF!$A$2:$B$32, 2, FALSE))</f>
        <v>105.42962572482868</v>
      </c>
      <c r="P1040" s="2">
        <f>(16112*Table1[[#This Row],[Generation (TWh)]]*10^9)/10^6</f>
        <v>6910269.2351999991</v>
      </c>
      <c r="Q1040" s="2">
        <f>Table1[[#This Row],[Emission Factor (kg CO2/ mmBtu)]]*Table1[[#This Row],[Fuel Consumption (mmBtu)]]*10^3</f>
        <v>728547099124.93408</v>
      </c>
      <c r="R1040" s="2">
        <f>(Table1[[#This Row],[CO2 Emissions (g CO2)]])/(Table1[[#This Row],[Generation (TWh)]]*10^9)</f>
        <v>1698.6821296784397</v>
      </c>
    </row>
    <row r="1041" spans="1:18" hidden="1">
      <c r="A1041" t="s">
        <v>680</v>
      </c>
      <c r="B1041" t="s">
        <v>19</v>
      </c>
      <c r="C1041" t="str">
        <f>SUBSTITUTE(Table1[[#This Row],[Fuel]],", ",",")</f>
        <v>bioenergy: refuse (municipal and industrial wastes)</v>
      </c>
      <c r="D1041" t="s">
        <v>19</v>
      </c>
      <c r="G1041">
        <v>32</v>
      </c>
      <c r="H1041" t="s">
        <v>27</v>
      </c>
      <c r="I1041">
        <v>1973</v>
      </c>
      <c r="J1041" t="s">
        <v>21</v>
      </c>
      <c r="K1041">
        <v>51.815800000000003</v>
      </c>
      <c r="L1041">
        <v>4.7370999999999999</v>
      </c>
      <c r="M1041" t="s">
        <v>39</v>
      </c>
      <c r="N1041" s="2">
        <f>Table1[[#This Row],[Capacity (MW)]]*8760*0.72*10^-6</f>
        <v>0.20183039999999999</v>
      </c>
      <c r="O1041" s="2" cm="1">
        <f t="array" ref="O1041">AVERAGE(VLOOKUP(_xlfn.TEXTSPLIT(Table1[[#This Row],[Fuel (no space after comma)]], ","), FuelList_Final_EF!$A$2:$B$32, 2, FALSE))</f>
        <v>105.42962572482868</v>
      </c>
      <c r="P1041" s="2">
        <f>(16112*Table1[[#This Row],[Generation (TWh)]]*10^9)/10^6</f>
        <v>3251891.4047999997</v>
      </c>
      <c r="Q1041" s="2">
        <f>Table1[[#This Row],[Emission Factor (kg CO2/ mmBtu)]]*Table1[[#This Row],[Fuel Consumption (mmBtu)]]*10^3</f>
        <v>342845693705.85132</v>
      </c>
      <c r="R1041" s="2">
        <f>(Table1[[#This Row],[CO2 Emissions (g CO2)]])/(Table1[[#This Row],[Generation (TWh)]]*10^9)</f>
        <v>1698.6821296784394</v>
      </c>
    </row>
    <row r="1042" spans="1:18" hidden="1">
      <c r="A1042" t="s">
        <v>681</v>
      </c>
      <c r="B1042" t="s">
        <v>61</v>
      </c>
      <c r="C1042" t="str">
        <f>SUBSTITUTE(Table1[[#This Row],[Fuel]],", ",",")</f>
        <v>bioenergy: paper mill wastes</v>
      </c>
      <c r="D1042" t="s">
        <v>61</v>
      </c>
      <c r="G1042">
        <v>40</v>
      </c>
      <c r="H1042" t="s">
        <v>27</v>
      </c>
      <c r="I1042">
        <v>1993</v>
      </c>
      <c r="J1042" t="s">
        <v>21</v>
      </c>
      <c r="K1042">
        <v>35.078000000000003</v>
      </c>
      <c r="L1042">
        <v>135.0592</v>
      </c>
      <c r="M1042" t="s">
        <v>51</v>
      </c>
      <c r="N1042" s="2">
        <f>Table1[[#This Row],[Capacity (MW)]]*8760*0.72*10^-6</f>
        <v>0.25228800000000001</v>
      </c>
      <c r="O1042" s="2" cm="1">
        <f t="array" ref="O1042">AVERAGE(VLOOKUP(_xlfn.TEXTSPLIT(Table1[[#This Row],[Fuel (no space after comma)]], ","), FuelList_Final_EF!$A$2:$B$32, 2, FALSE))</f>
        <v>100.47443331576173</v>
      </c>
      <c r="P1042" s="2">
        <f>(16112*Table1[[#This Row],[Generation (TWh)]]*10^9)/10^6</f>
        <v>4064864.2560000005</v>
      </c>
      <c r="Q1042" s="2">
        <f>Table1[[#This Row],[Emission Factor (kg CO2/ mmBtu)]]*Table1[[#This Row],[Fuel Consumption (mmBtu)]]*10^3</f>
        <v>408414932627.09546</v>
      </c>
      <c r="R1042" s="2">
        <f>(Table1[[#This Row],[CO2 Emissions (g CO2)]])/(Table1[[#This Row],[Generation (TWh)]]*10^9)</f>
        <v>1618.8440695835532</v>
      </c>
    </row>
    <row r="1043" spans="1:18" hidden="1">
      <c r="A1043" t="s">
        <v>682</v>
      </c>
      <c r="B1043" t="s">
        <v>25</v>
      </c>
      <c r="C1043" t="str">
        <f>SUBSTITUTE(Table1[[#This Row],[Fuel]],", ",",")</f>
        <v>bioenergy: wood &amp; other biomass (solids)</v>
      </c>
      <c r="D1043" t="s">
        <v>25</v>
      </c>
      <c r="G1043">
        <v>50</v>
      </c>
      <c r="H1043" t="s">
        <v>53</v>
      </c>
      <c r="I1043">
        <v>2024</v>
      </c>
      <c r="J1043" t="s">
        <v>21</v>
      </c>
      <c r="K1043">
        <v>32.430500000000002</v>
      </c>
      <c r="L1043">
        <v>131.6421</v>
      </c>
      <c r="M1043" t="s">
        <v>51</v>
      </c>
      <c r="N1043" s="2">
        <f>Table1[[#This Row],[Capacity (MW)]]*8760*0.72*10^-6</f>
        <v>0.31535999999999997</v>
      </c>
      <c r="O1043" s="2" cm="1">
        <f t="array" ref="O1043">AVERAGE(VLOOKUP(_xlfn.TEXTSPLIT(Table1[[#This Row],[Fuel (no space after comma)]], ","), FuelList_Final_EF!$A$2:$B$32, 2, FALSE))</f>
        <v>93.8</v>
      </c>
      <c r="P1043" s="2">
        <f>(16112*Table1[[#This Row],[Generation (TWh)]]*10^9)/10^6</f>
        <v>5081080.32</v>
      </c>
      <c r="Q1043" s="2">
        <f>Table1[[#This Row],[Emission Factor (kg CO2/ mmBtu)]]*Table1[[#This Row],[Fuel Consumption (mmBtu)]]*10^3</f>
        <v>476605334016.00006</v>
      </c>
      <c r="R1043" s="2">
        <f>(Table1[[#This Row],[CO2 Emissions (g CO2)]])/(Table1[[#This Row],[Generation (TWh)]]*10^9)</f>
        <v>1511.3056000000001</v>
      </c>
    </row>
    <row r="1044" spans="1:18" hidden="1">
      <c r="A1044" t="s">
        <v>202</v>
      </c>
      <c r="B1044" t="s">
        <v>46</v>
      </c>
      <c r="C1044" t="str">
        <f>SUBSTITUTE(Table1[[#This Row],[Fuel]],", ",",")</f>
        <v>bioenergy: agricultural waste (solids)</v>
      </c>
      <c r="D1044" t="s">
        <v>46</v>
      </c>
      <c r="G1044">
        <v>53</v>
      </c>
      <c r="H1044" t="s">
        <v>27</v>
      </c>
      <c r="I1044">
        <v>2010</v>
      </c>
      <c r="J1044" t="s">
        <v>21</v>
      </c>
      <c r="K1044">
        <v>-21.7972</v>
      </c>
      <c r="L1044">
        <v>-49.012099999999997</v>
      </c>
      <c r="M1044" t="s">
        <v>49</v>
      </c>
      <c r="N1044" s="2">
        <f>Table1[[#This Row],[Capacity (MW)]]*8760*0.72*10^-6</f>
        <v>0.33428159999999996</v>
      </c>
      <c r="O1044" s="2" cm="1">
        <f t="array" ref="O1044">AVERAGE(VLOOKUP(_xlfn.TEXTSPLIT(Table1[[#This Row],[Fuel (no space after comma)]], ","), FuelList_Final_EF!$A$2:$B$32, 2, FALSE))</f>
        <v>118.17</v>
      </c>
      <c r="P1044" s="2">
        <f>(16112*Table1[[#This Row],[Generation (TWh)]]*10^9)/10^6</f>
        <v>5385945.1391999992</v>
      </c>
      <c r="Q1044" s="2">
        <f>Table1[[#This Row],[Emission Factor (kg CO2/ mmBtu)]]*Table1[[#This Row],[Fuel Consumption (mmBtu)]]*10^3</f>
        <v>636457137099.26392</v>
      </c>
      <c r="R1044" s="2">
        <f>(Table1[[#This Row],[CO2 Emissions (g CO2)]])/(Table1[[#This Row],[Generation (TWh)]]*10^9)</f>
        <v>1903.9550400000001</v>
      </c>
    </row>
    <row r="1045" spans="1:18" hidden="1">
      <c r="A1045" t="s">
        <v>683</v>
      </c>
      <c r="B1045" t="s">
        <v>46</v>
      </c>
      <c r="C1045" t="str">
        <f>SUBSTITUTE(Table1[[#This Row],[Fuel]],", ",",")</f>
        <v>bioenergy: agricultural waste (solids)</v>
      </c>
      <c r="D1045" t="s">
        <v>46</v>
      </c>
      <c r="G1045">
        <v>30</v>
      </c>
      <c r="H1045" t="s">
        <v>27</v>
      </c>
      <c r="I1045">
        <v>2014</v>
      </c>
      <c r="J1045" t="s">
        <v>21</v>
      </c>
      <c r="K1045">
        <v>-18.8001</v>
      </c>
      <c r="L1045">
        <v>-52.9099</v>
      </c>
      <c r="M1045" t="s">
        <v>49</v>
      </c>
      <c r="N1045" s="2">
        <f>Table1[[#This Row],[Capacity (MW)]]*8760*0.72*10^-6</f>
        <v>0.189216</v>
      </c>
      <c r="O1045" s="2" cm="1">
        <f t="array" ref="O1045">AVERAGE(VLOOKUP(_xlfn.TEXTSPLIT(Table1[[#This Row],[Fuel (no space after comma)]], ","), FuelList_Final_EF!$A$2:$B$32, 2, FALSE))</f>
        <v>118.17</v>
      </c>
      <c r="P1045" s="2">
        <f>(16112*Table1[[#This Row],[Generation (TWh)]]*10^9)/10^6</f>
        <v>3048648.1919999998</v>
      </c>
      <c r="Q1045" s="2">
        <f>Table1[[#This Row],[Emission Factor (kg CO2/ mmBtu)]]*Table1[[#This Row],[Fuel Consumption (mmBtu)]]*10^3</f>
        <v>360258756848.63995</v>
      </c>
      <c r="R1045" s="2">
        <f>(Table1[[#This Row],[CO2 Emissions (g CO2)]])/(Table1[[#This Row],[Generation (TWh)]]*10^9)</f>
        <v>1903.9550399999998</v>
      </c>
    </row>
    <row r="1046" spans="1:18" hidden="1">
      <c r="A1046" t="s">
        <v>683</v>
      </c>
      <c r="B1046" t="s">
        <v>46</v>
      </c>
      <c r="C1046" t="str">
        <f>SUBSTITUTE(Table1[[#This Row],[Fuel]],", ",",")</f>
        <v>bioenergy: agricultural waste (solids)</v>
      </c>
      <c r="D1046" t="s">
        <v>46</v>
      </c>
      <c r="G1046">
        <v>34</v>
      </c>
      <c r="H1046" t="s">
        <v>27</v>
      </c>
      <c r="I1046">
        <v>2016</v>
      </c>
      <c r="J1046" t="s">
        <v>21</v>
      </c>
      <c r="K1046">
        <v>-18.8001</v>
      </c>
      <c r="L1046">
        <v>-52.9099</v>
      </c>
      <c r="M1046" t="s">
        <v>49</v>
      </c>
      <c r="N1046" s="2">
        <f>Table1[[#This Row],[Capacity (MW)]]*8760*0.72*10^-6</f>
        <v>0.21444479999999999</v>
      </c>
      <c r="O1046" s="2" cm="1">
        <f t="array" ref="O1046">AVERAGE(VLOOKUP(_xlfn.TEXTSPLIT(Table1[[#This Row],[Fuel (no space after comma)]], ","), FuelList_Final_EF!$A$2:$B$32, 2, FALSE))</f>
        <v>118.17</v>
      </c>
      <c r="P1046" s="2">
        <f>(16112*Table1[[#This Row],[Generation (TWh)]]*10^9)/10^6</f>
        <v>3455134.6175999995</v>
      </c>
      <c r="Q1046" s="2">
        <f>Table1[[#This Row],[Emission Factor (kg CO2/ mmBtu)]]*Table1[[#This Row],[Fuel Consumption (mmBtu)]]*10^3</f>
        <v>408293257761.79193</v>
      </c>
      <c r="R1046" s="2">
        <f>(Table1[[#This Row],[CO2 Emissions (g CO2)]])/(Table1[[#This Row],[Generation (TWh)]]*10^9)</f>
        <v>1903.9550399999996</v>
      </c>
    </row>
    <row r="1047" spans="1:18" hidden="1">
      <c r="A1047" t="s">
        <v>684</v>
      </c>
      <c r="B1047" t="s">
        <v>46</v>
      </c>
      <c r="C1047" t="str">
        <f>SUBSTITUTE(Table1[[#This Row],[Fuel]],", ",",")</f>
        <v>bioenergy: agricultural waste (solids)</v>
      </c>
      <c r="D1047" t="s">
        <v>46</v>
      </c>
      <c r="G1047">
        <v>33</v>
      </c>
      <c r="H1047" t="s">
        <v>27</v>
      </c>
      <c r="I1047">
        <v>1987</v>
      </c>
      <c r="J1047" t="s">
        <v>21</v>
      </c>
      <c r="K1047">
        <v>-21.001300000000001</v>
      </c>
      <c r="L1047">
        <v>-48.2761</v>
      </c>
      <c r="M1047" t="s">
        <v>49</v>
      </c>
      <c r="N1047" s="2">
        <f>Table1[[#This Row],[Capacity (MW)]]*8760*0.72*10^-6</f>
        <v>0.20813760000000001</v>
      </c>
      <c r="O1047" s="2" cm="1">
        <f t="array" ref="O1047">AVERAGE(VLOOKUP(_xlfn.TEXTSPLIT(Table1[[#This Row],[Fuel (no space after comma)]], ","), FuelList_Final_EF!$A$2:$B$32, 2, FALSE))</f>
        <v>118.17</v>
      </c>
      <c r="P1047" s="2">
        <f>(16112*Table1[[#This Row],[Generation (TWh)]]*10^9)/10^6</f>
        <v>3353513.0112000001</v>
      </c>
      <c r="Q1047" s="2">
        <f>Table1[[#This Row],[Emission Factor (kg CO2/ mmBtu)]]*Table1[[#This Row],[Fuel Consumption (mmBtu)]]*10^3</f>
        <v>396284632533.50403</v>
      </c>
      <c r="R1047" s="2">
        <f>(Table1[[#This Row],[CO2 Emissions (g CO2)]])/(Table1[[#This Row],[Generation (TWh)]]*10^9)</f>
        <v>1903.9550400000001</v>
      </c>
    </row>
    <row r="1048" spans="1:18" hidden="1">
      <c r="A1048" t="s">
        <v>685</v>
      </c>
      <c r="B1048" t="s">
        <v>25</v>
      </c>
      <c r="C1048" t="str">
        <f>SUBSTITUTE(Table1[[#This Row],[Fuel]],", ",",")</f>
        <v>bioenergy: wood &amp; other biomass (solids)</v>
      </c>
      <c r="D1048" t="s">
        <v>25</v>
      </c>
      <c r="G1048">
        <v>50</v>
      </c>
      <c r="H1048" t="s">
        <v>27</v>
      </c>
      <c r="I1048">
        <v>2020</v>
      </c>
      <c r="J1048" t="s">
        <v>21</v>
      </c>
      <c r="K1048">
        <v>35.5473</v>
      </c>
      <c r="L1048">
        <v>140.09389999999999</v>
      </c>
      <c r="M1048" t="s">
        <v>51</v>
      </c>
      <c r="N1048" s="2">
        <f>Table1[[#This Row],[Capacity (MW)]]*8760*0.72*10^-6</f>
        <v>0.31535999999999997</v>
      </c>
      <c r="O1048" s="2" cm="1">
        <f t="array" ref="O1048">AVERAGE(VLOOKUP(_xlfn.TEXTSPLIT(Table1[[#This Row],[Fuel (no space after comma)]], ","), FuelList_Final_EF!$A$2:$B$32, 2, FALSE))</f>
        <v>93.8</v>
      </c>
      <c r="P1048" s="2">
        <f>(16112*Table1[[#This Row],[Generation (TWh)]]*10^9)/10^6</f>
        <v>5081080.32</v>
      </c>
      <c r="Q1048" s="2">
        <f>Table1[[#This Row],[Emission Factor (kg CO2/ mmBtu)]]*Table1[[#This Row],[Fuel Consumption (mmBtu)]]*10^3</f>
        <v>476605334016.00006</v>
      </c>
      <c r="R1048" s="2">
        <f>(Table1[[#This Row],[CO2 Emissions (g CO2)]])/(Table1[[#This Row],[Generation (TWh)]]*10^9)</f>
        <v>1511.3056000000001</v>
      </c>
    </row>
    <row r="1049" spans="1:18" hidden="1">
      <c r="A1049" t="s">
        <v>411</v>
      </c>
      <c r="B1049" t="s">
        <v>25</v>
      </c>
      <c r="C1049" t="str">
        <f>SUBSTITUTE(Table1[[#This Row],[Fuel]],", ",",")</f>
        <v>bioenergy: wood &amp; other biomass (solids)</v>
      </c>
      <c r="D1049" t="s">
        <v>25</v>
      </c>
      <c r="G1049">
        <v>75</v>
      </c>
      <c r="H1049" t="s">
        <v>53</v>
      </c>
      <c r="I1049">
        <v>2024</v>
      </c>
      <c r="J1049" t="s">
        <v>21</v>
      </c>
      <c r="K1049">
        <v>35.549399999999999</v>
      </c>
      <c r="L1049">
        <v>140.1044</v>
      </c>
      <c r="M1049" t="s">
        <v>51</v>
      </c>
      <c r="N1049" s="2">
        <f>Table1[[#This Row],[Capacity (MW)]]*8760*0.72*10^-6</f>
        <v>0.47303999999999996</v>
      </c>
      <c r="O1049" s="2" cm="1">
        <f t="array" ref="O1049">AVERAGE(VLOOKUP(_xlfn.TEXTSPLIT(Table1[[#This Row],[Fuel (no space after comma)]], ","), FuelList_Final_EF!$A$2:$B$32, 2, FALSE))</f>
        <v>93.8</v>
      </c>
      <c r="P1049" s="2">
        <f>(16112*Table1[[#This Row],[Generation (TWh)]]*10^9)/10^6</f>
        <v>7621620.4800000004</v>
      </c>
      <c r="Q1049" s="2">
        <f>Table1[[#This Row],[Emission Factor (kg CO2/ mmBtu)]]*Table1[[#This Row],[Fuel Consumption (mmBtu)]]*10^3</f>
        <v>714908001024</v>
      </c>
      <c r="R1049" s="2">
        <f>(Table1[[#This Row],[CO2 Emissions (g CO2)]])/(Table1[[#This Row],[Generation (TWh)]]*10^9)</f>
        <v>1511.3056000000001</v>
      </c>
    </row>
    <row r="1050" spans="1:18" hidden="1">
      <c r="A1050" t="s">
        <v>686</v>
      </c>
      <c r="B1050" t="s">
        <v>141</v>
      </c>
      <c r="C1050" t="str">
        <f>SUBSTITUTE(Table1[[#This Row],[Fuel]],", ",",")</f>
        <v>bioenergy: refuse (municipal and industrial wastes),bioenergy: wood &amp; other biomass (solids)</v>
      </c>
      <c r="D1050" t="s">
        <v>19</v>
      </c>
      <c r="E1050" t="s">
        <v>25</v>
      </c>
      <c r="G1050">
        <v>35</v>
      </c>
      <c r="H1050" t="s">
        <v>27</v>
      </c>
      <c r="I1050">
        <v>1997</v>
      </c>
      <c r="J1050" t="s">
        <v>21</v>
      </c>
      <c r="K1050">
        <v>58.743499999999997</v>
      </c>
      <c r="L1050">
        <v>17.0002</v>
      </c>
      <c r="M1050" t="s">
        <v>34</v>
      </c>
      <c r="N1050" s="2">
        <f>Table1[[#This Row],[Capacity (MW)]]*8760*0.72*10^-6</f>
        <v>0.220752</v>
      </c>
      <c r="O1050" s="2" cm="1">
        <f t="array" ref="O1050">AVERAGE(VLOOKUP(_xlfn.TEXTSPLIT(Table1[[#This Row],[Fuel (no space after comma)]], ","), FuelList_Final_EF!$A$2:$B$32, 2, FALSE))</f>
        <v>99.61481286241434</v>
      </c>
      <c r="P1050" s="2">
        <f>(16112*Table1[[#This Row],[Generation (TWh)]]*10^9)/10^6</f>
        <v>3556756.2239999999</v>
      </c>
      <c r="Q1050" s="2">
        <f>Table1[[#This Row],[Emission Factor (kg CO2/ mmBtu)]]*Table1[[#This Row],[Fuel Consumption (mmBtu)]]*10^3</f>
        <v>354305605650.98743</v>
      </c>
      <c r="R1050" s="2">
        <f>(Table1[[#This Row],[CO2 Emissions (g CO2)]])/(Table1[[#This Row],[Generation (TWh)]]*10^9)</f>
        <v>1604.9938648392197</v>
      </c>
    </row>
    <row r="1051" spans="1:18" hidden="1">
      <c r="A1051" t="s">
        <v>21</v>
      </c>
      <c r="B1051" t="s">
        <v>210</v>
      </c>
      <c r="C1051" t="str">
        <f>SUBSTITUTE(Table1[[#This Row],[Fuel]],", ",",")</f>
        <v>bioenergy: wood &amp; other biomass (solids),bioenergy: agricultural waste (solids)</v>
      </c>
      <c r="D1051" t="s">
        <v>25</v>
      </c>
      <c r="E1051" t="s">
        <v>46</v>
      </c>
      <c r="G1051">
        <v>50</v>
      </c>
      <c r="H1051" t="s">
        <v>27</v>
      </c>
      <c r="I1051">
        <v>1957</v>
      </c>
      <c r="J1051" t="s">
        <v>21</v>
      </c>
      <c r="K1051">
        <v>34.0443</v>
      </c>
      <c r="L1051">
        <v>131.809</v>
      </c>
      <c r="M1051" t="s">
        <v>51</v>
      </c>
      <c r="N1051" s="2">
        <f>Table1[[#This Row],[Capacity (MW)]]*8760*0.72*10^-6</f>
        <v>0.31535999999999997</v>
      </c>
      <c r="O1051" s="2" cm="1">
        <f t="array" ref="O1051">AVERAGE(VLOOKUP(_xlfn.TEXTSPLIT(Table1[[#This Row],[Fuel (no space after comma)]], ","), FuelList_Final_EF!$A$2:$B$32, 2, FALSE))</f>
        <v>105.985</v>
      </c>
      <c r="P1051" s="2">
        <f>(16112*Table1[[#This Row],[Generation (TWh)]]*10^9)/10^6</f>
        <v>5081080.32</v>
      </c>
      <c r="Q1051" s="2">
        <f>Table1[[#This Row],[Emission Factor (kg CO2/ mmBtu)]]*Table1[[#This Row],[Fuel Consumption (mmBtu)]]*10^3</f>
        <v>538518297715.20007</v>
      </c>
      <c r="R1051" s="2">
        <f>(Table1[[#This Row],[CO2 Emissions (g CO2)]])/(Table1[[#This Row],[Generation (TWh)]]*10^9)</f>
        <v>1707.6303200000002</v>
      </c>
    </row>
    <row r="1052" spans="1:18" hidden="1">
      <c r="A1052" t="s">
        <v>687</v>
      </c>
      <c r="B1052" t="s">
        <v>251</v>
      </c>
      <c r="C1052" t="str">
        <f>SUBSTITUTE(Table1[[#This Row],[Fuel]],", ",",")</f>
        <v>bioenergy: wood &amp; other biomass (solids),bioenergy: refuse (municipal and industrial wastes)</v>
      </c>
      <c r="D1052" t="s">
        <v>25</v>
      </c>
      <c r="E1052" t="s">
        <v>19</v>
      </c>
      <c r="G1052">
        <v>85</v>
      </c>
      <c r="H1052" t="s">
        <v>27</v>
      </c>
      <c r="I1052">
        <v>1982</v>
      </c>
      <c r="J1052" t="s">
        <v>21</v>
      </c>
      <c r="K1052">
        <v>59.176000000000002</v>
      </c>
      <c r="L1052">
        <v>17.6646</v>
      </c>
      <c r="M1052" t="s">
        <v>34</v>
      </c>
      <c r="N1052" s="2">
        <f>Table1[[#This Row],[Capacity (MW)]]*8760*0.72*10^-6</f>
        <v>0.53611199999999992</v>
      </c>
      <c r="O1052" s="2" cm="1">
        <f t="array" ref="O1052">AVERAGE(VLOOKUP(_xlfn.TEXTSPLIT(Table1[[#This Row],[Fuel (no space after comma)]], ","), FuelList_Final_EF!$A$2:$B$32, 2, FALSE))</f>
        <v>99.61481286241434</v>
      </c>
      <c r="P1052" s="2">
        <f>(16112*Table1[[#This Row],[Generation (TWh)]]*10^9)/10^6</f>
        <v>8637836.5439999979</v>
      </c>
      <c r="Q1052" s="2">
        <f>Table1[[#This Row],[Emission Factor (kg CO2/ mmBtu)]]*Table1[[#This Row],[Fuel Consumption (mmBtu)]]*10^3</f>
        <v>860456470866.68359</v>
      </c>
      <c r="R1052" s="2">
        <f>(Table1[[#This Row],[CO2 Emissions (g CO2)]])/(Table1[[#This Row],[Generation (TWh)]]*10^9)</f>
        <v>1604.9938648392197</v>
      </c>
    </row>
    <row r="1053" spans="1:18" hidden="1">
      <c r="A1053" t="s">
        <v>688</v>
      </c>
      <c r="B1053" t="s">
        <v>25</v>
      </c>
      <c r="C1053" t="str">
        <f>SUBSTITUTE(Table1[[#This Row],[Fuel]],", ",",")</f>
        <v>bioenergy: wood &amp; other biomass (solids)</v>
      </c>
      <c r="D1053" t="s">
        <v>25</v>
      </c>
      <c r="G1053">
        <v>75</v>
      </c>
      <c r="H1053" t="s">
        <v>27</v>
      </c>
      <c r="I1053">
        <v>2012</v>
      </c>
      <c r="J1053" t="s">
        <v>21</v>
      </c>
      <c r="K1053">
        <v>61.640700000000002</v>
      </c>
      <c r="L1053">
        <v>17.0867</v>
      </c>
      <c r="M1053" t="s">
        <v>34</v>
      </c>
      <c r="N1053" s="2">
        <f>Table1[[#This Row],[Capacity (MW)]]*8760*0.72*10^-6</f>
        <v>0.47303999999999996</v>
      </c>
      <c r="O1053" s="2" cm="1">
        <f t="array" ref="O1053">AVERAGE(VLOOKUP(_xlfn.TEXTSPLIT(Table1[[#This Row],[Fuel (no space after comma)]], ","), FuelList_Final_EF!$A$2:$B$32, 2, FALSE))</f>
        <v>93.8</v>
      </c>
      <c r="P1053" s="2">
        <f>(16112*Table1[[#This Row],[Generation (TWh)]]*10^9)/10^6</f>
        <v>7621620.4800000004</v>
      </c>
      <c r="Q1053" s="2">
        <f>Table1[[#This Row],[Emission Factor (kg CO2/ mmBtu)]]*Table1[[#This Row],[Fuel Consumption (mmBtu)]]*10^3</f>
        <v>714908001024</v>
      </c>
      <c r="R1053" s="2">
        <f>(Table1[[#This Row],[CO2 Emissions (g CO2)]])/(Table1[[#This Row],[Generation (TWh)]]*10^9)</f>
        <v>1511.3056000000001</v>
      </c>
    </row>
    <row r="1054" spans="1:18" hidden="1">
      <c r="A1054" t="s">
        <v>689</v>
      </c>
      <c r="B1054" t="s">
        <v>210</v>
      </c>
      <c r="C1054" t="str">
        <f>SUBSTITUTE(Table1[[#This Row],[Fuel]],", ",",")</f>
        <v>bioenergy: wood &amp; other biomass (solids),bioenergy: agricultural waste (solids)</v>
      </c>
      <c r="D1054" t="s">
        <v>25</v>
      </c>
      <c r="E1054" t="s">
        <v>46</v>
      </c>
      <c r="G1054">
        <v>46</v>
      </c>
      <c r="H1054" t="s">
        <v>53</v>
      </c>
      <c r="I1054">
        <v>2025</v>
      </c>
      <c r="J1054" t="s">
        <v>21</v>
      </c>
      <c r="K1054">
        <v>33.3339</v>
      </c>
      <c r="L1054">
        <v>129.84219999999999</v>
      </c>
      <c r="M1054" t="s">
        <v>51</v>
      </c>
      <c r="N1054" s="2">
        <f>Table1[[#This Row],[Capacity (MW)]]*8760*0.72*10^-6</f>
        <v>0.29013119999999998</v>
      </c>
      <c r="O1054" s="2" cm="1">
        <f t="array" ref="O1054">AVERAGE(VLOOKUP(_xlfn.TEXTSPLIT(Table1[[#This Row],[Fuel (no space after comma)]], ","), FuelList_Final_EF!$A$2:$B$32, 2, FALSE))</f>
        <v>105.985</v>
      </c>
      <c r="P1054" s="2">
        <f>(16112*Table1[[#This Row],[Generation (TWh)]]*10^9)/10^6</f>
        <v>4674593.8943999996</v>
      </c>
      <c r="Q1054" s="2">
        <f>Table1[[#This Row],[Emission Factor (kg CO2/ mmBtu)]]*Table1[[#This Row],[Fuel Consumption (mmBtu)]]*10^3</f>
        <v>495436833897.98395</v>
      </c>
      <c r="R1054" s="2">
        <f>(Table1[[#This Row],[CO2 Emissions (g CO2)]])/(Table1[[#This Row],[Generation (TWh)]]*10^9)</f>
        <v>1707.6303199999998</v>
      </c>
    </row>
    <row r="1055" spans="1:18">
      <c r="A1055" t="s">
        <v>21</v>
      </c>
      <c r="B1055" t="s">
        <v>96</v>
      </c>
      <c r="C1055" t="str">
        <f>SUBSTITUTE(Table1[[#This Row],[Fuel]],", ",",")</f>
        <v>bioenergy: unknown</v>
      </c>
      <c r="D1055" t="s">
        <v>96</v>
      </c>
      <c r="G1055">
        <v>50</v>
      </c>
      <c r="H1055" t="s">
        <v>97</v>
      </c>
      <c r="I1055" t="s">
        <v>21</v>
      </c>
      <c r="J1055" t="s">
        <v>21</v>
      </c>
      <c r="K1055">
        <v>35.6633</v>
      </c>
      <c r="L1055">
        <v>139.75620000000001</v>
      </c>
      <c r="M1055" t="s">
        <v>51</v>
      </c>
      <c r="N1055" s="2">
        <f>Table1[[#This Row],[Capacity (MW)]]*8760*0.72*10^-6</f>
        <v>0.31535999999999997</v>
      </c>
      <c r="O1055" s="2" cm="1">
        <f t="array" ref="O1055">AVERAGE(VLOOKUP(_xlfn.TEXTSPLIT(Table1[[#This Row],[Fuel (no space after comma)]], ","), FuelList_Final_EF!$A$2:$B$32, 2, FALSE))</f>
        <v>72.785606017598653</v>
      </c>
      <c r="P1055" s="2">
        <f>(16112*Table1[[#This Row],[Generation (TWh)]]*10^9)/10^6</f>
        <v>5081080.32</v>
      </c>
      <c r="Q1055" s="2">
        <f>Table1[[#This Row],[Emission Factor (kg CO2/ mmBtu)]]*Table1[[#This Row],[Fuel Consumption (mmBtu)]]*10^3</f>
        <v>369829510315.29407</v>
      </c>
      <c r="R1055" s="2">
        <f>(Table1[[#This Row],[CO2 Emissions (g CO2)]])/(Table1[[#This Row],[Generation (TWh)]]*10^9)</f>
        <v>1172.7216841555494</v>
      </c>
    </row>
    <row r="1056" spans="1:18">
      <c r="A1056" t="s">
        <v>21</v>
      </c>
      <c r="B1056" t="s">
        <v>96</v>
      </c>
      <c r="C1056" t="str">
        <f>SUBSTITUTE(Table1[[#This Row],[Fuel]],", ",",")</f>
        <v>bioenergy: unknown</v>
      </c>
      <c r="D1056" t="s">
        <v>96</v>
      </c>
      <c r="G1056">
        <v>63</v>
      </c>
      <c r="H1056" t="s">
        <v>97</v>
      </c>
      <c r="I1056" t="s">
        <v>21</v>
      </c>
      <c r="J1056" t="s">
        <v>21</v>
      </c>
      <c r="K1056">
        <v>33.751100000000001</v>
      </c>
      <c r="L1056">
        <v>130.9417</v>
      </c>
      <c r="M1056" t="s">
        <v>51</v>
      </c>
      <c r="N1056" s="2">
        <f>Table1[[#This Row],[Capacity (MW)]]*8760*0.72*10^-6</f>
        <v>0.39735359999999997</v>
      </c>
      <c r="O1056" s="2" cm="1">
        <f t="array" ref="O1056">AVERAGE(VLOOKUP(_xlfn.TEXTSPLIT(Table1[[#This Row],[Fuel (no space after comma)]], ","), FuelList_Final_EF!$A$2:$B$32, 2, FALSE))</f>
        <v>72.785606017598653</v>
      </c>
      <c r="P1056" s="2">
        <f>(16112*Table1[[#This Row],[Generation (TWh)]]*10^9)/10^6</f>
        <v>6402161.2031999994</v>
      </c>
      <c r="Q1056" s="2">
        <f>Table1[[#This Row],[Emission Factor (kg CO2/ mmBtu)]]*Table1[[#This Row],[Fuel Consumption (mmBtu)]]*10^3</f>
        <v>465985182997.27051</v>
      </c>
      <c r="R1056" s="2">
        <f>(Table1[[#This Row],[CO2 Emissions (g CO2)]])/(Table1[[#This Row],[Generation (TWh)]]*10^9)</f>
        <v>1172.7216841555494</v>
      </c>
    </row>
    <row r="1057" spans="1:18">
      <c r="A1057" t="s">
        <v>690</v>
      </c>
      <c r="B1057" t="s">
        <v>46</v>
      </c>
      <c r="C1057" t="str">
        <f>SUBSTITUTE(Table1[[#This Row],[Fuel]],", ",",")</f>
        <v>bioenergy: agricultural waste (solids)</v>
      </c>
      <c r="D1057" t="s">
        <v>46</v>
      </c>
      <c r="G1057">
        <v>30</v>
      </c>
      <c r="H1057" t="s">
        <v>20</v>
      </c>
      <c r="I1057" t="s">
        <v>21</v>
      </c>
      <c r="J1057" t="s">
        <v>21</v>
      </c>
      <c r="K1057">
        <v>29.013500000000001</v>
      </c>
      <c r="L1057">
        <v>70.333299999999994</v>
      </c>
      <c r="M1057" t="s">
        <v>160</v>
      </c>
      <c r="N1057" s="2">
        <f>Table1[[#This Row],[Capacity (MW)]]*8760*0.72*10^-6</f>
        <v>0.189216</v>
      </c>
      <c r="O1057" s="2" cm="1">
        <f t="array" ref="O1057">AVERAGE(VLOOKUP(_xlfn.TEXTSPLIT(Table1[[#This Row],[Fuel (no space after comma)]], ","), FuelList_Final_EF!$A$2:$B$32, 2, FALSE))</f>
        <v>118.17</v>
      </c>
      <c r="P1057" s="2">
        <f>(16112*Table1[[#This Row],[Generation (TWh)]]*10^9)/10^6</f>
        <v>3048648.1919999998</v>
      </c>
      <c r="Q1057" s="2">
        <f>Table1[[#This Row],[Emission Factor (kg CO2/ mmBtu)]]*Table1[[#This Row],[Fuel Consumption (mmBtu)]]*10^3</f>
        <v>360258756848.63995</v>
      </c>
      <c r="R1057" s="2">
        <f>(Table1[[#This Row],[CO2 Emissions (g CO2)]])/(Table1[[#This Row],[Generation (TWh)]]*10^9)</f>
        <v>1903.9550399999998</v>
      </c>
    </row>
    <row r="1058" spans="1:18" hidden="1">
      <c r="A1058" t="s">
        <v>691</v>
      </c>
      <c r="B1058" t="s">
        <v>19</v>
      </c>
      <c r="C1058" t="str">
        <f>SUBSTITUTE(Table1[[#This Row],[Fuel]],", ",",")</f>
        <v>bioenergy: refuse (municipal and industrial wastes)</v>
      </c>
      <c r="D1058" t="s">
        <v>19</v>
      </c>
      <c r="G1058">
        <v>35</v>
      </c>
      <c r="H1058" t="s">
        <v>27</v>
      </c>
      <c r="I1058">
        <v>2009</v>
      </c>
      <c r="J1058" t="s">
        <v>21</v>
      </c>
      <c r="K1058">
        <v>52.490099999999998</v>
      </c>
      <c r="L1058">
        <v>13.8299</v>
      </c>
      <c r="M1058" t="s">
        <v>154</v>
      </c>
      <c r="N1058" s="2">
        <f>Table1[[#This Row],[Capacity (MW)]]*8760*0.72*10^-6</f>
        <v>0.220752</v>
      </c>
      <c r="O1058" s="2" cm="1">
        <f t="array" ref="O1058">AVERAGE(VLOOKUP(_xlfn.TEXTSPLIT(Table1[[#This Row],[Fuel (no space after comma)]], ","), FuelList_Final_EF!$A$2:$B$32, 2, FALSE))</f>
        <v>105.42962572482868</v>
      </c>
      <c r="P1058" s="2">
        <f>(16112*Table1[[#This Row],[Generation (TWh)]]*10^9)/10^6</f>
        <v>3556756.2239999999</v>
      </c>
      <c r="Q1058" s="2">
        <f>Table1[[#This Row],[Emission Factor (kg CO2/ mmBtu)]]*Table1[[#This Row],[Fuel Consumption (mmBtu)]]*10^3</f>
        <v>374987477490.7749</v>
      </c>
      <c r="R1058" s="2">
        <f>(Table1[[#This Row],[CO2 Emissions (g CO2)]])/(Table1[[#This Row],[Generation (TWh)]]*10^9)</f>
        <v>1698.6821296784397</v>
      </c>
    </row>
    <row r="1059" spans="1:18" hidden="1">
      <c r="A1059" t="s">
        <v>692</v>
      </c>
      <c r="B1059" t="s">
        <v>42</v>
      </c>
      <c r="C1059" t="str">
        <f>SUBSTITUTE(Table1[[#This Row],[Fuel]],", ",",")</f>
        <v>bioenergy: wastewater and sewage sludge (solids or biogas)</v>
      </c>
      <c r="D1059" t="s">
        <v>42</v>
      </c>
      <c r="G1059">
        <v>53</v>
      </c>
      <c r="H1059" t="s">
        <v>27</v>
      </c>
      <c r="I1059">
        <v>1993</v>
      </c>
      <c r="J1059" t="s">
        <v>21</v>
      </c>
      <c r="K1059">
        <v>51.96998</v>
      </c>
      <c r="L1059">
        <v>5.9378000000000002</v>
      </c>
      <c r="M1059" t="s">
        <v>39</v>
      </c>
      <c r="N1059" s="2">
        <f>Table1[[#This Row],[Capacity (MW)]]*8760*0.72*10^-6</f>
        <v>0.33428159999999996</v>
      </c>
      <c r="O1059" s="2" cm="1">
        <f t="array" ref="O1059">AVERAGE(VLOOKUP(_xlfn.TEXTSPLIT(Table1[[#This Row],[Fuel (no space after comma)]], ","), FuelList_Final_EF!$A$2:$B$32, 2, FALSE))</f>
        <v>57.564575645756456</v>
      </c>
      <c r="P1059" s="2">
        <f>(16112*Table1[[#This Row],[Generation (TWh)]]*10^9)/10^6</f>
        <v>5385945.1391999992</v>
      </c>
      <c r="Q1059" s="2">
        <f>Table1[[#This Row],[Emission Factor (kg CO2/ mmBtu)]]*Table1[[#This Row],[Fuel Consumption (mmBtu)]]*10^3</f>
        <v>310039646389.37262</v>
      </c>
      <c r="R1059" s="2">
        <f>(Table1[[#This Row],[CO2 Emissions (g CO2)]])/(Table1[[#This Row],[Generation (TWh)]]*10^9)</f>
        <v>927.48044280442798</v>
      </c>
    </row>
    <row r="1060" spans="1:18" hidden="1">
      <c r="A1060" t="s">
        <v>693</v>
      </c>
      <c r="B1060" t="s">
        <v>46</v>
      </c>
      <c r="C1060" t="str">
        <f>SUBSTITUTE(Table1[[#This Row],[Fuel]],", ",",")</f>
        <v>bioenergy: agricultural waste (solids)</v>
      </c>
      <c r="D1060" t="s">
        <v>46</v>
      </c>
      <c r="G1060">
        <v>50</v>
      </c>
      <c r="H1060" t="s">
        <v>97</v>
      </c>
      <c r="I1060">
        <v>2025</v>
      </c>
      <c r="J1060" t="s">
        <v>21</v>
      </c>
      <c r="K1060">
        <v>22.6449</v>
      </c>
      <c r="L1060">
        <v>-83.129400000000004</v>
      </c>
      <c r="M1060" t="s">
        <v>287</v>
      </c>
      <c r="N1060" s="2">
        <f>Table1[[#This Row],[Capacity (MW)]]*8760*0.72*10^-6</f>
        <v>0.31535999999999997</v>
      </c>
      <c r="O1060" s="2" cm="1">
        <f t="array" ref="O1060">AVERAGE(VLOOKUP(_xlfn.TEXTSPLIT(Table1[[#This Row],[Fuel (no space after comma)]], ","), FuelList_Final_EF!$A$2:$B$32, 2, FALSE))</f>
        <v>118.17</v>
      </c>
      <c r="P1060" s="2">
        <f>(16112*Table1[[#This Row],[Generation (TWh)]]*10^9)/10^6</f>
        <v>5081080.32</v>
      </c>
      <c r="Q1060" s="2">
        <f>Table1[[#This Row],[Emission Factor (kg CO2/ mmBtu)]]*Table1[[#This Row],[Fuel Consumption (mmBtu)]]*10^3</f>
        <v>600431261414.40015</v>
      </c>
      <c r="R1060" s="2">
        <f>(Table1[[#This Row],[CO2 Emissions (g CO2)]])/(Table1[[#This Row],[Generation (TWh)]]*10^9)</f>
        <v>1903.9550400000005</v>
      </c>
    </row>
    <row r="1061" spans="1:18">
      <c r="A1061" t="s">
        <v>21</v>
      </c>
      <c r="B1061" t="s">
        <v>46</v>
      </c>
      <c r="C1061" t="str">
        <f>SUBSTITUTE(Table1[[#This Row],[Fuel]],", ",",")</f>
        <v>bioenergy: agricultural waste (solids)</v>
      </c>
      <c r="D1061" t="s">
        <v>46</v>
      </c>
      <c r="G1061">
        <v>50</v>
      </c>
      <c r="H1061" t="s">
        <v>172</v>
      </c>
      <c r="I1061" t="s">
        <v>21</v>
      </c>
      <c r="J1061" t="s">
        <v>21</v>
      </c>
      <c r="K1061">
        <v>22.436299999999999</v>
      </c>
      <c r="L1061">
        <v>-80.531800000000004</v>
      </c>
      <c r="M1061" t="s">
        <v>287</v>
      </c>
      <c r="N1061" s="2">
        <f>Table1[[#This Row],[Capacity (MW)]]*8760*0.72*10^-6</f>
        <v>0.31535999999999997</v>
      </c>
      <c r="O1061" s="2" cm="1">
        <f t="array" ref="O1061">AVERAGE(VLOOKUP(_xlfn.TEXTSPLIT(Table1[[#This Row],[Fuel (no space after comma)]], ","), FuelList_Final_EF!$A$2:$B$32, 2, FALSE))</f>
        <v>118.17</v>
      </c>
      <c r="P1061" s="2">
        <f>(16112*Table1[[#This Row],[Generation (TWh)]]*10^9)/10^6</f>
        <v>5081080.32</v>
      </c>
      <c r="Q1061" s="2">
        <f>Table1[[#This Row],[Emission Factor (kg CO2/ mmBtu)]]*Table1[[#This Row],[Fuel Consumption (mmBtu)]]*10^3</f>
        <v>600431261414.40015</v>
      </c>
      <c r="R1061" s="2">
        <f>(Table1[[#This Row],[CO2 Emissions (g CO2)]])/(Table1[[#This Row],[Generation (TWh)]]*10^9)</f>
        <v>1903.9550400000005</v>
      </c>
    </row>
    <row r="1062" spans="1:18" hidden="1">
      <c r="A1062" t="s">
        <v>694</v>
      </c>
      <c r="B1062" t="s">
        <v>46</v>
      </c>
      <c r="C1062" t="str">
        <f>SUBSTITUTE(Table1[[#This Row],[Fuel]],", ",",")</f>
        <v>bioenergy: agricultural waste (solids)</v>
      </c>
      <c r="D1062" t="s">
        <v>46</v>
      </c>
      <c r="G1062">
        <v>50</v>
      </c>
      <c r="H1062" t="s">
        <v>27</v>
      </c>
      <c r="I1062">
        <v>2018</v>
      </c>
      <c r="J1062" t="s">
        <v>21</v>
      </c>
      <c r="K1062">
        <v>18.049499999999998</v>
      </c>
      <c r="L1062">
        <v>-96.154899999999998</v>
      </c>
      <c r="M1062" t="s">
        <v>695</v>
      </c>
      <c r="N1062" s="2">
        <f>Table1[[#This Row],[Capacity (MW)]]*8760*0.72*10^-6</f>
        <v>0.31535999999999997</v>
      </c>
      <c r="O1062" s="2" cm="1">
        <f t="array" ref="O1062">AVERAGE(VLOOKUP(_xlfn.TEXTSPLIT(Table1[[#This Row],[Fuel (no space after comma)]], ","), FuelList_Final_EF!$A$2:$B$32, 2, FALSE))</f>
        <v>118.17</v>
      </c>
      <c r="P1062" s="2">
        <f>(16112*Table1[[#This Row],[Generation (TWh)]]*10^9)/10^6</f>
        <v>5081080.32</v>
      </c>
      <c r="Q1062" s="2">
        <f>Table1[[#This Row],[Emission Factor (kg CO2/ mmBtu)]]*Table1[[#This Row],[Fuel Consumption (mmBtu)]]*10^3</f>
        <v>600431261414.40015</v>
      </c>
      <c r="R1062" s="2">
        <f>(Table1[[#This Row],[CO2 Emissions (g CO2)]])/(Table1[[#This Row],[Generation (TWh)]]*10^9)</f>
        <v>1903.9550400000005</v>
      </c>
    </row>
    <row r="1063" spans="1:18">
      <c r="A1063" t="s">
        <v>696</v>
      </c>
      <c r="B1063" t="s">
        <v>46</v>
      </c>
      <c r="C1063" t="str">
        <f>SUBSTITUTE(Table1[[#This Row],[Fuel]],", ",",")</f>
        <v>bioenergy: agricultural waste (solids)</v>
      </c>
      <c r="D1063" t="s">
        <v>46</v>
      </c>
      <c r="G1063">
        <v>50</v>
      </c>
      <c r="H1063" t="s">
        <v>172</v>
      </c>
      <c r="I1063" t="s">
        <v>21</v>
      </c>
      <c r="J1063" t="s">
        <v>21</v>
      </c>
      <c r="K1063">
        <v>21.170500000000001</v>
      </c>
      <c r="L1063">
        <v>-76.5625</v>
      </c>
      <c r="M1063" t="s">
        <v>287</v>
      </c>
      <c r="N1063" s="2">
        <f>Table1[[#This Row],[Capacity (MW)]]*8760*0.72*10^-6</f>
        <v>0.31535999999999997</v>
      </c>
      <c r="O1063" s="2" cm="1">
        <f t="array" ref="O1063">AVERAGE(VLOOKUP(_xlfn.TEXTSPLIT(Table1[[#This Row],[Fuel (no space after comma)]], ","), FuelList_Final_EF!$A$2:$B$32, 2, FALSE))</f>
        <v>118.17</v>
      </c>
      <c r="P1063" s="2">
        <f>(16112*Table1[[#This Row],[Generation (TWh)]]*10^9)/10^6</f>
        <v>5081080.32</v>
      </c>
      <c r="Q1063" s="2">
        <f>Table1[[#This Row],[Emission Factor (kg CO2/ mmBtu)]]*Table1[[#This Row],[Fuel Consumption (mmBtu)]]*10^3</f>
        <v>600431261414.40015</v>
      </c>
      <c r="R1063" s="2">
        <f>(Table1[[#This Row],[CO2 Emissions (g CO2)]])/(Table1[[#This Row],[Generation (TWh)]]*10^9)</f>
        <v>1903.9550400000005</v>
      </c>
    </row>
    <row r="1064" spans="1:18">
      <c r="A1064" t="s">
        <v>697</v>
      </c>
      <c r="B1064" t="s">
        <v>46</v>
      </c>
      <c r="C1064" t="str">
        <f>SUBSTITUTE(Table1[[#This Row],[Fuel]],", ",",")</f>
        <v>bioenergy: agricultural waste (solids)</v>
      </c>
      <c r="D1064" t="s">
        <v>46</v>
      </c>
      <c r="G1064">
        <v>50</v>
      </c>
      <c r="H1064" t="s">
        <v>97</v>
      </c>
      <c r="I1064" t="s">
        <v>21</v>
      </c>
      <c r="J1064" t="s">
        <v>21</v>
      </c>
      <c r="K1064">
        <v>21.073</v>
      </c>
      <c r="L1064">
        <v>-78.109700000000004</v>
      </c>
      <c r="M1064" t="s">
        <v>287</v>
      </c>
      <c r="N1064" s="2">
        <f>Table1[[#This Row],[Capacity (MW)]]*8760*0.72*10^-6</f>
        <v>0.31535999999999997</v>
      </c>
      <c r="O1064" s="2" cm="1">
        <f t="array" ref="O1064">AVERAGE(VLOOKUP(_xlfn.TEXTSPLIT(Table1[[#This Row],[Fuel (no space after comma)]], ","), FuelList_Final_EF!$A$2:$B$32, 2, FALSE))</f>
        <v>118.17</v>
      </c>
      <c r="P1064" s="2">
        <f>(16112*Table1[[#This Row],[Generation (TWh)]]*10^9)/10^6</f>
        <v>5081080.32</v>
      </c>
      <c r="Q1064" s="2">
        <f>Table1[[#This Row],[Emission Factor (kg CO2/ mmBtu)]]*Table1[[#This Row],[Fuel Consumption (mmBtu)]]*10^3</f>
        <v>600431261414.40015</v>
      </c>
      <c r="R1064" s="2">
        <f>(Table1[[#This Row],[CO2 Emissions (g CO2)]])/(Table1[[#This Row],[Generation (TWh)]]*10^9)</f>
        <v>1903.9550400000005</v>
      </c>
    </row>
    <row r="1065" spans="1:18" hidden="1">
      <c r="A1065" t="s">
        <v>698</v>
      </c>
      <c r="B1065" t="s">
        <v>46</v>
      </c>
      <c r="C1065" t="str">
        <f>SUBSTITUTE(Table1[[#This Row],[Fuel]],", ",",")</f>
        <v>bioenergy: agricultural waste (solids)</v>
      </c>
      <c r="D1065" t="s">
        <v>46</v>
      </c>
      <c r="G1065">
        <v>40</v>
      </c>
      <c r="H1065" t="s">
        <v>27</v>
      </c>
      <c r="I1065">
        <v>2019</v>
      </c>
      <c r="J1065" t="s">
        <v>21</v>
      </c>
      <c r="K1065">
        <v>11.486599999999999</v>
      </c>
      <c r="L1065">
        <v>-85.837500000000006</v>
      </c>
      <c r="M1065" t="s">
        <v>699</v>
      </c>
      <c r="N1065" s="2">
        <f>Table1[[#This Row],[Capacity (MW)]]*8760*0.72*10^-6</f>
        <v>0.25228800000000001</v>
      </c>
      <c r="O1065" s="2" cm="1">
        <f t="array" ref="O1065">AVERAGE(VLOOKUP(_xlfn.TEXTSPLIT(Table1[[#This Row],[Fuel (no space after comma)]], ","), FuelList_Final_EF!$A$2:$B$32, 2, FALSE))</f>
        <v>118.17</v>
      </c>
      <c r="P1065" s="2">
        <f>(16112*Table1[[#This Row],[Generation (TWh)]]*10^9)/10^6</f>
        <v>4064864.2560000005</v>
      </c>
      <c r="Q1065" s="2">
        <f>Table1[[#This Row],[Emission Factor (kg CO2/ mmBtu)]]*Table1[[#This Row],[Fuel Consumption (mmBtu)]]*10^3</f>
        <v>480345009131.52008</v>
      </c>
      <c r="R1065" s="2">
        <f>(Table1[[#This Row],[CO2 Emissions (g CO2)]])/(Table1[[#This Row],[Generation (TWh)]]*10^9)</f>
        <v>1903.9550400000003</v>
      </c>
    </row>
    <row r="1066" spans="1:18" hidden="1">
      <c r="A1066" t="s">
        <v>700</v>
      </c>
      <c r="B1066" t="s">
        <v>46</v>
      </c>
      <c r="C1066" t="str">
        <f>SUBSTITUTE(Table1[[#This Row],[Fuel]],", ",",")</f>
        <v>bioenergy: agricultural waste (solids)</v>
      </c>
      <c r="D1066" t="s">
        <v>46</v>
      </c>
      <c r="G1066">
        <v>95</v>
      </c>
      <c r="H1066" t="s">
        <v>27</v>
      </c>
      <c r="I1066">
        <v>2016</v>
      </c>
      <c r="J1066" t="s">
        <v>21</v>
      </c>
      <c r="K1066">
        <v>13.8003</v>
      </c>
      <c r="L1066">
        <v>-89.199100000000001</v>
      </c>
      <c r="M1066" t="s">
        <v>277</v>
      </c>
      <c r="N1066" s="2">
        <f>Table1[[#This Row],[Capacity (MW)]]*8760*0.72*10^-6</f>
        <v>0.59918399999999994</v>
      </c>
      <c r="O1066" s="2" cm="1">
        <f t="array" ref="O1066">AVERAGE(VLOOKUP(_xlfn.TEXTSPLIT(Table1[[#This Row],[Fuel (no space after comma)]], ","), FuelList_Final_EF!$A$2:$B$32, 2, FALSE))</f>
        <v>118.17</v>
      </c>
      <c r="P1066" s="2">
        <f>(16112*Table1[[#This Row],[Generation (TWh)]]*10^9)/10^6</f>
        <v>9654052.6079999972</v>
      </c>
      <c r="Q1066" s="2">
        <f>Table1[[#This Row],[Emission Factor (kg CO2/ mmBtu)]]*Table1[[#This Row],[Fuel Consumption (mmBtu)]]*10^3</f>
        <v>1140819396687.3596</v>
      </c>
      <c r="R1066" s="2">
        <f>(Table1[[#This Row],[CO2 Emissions (g CO2)]])/(Table1[[#This Row],[Generation (TWh)]]*10^9)</f>
        <v>1903.9550399999998</v>
      </c>
    </row>
    <row r="1067" spans="1:18">
      <c r="A1067" t="s">
        <v>701</v>
      </c>
      <c r="B1067" t="s">
        <v>46</v>
      </c>
      <c r="C1067" t="str">
        <f>SUBSTITUTE(Table1[[#This Row],[Fuel]],", ",",")</f>
        <v>bioenergy: agricultural waste (solids)</v>
      </c>
      <c r="D1067" t="s">
        <v>46</v>
      </c>
      <c r="G1067">
        <v>50</v>
      </c>
      <c r="H1067" t="s">
        <v>97</v>
      </c>
      <c r="I1067">
        <v>2030</v>
      </c>
      <c r="J1067" t="s">
        <v>21</v>
      </c>
      <c r="K1067">
        <v>22.759399999999999</v>
      </c>
      <c r="L1067">
        <v>-81.885900000000007</v>
      </c>
      <c r="M1067" t="s">
        <v>287</v>
      </c>
      <c r="N1067" s="2">
        <f>Table1[[#This Row],[Capacity (MW)]]*8760*0.72*10^-6</f>
        <v>0.31535999999999997</v>
      </c>
      <c r="O1067" s="2" cm="1">
        <f t="array" ref="O1067">AVERAGE(VLOOKUP(_xlfn.TEXTSPLIT(Table1[[#This Row],[Fuel (no space after comma)]], ","), FuelList_Final_EF!$A$2:$B$32, 2, FALSE))</f>
        <v>118.17</v>
      </c>
      <c r="P1067" s="2">
        <f>(16112*Table1[[#This Row],[Generation (TWh)]]*10^9)/10^6</f>
        <v>5081080.32</v>
      </c>
      <c r="Q1067" s="2">
        <f>Table1[[#This Row],[Emission Factor (kg CO2/ mmBtu)]]*Table1[[#This Row],[Fuel Consumption (mmBtu)]]*10^3</f>
        <v>600431261414.40015</v>
      </c>
      <c r="R1067" s="2">
        <f>(Table1[[#This Row],[CO2 Emissions (g CO2)]])/(Table1[[#This Row],[Generation (TWh)]]*10^9)</f>
        <v>1903.9550400000005</v>
      </c>
    </row>
    <row r="1068" spans="1:18" hidden="1">
      <c r="A1068" t="s">
        <v>702</v>
      </c>
      <c r="B1068" t="s">
        <v>46</v>
      </c>
      <c r="C1068" t="str">
        <f>SUBSTITUTE(Table1[[#This Row],[Fuel]],", ",",")</f>
        <v>bioenergy: agricultural waste (solids)</v>
      </c>
      <c r="D1068" t="s">
        <v>46</v>
      </c>
      <c r="G1068">
        <v>45</v>
      </c>
      <c r="H1068" t="s">
        <v>27</v>
      </c>
      <c r="I1068">
        <v>2015</v>
      </c>
      <c r="J1068" t="s">
        <v>21</v>
      </c>
      <c r="K1068">
        <v>13.584</v>
      </c>
      <c r="L1068">
        <v>-88.782200000000003</v>
      </c>
      <c r="M1068" t="s">
        <v>277</v>
      </c>
      <c r="N1068" s="2">
        <f>Table1[[#This Row],[Capacity (MW)]]*8760*0.72*10^-6</f>
        <v>0.28382399999999997</v>
      </c>
      <c r="O1068" s="2" cm="1">
        <f t="array" ref="O1068">AVERAGE(VLOOKUP(_xlfn.TEXTSPLIT(Table1[[#This Row],[Fuel (no space after comma)]], ","), FuelList_Final_EF!$A$2:$B$32, 2, FALSE))</f>
        <v>118.17</v>
      </c>
      <c r="P1068" s="2">
        <f>(16112*Table1[[#This Row],[Generation (TWh)]]*10^9)/10^6</f>
        <v>4572972.2879999988</v>
      </c>
      <c r="Q1068" s="2">
        <f>Table1[[#This Row],[Emission Factor (kg CO2/ mmBtu)]]*Table1[[#This Row],[Fuel Consumption (mmBtu)]]*10^3</f>
        <v>540388135272.95984</v>
      </c>
      <c r="R1068" s="2">
        <f>(Table1[[#This Row],[CO2 Emissions (g CO2)]])/(Table1[[#This Row],[Generation (TWh)]]*10^9)</f>
        <v>1903.9550399999998</v>
      </c>
    </row>
    <row r="1069" spans="1:18" hidden="1">
      <c r="A1069" t="s">
        <v>703</v>
      </c>
      <c r="B1069" t="s">
        <v>46</v>
      </c>
      <c r="C1069" t="str">
        <f>SUBSTITUTE(Table1[[#This Row],[Fuel]],", ",",")</f>
        <v>bioenergy: agricultural waste (solids)</v>
      </c>
      <c r="D1069" t="s">
        <v>46</v>
      </c>
      <c r="G1069">
        <v>45</v>
      </c>
      <c r="H1069" t="s">
        <v>27</v>
      </c>
      <c r="I1069">
        <v>2015</v>
      </c>
      <c r="J1069" t="s">
        <v>21</v>
      </c>
      <c r="K1069">
        <v>19.4283</v>
      </c>
      <c r="L1069">
        <v>-96.402000000000001</v>
      </c>
      <c r="M1069" t="s">
        <v>695</v>
      </c>
      <c r="N1069" s="2">
        <f>Table1[[#This Row],[Capacity (MW)]]*8760*0.72*10^-6</f>
        <v>0.28382399999999997</v>
      </c>
      <c r="O1069" s="2" cm="1">
        <f t="array" ref="O1069">AVERAGE(VLOOKUP(_xlfn.TEXTSPLIT(Table1[[#This Row],[Fuel (no space after comma)]], ","), FuelList_Final_EF!$A$2:$B$32, 2, FALSE))</f>
        <v>118.17</v>
      </c>
      <c r="P1069" s="2">
        <f>(16112*Table1[[#This Row],[Generation (TWh)]]*10^9)/10^6</f>
        <v>4572972.2879999988</v>
      </c>
      <c r="Q1069" s="2">
        <f>Table1[[#This Row],[Emission Factor (kg CO2/ mmBtu)]]*Table1[[#This Row],[Fuel Consumption (mmBtu)]]*10^3</f>
        <v>540388135272.95984</v>
      </c>
      <c r="R1069" s="2">
        <f>(Table1[[#This Row],[CO2 Emissions (g CO2)]])/(Table1[[#This Row],[Generation (TWh)]]*10^9)</f>
        <v>1903.9550399999998</v>
      </c>
    </row>
    <row r="1070" spans="1:18" hidden="1">
      <c r="A1070" t="s">
        <v>704</v>
      </c>
      <c r="B1070" t="s">
        <v>46</v>
      </c>
      <c r="C1070" t="str">
        <f>SUBSTITUTE(Table1[[#This Row],[Fuel]],", ",",")</f>
        <v>bioenergy: agricultural waste (solids)</v>
      </c>
      <c r="D1070" t="s">
        <v>46</v>
      </c>
      <c r="G1070">
        <v>30</v>
      </c>
      <c r="H1070" t="s">
        <v>27</v>
      </c>
      <c r="I1070">
        <v>2006</v>
      </c>
      <c r="J1070" t="s">
        <v>21</v>
      </c>
      <c r="K1070">
        <v>-2.4203999999999999</v>
      </c>
      <c r="L1070">
        <v>-79.343699999999998</v>
      </c>
      <c r="M1070" t="s">
        <v>705</v>
      </c>
      <c r="N1070" s="2">
        <f>Table1[[#This Row],[Capacity (MW)]]*8760*0.72*10^-6</f>
        <v>0.189216</v>
      </c>
      <c r="O1070" s="2" cm="1">
        <f t="array" ref="O1070">AVERAGE(VLOOKUP(_xlfn.TEXTSPLIT(Table1[[#This Row],[Fuel (no space after comma)]], ","), FuelList_Final_EF!$A$2:$B$32, 2, FALSE))</f>
        <v>118.17</v>
      </c>
      <c r="P1070" s="2">
        <f>(16112*Table1[[#This Row],[Generation (TWh)]]*10^9)/10^6</f>
        <v>3048648.1919999998</v>
      </c>
      <c r="Q1070" s="2">
        <f>Table1[[#This Row],[Emission Factor (kg CO2/ mmBtu)]]*Table1[[#This Row],[Fuel Consumption (mmBtu)]]*10^3</f>
        <v>360258756848.63995</v>
      </c>
      <c r="R1070" s="2">
        <f>(Table1[[#This Row],[CO2 Emissions (g CO2)]])/(Table1[[#This Row],[Generation (TWh)]]*10^9)</f>
        <v>1903.9550399999998</v>
      </c>
    </row>
    <row r="1071" spans="1:18" hidden="1">
      <c r="A1071" t="s">
        <v>706</v>
      </c>
      <c r="B1071" t="s">
        <v>707</v>
      </c>
      <c r="C1071" t="str">
        <f>SUBSTITUTE(Table1[[#This Row],[Fuel]],", ",",")</f>
        <v>bioenergy: agricultural waste (solids),coal: unknown,fossil liquids: fuel oil</v>
      </c>
      <c r="D1071" t="s">
        <v>46</v>
      </c>
      <c r="E1071" t="s">
        <v>65</v>
      </c>
      <c r="F1071" t="s">
        <v>606</v>
      </c>
      <c r="G1071">
        <v>85</v>
      </c>
      <c r="H1071" t="s">
        <v>27</v>
      </c>
      <c r="I1071">
        <v>1998</v>
      </c>
      <c r="J1071" t="s">
        <v>21</v>
      </c>
      <c r="K1071">
        <v>14.267200000000001</v>
      </c>
      <c r="L1071">
        <v>-91.097300000000004</v>
      </c>
      <c r="M1071" t="s">
        <v>708</v>
      </c>
      <c r="N1071" s="2">
        <f>Table1[[#This Row],[Capacity (MW)]]*8760*0.72*10^-6</f>
        <v>0.53611199999999992</v>
      </c>
      <c r="O1071" s="2" cm="1">
        <f t="array" ref="O1071">AVERAGE(VLOOKUP(_xlfn.TEXTSPLIT(Table1[[#This Row],[Fuel (no space after comma)]], ","), FuelList_Final_EF!$A$2:$B$32, 2, FALSE))</f>
        <v>99.127897789294423</v>
      </c>
      <c r="P1071" s="2">
        <f>(16112*Table1[[#This Row],[Generation (TWh)]]*10^9)/10^6</f>
        <v>8637836.5439999979</v>
      </c>
      <c r="Q1071" s="2">
        <f>Table1[[#This Row],[Emission Factor (kg CO2/ mmBtu)]]*Table1[[#This Row],[Fuel Consumption (mmBtu)]]*10^3</f>
        <v>856250578054.26392</v>
      </c>
      <c r="R1071" s="2">
        <f>(Table1[[#This Row],[CO2 Emissions (g CO2)]])/(Table1[[#This Row],[Generation (TWh)]]*10^9)</f>
        <v>1597.1486891811114</v>
      </c>
    </row>
    <row r="1072" spans="1:18" hidden="1">
      <c r="A1072" t="s">
        <v>709</v>
      </c>
      <c r="B1072" t="s">
        <v>46</v>
      </c>
      <c r="C1072" t="str">
        <f>SUBSTITUTE(Table1[[#This Row],[Fuel]],", ",",")</f>
        <v>bioenergy: agricultural waste (solids)</v>
      </c>
      <c r="D1072" t="s">
        <v>46</v>
      </c>
      <c r="G1072">
        <v>30</v>
      </c>
      <c r="H1072" t="s">
        <v>53</v>
      </c>
      <c r="I1072">
        <v>2024</v>
      </c>
      <c r="J1072" t="s">
        <v>21</v>
      </c>
      <c r="K1072">
        <v>12.7065</v>
      </c>
      <c r="L1072">
        <v>-87.235699999999994</v>
      </c>
      <c r="M1072" t="s">
        <v>699</v>
      </c>
      <c r="N1072" s="2">
        <f>Table1[[#This Row],[Capacity (MW)]]*8760*0.72*10^-6</f>
        <v>0.189216</v>
      </c>
      <c r="O1072" s="2" cm="1">
        <f t="array" ref="O1072">AVERAGE(VLOOKUP(_xlfn.TEXTSPLIT(Table1[[#This Row],[Fuel (no space after comma)]], ","), FuelList_Final_EF!$A$2:$B$32, 2, FALSE))</f>
        <v>118.17</v>
      </c>
      <c r="P1072" s="2">
        <f>(16112*Table1[[#This Row],[Generation (TWh)]]*10^9)/10^6</f>
        <v>3048648.1919999998</v>
      </c>
      <c r="Q1072" s="2">
        <f>Table1[[#This Row],[Emission Factor (kg CO2/ mmBtu)]]*Table1[[#This Row],[Fuel Consumption (mmBtu)]]*10^3</f>
        <v>360258756848.63995</v>
      </c>
      <c r="R1072" s="2">
        <f>(Table1[[#This Row],[CO2 Emissions (g CO2)]])/(Table1[[#This Row],[Generation (TWh)]]*10^9)</f>
        <v>1903.9550399999998</v>
      </c>
    </row>
    <row r="1073" spans="1:18" hidden="1">
      <c r="A1073" t="s">
        <v>710</v>
      </c>
      <c r="B1073" t="s">
        <v>46</v>
      </c>
      <c r="C1073" t="str">
        <f>SUBSTITUTE(Table1[[#This Row],[Fuel]],", ",",")</f>
        <v>bioenergy: agricultural waste (solids)</v>
      </c>
      <c r="D1073" t="s">
        <v>46</v>
      </c>
      <c r="G1073">
        <v>42</v>
      </c>
      <c r="H1073" t="s">
        <v>27</v>
      </c>
      <c r="I1073">
        <v>2016</v>
      </c>
      <c r="J1073" t="s">
        <v>21</v>
      </c>
      <c r="K1073">
        <v>11.8172</v>
      </c>
      <c r="L1073">
        <v>-86.511899999999997</v>
      </c>
      <c r="M1073" t="s">
        <v>699</v>
      </c>
      <c r="N1073" s="2">
        <f>Table1[[#This Row],[Capacity (MW)]]*8760*0.72*10^-6</f>
        <v>0.26490239999999993</v>
      </c>
      <c r="O1073" s="2" cm="1">
        <f t="array" ref="O1073">AVERAGE(VLOOKUP(_xlfn.TEXTSPLIT(Table1[[#This Row],[Fuel (no space after comma)]], ","), FuelList_Final_EF!$A$2:$B$32, 2, FALSE))</f>
        <v>118.17</v>
      </c>
      <c r="P1073" s="2">
        <f>(16112*Table1[[#This Row],[Generation (TWh)]]*10^9)/10^6</f>
        <v>4268107.468799999</v>
      </c>
      <c r="Q1073" s="2">
        <f>Table1[[#This Row],[Emission Factor (kg CO2/ mmBtu)]]*Table1[[#This Row],[Fuel Consumption (mmBtu)]]*10^3</f>
        <v>504362259588.09589</v>
      </c>
      <c r="R1073" s="2">
        <f>(Table1[[#This Row],[CO2 Emissions (g CO2)]])/(Table1[[#This Row],[Generation (TWh)]]*10^9)</f>
        <v>1903.9550400000001</v>
      </c>
    </row>
    <row r="1074" spans="1:18" hidden="1">
      <c r="A1074" t="s">
        <v>709</v>
      </c>
      <c r="B1074" t="s">
        <v>46</v>
      </c>
      <c r="C1074" t="str">
        <f>SUBSTITUTE(Table1[[#This Row],[Fuel]],", ",",")</f>
        <v>bioenergy: agricultural waste (solids)</v>
      </c>
      <c r="D1074" t="s">
        <v>46</v>
      </c>
      <c r="G1074">
        <v>40</v>
      </c>
      <c r="H1074" t="s">
        <v>27</v>
      </c>
      <c r="I1074">
        <v>2011</v>
      </c>
      <c r="J1074" t="s">
        <v>21</v>
      </c>
      <c r="K1074">
        <v>22.018799999999999</v>
      </c>
      <c r="L1074">
        <v>-98.180599999999998</v>
      </c>
      <c r="M1074" t="s">
        <v>695</v>
      </c>
      <c r="N1074" s="2">
        <f>Table1[[#This Row],[Capacity (MW)]]*8760*0.72*10^-6</f>
        <v>0.25228800000000001</v>
      </c>
      <c r="O1074" s="2" cm="1">
        <f t="array" ref="O1074">AVERAGE(VLOOKUP(_xlfn.TEXTSPLIT(Table1[[#This Row],[Fuel (no space after comma)]], ","), FuelList_Final_EF!$A$2:$B$32, 2, FALSE))</f>
        <v>118.17</v>
      </c>
      <c r="P1074" s="2">
        <f>(16112*Table1[[#This Row],[Generation (TWh)]]*10^9)/10^6</f>
        <v>4064864.2560000005</v>
      </c>
      <c r="Q1074" s="2">
        <f>Table1[[#This Row],[Emission Factor (kg CO2/ mmBtu)]]*Table1[[#This Row],[Fuel Consumption (mmBtu)]]*10^3</f>
        <v>480345009131.52008</v>
      </c>
      <c r="R1074" s="2">
        <f>(Table1[[#This Row],[CO2 Emissions (g CO2)]])/(Table1[[#This Row],[Generation (TWh)]]*10^9)</f>
        <v>1903.9550400000003</v>
      </c>
    </row>
    <row r="1075" spans="1:18" hidden="1">
      <c r="A1075" t="s">
        <v>711</v>
      </c>
      <c r="B1075" t="s">
        <v>46</v>
      </c>
      <c r="C1075" t="str">
        <f>SUBSTITUTE(Table1[[#This Row],[Fuel]],", ",",")</f>
        <v>bioenergy: agricultural waste (solids)</v>
      </c>
      <c r="D1075" t="s">
        <v>46</v>
      </c>
      <c r="G1075">
        <v>43</v>
      </c>
      <c r="H1075" t="s">
        <v>27</v>
      </c>
      <c r="I1075">
        <v>2014</v>
      </c>
      <c r="J1075" t="s">
        <v>21</v>
      </c>
      <c r="K1075">
        <v>-2.2084999999999999</v>
      </c>
      <c r="L1075">
        <v>-79.435900000000004</v>
      </c>
      <c r="M1075" t="s">
        <v>705</v>
      </c>
      <c r="N1075" s="2">
        <f>Table1[[#This Row],[Capacity (MW)]]*8760*0.72*10^-6</f>
        <v>0.27120959999999994</v>
      </c>
      <c r="O1075" s="2" cm="1">
        <f t="array" ref="O1075">AVERAGE(VLOOKUP(_xlfn.TEXTSPLIT(Table1[[#This Row],[Fuel (no space after comma)]], ","), FuelList_Final_EF!$A$2:$B$32, 2, FALSE))</f>
        <v>118.17</v>
      </c>
      <c r="P1075" s="2">
        <f>(16112*Table1[[#This Row],[Generation (TWh)]]*10^9)/10^6</f>
        <v>4369729.0751999989</v>
      </c>
      <c r="Q1075" s="2">
        <f>Table1[[#This Row],[Emission Factor (kg CO2/ mmBtu)]]*Table1[[#This Row],[Fuel Consumption (mmBtu)]]*10^3</f>
        <v>516370884816.38391</v>
      </c>
      <c r="R1075" s="2">
        <f>(Table1[[#This Row],[CO2 Emissions (g CO2)]])/(Table1[[#This Row],[Generation (TWh)]]*10^9)</f>
        <v>1903.9550400000001</v>
      </c>
    </row>
    <row r="1076" spans="1:18">
      <c r="A1076" t="s">
        <v>712</v>
      </c>
      <c r="B1076" t="s">
        <v>46</v>
      </c>
      <c r="C1076" t="str">
        <f>SUBSTITUTE(Table1[[#This Row],[Fuel]],", ",",")</f>
        <v>bioenergy: agricultural waste (solids)</v>
      </c>
      <c r="D1076" t="s">
        <v>46</v>
      </c>
      <c r="G1076">
        <v>49</v>
      </c>
      <c r="H1076" t="s">
        <v>27</v>
      </c>
      <c r="I1076" t="s">
        <v>21</v>
      </c>
      <c r="J1076" t="s">
        <v>21</v>
      </c>
      <c r="K1076">
        <v>22.532499999999999</v>
      </c>
      <c r="L1076">
        <v>-99.334599999999995</v>
      </c>
      <c r="M1076" t="s">
        <v>695</v>
      </c>
      <c r="N1076" s="2">
        <f>Table1[[#This Row],[Capacity (MW)]]*8760*0.72*10^-6</f>
        <v>0.30905279999999996</v>
      </c>
      <c r="O1076" s="2" cm="1">
        <f t="array" ref="O1076">AVERAGE(VLOOKUP(_xlfn.TEXTSPLIT(Table1[[#This Row],[Fuel (no space after comma)]], ","), FuelList_Final_EF!$A$2:$B$32, 2, FALSE))</f>
        <v>118.17</v>
      </c>
      <c r="P1076" s="2">
        <f>(16112*Table1[[#This Row],[Generation (TWh)]]*10^9)/10^6</f>
        <v>4979458.7135999994</v>
      </c>
      <c r="Q1076" s="2">
        <f>Table1[[#This Row],[Emission Factor (kg CO2/ mmBtu)]]*Table1[[#This Row],[Fuel Consumption (mmBtu)]]*10^3</f>
        <v>588422636186.11194</v>
      </c>
      <c r="R1076" s="2">
        <f>(Table1[[#This Row],[CO2 Emissions (g CO2)]])/(Table1[[#This Row],[Generation (TWh)]]*10^9)</f>
        <v>1903.9550400000003</v>
      </c>
    </row>
    <row r="1077" spans="1:18">
      <c r="A1077" t="s">
        <v>712</v>
      </c>
      <c r="B1077" t="s">
        <v>46</v>
      </c>
      <c r="C1077" t="str">
        <f>SUBSTITUTE(Table1[[#This Row],[Fuel]],", ",",")</f>
        <v>bioenergy: agricultural waste (solids)</v>
      </c>
      <c r="D1077" t="s">
        <v>46</v>
      </c>
      <c r="G1077">
        <v>49</v>
      </c>
      <c r="H1077" t="s">
        <v>27</v>
      </c>
      <c r="I1077" t="s">
        <v>21</v>
      </c>
      <c r="J1077" t="s">
        <v>21</v>
      </c>
      <c r="K1077">
        <v>18.276299999999999</v>
      </c>
      <c r="L1077">
        <v>-88.684100000000001</v>
      </c>
      <c r="M1077" t="s">
        <v>695</v>
      </c>
      <c r="N1077" s="2">
        <f>Table1[[#This Row],[Capacity (MW)]]*8760*0.72*10^-6</f>
        <v>0.30905279999999996</v>
      </c>
      <c r="O1077" s="2" cm="1">
        <f t="array" ref="O1077">AVERAGE(VLOOKUP(_xlfn.TEXTSPLIT(Table1[[#This Row],[Fuel (no space after comma)]], ","), FuelList_Final_EF!$A$2:$B$32, 2, FALSE))</f>
        <v>118.17</v>
      </c>
      <c r="P1077" s="2">
        <f>(16112*Table1[[#This Row],[Generation (TWh)]]*10^9)/10^6</f>
        <v>4979458.7135999994</v>
      </c>
      <c r="Q1077" s="2">
        <f>Table1[[#This Row],[Emission Factor (kg CO2/ mmBtu)]]*Table1[[#This Row],[Fuel Consumption (mmBtu)]]*10^3</f>
        <v>588422636186.11194</v>
      </c>
      <c r="R1077" s="2">
        <f>(Table1[[#This Row],[CO2 Emissions (g CO2)]])/(Table1[[#This Row],[Generation (TWh)]]*10^9)</f>
        <v>1903.9550400000003</v>
      </c>
    </row>
    <row r="1078" spans="1:18" hidden="1">
      <c r="A1078" t="s">
        <v>713</v>
      </c>
      <c r="B1078" t="s">
        <v>46</v>
      </c>
      <c r="C1078" t="str">
        <f>SUBSTITUTE(Table1[[#This Row],[Fuel]],", ",",")</f>
        <v>bioenergy: agricultural waste (solids)</v>
      </c>
      <c r="D1078" t="s">
        <v>46</v>
      </c>
      <c r="G1078">
        <v>40</v>
      </c>
      <c r="H1078" t="s">
        <v>27</v>
      </c>
      <c r="I1078">
        <v>2011</v>
      </c>
      <c r="J1078" t="s">
        <v>21</v>
      </c>
      <c r="K1078">
        <v>-23.253699999999998</v>
      </c>
      <c r="L1078">
        <v>-64.241299999999995</v>
      </c>
      <c r="M1078" t="s">
        <v>397</v>
      </c>
      <c r="N1078" s="2">
        <f>Table1[[#This Row],[Capacity (MW)]]*8760*0.72*10^-6</f>
        <v>0.25228800000000001</v>
      </c>
      <c r="O1078" s="2" cm="1">
        <f t="array" ref="O1078">AVERAGE(VLOOKUP(_xlfn.TEXTSPLIT(Table1[[#This Row],[Fuel (no space after comma)]], ","), FuelList_Final_EF!$A$2:$B$32, 2, FALSE))</f>
        <v>118.17</v>
      </c>
      <c r="P1078" s="2">
        <f>(16112*Table1[[#This Row],[Generation (TWh)]]*10^9)/10^6</f>
        <v>4064864.2560000005</v>
      </c>
      <c r="Q1078" s="2">
        <f>Table1[[#This Row],[Emission Factor (kg CO2/ mmBtu)]]*Table1[[#This Row],[Fuel Consumption (mmBtu)]]*10^3</f>
        <v>480345009131.52008</v>
      </c>
      <c r="R1078" s="2">
        <f>(Table1[[#This Row],[CO2 Emissions (g CO2)]])/(Table1[[#This Row],[Generation (TWh)]]*10^9)</f>
        <v>1903.9550400000003</v>
      </c>
    </row>
    <row r="1079" spans="1:18" hidden="1">
      <c r="A1079" t="s">
        <v>694</v>
      </c>
      <c r="B1079" t="s">
        <v>46</v>
      </c>
      <c r="C1079" t="str">
        <f>SUBSTITUTE(Table1[[#This Row],[Fuel]],", ",",")</f>
        <v>bioenergy: agricultural waste (solids)</v>
      </c>
      <c r="D1079" t="s">
        <v>46</v>
      </c>
      <c r="G1079">
        <v>40</v>
      </c>
      <c r="H1079" t="s">
        <v>27</v>
      </c>
      <c r="I1079">
        <v>2011</v>
      </c>
      <c r="J1079" t="s">
        <v>21</v>
      </c>
      <c r="K1079">
        <v>18.262599999999999</v>
      </c>
      <c r="L1079">
        <v>-96.163200000000003</v>
      </c>
      <c r="M1079" t="s">
        <v>695</v>
      </c>
      <c r="N1079" s="2">
        <f>Table1[[#This Row],[Capacity (MW)]]*8760*0.72*10^-6</f>
        <v>0.25228800000000001</v>
      </c>
      <c r="O1079" s="2" cm="1">
        <f t="array" ref="O1079">AVERAGE(VLOOKUP(_xlfn.TEXTSPLIT(Table1[[#This Row],[Fuel (no space after comma)]], ","), FuelList_Final_EF!$A$2:$B$32, 2, FALSE))</f>
        <v>118.17</v>
      </c>
      <c r="P1079" s="2">
        <f>(16112*Table1[[#This Row],[Generation (TWh)]]*10^9)/10^6</f>
        <v>4064864.2560000005</v>
      </c>
      <c r="Q1079" s="2">
        <f>Table1[[#This Row],[Emission Factor (kg CO2/ mmBtu)]]*Table1[[#This Row],[Fuel Consumption (mmBtu)]]*10^3</f>
        <v>480345009131.52008</v>
      </c>
      <c r="R1079" s="2">
        <f>(Table1[[#This Row],[CO2 Emissions (g CO2)]])/(Table1[[#This Row],[Generation (TWh)]]*10^9)</f>
        <v>1903.9550400000003</v>
      </c>
    </row>
    <row r="1080" spans="1:18">
      <c r="A1080" t="s">
        <v>714</v>
      </c>
      <c r="B1080" t="s">
        <v>46</v>
      </c>
      <c r="C1080" t="str">
        <f>SUBSTITUTE(Table1[[#This Row],[Fuel]],", ",",")</f>
        <v>bioenergy: agricultural waste (solids)</v>
      </c>
      <c r="D1080" t="s">
        <v>46</v>
      </c>
      <c r="G1080">
        <v>50</v>
      </c>
      <c r="H1080" t="s">
        <v>172</v>
      </c>
      <c r="I1080" t="s">
        <v>21</v>
      </c>
      <c r="J1080" t="s">
        <v>21</v>
      </c>
      <c r="K1080">
        <v>21.939800000000002</v>
      </c>
      <c r="L1080">
        <v>-79.173900000000003</v>
      </c>
      <c r="M1080" t="s">
        <v>287</v>
      </c>
      <c r="N1080" s="2">
        <f>Table1[[#This Row],[Capacity (MW)]]*8760*0.72*10^-6</f>
        <v>0.31535999999999997</v>
      </c>
      <c r="O1080" s="2" cm="1">
        <f t="array" ref="O1080">AVERAGE(VLOOKUP(_xlfn.TEXTSPLIT(Table1[[#This Row],[Fuel (no space after comma)]], ","), FuelList_Final_EF!$A$2:$B$32, 2, FALSE))</f>
        <v>118.17</v>
      </c>
      <c r="P1080" s="2">
        <f>(16112*Table1[[#This Row],[Generation (TWh)]]*10^9)/10^6</f>
        <v>5081080.32</v>
      </c>
      <c r="Q1080" s="2">
        <f>Table1[[#This Row],[Emission Factor (kg CO2/ mmBtu)]]*Table1[[#This Row],[Fuel Consumption (mmBtu)]]*10^3</f>
        <v>600431261414.40015</v>
      </c>
      <c r="R1080" s="2">
        <f>(Table1[[#This Row],[CO2 Emissions (g CO2)]])/(Table1[[#This Row],[Generation (TWh)]]*10^9)</f>
        <v>1903.9550400000005</v>
      </c>
    </row>
    <row r="1081" spans="1:18" hidden="1">
      <c r="A1081" t="s">
        <v>715</v>
      </c>
      <c r="B1081" t="s">
        <v>46</v>
      </c>
      <c r="C1081" t="str">
        <f>SUBSTITUTE(Table1[[#This Row],[Fuel]],", ",",")</f>
        <v>bioenergy: agricultural waste (solids)</v>
      </c>
      <c r="D1081" t="s">
        <v>46</v>
      </c>
      <c r="G1081">
        <v>30</v>
      </c>
      <c r="H1081" t="s">
        <v>27</v>
      </c>
      <c r="I1081">
        <v>2019</v>
      </c>
      <c r="J1081" t="s">
        <v>21</v>
      </c>
      <c r="K1081">
        <v>48.079300000000003</v>
      </c>
      <c r="L1081">
        <v>123.46129999999999</v>
      </c>
      <c r="M1081" t="s">
        <v>102</v>
      </c>
      <c r="N1081" s="2">
        <f>Table1[[#This Row],[Capacity (MW)]]*8760*0.72*10^-6</f>
        <v>0.189216</v>
      </c>
      <c r="O1081" s="2" cm="1">
        <f t="array" ref="O1081">AVERAGE(VLOOKUP(_xlfn.TEXTSPLIT(Table1[[#This Row],[Fuel (no space after comma)]], ","), FuelList_Final_EF!$A$2:$B$32, 2, FALSE))</f>
        <v>118.17</v>
      </c>
      <c r="P1081" s="2">
        <f>(16112*Table1[[#This Row],[Generation (TWh)]]*10^9)/10^6</f>
        <v>3048648.1919999998</v>
      </c>
      <c r="Q1081" s="2">
        <f>Table1[[#This Row],[Emission Factor (kg CO2/ mmBtu)]]*Table1[[#This Row],[Fuel Consumption (mmBtu)]]*10^3</f>
        <v>360258756848.63995</v>
      </c>
      <c r="R1081" s="2">
        <f>(Table1[[#This Row],[CO2 Emissions (g CO2)]])/(Table1[[#This Row],[Generation (TWh)]]*10^9)</f>
        <v>1903.9550399999998</v>
      </c>
    </row>
    <row r="1082" spans="1:18" hidden="1">
      <c r="A1082" t="s">
        <v>716</v>
      </c>
      <c r="B1082" t="s">
        <v>105</v>
      </c>
      <c r="C1082" t="str">
        <f>SUBSTITUTE(Table1[[#This Row],[Fuel]],", ",",")</f>
        <v>bioenergy: agricultural waste (solids),bioenergy: wood &amp; other biomass (solids)</v>
      </c>
      <c r="D1082" t="s">
        <v>46</v>
      </c>
      <c r="E1082" t="s">
        <v>25</v>
      </c>
      <c r="G1082">
        <v>30</v>
      </c>
      <c r="H1082" t="s">
        <v>27</v>
      </c>
      <c r="I1082">
        <v>2019</v>
      </c>
      <c r="J1082" t="s">
        <v>21</v>
      </c>
      <c r="K1082">
        <v>40.896099999999997</v>
      </c>
      <c r="L1082">
        <v>106.85039999999999</v>
      </c>
      <c r="M1082" t="s">
        <v>102</v>
      </c>
      <c r="N1082" s="2">
        <f>Table1[[#This Row],[Capacity (MW)]]*8760*0.72*10^-6</f>
        <v>0.189216</v>
      </c>
      <c r="O1082" s="2" cm="1">
        <f t="array" ref="O1082">AVERAGE(VLOOKUP(_xlfn.TEXTSPLIT(Table1[[#This Row],[Fuel (no space after comma)]], ","), FuelList_Final_EF!$A$2:$B$32, 2, FALSE))</f>
        <v>105.985</v>
      </c>
      <c r="P1082" s="2">
        <f>(16112*Table1[[#This Row],[Generation (TWh)]]*10^9)/10^6</f>
        <v>3048648.1919999998</v>
      </c>
      <c r="Q1082" s="2">
        <f>Table1[[#This Row],[Emission Factor (kg CO2/ mmBtu)]]*Table1[[#This Row],[Fuel Consumption (mmBtu)]]*10^3</f>
        <v>323110978629.12</v>
      </c>
      <c r="R1082" s="2">
        <f>(Table1[[#This Row],[CO2 Emissions (g CO2)]])/(Table1[[#This Row],[Generation (TWh)]]*10^9)</f>
        <v>1707.63032</v>
      </c>
    </row>
    <row r="1083" spans="1:18" hidden="1">
      <c r="A1083" t="s">
        <v>717</v>
      </c>
      <c r="B1083" t="s">
        <v>46</v>
      </c>
      <c r="C1083" t="str">
        <f>SUBSTITUTE(Table1[[#This Row],[Fuel]],", ",",")</f>
        <v>bioenergy: agricultural waste (solids)</v>
      </c>
      <c r="D1083" t="s">
        <v>46</v>
      </c>
      <c r="G1083">
        <v>15.3</v>
      </c>
      <c r="H1083" t="s">
        <v>27</v>
      </c>
      <c r="I1083">
        <v>2022</v>
      </c>
      <c r="J1083" t="s">
        <v>21</v>
      </c>
      <c r="K1083">
        <v>44.128500000000003</v>
      </c>
      <c r="L1083">
        <v>123.2953</v>
      </c>
      <c r="M1083" t="s">
        <v>102</v>
      </c>
      <c r="N1083" s="2">
        <f>Table1[[#This Row],[Capacity (MW)]]*8760*0.72*10^-6</f>
        <v>9.6500160000000001E-2</v>
      </c>
      <c r="O1083" s="2" cm="1">
        <f t="array" ref="O1083">AVERAGE(VLOOKUP(_xlfn.TEXTSPLIT(Table1[[#This Row],[Fuel (no space after comma)]], ","), FuelList_Final_EF!$A$2:$B$32, 2, FALSE))</f>
        <v>118.17</v>
      </c>
      <c r="P1083" s="2">
        <f>(16112*Table1[[#This Row],[Generation (TWh)]]*10^9)/10^6</f>
        <v>1554810.5779200001</v>
      </c>
      <c r="Q1083" s="2">
        <f>Table1[[#This Row],[Emission Factor (kg CO2/ mmBtu)]]*Table1[[#This Row],[Fuel Consumption (mmBtu)]]*10^3</f>
        <v>183731965992.8064</v>
      </c>
      <c r="R1083" s="2">
        <f>(Table1[[#This Row],[CO2 Emissions (g CO2)]])/(Table1[[#This Row],[Generation (TWh)]]*10^9)</f>
        <v>1903.9550400000001</v>
      </c>
    </row>
    <row r="1084" spans="1:18" hidden="1">
      <c r="A1084" t="s">
        <v>718</v>
      </c>
      <c r="B1084" t="s">
        <v>46</v>
      </c>
      <c r="C1084" t="str">
        <f>SUBSTITUTE(Table1[[#This Row],[Fuel]],", ",",")</f>
        <v>bioenergy: agricultural waste (solids)</v>
      </c>
      <c r="D1084" t="s">
        <v>46</v>
      </c>
      <c r="G1084">
        <v>14.7</v>
      </c>
      <c r="H1084" t="s">
        <v>27</v>
      </c>
      <c r="I1084">
        <v>2022</v>
      </c>
      <c r="J1084" t="s">
        <v>21</v>
      </c>
      <c r="K1084">
        <v>44.128500000000003</v>
      </c>
      <c r="L1084">
        <v>123.2953</v>
      </c>
      <c r="M1084" t="s">
        <v>102</v>
      </c>
      <c r="N1084" s="2">
        <f>Table1[[#This Row],[Capacity (MW)]]*8760*0.72*10^-6</f>
        <v>9.2715839999999994E-2</v>
      </c>
      <c r="O1084" s="2" cm="1">
        <f t="array" ref="O1084">AVERAGE(VLOOKUP(_xlfn.TEXTSPLIT(Table1[[#This Row],[Fuel (no space after comma)]], ","), FuelList_Final_EF!$A$2:$B$32, 2, FALSE))</f>
        <v>118.17</v>
      </c>
      <c r="P1084" s="2">
        <f>(16112*Table1[[#This Row],[Generation (TWh)]]*10^9)/10^6</f>
        <v>1493837.6140799997</v>
      </c>
      <c r="Q1084" s="2">
        <f>Table1[[#This Row],[Emission Factor (kg CO2/ mmBtu)]]*Table1[[#This Row],[Fuel Consumption (mmBtu)]]*10^3</f>
        <v>176526790855.83356</v>
      </c>
      <c r="R1084" s="2">
        <f>(Table1[[#This Row],[CO2 Emissions (g CO2)]])/(Table1[[#This Row],[Generation (TWh)]]*10^9)</f>
        <v>1903.9550399999996</v>
      </c>
    </row>
    <row r="1085" spans="1:18" hidden="1">
      <c r="A1085" t="s">
        <v>117</v>
      </c>
      <c r="B1085" t="s">
        <v>46</v>
      </c>
      <c r="C1085" t="str">
        <f>SUBSTITUTE(Table1[[#This Row],[Fuel]],", ",",")</f>
        <v>bioenergy: agricultural waste (solids)</v>
      </c>
      <c r="D1085" t="s">
        <v>46</v>
      </c>
      <c r="G1085">
        <v>35</v>
      </c>
      <c r="H1085" t="s">
        <v>27</v>
      </c>
      <c r="I1085">
        <v>2022</v>
      </c>
      <c r="J1085" t="s">
        <v>21</v>
      </c>
      <c r="K1085">
        <v>43.4465</v>
      </c>
      <c r="L1085">
        <v>122.23439999999999</v>
      </c>
      <c r="M1085" t="s">
        <v>102</v>
      </c>
      <c r="N1085" s="2">
        <f>Table1[[#This Row],[Capacity (MW)]]*8760*0.72*10^-6</f>
        <v>0.220752</v>
      </c>
      <c r="O1085" s="2" cm="1">
        <f t="array" ref="O1085">AVERAGE(VLOOKUP(_xlfn.TEXTSPLIT(Table1[[#This Row],[Fuel (no space after comma)]], ","), FuelList_Final_EF!$A$2:$B$32, 2, FALSE))</f>
        <v>118.17</v>
      </c>
      <c r="P1085" s="2">
        <f>(16112*Table1[[#This Row],[Generation (TWh)]]*10^9)/10^6</f>
        <v>3556756.2239999999</v>
      </c>
      <c r="Q1085" s="2">
        <f>Table1[[#This Row],[Emission Factor (kg CO2/ mmBtu)]]*Table1[[#This Row],[Fuel Consumption (mmBtu)]]*10^3</f>
        <v>420301882990.08002</v>
      </c>
      <c r="R1085" s="2">
        <f>(Table1[[#This Row],[CO2 Emissions (g CO2)]])/(Table1[[#This Row],[Generation (TWh)]]*10^9)</f>
        <v>1903.9550400000001</v>
      </c>
    </row>
    <row r="1086" spans="1:18">
      <c r="A1086" t="s">
        <v>719</v>
      </c>
      <c r="B1086" t="s">
        <v>105</v>
      </c>
      <c r="C1086" t="str">
        <f>SUBSTITUTE(Table1[[#This Row],[Fuel]],", ",",")</f>
        <v>bioenergy: agricultural waste (solids),bioenergy: wood &amp; other biomass (solids)</v>
      </c>
      <c r="D1086" t="s">
        <v>46</v>
      </c>
      <c r="E1086" t="s">
        <v>25</v>
      </c>
      <c r="G1086">
        <v>30</v>
      </c>
      <c r="H1086" t="s">
        <v>53</v>
      </c>
      <c r="I1086" t="s">
        <v>21</v>
      </c>
      <c r="J1086" t="s">
        <v>21</v>
      </c>
      <c r="K1086">
        <v>42.736800000000002</v>
      </c>
      <c r="L1086">
        <v>121.8186</v>
      </c>
      <c r="M1086" t="s">
        <v>102</v>
      </c>
      <c r="N1086" s="2">
        <f>Table1[[#This Row],[Capacity (MW)]]*8760*0.72*10^-6</f>
        <v>0.189216</v>
      </c>
      <c r="O1086" s="2" cm="1">
        <f t="array" ref="O1086">AVERAGE(VLOOKUP(_xlfn.TEXTSPLIT(Table1[[#This Row],[Fuel (no space after comma)]], ","), FuelList_Final_EF!$A$2:$B$32, 2, FALSE))</f>
        <v>105.985</v>
      </c>
      <c r="P1086" s="2">
        <f>(16112*Table1[[#This Row],[Generation (TWh)]]*10^9)/10^6</f>
        <v>3048648.1919999998</v>
      </c>
      <c r="Q1086" s="2">
        <f>Table1[[#This Row],[Emission Factor (kg CO2/ mmBtu)]]*Table1[[#This Row],[Fuel Consumption (mmBtu)]]*10^3</f>
        <v>323110978629.12</v>
      </c>
      <c r="R1086" s="2">
        <f>(Table1[[#This Row],[CO2 Emissions (g CO2)]])/(Table1[[#This Row],[Generation (TWh)]]*10^9)</f>
        <v>1707.63032</v>
      </c>
    </row>
    <row r="1087" spans="1:18" hidden="1">
      <c r="A1087" t="s">
        <v>720</v>
      </c>
      <c r="B1087" t="s">
        <v>46</v>
      </c>
      <c r="C1087" t="str">
        <f>SUBSTITUTE(Table1[[#This Row],[Fuel]],", ",",")</f>
        <v>bioenergy: agricultural waste (solids)</v>
      </c>
      <c r="D1087" t="s">
        <v>46</v>
      </c>
      <c r="G1087">
        <v>30</v>
      </c>
      <c r="H1087" t="s">
        <v>27</v>
      </c>
      <c r="I1087">
        <v>2022</v>
      </c>
      <c r="J1087" t="s">
        <v>21</v>
      </c>
      <c r="K1087">
        <v>46.6524</v>
      </c>
      <c r="L1087">
        <v>122.9667</v>
      </c>
      <c r="M1087" t="s">
        <v>102</v>
      </c>
      <c r="N1087" s="2">
        <f>Table1[[#This Row],[Capacity (MW)]]*8760*0.72*10^-6</f>
        <v>0.189216</v>
      </c>
      <c r="O1087" s="2" cm="1">
        <f t="array" ref="O1087">AVERAGE(VLOOKUP(_xlfn.TEXTSPLIT(Table1[[#This Row],[Fuel (no space after comma)]], ","), FuelList_Final_EF!$A$2:$B$32, 2, FALSE))</f>
        <v>118.17</v>
      </c>
      <c r="P1087" s="2">
        <f>(16112*Table1[[#This Row],[Generation (TWh)]]*10^9)/10^6</f>
        <v>3048648.1919999998</v>
      </c>
      <c r="Q1087" s="2">
        <f>Table1[[#This Row],[Emission Factor (kg CO2/ mmBtu)]]*Table1[[#This Row],[Fuel Consumption (mmBtu)]]*10^3</f>
        <v>360258756848.63995</v>
      </c>
      <c r="R1087" s="2">
        <f>(Table1[[#This Row],[CO2 Emissions (g CO2)]])/(Table1[[#This Row],[Generation (TWh)]]*10^9)</f>
        <v>1903.9550399999998</v>
      </c>
    </row>
    <row r="1088" spans="1:18">
      <c r="A1088" t="s">
        <v>54</v>
      </c>
      <c r="B1088" t="s">
        <v>105</v>
      </c>
      <c r="C1088" t="str">
        <f>SUBSTITUTE(Table1[[#This Row],[Fuel]],", ",",")</f>
        <v>bioenergy: agricultural waste (solids),bioenergy: wood &amp; other biomass (solids)</v>
      </c>
      <c r="D1088" t="s">
        <v>46</v>
      </c>
      <c r="E1088" t="s">
        <v>25</v>
      </c>
      <c r="G1088">
        <v>35</v>
      </c>
      <c r="H1088" t="s">
        <v>53</v>
      </c>
      <c r="I1088" t="s">
        <v>21</v>
      </c>
      <c r="J1088" t="s">
        <v>21</v>
      </c>
      <c r="K1088">
        <v>43.5959</v>
      </c>
      <c r="L1088">
        <v>121.36709999999999</v>
      </c>
      <c r="M1088" t="s">
        <v>102</v>
      </c>
      <c r="N1088" s="2">
        <f>Table1[[#This Row],[Capacity (MW)]]*8760*0.72*10^-6</f>
        <v>0.220752</v>
      </c>
      <c r="O1088" s="2" cm="1">
        <f t="array" ref="O1088">AVERAGE(VLOOKUP(_xlfn.TEXTSPLIT(Table1[[#This Row],[Fuel (no space after comma)]], ","), FuelList_Final_EF!$A$2:$B$32, 2, FALSE))</f>
        <v>105.985</v>
      </c>
      <c r="P1088" s="2">
        <f>(16112*Table1[[#This Row],[Generation (TWh)]]*10^9)/10^6</f>
        <v>3556756.2239999999</v>
      </c>
      <c r="Q1088" s="2">
        <f>Table1[[#This Row],[Emission Factor (kg CO2/ mmBtu)]]*Table1[[#This Row],[Fuel Consumption (mmBtu)]]*10^3</f>
        <v>376962808400.64001</v>
      </c>
      <c r="R1088" s="2">
        <f>(Table1[[#This Row],[CO2 Emissions (g CO2)]])/(Table1[[#This Row],[Generation (TWh)]]*10^9)</f>
        <v>1707.63032</v>
      </c>
    </row>
    <row r="1089" spans="1:18">
      <c r="A1089" t="s">
        <v>54</v>
      </c>
      <c r="B1089" t="s">
        <v>105</v>
      </c>
      <c r="C1089" t="str">
        <f>SUBSTITUTE(Table1[[#This Row],[Fuel]],", ",",")</f>
        <v>bioenergy: agricultural waste (solids),bioenergy: wood &amp; other biomass (solids)</v>
      </c>
      <c r="D1089" t="s">
        <v>46</v>
      </c>
      <c r="E1089" t="s">
        <v>25</v>
      </c>
      <c r="G1089">
        <v>35</v>
      </c>
      <c r="H1089" t="s">
        <v>53</v>
      </c>
      <c r="I1089" t="s">
        <v>21</v>
      </c>
      <c r="J1089" t="s">
        <v>21</v>
      </c>
      <c r="K1089">
        <v>43.5959</v>
      </c>
      <c r="L1089">
        <v>121.36709999999999</v>
      </c>
      <c r="M1089" t="s">
        <v>102</v>
      </c>
      <c r="N1089" s="2">
        <f>Table1[[#This Row],[Capacity (MW)]]*8760*0.72*10^-6</f>
        <v>0.220752</v>
      </c>
      <c r="O1089" s="2" cm="1">
        <f t="array" ref="O1089">AVERAGE(VLOOKUP(_xlfn.TEXTSPLIT(Table1[[#This Row],[Fuel (no space after comma)]], ","), FuelList_Final_EF!$A$2:$B$32, 2, FALSE))</f>
        <v>105.985</v>
      </c>
      <c r="P1089" s="2">
        <f>(16112*Table1[[#This Row],[Generation (TWh)]]*10^9)/10^6</f>
        <v>3556756.2239999999</v>
      </c>
      <c r="Q1089" s="2">
        <f>Table1[[#This Row],[Emission Factor (kg CO2/ mmBtu)]]*Table1[[#This Row],[Fuel Consumption (mmBtu)]]*10^3</f>
        <v>376962808400.64001</v>
      </c>
      <c r="R1089" s="2">
        <f>(Table1[[#This Row],[CO2 Emissions (g CO2)]])/(Table1[[#This Row],[Generation (TWh)]]*10^9)</f>
        <v>1707.63032</v>
      </c>
    </row>
    <row r="1090" spans="1:18" hidden="1">
      <c r="A1090" t="s">
        <v>721</v>
      </c>
      <c r="B1090" t="s">
        <v>46</v>
      </c>
      <c r="C1090" t="str">
        <f>SUBSTITUTE(Table1[[#This Row],[Fuel]],", ",",")</f>
        <v>bioenergy: agricultural waste (solids)</v>
      </c>
      <c r="D1090" t="s">
        <v>46</v>
      </c>
      <c r="G1090">
        <v>3.9</v>
      </c>
      <c r="H1090" t="s">
        <v>27</v>
      </c>
      <c r="I1090">
        <v>2021</v>
      </c>
      <c r="J1090" t="s">
        <v>21</v>
      </c>
      <c r="K1090">
        <v>48.465200000000003</v>
      </c>
      <c r="L1090">
        <v>124.515</v>
      </c>
      <c r="M1090" t="s">
        <v>102</v>
      </c>
      <c r="N1090" s="2">
        <f>Table1[[#This Row],[Capacity (MW)]]*8760*0.72*10^-6</f>
        <v>2.4598079999999998E-2</v>
      </c>
      <c r="O1090" s="2" cm="1">
        <f t="array" ref="O1090">AVERAGE(VLOOKUP(_xlfn.TEXTSPLIT(Table1[[#This Row],[Fuel (no space after comma)]], ","), FuelList_Final_EF!$A$2:$B$32, 2, FALSE))</f>
        <v>118.17</v>
      </c>
      <c r="P1090" s="2">
        <f>(16112*Table1[[#This Row],[Generation (TWh)]]*10^9)/10^6</f>
        <v>396324.26496</v>
      </c>
      <c r="Q1090" s="2">
        <f>Table1[[#This Row],[Emission Factor (kg CO2/ mmBtu)]]*Table1[[#This Row],[Fuel Consumption (mmBtu)]]*10^3</f>
        <v>46833638390.323196</v>
      </c>
      <c r="R1090" s="2">
        <f>(Table1[[#This Row],[CO2 Emissions (g CO2)]])/(Table1[[#This Row],[Generation (TWh)]]*10^9)</f>
        <v>1903.9550400000001</v>
      </c>
    </row>
    <row r="1091" spans="1:18" hidden="1">
      <c r="A1091" t="s">
        <v>722</v>
      </c>
      <c r="B1091" t="s">
        <v>46</v>
      </c>
      <c r="C1091" t="str">
        <f>SUBSTITUTE(Table1[[#This Row],[Fuel]],", ",",")</f>
        <v>bioenergy: agricultural waste (solids)</v>
      </c>
      <c r="D1091" t="s">
        <v>46</v>
      </c>
      <c r="G1091">
        <v>26.1</v>
      </c>
      <c r="H1091" t="s">
        <v>27</v>
      </c>
      <c r="I1091">
        <v>2021</v>
      </c>
      <c r="J1091" t="s">
        <v>21</v>
      </c>
      <c r="K1091">
        <v>48.465200000000003</v>
      </c>
      <c r="L1091">
        <v>124.515</v>
      </c>
      <c r="M1091" t="s">
        <v>102</v>
      </c>
      <c r="N1091" s="2">
        <f>Table1[[#This Row],[Capacity (MW)]]*8760*0.72*10^-6</f>
        <v>0.16461791999999997</v>
      </c>
      <c r="O1091" s="2" cm="1">
        <f t="array" ref="O1091">AVERAGE(VLOOKUP(_xlfn.TEXTSPLIT(Table1[[#This Row],[Fuel (no space after comma)]], ","), FuelList_Final_EF!$A$2:$B$32, 2, FALSE))</f>
        <v>118.17</v>
      </c>
      <c r="P1091" s="2">
        <f>(16112*Table1[[#This Row],[Generation (TWh)]]*10^9)/10^6</f>
        <v>2652323.9270399995</v>
      </c>
      <c r="Q1091" s="2">
        <f>Table1[[#This Row],[Emission Factor (kg CO2/ mmBtu)]]*Table1[[#This Row],[Fuel Consumption (mmBtu)]]*10^3</f>
        <v>313425118458.31677</v>
      </c>
      <c r="R1091" s="2">
        <f>(Table1[[#This Row],[CO2 Emissions (g CO2)]])/(Table1[[#This Row],[Generation (TWh)]]*10^9)</f>
        <v>1903.9550400000003</v>
      </c>
    </row>
    <row r="1092" spans="1:18">
      <c r="A1092" t="s">
        <v>723</v>
      </c>
      <c r="B1092" t="s">
        <v>105</v>
      </c>
      <c r="C1092" t="str">
        <f>SUBSTITUTE(Table1[[#This Row],[Fuel]],", ",",")</f>
        <v>bioenergy: agricultural waste (solids),bioenergy: wood &amp; other biomass (solids)</v>
      </c>
      <c r="D1092" t="s">
        <v>46</v>
      </c>
      <c r="E1092" t="s">
        <v>25</v>
      </c>
      <c r="G1092">
        <v>30</v>
      </c>
      <c r="H1092" t="s">
        <v>97</v>
      </c>
      <c r="I1092" t="s">
        <v>21</v>
      </c>
      <c r="J1092" t="s">
        <v>21</v>
      </c>
      <c r="K1092">
        <v>40.682099999999998</v>
      </c>
      <c r="L1092">
        <v>111.14830000000001</v>
      </c>
      <c r="M1092" t="s">
        <v>102</v>
      </c>
      <c r="N1092" s="2">
        <f>Table1[[#This Row],[Capacity (MW)]]*8760*0.72*10^-6</f>
        <v>0.189216</v>
      </c>
      <c r="O1092" s="2" cm="1">
        <f t="array" ref="O1092">AVERAGE(VLOOKUP(_xlfn.TEXTSPLIT(Table1[[#This Row],[Fuel (no space after comma)]], ","), FuelList_Final_EF!$A$2:$B$32, 2, FALSE))</f>
        <v>105.985</v>
      </c>
      <c r="P1092" s="2">
        <f>(16112*Table1[[#This Row],[Generation (TWh)]]*10^9)/10^6</f>
        <v>3048648.1919999998</v>
      </c>
      <c r="Q1092" s="2">
        <f>Table1[[#This Row],[Emission Factor (kg CO2/ mmBtu)]]*Table1[[#This Row],[Fuel Consumption (mmBtu)]]*10^3</f>
        <v>323110978629.12</v>
      </c>
      <c r="R1092" s="2">
        <f>(Table1[[#This Row],[CO2 Emissions (g CO2)]])/(Table1[[#This Row],[Generation (TWh)]]*10^9)</f>
        <v>1707.63032</v>
      </c>
    </row>
    <row r="1093" spans="1:18">
      <c r="A1093" t="s">
        <v>724</v>
      </c>
      <c r="B1093" t="s">
        <v>46</v>
      </c>
      <c r="C1093" t="str">
        <f>SUBSTITUTE(Table1[[#This Row],[Fuel]],", ",",")</f>
        <v>bioenergy: agricultural waste (solids)</v>
      </c>
      <c r="D1093" t="s">
        <v>46</v>
      </c>
      <c r="G1093">
        <v>45</v>
      </c>
      <c r="H1093" t="s">
        <v>53</v>
      </c>
      <c r="I1093" t="s">
        <v>21</v>
      </c>
      <c r="J1093" t="s">
        <v>21</v>
      </c>
      <c r="K1093">
        <v>41.096899999999998</v>
      </c>
      <c r="L1093">
        <v>108.2654</v>
      </c>
      <c r="M1093" t="s">
        <v>102</v>
      </c>
      <c r="N1093" s="2">
        <f>Table1[[#This Row],[Capacity (MW)]]*8760*0.72*10^-6</f>
        <v>0.28382399999999997</v>
      </c>
      <c r="O1093" s="2" cm="1">
        <f t="array" ref="O1093">AVERAGE(VLOOKUP(_xlfn.TEXTSPLIT(Table1[[#This Row],[Fuel (no space after comma)]], ","), FuelList_Final_EF!$A$2:$B$32, 2, FALSE))</f>
        <v>118.17</v>
      </c>
      <c r="P1093" s="2">
        <f>(16112*Table1[[#This Row],[Generation (TWh)]]*10^9)/10^6</f>
        <v>4572972.2879999988</v>
      </c>
      <c r="Q1093" s="2">
        <f>Table1[[#This Row],[Emission Factor (kg CO2/ mmBtu)]]*Table1[[#This Row],[Fuel Consumption (mmBtu)]]*10^3</f>
        <v>540388135272.95984</v>
      </c>
      <c r="R1093" s="2">
        <f>(Table1[[#This Row],[CO2 Emissions (g CO2)]])/(Table1[[#This Row],[Generation (TWh)]]*10^9)</f>
        <v>1903.9550399999998</v>
      </c>
    </row>
    <row r="1094" spans="1:18">
      <c r="A1094" t="s">
        <v>724</v>
      </c>
      <c r="B1094" t="s">
        <v>46</v>
      </c>
      <c r="C1094" t="str">
        <f>SUBSTITUTE(Table1[[#This Row],[Fuel]],", ",",")</f>
        <v>bioenergy: agricultural waste (solids)</v>
      </c>
      <c r="D1094" t="s">
        <v>46</v>
      </c>
      <c r="G1094">
        <v>45</v>
      </c>
      <c r="H1094" t="s">
        <v>53</v>
      </c>
      <c r="I1094" t="s">
        <v>21</v>
      </c>
      <c r="J1094" t="s">
        <v>21</v>
      </c>
      <c r="K1094">
        <v>41.096899999999998</v>
      </c>
      <c r="L1094">
        <v>108.2654</v>
      </c>
      <c r="M1094" t="s">
        <v>102</v>
      </c>
      <c r="N1094" s="2">
        <f>Table1[[#This Row],[Capacity (MW)]]*8760*0.72*10^-6</f>
        <v>0.28382399999999997</v>
      </c>
      <c r="O1094" s="2" cm="1">
        <f t="array" ref="O1094">AVERAGE(VLOOKUP(_xlfn.TEXTSPLIT(Table1[[#This Row],[Fuel (no space after comma)]], ","), FuelList_Final_EF!$A$2:$B$32, 2, FALSE))</f>
        <v>118.17</v>
      </c>
      <c r="P1094" s="2">
        <f>(16112*Table1[[#This Row],[Generation (TWh)]]*10^9)/10^6</f>
        <v>4572972.2879999988</v>
      </c>
      <c r="Q1094" s="2">
        <f>Table1[[#This Row],[Emission Factor (kg CO2/ mmBtu)]]*Table1[[#This Row],[Fuel Consumption (mmBtu)]]*10^3</f>
        <v>540388135272.95984</v>
      </c>
      <c r="R1094" s="2">
        <f>(Table1[[#This Row],[CO2 Emissions (g CO2)]])/(Table1[[#This Row],[Generation (TWh)]]*10^9)</f>
        <v>1903.9550399999998</v>
      </c>
    </row>
    <row r="1095" spans="1:18" hidden="1">
      <c r="A1095" t="s">
        <v>725</v>
      </c>
      <c r="B1095" t="s">
        <v>25</v>
      </c>
      <c r="C1095" t="str">
        <f>SUBSTITUTE(Table1[[#This Row],[Fuel]],", ",",")</f>
        <v>bioenergy: wood &amp; other biomass (solids)</v>
      </c>
      <c r="D1095" t="s">
        <v>25</v>
      </c>
      <c r="G1095">
        <v>52</v>
      </c>
      <c r="H1095" t="s">
        <v>27</v>
      </c>
      <c r="I1095">
        <v>2022</v>
      </c>
      <c r="J1095" t="s">
        <v>21</v>
      </c>
      <c r="K1095">
        <v>-22.334399999999999</v>
      </c>
      <c r="L1095">
        <v>-54.8142</v>
      </c>
      <c r="M1095" t="s">
        <v>49</v>
      </c>
      <c r="N1095" s="2">
        <f>Table1[[#This Row],[Capacity (MW)]]*8760*0.72*10^-6</f>
        <v>0.32797439999999994</v>
      </c>
      <c r="O1095" s="2" cm="1">
        <f t="array" ref="O1095">AVERAGE(VLOOKUP(_xlfn.TEXTSPLIT(Table1[[#This Row],[Fuel (no space after comma)]], ","), FuelList_Final_EF!$A$2:$B$32, 2, FALSE))</f>
        <v>93.8</v>
      </c>
      <c r="P1095" s="2">
        <f>(16112*Table1[[#This Row],[Generation (TWh)]]*10^9)/10^6</f>
        <v>5284323.5327999992</v>
      </c>
      <c r="Q1095" s="2">
        <f>Table1[[#This Row],[Emission Factor (kg CO2/ mmBtu)]]*Table1[[#This Row],[Fuel Consumption (mmBtu)]]*10^3</f>
        <v>495669547376.63989</v>
      </c>
      <c r="R1095" s="2">
        <f>(Table1[[#This Row],[CO2 Emissions (g CO2)]])/(Table1[[#This Row],[Generation (TWh)]]*10^9)</f>
        <v>1511.3055999999999</v>
      </c>
    </row>
    <row r="1096" spans="1:18" hidden="1">
      <c r="A1096" t="s">
        <v>725</v>
      </c>
      <c r="B1096" t="s">
        <v>25</v>
      </c>
      <c r="C1096" t="str">
        <f>SUBSTITUTE(Table1[[#This Row],[Fuel]],", ",",")</f>
        <v>bioenergy: wood &amp; other biomass (solids)</v>
      </c>
      <c r="D1096" t="s">
        <v>25</v>
      </c>
      <c r="G1096">
        <v>42</v>
      </c>
      <c r="H1096" t="s">
        <v>27</v>
      </c>
      <c r="I1096">
        <v>2019</v>
      </c>
      <c r="J1096" t="s">
        <v>21</v>
      </c>
      <c r="K1096">
        <v>-12.0169</v>
      </c>
      <c r="L1096">
        <v>-55.512799999999999</v>
      </c>
      <c r="M1096" t="s">
        <v>49</v>
      </c>
      <c r="N1096" s="2">
        <f>Table1[[#This Row],[Capacity (MW)]]*8760*0.72*10^-6</f>
        <v>0.26490239999999993</v>
      </c>
      <c r="O1096" s="2" cm="1">
        <f t="array" ref="O1096">AVERAGE(VLOOKUP(_xlfn.TEXTSPLIT(Table1[[#This Row],[Fuel (no space after comma)]], ","), FuelList_Final_EF!$A$2:$B$32, 2, FALSE))</f>
        <v>93.8</v>
      </c>
      <c r="P1096" s="2">
        <f>(16112*Table1[[#This Row],[Generation (TWh)]]*10^9)/10^6</f>
        <v>4268107.468799999</v>
      </c>
      <c r="Q1096" s="2">
        <f>Table1[[#This Row],[Emission Factor (kg CO2/ mmBtu)]]*Table1[[#This Row],[Fuel Consumption (mmBtu)]]*10^3</f>
        <v>400348480573.43988</v>
      </c>
      <c r="R1096" s="2">
        <f>(Table1[[#This Row],[CO2 Emissions (g CO2)]])/(Table1[[#This Row],[Generation (TWh)]]*10^9)</f>
        <v>1511.3055999999999</v>
      </c>
    </row>
    <row r="1097" spans="1:18">
      <c r="A1097" t="s">
        <v>726</v>
      </c>
      <c r="B1097" t="s">
        <v>25</v>
      </c>
      <c r="C1097" t="str">
        <f>SUBSTITUTE(Table1[[#This Row],[Fuel]],", ",",")</f>
        <v>bioenergy: wood &amp; other biomass (solids)</v>
      </c>
      <c r="D1097" t="s">
        <v>25</v>
      </c>
      <c r="G1097">
        <v>32</v>
      </c>
      <c r="H1097" t="s">
        <v>27</v>
      </c>
      <c r="I1097" t="s">
        <v>21</v>
      </c>
      <c r="J1097" t="s">
        <v>21</v>
      </c>
      <c r="K1097">
        <v>53.923499999999997</v>
      </c>
      <c r="L1097">
        <v>-122.6957</v>
      </c>
      <c r="M1097" t="s">
        <v>79</v>
      </c>
      <c r="N1097" s="2">
        <f>Table1[[#This Row],[Capacity (MW)]]*8760*0.72*10^-6</f>
        <v>0.20183039999999999</v>
      </c>
      <c r="O1097" s="2" cm="1">
        <f t="array" ref="O1097">AVERAGE(VLOOKUP(_xlfn.TEXTSPLIT(Table1[[#This Row],[Fuel (no space after comma)]], ","), FuelList_Final_EF!$A$2:$B$32, 2, FALSE))</f>
        <v>93.8</v>
      </c>
      <c r="P1097" s="2">
        <f>(16112*Table1[[#This Row],[Generation (TWh)]]*10^9)/10^6</f>
        <v>3251891.4047999997</v>
      </c>
      <c r="Q1097" s="2">
        <f>Table1[[#This Row],[Emission Factor (kg CO2/ mmBtu)]]*Table1[[#This Row],[Fuel Consumption (mmBtu)]]*10^3</f>
        <v>305027413770.23993</v>
      </c>
      <c r="R1097" s="2">
        <f>(Table1[[#This Row],[CO2 Emissions (g CO2)]])/(Table1[[#This Row],[Generation (TWh)]]*10^9)</f>
        <v>1511.3055999999997</v>
      </c>
    </row>
    <row r="1098" spans="1:18" hidden="1">
      <c r="A1098" t="s">
        <v>727</v>
      </c>
      <c r="B1098" t="s">
        <v>46</v>
      </c>
      <c r="C1098" t="str">
        <f>SUBSTITUTE(Table1[[#This Row],[Fuel]],", ",",")</f>
        <v>bioenergy: agricultural waste (solids)</v>
      </c>
      <c r="D1098" t="s">
        <v>46</v>
      </c>
      <c r="G1098">
        <v>40</v>
      </c>
      <c r="H1098" t="s">
        <v>27</v>
      </c>
      <c r="I1098">
        <v>2007</v>
      </c>
      <c r="J1098" t="s">
        <v>21</v>
      </c>
      <c r="K1098">
        <v>-20.526499999999999</v>
      </c>
      <c r="L1098">
        <v>-51.234499999999997</v>
      </c>
      <c r="M1098" t="s">
        <v>49</v>
      </c>
      <c r="N1098" s="2">
        <f>Table1[[#This Row],[Capacity (MW)]]*8760*0.72*10^-6</f>
        <v>0.25228800000000001</v>
      </c>
      <c r="O1098" s="2" cm="1">
        <f t="array" ref="O1098">AVERAGE(VLOOKUP(_xlfn.TEXTSPLIT(Table1[[#This Row],[Fuel (no space after comma)]], ","), FuelList_Final_EF!$A$2:$B$32, 2, FALSE))</f>
        <v>118.17</v>
      </c>
      <c r="P1098" s="2">
        <f>(16112*Table1[[#This Row],[Generation (TWh)]]*10^9)/10^6</f>
        <v>4064864.2560000005</v>
      </c>
      <c r="Q1098" s="2">
        <f>Table1[[#This Row],[Emission Factor (kg CO2/ mmBtu)]]*Table1[[#This Row],[Fuel Consumption (mmBtu)]]*10^3</f>
        <v>480345009131.52008</v>
      </c>
      <c r="R1098" s="2">
        <f>(Table1[[#This Row],[CO2 Emissions (g CO2)]])/(Table1[[#This Row],[Generation (TWh)]]*10^9)</f>
        <v>1903.9550400000003</v>
      </c>
    </row>
    <row r="1099" spans="1:18" hidden="1">
      <c r="A1099" t="s">
        <v>225</v>
      </c>
      <c r="B1099" t="s">
        <v>728</v>
      </c>
      <c r="C1099" t="str">
        <f>SUBSTITUTE(Table1[[#This Row],[Fuel]],", ",",")</f>
        <v>bioenergy: paper mill wastes,fossil gas: natural gas,fossil liquids: unknown</v>
      </c>
      <c r="D1099" t="s">
        <v>61</v>
      </c>
      <c r="E1099" t="s">
        <v>69</v>
      </c>
      <c r="F1099" t="s">
        <v>217</v>
      </c>
      <c r="G1099">
        <v>83</v>
      </c>
      <c r="H1099" t="s">
        <v>27</v>
      </c>
      <c r="I1099">
        <v>1998</v>
      </c>
      <c r="J1099" t="s">
        <v>21</v>
      </c>
      <c r="K1099">
        <v>32.102122999999999</v>
      </c>
      <c r="L1099">
        <v>-81.126383000000004</v>
      </c>
      <c r="M1099" t="s">
        <v>62</v>
      </c>
      <c r="N1099" s="2">
        <f>Table1[[#This Row],[Capacity (MW)]]*8760*0.72*10^-6</f>
        <v>0.52349760000000001</v>
      </c>
      <c r="O1099" s="2" cm="1">
        <f t="array" ref="O1099">AVERAGE(VLOOKUP(_xlfn.TEXTSPLIT(Table1[[#This Row],[Fuel (no space after comma)]], ","), FuelList_Final_EF!$A$2:$B$32, 2, FALSE))</f>
        <v>79.46140512734469</v>
      </c>
      <c r="P1099" s="2">
        <f>(16112*Table1[[#This Row],[Generation (TWh)]]*10^9)/10^6</f>
        <v>8434593.3311999999</v>
      </c>
      <c r="Q1099" s="2">
        <f>Table1[[#This Row],[Emission Factor (kg CO2/ mmBtu)]]*Table1[[#This Row],[Fuel Consumption (mmBtu)]]*10^3</f>
        <v>670224637774.88306</v>
      </c>
      <c r="R1099" s="2">
        <f>(Table1[[#This Row],[CO2 Emissions (g CO2)]])/(Table1[[#This Row],[Generation (TWh)]]*10^9)</f>
        <v>1280.2821594117777</v>
      </c>
    </row>
    <row r="1100" spans="1:18" hidden="1">
      <c r="A1100" t="s">
        <v>729</v>
      </c>
      <c r="B1100" t="s">
        <v>46</v>
      </c>
      <c r="C1100" t="str">
        <f>SUBSTITUTE(Table1[[#This Row],[Fuel]],", ",",")</f>
        <v>bioenergy: agricultural waste (solids)</v>
      </c>
      <c r="D1100" t="s">
        <v>46</v>
      </c>
      <c r="G1100">
        <v>50</v>
      </c>
      <c r="H1100" t="s">
        <v>27</v>
      </c>
      <c r="I1100">
        <v>1997</v>
      </c>
      <c r="J1100" t="s">
        <v>21</v>
      </c>
      <c r="K1100">
        <v>-19.516500000000001</v>
      </c>
      <c r="L1100">
        <v>147.10560000000001</v>
      </c>
      <c r="M1100" t="s">
        <v>235</v>
      </c>
      <c r="N1100" s="2">
        <f>Table1[[#This Row],[Capacity (MW)]]*8760*0.72*10^-6</f>
        <v>0.31535999999999997</v>
      </c>
      <c r="O1100" s="2" cm="1">
        <f t="array" ref="O1100">AVERAGE(VLOOKUP(_xlfn.TEXTSPLIT(Table1[[#This Row],[Fuel (no space after comma)]], ","), FuelList_Final_EF!$A$2:$B$32, 2, FALSE))</f>
        <v>118.17</v>
      </c>
      <c r="P1100" s="2">
        <f>(16112*Table1[[#This Row],[Generation (TWh)]]*10^9)/10^6</f>
        <v>5081080.32</v>
      </c>
      <c r="Q1100" s="2">
        <f>Table1[[#This Row],[Emission Factor (kg CO2/ mmBtu)]]*Table1[[#This Row],[Fuel Consumption (mmBtu)]]*10^3</f>
        <v>600431261414.40015</v>
      </c>
      <c r="R1100" s="2">
        <f>(Table1[[#This Row],[CO2 Emissions (g CO2)]])/(Table1[[#This Row],[Generation (TWh)]]*10^9)</f>
        <v>1903.9550400000005</v>
      </c>
    </row>
    <row r="1101" spans="1:18" hidden="1">
      <c r="A1101" t="s">
        <v>177</v>
      </c>
      <c r="B1101" t="s">
        <v>46</v>
      </c>
      <c r="C1101" t="str">
        <f>SUBSTITUTE(Table1[[#This Row],[Fuel]],", ",",")</f>
        <v>bioenergy: agricultural waste (solids)</v>
      </c>
      <c r="D1101" t="s">
        <v>46</v>
      </c>
      <c r="G1101">
        <v>76</v>
      </c>
      <c r="H1101" t="s">
        <v>27</v>
      </c>
      <c r="I1101">
        <v>2011</v>
      </c>
      <c r="J1101" t="s">
        <v>21</v>
      </c>
      <c r="K1101">
        <v>-23.095700000000001</v>
      </c>
      <c r="L1101">
        <v>-49.583599999999997</v>
      </c>
      <c r="M1101" t="s">
        <v>49</v>
      </c>
      <c r="N1101" s="2">
        <f>Table1[[#This Row],[Capacity (MW)]]*8760*0.72*10^-6</f>
        <v>0.47934719999999992</v>
      </c>
      <c r="O1101" s="2" cm="1">
        <f t="array" ref="O1101">AVERAGE(VLOOKUP(_xlfn.TEXTSPLIT(Table1[[#This Row],[Fuel (no space after comma)]], ","), FuelList_Final_EF!$A$2:$B$32, 2, FALSE))</f>
        <v>118.17</v>
      </c>
      <c r="P1101" s="2">
        <f>(16112*Table1[[#This Row],[Generation (TWh)]]*10^9)/10^6</f>
        <v>7723242.0863999994</v>
      </c>
      <c r="Q1101" s="2">
        <f>Table1[[#This Row],[Emission Factor (kg CO2/ mmBtu)]]*Table1[[#This Row],[Fuel Consumption (mmBtu)]]*10^3</f>
        <v>912655517349.88794</v>
      </c>
      <c r="R1101" s="2">
        <f>(Table1[[#This Row],[CO2 Emissions (g CO2)]])/(Table1[[#This Row],[Generation (TWh)]]*10^9)</f>
        <v>1903.9550400000001</v>
      </c>
    </row>
    <row r="1102" spans="1:18">
      <c r="A1102" t="s">
        <v>21</v>
      </c>
      <c r="B1102" t="s">
        <v>96</v>
      </c>
      <c r="C1102" t="str">
        <f>SUBSTITUTE(Table1[[#This Row],[Fuel]],", ",",")</f>
        <v>bioenergy: unknown</v>
      </c>
      <c r="D1102" t="s">
        <v>96</v>
      </c>
      <c r="G1102">
        <v>51</v>
      </c>
      <c r="H1102" t="s">
        <v>97</v>
      </c>
      <c r="I1102" t="s">
        <v>21</v>
      </c>
      <c r="J1102" t="s">
        <v>21</v>
      </c>
      <c r="K1102">
        <v>36.3842</v>
      </c>
      <c r="L1102">
        <v>139.20609999999999</v>
      </c>
      <c r="M1102" t="s">
        <v>51</v>
      </c>
      <c r="N1102" s="2">
        <f>Table1[[#This Row],[Capacity (MW)]]*8760*0.72*10^-6</f>
        <v>0.32166719999999999</v>
      </c>
      <c r="O1102" s="2" cm="1">
        <f t="array" ref="O1102">AVERAGE(VLOOKUP(_xlfn.TEXTSPLIT(Table1[[#This Row],[Fuel (no space after comma)]], ","), FuelList_Final_EF!$A$2:$B$32, 2, FALSE))</f>
        <v>72.785606017598653</v>
      </c>
      <c r="P1102" s="2">
        <f>(16112*Table1[[#This Row],[Generation (TWh)]]*10^9)/10^6</f>
        <v>5182701.9264000002</v>
      </c>
      <c r="Q1102" s="2">
        <f>Table1[[#This Row],[Emission Factor (kg CO2/ mmBtu)]]*Table1[[#This Row],[Fuel Consumption (mmBtu)]]*10^3</f>
        <v>377226100521.60004</v>
      </c>
      <c r="R1102" s="2">
        <f>(Table1[[#This Row],[CO2 Emissions (g CO2)]])/(Table1[[#This Row],[Generation (TWh)]]*10^9)</f>
        <v>1172.7216841555496</v>
      </c>
    </row>
    <row r="1103" spans="1:18" hidden="1">
      <c r="A1103" t="s">
        <v>730</v>
      </c>
      <c r="B1103" t="s">
        <v>210</v>
      </c>
      <c r="C1103" t="str">
        <f>SUBSTITUTE(Table1[[#This Row],[Fuel]],", ",",")</f>
        <v>bioenergy: wood &amp; other biomass (solids),bioenergy: agricultural waste (solids)</v>
      </c>
      <c r="D1103" t="s">
        <v>25</v>
      </c>
      <c r="E1103" t="s">
        <v>46</v>
      </c>
      <c r="G1103">
        <v>52</v>
      </c>
      <c r="H1103" t="s">
        <v>27</v>
      </c>
      <c r="I1103">
        <v>2023</v>
      </c>
      <c r="J1103" t="s">
        <v>21</v>
      </c>
      <c r="K1103">
        <v>43.194699999999997</v>
      </c>
      <c r="L1103">
        <v>141.2998</v>
      </c>
      <c r="M1103" t="s">
        <v>51</v>
      </c>
      <c r="N1103" s="2">
        <f>Table1[[#This Row],[Capacity (MW)]]*8760*0.72*10^-6</f>
        <v>0.32797439999999994</v>
      </c>
      <c r="O1103" s="2" cm="1">
        <f t="array" ref="O1103">AVERAGE(VLOOKUP(_xlfn.TEXTSPLIT(Table1[[#This Row],[Fuel (no space after comma)]], ","), FuelList_Final_EF!$A$2:$B$32, 2, FALSE))</f>
        <v>105.985</v>
      </c>
      <c r="P1103" s="2">
        <f>(16112*Table1[[#This Row],[Generation (TWh)]]*10^9)/10^6</f>
        <v>5284323.5327999992</v>
      </c>
      <c r="Q1103" s="2">
        <f>Table1[[#This Row],[Emission Factor (kg CO2/ mmBtu)]]*Table1[[#This Row],[Fuel Consumption (mmBtu)]]*10^3</f>
        <v>560059029623.80786</v>
      </c>
      <c r="R1103" s="2">
        <f>(Table1[[#This Row],[CO2 Emissions (g CO2)]])/(Table1[[#This Row],[Generation (TWh)]]*10^9)</f>
        <v>1707.63032</v>
      </c>
    </row>
    <row r="1104" spans="1:18" hidden="1">
      <c r="A1104" t="s">
        <v>54</v>
      </c>
      <c r="B1104" t="s">
        <v>210</v>
      </c>
      <c r="C1104" t="str">
        <f>SUBSTITUTE(Table1[[#This Row],[Fuel]],", ",",")</f>
        <v>bioenergy: wood &amp; other biomass (solids),bioenergy: agricultural waste (solids)</v>
      </c>
      <c r="D1104" t="s">
        <v>25</v>
      </c>
      <c r="E1104" t="s">
        <v>46</v>
      </c>
      <c r="G1104">
        <v>75</v>
      </c>
      <c r="H1104" t="s">
        <v>27</v>
      </c>
      <c r="I1104">
        <v>2023</v>
      </c>
      <c r="J1104" t="s">
        <v>21</v>
      </c>
      <c r="K1104">
        <v>38.411000000000001</v>
      </c>
      <c r="L1104">
        <v>141.27799999999999</v>
      </c>
      <c r="M1104" t="s">
        <v>51</v>
      </c>
      <c r="N1104" s="2">
        <f>Table1[[#This Row],[Capacity (MW)]]*8760*0.72*10^-6</f>
        <v>0.47303999999999996</v>
      </c>
      <c r="O1104" s="2" cm="1">
        <f t="array" ref="O1104">AVERAGE(VLOOKUP(_xlfn.TEXTSPLIT(Table1[[#This Row],[Fuel (no space after comma)]], ","), FuelList_Final_EF!$A$2:$B$32, 2, FALSE))</f>
        <v>105.985</v>
      </c>
      <c r="P1104" s="2">
        <f>(16112*Table1[[#This Row],[Generation (TWh)]]*10^9)/10^6</f>
        <v>7621620.4800000004</v>
      </c>
      <c r="Q1104" s="2">
        <f>Table1[[#This Row],[Emission Factor (kg CO2/ mmBtu)]]*Table1[[#This Row],[Fuel Consumption (mmBtu)]]*10^3</f>
        <v>807777446572.80005</v>
      </c>
      <c r="R1104" s="2">
        <f>(Table1[[#This Row],[CO2 Emissions (g CO2)]])/(Table1[[#This Row],[Generation (TWh)]]*10^9)</f>
        <v>1707.6303200000002</v>
      </c>
    </row>
    <row r="1105" spans="1:18" hidden="1">
      <c r="A1105" t="s">
        <v>731</v>
      </c>
      <c r="B1105" t="s">
        <v>25</v>
      </c>
      <c r="C1105" t="str">
        <f>SUBSTITUTE(Table1[[#This Row],[Fuel]],", ",",")</f>
        <v>bioenergy: wood &amp; other biomass (solids)</v>
      </c>
      <c r="D1105" t="s">
        <v>25</v>
      </c>
      <c r="G1105">
        <v>40</v>
      </c>
      <c r="H1105" t="s">
        <v>27</v>
      </c>
      <c r="I1105">
        <v>2018</v>
      </c>
      <c r="J1105" t="s">
        <v>21</v>
      </c>
      <c r="K1105">
        <v>38.41883</v>
      </c>
      <c r="L1105">
        <v>141.29173299999999</v>
      </c>
      <c r="M1105" t="s">
        <v>51</v>
      </c>
      <c r="N1105" s="2">
        <f>Table1[[#This Row],[Capacity (MW)]]*8760*0.72*10^-6</f>
        <v>0.25228800000000001</v>
      </c>
      <c r="O1105" s="2" cm="1">
        <f t="array" ref="O1105">AVERAGE(VLOOKUP(_xlfn.TEXTSPLIT(Table1[[#This Row],[Fuel (no space after comma)]], ","), FuelList_Final_EF!$A$2:$B$32, 2, FALSE))</f>
        <v>93.8</v>
      </c>
      <c r="P1105" s="2">
        <f>(16112*Table1[[#This Row],[Generation (TWh)]]*10^9)/10^6</f>
        <v>4064864.2560000005</v>
      </c>
      <c r="Q1105" s="2">
        <f>Table1[[#This Row],[Emission Factor (kg CO2/ mmBtu)]]*Table1[[#This Row],[Fuel Consumption (mmBtu)]]*10^3</f>
        <v>381284267212.80005</v>
      </c>
      <c r="R1105" s="2">
        <f>(Table1[[#This Row],[CO2 Emissions (g CO2)]])/(Table1[[#This Row],[Generation (TWh)]]*10^9)</f>
        <v>1511.3056000000001</v>
      </c>
    </row>
    <row r="1106" spans="1:18" hidden="1">
      <c r="A1106" t="s">
        <v>732</v>
      </c>
      <c r="B1106" t="s">
        <v>36</v>
      </c>
      <c r="C1106" t="str">
        <f>SUBSTITUTE(Table1[[#This Row],[Fuel]],", ",",")</f>
        <v>bioenergy: biodiesel</v>
      </c>
      <c r="D1106" t="s">
        <v>36</v>
      </c>
      <c r="G1106">
        <v>103</v>
      </c>
      <c r="H1106" t="s">
        <v>20</v>
      </c>
      <c r="I1106">
        <v>2025</v>
      </c>
      <c r="J1106" t="s">
        <v>21</v>
      </c>
      <c r="K1106">
        <v>38.478099999999998</v>
      </c>
      <c r="L1106">
        <v>141.2345</v>
      </c>
      <c r="M1106" t="s">
        <v>51</v>
      </c>
      <c r="N1106" s="2">
        <f>Table1[[#This Row],[Capacity (MW)]]*8760*0.72*10^-6</f>
        <v>0.64964159999999993</v>
      </c>
      <c r="O1106" s="2" cm="1">
        <f t="array" ref="O1106">AVERAGE(VLOOKUP(_xlfn.TEXTSPLIT(Table1[[#This Row],[Fuel (no space after comma)]], ","), FuelList_Final_EF!$A$2:$B$32, 2, FALSE))</f>
        <v>73.84</v>
      </c>
      <c r="P1106" s="2">
        <f>(16112*Table1[[#This Row],[Generation (TWh)]]*10^9)/10^6</f>
        <v>10467025.459199999</v>
      </c>
      <c r="Q1106" s="2">
        <f>Table1[[#This Row],[Emission Factor (kg CO2/ mmBtu)]]*Table1[[#This Row],[Fuel Consumption (mmBtu)]]*10^3</f>
        <v>772885159907.32788</v>
      </c>
      <c r="R1106" s="2">
        <f>(Table1[[#This Row],[CO2 Emissions (g CO2)]])/(Table1[[#This Row],[Generation (TWh)]]*10^9)</f>
        <v>1189.7100800000001</v>
      </c>
    </row>
    <row r="1107" spans="1:18" hidden="1">
      <c r="A1107" t="s">
        <v>733</v>
      </c>
      <c r="B1107" t="s">
        <v>19</v>
      </c>
      <c r="C1107" t="str">
        <f>SUBSTITUTE(Table1[[#This Row],[Fuel]],", ",",")</f>
        <v>bioenergy: refuse (municipal and industrial wastes)</v>
      </c>
      <c r="D1107" t="s">
        <v>19</v>
      </c>
      <c r="G1107">
        <v>52</v>
      </c>
      <c r="H1107" t="s">
        <v>27</v>
      </c>
      <c r="I1107">
        <v>2007</v>
      </c>
      <c r="J1107" t="s">
        <v>21</v>
      </c>
      <c r="K1107">
        <v>48.832099999999997</v>
      </c>
      <c r="L1107">
        <v>2.2635999999999998</v>
      </c>
      <c r="M1107" t="s">
        <v>228</v>
      </c>
      <c r="N1107" s="2">
        <f>Table1[[#This Row],[Capacity (MW)]]*8760*0.72*10^-6</f>
        <v>0.32797439999999994</v>
      </c>
      <c r="O1107" s="2" cm="1">
        <f t="array" ref="O1107">AVERAGE(VLOOKUP(_xlfn.TEXTSPLIT(Table1[[#This Row],[Fuel (no space after comma)]], ","), FuelList_Final_EF!$A$2:$B$32, 2, FALSE))</f>
        <v>105.42962572482868</v>
      </c>
      <c r="P1107" s="2">
        <f>(16112*Table1[[#This Row],[Generation (TWh)]]*10^9)/10^6</f>
        <v>5284323.5327999992</v>
      </c>
      <c r="Q1107" s="2">
        <f>Table1[[#This Row],[Emission Factor (kg CO2/ mmBtu)]]*Table1[[#This Row],[Fuel Consumption (mmBtu)]]*10^3</f>
        <v>557124252272.00842</v>
      </c>
      <c r="R1107" s="2">
        <f>(Table1[[#This Row],[CO2 Emissions (g CO2)]])/(Table1[[#This Row],[Generation (TWh)]]*10^9)</f>
        <v>1698.6821296784399</v>
      </c>
    </row>
    <row r="1108" spans="1:18" hidden="1">
      <c r="A1108" t="s">
        <v>734</v>
      </c>
      <c r="B1108" t="s">
        <v>46</v>
      </c>
      <c r="C1108" t="str">
        <f>SUBSTITUTE(Table1[[#This Row],[Fuel]],", ",",")</f>
        <v>bioenergy: agricultural waste (solids)</v>
      </c>
      <c r="D1108" t="s">
        <v>46</v>
      </c>
      <c r="G1108">
        <v>47</v>
      </c>
      <c r="H1108" t="s">
        <v>27</v>
      </c>
      <c r="I1108">
        <v>2007</v>
      </c>
      <c r="J1108" t="s">
        <v>21</v>
      </c>
      <c r="K1108">
        <v>-7.9058000000000002</v>
      </c>
      <c r="L1108">
        <v>-35.284700000000001</v>
      </c>
      <c r="M1108" t="s">
        <v>49</v>
      </c>
      <c r="N1108" s="2">
        <f>Table1[[#This Row],[Capacity (MW)]]*8760*0.72*10^-6</f>
        <v>0.29643839999999994</v>
      </c>
      <c r="O1108" s="2" cm="1">
        <f t="array" ref="O1108">AVERAGE(VLOOKUP(_xlfn.TEXTSPLIT(Table1[[#This Row],[Fuel (no space after comma)]], ","), FuelList_Final_EF!$A$2:$B$32, 2, FALSE))</f>
        <v>118.17</v>
      </c>
      <c r="P1108" s="2">
        <f>(16112*Table1[[#This Row],[Generation (TWh)]]*10^9)/10^6</f>
        <v>4776215.5007999986</v>
      </c>
      <c r="Q1108" s="2">
        <f>Table1[[#This Row],[Emission Factor (kg CO2/ mmBtu)]]*Table1[[#This Row],[Fuel Consumption (mmBtu)]]*10^3</f>
        <v>564405385729.53577</v>
      </c>
      <c r="R1108" s="2">
        <f>(Table1[[#This Row],[CO2 Emissions (g CO2)]])/(Table1[[#This Row],[Generation (TWh)]]*10^9)</f>
        <v>1903.9550399999996</v>
      </c>
    </row>
    <row r="1109" spans="1:18" hidden="1">
      <c r="A1109" t="s">
        <v>735</v>
      </c>
      <c r="B1109" t="s">
        <v>46</v>
      </c>
      <c r="C1109" t="str">
        <f>SUBSTITUTE(Table1[[#This Row],[Fuel]],", ",",")</f>
        <v>bioenergy: agricultural waste (solids)</v>
      </c>
      <c r="D1109" t="s">
        <v>46</v>
      </c>
      <c r="G1109">
        <v>38</v>
      </c>
      <c r="H1109" t="s">
        <v>27</v>
      </c>
      <c r="I1109">
        <v>2001</v>
      </c>
      <c r="J1109" t="s">
        <v>21</v>
      </c>
      <c r="K1109">
        <v>-14.758800000000001</v>
      </c>
      <c r="L1109">
        <v>-57.195799999999998</v>
      </c>
      <c r="M1109" t="s">
        <v>49</v>
      </c>
      <c r="N1109" s="2">
        <f>Table1[[#This Row],[Capacity (MW)]]*8760*0.72*10^-6</f>
        <v>0.23967359999999996</v>
      </c>
      <c r="O1109" s="2" cm="1">
        <f t="array" ref="O1109">AVERAGE(VLOOKUP(_xlfn.TEXTSPLIT(Table1[[#This Row],[Fuel (no space after comma)]], ","), FuelList_Final_EF!$A$2:$B$32, 2, FALSE))</f>
        <v>118.17</v>
      </c>
      <c r="P1109" s="2">
        <f>(16112*Table1[[#This Row],[Generation (TWh)]]*10^9)/10^6</f>
        <v>3861621.0431999997</v>
      </c>
      <c r="Q1109" s="2">
        <f>Table1[[#This Row],[Emission Factor (kg CO2/ mmBtu)]]*Table1[[#This Row],[Fuel Consumption (mmBtu)]]*10^3</f>
        <v>456327758674.94397</v>
      </c>
      <c r="R1109" s="2">
        <f>(Table1[[#This Row],[CO2 Emissions (g CO2)]])/(Table1[[#This Row],[Generation (TWh)]]*10^9)</f>
        <v>1903.9550400000001</v>
      </c>
    </row>
    <row r="1110" spans="1:18" hidden="1">
      <c r="A1110" t="s">
        <v>54</v>
      </c>
      <c r="B1110" t="s">
        <v>19</v>
      </c>
      <c r="C1110" t="str">
        <f>SUBSTITUTE(Table1[[#This Row],[Fuel]],", ",",")</f>
        <v>bioenergy: refuse (municipal and industrial wastes)</v>
      </c>
      <c r="D1110" t="s">
        <v>19</v>
      </c>
      <c r="G1110">
        <v>50</v>
      </c>
      <c r="H1110" t="s">
        <v>27</v>
      </c>
      <c r="I1110">
        <v>2005</v>
      </c>
      <c r="J1110" t="s">
        <v>21</v>
      </c>
      <c r="K1110">
        <v>37.027700000000003</v>
      </c>
      <c r="L1110">
        <v>137.8492</v>
      </c>
      <c r="M1110" t="s">
        <v>51</v>
      </c>
      <c r="N1110" s="2">
        <f>Table1[[#This Row],[Capacity (MW)]]*8760*0.72*10^-6</f>
        <v>0.31535999999999997</v>
      </c>
      <c r="O1110" s="2" cm="1">
        <f t="array" ref="O1110">AVERAGE(VLOOKUP(_xlfn.TEXTSPLIT(Table1[[#This Row],[Fuel (no space after comma)]], ","), FuelList_Final_EF!$A$2:$B$32, 2, FALSE))</f>
        <v>105.42962572482868</v>
      </c>
      <c r="P1110" s="2">
        <f>(16112*Table1[[#This Row],[Generation (TWh)]]*10^9)/10^6</f>
        <v>5081080.32</v>
      </c>
      <c r="Q1110" s="2">
        <f>Table1[[#This Row],[Emission Factor (kg CO2/ mmBtu)]]*Table1[[#This Row],[Fuel Consumption (mmBtu)]]*10^3</f>
        <v>535696396415.39276</v>
      </c>
      <c r="R1110" s="2">
        <f>(Table1[[#This Row],[CO2 Emissions (g CO2)]])/(Table1[[#This Row],[Generation (TWh)]]*10^9)</f>
        <v>1698.6821296784397</v>
      </c>
    </row>
    <row r="1111" spans="1:18">
      <c r="A1111" t="s">
        <v>736</v>
      </c>
      <c r="B1111" t="s">
        <v>46</v>
      </c>
      <c r="C1111" t="str">
        <f>SUBSTITUTE(Table1[[#This Row],[Fuel]],", ",",")</f>
        <v>bioenergy: agricultural waste (solids)</v>
      </c>
      <c r="D1111" t="s">
        <v>46</v>
      </c>
      <c r="G1111">
        <v>31</v>
      </c>
      <c r="H1111" t="s">
        <v>20</v>
      </c>
      <c r="I1111" t="s">
        <v>21</v>
      </c>
      <c r="J1111" t="s">
        <v>21</v>
      </c>
      <c r="K1111">
        <v>30.525300000000001</v>
      </c>
      <c r="L1111">
        <v>73.201300000000003</v>
      </c>
      <c r="M1111" t="s">
        <v>160</v>
      </c>
      <c r="N1111" s="2">
        <f>Table1[[#This Row],[Capacity (MW)]]*8760*0.72*10^-6</f>
        <v>0.19552319999999998</v>
      </c>
      <c r="O1111" s="2" cm="1">
        <f t="array" ref="O1111">AVERAGE(VLOOKUP(_xlfn.TEXTSPLIT(Table1[[#This Row],[Fuel (no space after comma)]], ","), FuelList_Final_EF!$A$2:$B$32, 2, FALSE))</f>
        <v>118.17</v>
      </c>
      <c r="P1111" s="2">
        <f>(16112*Table1[[#This Row],[Generation (TWh)]]*10^9)/10^6</f>
        <v>3150269.7983999997</v>
      </c>
      <c r="Q1111" s="2">
        <f>Table1[[#This Row],[Emission Factor (kg CO2/ mmBtu)]]*Table1[[#This Row],[Fuel Consumption (mmBtu)]]*10^3</f>
        <v>372267382076.92798</v>
      </c>
      <c r="R1111" s="2">
        <f>(Table1[[#This Row],[CO2 Emissions (g CO2)]])/(Table1[[#This Row],[Generation (TWh)]]*10^9)</f>
        <v>1903.9550400000003</v>
      </c>
    </row>
    <row r="1112" spans="1:18" hidden="1">
      <c r="A1112" t="s">
        <v>737</v>
      </c>
      <c r="B1112" t="s">
        <v>46</v>
      </c>
      <c r="C1112" t="str">
        <f>SUBSTITUTE(Table1[[#This Row],[Fuel]],", ",",")</f>
        <v>bioenergy: agricultural waste (solids)</v>
      </c>
      <c r="D1112" t="s">
        <v>46</v>
      </c>
      <c r="G1112">
        <v>56</v>
      </c>
      <c r="H1112" t="s">
        <v>27</v>
      </c>
      <c r="I1112">
        <v>2010</v>
      </c>
      <c r="J1112" t="s">
        <v>21</v>
      </c>
      <c r="K1112">
        <v>-18.973099999999999</v>
      </c>
      <c r="L1112">
        <v>-49.462200000000003</v>
      </c>
      <c r="M1112" t="s">
        <v>49</v>
      </c>
      <c r="N1112" s="2">
        <f>Table1[[#This Row],[Capacity (MW)]]*8760*0.72*10^-6</f>
        <v>0.35320319999999999</v>
      </c>
      <c r="O1112" s="2" cm="1">
        <f t="array" ref="O1112">AVERAGE(VLOOKUP(_xlfn.TEXTSPLIT(Table1[[#This Row],[Fuel (no space after comma)]], ","), FuelList_Final_EF!$A$2:$B$32, 2, FALSE))</f>
        <v>118.17</v>
      </c>
      <c r="P1112" s="2">
        <f>(16112*Table1[[#This Row],[Generation (TWh)]]*10^9)/10^6</f>
        <v>5690809.9583999999</v>
      </c>
      <c r="Q1112" s="2">
        <f>Table1[[#This Row],[Emission Factor (kg CO2/ mmBtu)]]*Table1[[#This Row],[Fuel Consumption (mmBtu)]]*10^3</f>
        <v>672483012784.12793</v>
      </c>
      <c r="R1112" s="2">
        <f>(Table1[[#This Row],[CO2 Emissions (g CO2)]])/(Table1[[#This Row],[Generation (TWh)]]*10^9)</f>
        <v>1903.9550399999998</v>
      </c>
    </row>
    <row r="1113" spans="1:18" hidden="1">
      <c r="A1113" t="s">
        <v>738</v>
      </c>
      <c r="B1113" t="s">
        <v>46</v>
      </c>
      <c r="C1113" t="str">
        <f>SUBSTITUTE(Table1[[#This Row],[Fuel]],", ",",")</f>
        <v>bioenergy: agricultural waste (solids)</v>
      </c>
      <c r="D1113" t="s">
        <v>46</v>
      </c>
      <c r="G1113">
        <v>62</v>
      </c>
      <c r="H1113" t="s">
        <v>27</v>
      </c>
      <c r="I1113">
        <v>2010</v>
      </c>
      <c r="J1113" t="s">
        <v>21</v>
      </c>
      <c r="K1113">
        <v>-18.369</v>
      </c>
      <c r="L1113">
        <v>-49.2605</v>
      </c>
      <c r="M1113" t="s">
        <v>49</v>
      </c>
      <c r="N1113" s="2">
        <f>Table1[[#This Row],[Capacity (MW)]]*8760*0.72*10^-6</f>
        <v>0.39104639999999996</v>
      </c>
      <c r="O1113" s="2" cm="1">
        <f t="array" ref="O1113">AVERAGE(VLOOKUP(_xlfn.TEXTSPLIT(Table1[[#This Row],[Fuel (no space after comma)]], ","), FuelList_Final_EF!$A$2:$B$32, 2, FALSE))</f>
        <v>118.17</v>
      </c>
      <c r="P1113" s="2">
        <f>(16112*Table1[[#This Row],[Generation (TWh)]]*10^9)/10^6</f>
        <v>6300539.5967999995</v>
      </c>
      <c r="Q1113" s="2">
        <f>Table1[[#This Row],[Emission Factor (kg CO2/ mmBtu)]]*Table1[[#This Row],[Fuel Consumption (mmBtu)]]*10^3</f>
        <v>744534764153.85596</v>
      </c>
      <c r="R1113" s="2">
        <f>(Table1[[#This Row],[CO2 Emissions (g CO2)]])/(Table1[[#This Row],[Generation (TWh)]]*10^9)</f>
        <v>1903.9550400000003</v>
      </c>
    </row>
    <row r="1114" spans="1:18" hidden="1">
      <c r="A1114" t="s">
        <v>733</v>
      </c>
      <c r="B1114" t="s">
        <v>19</v>
      </c>
      <c r="C1114" t="str">
        <f>SUBSTITUTE(Table1[[#This Row],[Fuel]],", ",",")</f>
        <v>bioenergy: refuse (municipal and industrial wastes)</v>
      </c>
      <c r="D1114" t="s">
        <v>19</v>
      </c>
      <c r="G1114">
        <v>64</v>
      </c>
      <c r="H1114" t="s">
        <v>27</v>
      </c>
      <c r="I1114">
        <v>1969</v>
      </c>
      <c r="J1114">
        <v>2025</v>
      </c>
      <c r="K1114">
        <v>48.822899999999997</v>
      </c>
      <c r="L1114">
        <v>2.3875999999999999</v>
      </c>
      <c r="M1114" t="s">
        <v>228</v>
      </c>
      <c r="N1114" s="2">
        <f>Table1[[#This Row],[Capacity (MW)]]*8760*0.72*10^-6</f>
        <v>0.40366079999999999</v>
      </c>
      <c r="O1114" s="2" cm="1">
        <f t="array" ref="O1114">AVERAGE(VLOOKUP(_xlfn.TEXTSPLIT(Table1[[#This Row],[Fuel (no space after comma)]], ","), FuelList_Final_EF!$A$2:$B$32, 2, FALSE))</f>
        <v>105.42962572482868</v>
      </c>
      <c r="P1114" s="2">
        <f>(16112*Table1[[#This Row],[Generation (TWh)]]*10^9)/10^6</f>
        <v>6503782.8095999993</v>
      </c>
      <c r="Q1114" s="2">
        <f>Table1[[#This Row],[Emission Factor (kg CO2/ mmBtu)]]*Table1[[#This Row],[Fuel Consumption (mmBtu)]]*10^3</f>
        <v>685691387411.70264</v>
      </c>
      <c r="R1114" s="2">
        <f>(Table1[[#This Row],[CO2 Emissions (g CO2)]])/(Table1[[#This Row],[Generation (TWh)]]*10^9)</f>
        <v>1698.6821296784394</v>
      </c>
    </row>
    <row r="1115" spans="1:18" hidden="1">
      <c r="A1115" t="s">
        <v>739</v>
      </c>
      <c r="B1115" t="s">
        <v>25</v>
      </c>
      <c r="C1115" t="str">
        <f>SUBSTITUTE(Table1[[#This Row],[Fuel]],", ",",")</f>
        <v>bioenergy: wood &amp; other biomass (solids)</v>
      </c>
      <c r="D1115" t="s">
        <v>25</v>
      </c>
      <c r="G1115">
        <v>75</v>
      </c>
      <c r="H1115" t="s">
        <v>27</v>
      </c>
      <c r="I1115">
        <v>2021</v>
      </c>
      <c r="J1115" t="s">
        <v>21</v>
      </c>
      <c r="K1115">
        <v>36.936700000000002</v>
      </c>
      <c r="L1115">
        <v>140.87309999999999</v>
      </c>
      <c r="M1115" t="s">
        <v>51</v>
      </c>
      <c r="N1115" s="2">
        <f>Table1[[#This Row],[Capacity (MW)]]*8760*0.72*10^-6</f>
        <v>0.47303999999999996</v>
      </c>
      <c r="O1115" s="2" cm="1">
        <f t="array" ref="O1115">AVERAGE(VLOOKUP(_xlfn.TEXTSPLIT(Table1[[#This Row],[Fuel (no space after comma)]], ","), FuelList_Final_EF!$A$2:$B$32, 2, FALSE))</f>
        <v>93.8</v>
      </c>
      <c r="P1115" s="2">
        <f>(16112*Table1[[#This Row],[Generation (TWh)]]*10^9)/10^6</f>
        <v>7621620.4800000004</v>
      </c>
      <c r="Q1115" s="2">
        <f>Table1[[#This Row],[Emission Factor (kg CO2/ mmBtu)]]*Table1[[#This Row],[Fuel Consumption (mmBtu)]]*10^3</f>
        <v>714908001024</v>
      </c>
      <c r="R1115" s="2">
        <f>(Table1[[#This Row],[CO2 Emissions (g CO2)]])/(Table1[[#This Row],[Generation (TWh)]]*10^9)</f>
        <v>1511.3056000000001</v>
      </c>
    </row>
    <row r="1116" spans="1:18" hidden="1">
      <c r="A1116" t="s">
        <v>740</v>
      </c>
      <c r="B1116" t="s">
        <v>25</v>
      </c>
      <c r="C1116" t="str">
        <f>SUBSTITUTE(Table1[[#This Row],[Fuel]],", ",",")</f>
        <v>bioenergy: wood &amp; other biomass (solids)</v>
      </c>
      <c r="D1116" t="s">
        <v>25</v>
      </c>
      <c r="G1116">
        <v>35</v>
      </c>
      <c r="H1116" t="s">
        <v>27</v>
      </c>
      <c r="I1116">
        <v>2013</v>
      </c>
      <c r="J1116" t="s">
        <v>21</v>
      </c>
      <c r="K1116">
        <v>34.176399000000004</v>
      </c>
      <c r="L1116">
        <v>132.235421</v>
      </c>
      <c r="M1116" t="s">
        <v>51</v>
      </c>
      <c r="N1116" s="2">
        <f>Table1[[#This Row],[Capacity (MW)]]*8760*0.72*10^-6</f>
        <v>0.220752</v>
      </c>
      <c r="O1116" s="2" cm="1">
        <f t="array" ref="O1116">AVERAGE(VLOOKUP(_xlfn.TEXTSPLIT(Table1[[#This Row],[Fuel (no space after comma)]], ","), FuelList_Final_EF!$A$2:$B$32, 2, FALSE))</f>
        <v>93.8</v>
      </c>
      <c r="P1116" s="2">
        <f>(16112*Table1[[#This Row],[Generation (TWh)]]*10^9)/10^6</f>
        <v>3556756.2239999999</v>
      </c>
      <c r="Q1116" s="2">
        <f>Table1[[#This Row],[Emission Factor (kg CO2/ mmBtu)]]*Table1[[#This Row],[Fuel Consumption (mmBtu)]]*10^3</f>
        <v>333623733811.19995</v>
      </c>
      <c r="R1116" s="2">
        <f>(Table1[[#This Row],[CO2 Emissions (g CO2)]])/(Table1[[#This Row],[Generation (TWh)]]*10^9)</f>
        <v>1511.3055999999997</v>
      </c>
    </row>
    <row r="1117" spans="1:18">
      <c r="A1117" t="s">
        <v>731</v>
      </c>
      <c r="B1117" t="s">
        <v>61</v>
      </c>
      <c r="C1117" t="str">
        <f>SUBSTITUTE(Table1[[#This Row],[Fuel]],", ",",")</f>
        <v>bioenergy: paper mill wastes</v>
      </c>
      <c r="D1117" t="s">
        <v>61</v>
      </c>
      <c r="G1117">
        <v>48</v>
      </c>
      <c r="H1117" t="s">
        <v>27</v>
      </c>
      <c r="I1117" t="s">
        <v>21</v>
      </c>
      <c r="J1117" t="s">
        <v>21</v>
      </c>
      <c r="K1117">
        <v>38.090499999999999</v>
      </c>
      <c r="L1117">
        <v>140.86080000000001</v>
      </c>
      <c r="M1117" t="s">
        <v>51</v>
      </c>
      <c r="N1117" s="2">
        <f>Table1[[#This Row],[Capacity (MW)]]*8760*0.72*10^-6</f>
        <v>0.30274559999999995</v>
      </c>
      <c r="O1117" s="2" cm="1">
        <f t="array" ref="O1117">AVERAGE(VLOOKUP(_xlfn.TEXTSPLIT(Table1[[#This Row],[Fuel (no space after comma)]], ","), FuelList_Final_EF!$A$2:$B$32, 2, FALSE))</f>
        <v>100.47443331576173</v>
      </c>
      <c r="P1117" s="2">
        <f>(16112*Table1[[#This Row],[Generation (TWh)]]*10^9)/10^6</f>
        <v>4877837.1071999986</v>
      </c>
      <c r="Q1117" s="2">
        <f>Table1[[#This Row],[Emission Factor (kg CO2/ mmBtu)]]*Table1[[#This Row],[Fuel Consumption (mmBtu)]]*10^3</f>
        <v>490097919152.51434</v>
      </c>
      <c r="R1117" s="2">
        <f>(Table1[[#This Row],[CO2 Emissions (g CO2)]])/(Table1[[#This Row],[Generation (TWh)]]*10^9)</f>
        <v>1618.8440695835527</v>
      </c>
    </row>
    <row r="1118" spans="1:18">
      <c r="A1118" t="s">
        <v>731</v>
      </c>
      <c r="B1118" t="s">
        <v>25</v>
      </c>
      <c r="C1118" t="str">
        <f>SUBSTITUTE(Table1[[#This Row],[Fuel]],", ",",")</f>
        <v>bioenergy: wood &amp; other biomass (solids)</v>
      </c>
      <c r="D1118" t="s">
        <v>25</v>
      </c>
      <c r="G1118">
        <v>65.8</v>
      </c>
      <c r="H1118" t="s">
        <v>138</v>
      </c>
      <c r="I1118" t="s">
        <v>21</v>
      </c>
      <c r="J1118" t="s">
        <v>21</v>
      </c>
      <c r="K1118">
        <v>38.092272919999999</v>
      </c>
      <c r="L1118">
        <v>140.86212130000001</v>
      </c>
      <c r="M1118" t="s">
        <v>51</v>
      </c>
      <c r="N1118" s="2">
        <f>Table1[[#This Row],[Capacity (MW)]]*8760*0.72*10^-6</f>
        <v>0.41501376000000001</v>
      </c>
      <c r="O1118" s="2" cm="1">
        <f t="array" ref="O1118">AVERAGE(VLOOKUP(_xlfn.TEXTSPLIT(Table1[[#This Row],[Fuel (no space after comma)]], ","), FuelList_Final_EF!$A$2:$B$32, 2, FALSE))</f>
        <v>93.8</v>
      </c>
      <c r="P1118" s="2">
        <f>(16112*Table1[[#This Row],[Generation (TWh)]]*10^9)/10^6</f>
        <v>6686701.7011200013</v>
      </c>
      <c r="Q1118" s="2">
        <f>Table1[[#This Row],[Emission Factor (kg CO2/ mmBtu)]]*Table1[[#This Row],[Fuel Consumption (mmBtu)]]*10^3</f>
        <v>627212619565.05603</v>
      </c>
      <c r="R1118" s="2">
        <f>(Table1[[#This Row],[CO2 Emissions (g CO2)]])/(Table1[[#This Row],[Generation (TWh)]]*10^9)</f>
        <v>1511.3056000000001</v>
      </c>
    </row>
    <row r="1119" spans="1:18" hidden="1">
      <c r="A1119" t="s">
        <v>276</v>
      </c>
      <c r="B1119" t="s">
        <v>46</v>
      </c>
      <c r="C1119" t="str">
        <f>SUBSTITUTE(Table1[[#This Row],[Fuel]],", ",",")</f>
        <v>bioenergy: agricultural waste (solids)</v>
      </c>
      <c r="D1119" t="s">
        <v>46</v>
      </c>
      <c r="G1119">
        <v>45</v>
      </c>
      <c r="H1119" t="s">
        <v>27</v>
      </c>
      <c r="I1119">
        <v>2005</v>
      </c>
      <c r="J1119" t="s">
        <v>21</v>
      </c>
      <c r="K1119">
        <v>13.727600000000001</v>
      </c>
      <c r="L1119">
        <v>-89.705500000000001</v>
      </c>
      <c r="M1119" t="s">
        <v>277</v>
      </c>
      <c r="N1119" s="2">
        <f>Table1[[#This Row],[Capacity (MW)]]*8760*0.72*10^-6</f>
        <v>0.28382399999999997</v>
      </c>
      <c r="O1119" s="2" cm="1">
        <f t="array" ref="O1119">AVERAGE(VLOOKUP(_xlfn.TEXTSPLIT(Table1[[#This Row],[Fuel (no space after comma)]], ","), FuelList_Final_EF!$A$2:$B$32, 2, FALSE))</f>
        <v>118.17</v>
      </c>
      <c r="P1119" s="2">
        <f>(16112*Table1[[#This Row],[Generation (TWh)]]*10^9)/10^6</f>
        <v>4572972.2879999988</v>
      </c>
      <c r="Q1119" s="2">
        <f>Table1[[#This Row],[Emission Factor (kg CO2/ mmBtu)]]*Table1[[#This Row],[Fuel Consumption (mmBtu)]]*10^3</f>
        <v>540388135272.95984</v>
      </c>
      <c r="R1119" s="2">
        <f>(Table1[[#This Row],[CO2 Emissions (g CO2)]])/(Table1[[#This Row],[Generation (TWh)]]*10^9)</f>
        <v>1903.9550399999998</v>
      </c>
    </row>
    <row r="1120" spans="1:18">
      <c r="A1120" t="s">
        <v>741</v>
      </c>
      <c r="B1120" t="s">
        <v>742</v>
      </c>
      <c r="C1120" t="str">
        <f>SUBSTITUTE(Table1[[#This Row],[Fuel]],", ",",")</f>
        <v>bioenergy: wood &amp; other biomass (solids),other: other</v>
      </c>
      <c r="D1120" t="s">
        <v>25</v>
      </c>
      <c r="E1120" t="s">
        <v>216</v>
      </c>
      <c r="G1120">
        <v>43</v>
      </c>
      <c r="H1120" t="s">
        <v>27</v>
      </c>
      <c r="I1120" t="s">
        <v>21</v>
      </c>
      <c r="J1120" t="s">
        <v>21</v>
      </c>
      <c r="K1120">
        <v>61.9148</v>
      </c>
      <c r="L1120">
        <v>25.1633</v>
      </c>
      <c r="M1120" t="s">
        <v>28</v>
      </c>
      <c r="N1120" s="2">
        <f>Table1[[#This Row],[Capacity (MW)]]*8760*0.72*10^-6</f>
        <v>0.27120959999999994</v>
      </c>
      <c r="O1120" s="2" cm="1">
        <f t="array" ref="O1120">AVERAGE(VLOOKUP(_xlfn.TEXTSPLIT(Table1[[#This Row],[Fuel (no space after comma)]], ","), FuelList_Final_EF!$A$2:$B$32, 2, FALSE))</f>
        <v>89.884999999999991</v>
      </c>
      <c r="P1120" s="2">
        <f>(16112*Table1[[#This Row],[Generation (TWh)]]*10^9)/10^6</f>
        <v>4369729.0751999989</v>
      </c>
      <c r="Q1120" s="2">
        <f>Table1[[#This Row],[Emission Factor (kg CO2/ mmBtu)]]*Table1[[#This Row],[Fuel Consumption (mmBtu)]]*10^3</f>
        <v>392773097924.35187</v>
      </c>
      <c r="R1120" s="2">
        <f>(Table1[[#This Row],[CO2 Emissions (g CO2)]])/(Table1[[#This Row],[Generation (TWh)]]*10^9)</f>
        <v>1448.2271199999998</v>
      </c>
    </row>
    <row r="1121" spans="1:18" hidden="1">
      <c r="A1121" t="s">
        <v>743</v>
      </c>
      <c r="B1121" t="s">
        <v>61</v>
      </c>
      <c r="C1121" t="str">
        <f>SUBSTITUTE(Table1[[#This Row],[Fuel]],", ",",")</f>
        <v>bioenergy: paper mill wastes</v>
      </c>
      <c r="D1121" t="s">
        <v>61</v>
      </c>
      <c r="G1121">
        <v>55</v>
      </c>
      <c r="H1121" t="s">
        <v>27</v>
      </c>
      <c r="I1121">
        <v>1976</v>
      </c>
      <c r="J1121" t="s">
        <v>21</v>
      </c>
      <c r="K1121">
        <v>-0.92420000000000002</v>
      </c>
      <c r="L1121">
        <v>-52.432899999999997</v>
      </c>
      <c r="M1121" t="s">
        <v>49</v>
      </c>
      <c r="N1121" s="2">
        <f>Table1[[#This Row],[Capacity (MW)]]*8760*0.72*10^-6</f>
        <v>0.34689599999999998</v>
      </c>
      <c r="O1121" s="2" cm="1">
        <f t="array" ref="O1121">AVERAGE(VLOOKUP(_xlfn.TEXTSPLIT(Table1[[#This Row],[Fuel (no space after comma)]], ","), FuelList_Final_EF!$A$2:$B$32, 2, FALSE))</f>
        <v>100.47443331576173</v>
      </c>
      <c r="P1121" s="2">
        <f>(16112*Table1[[#This Row],[Generation (TWh)]]*10^9)/10^6</f>
        <v>5589188.352</v>
      </c>
      <c r="Q1121" s="2">
        <f>Table1[[#This Row],[Emission Factor (kg CO2/ mmBtu)]]*Table1[[#This Row],[Fuel Consumption (mmBtu)]]*10^3</f>
        <v>561570532362.25623</v>
      </c>
      <c r="R1121" s="2">
        <f>(Table1[[#This Row],[CO2 Emissions (g CO2)]])/(Table1[[#This Row],[Generation (TWh)]]*10^9)</f>
        <v>1618.8440695835532</v>
      </c>
    </row>
    <row r="1122" spans="1:18" hidden="1">
      <c r="A1122" t="s">
        <v>744</v>
      </c>
      <c r="B1122" t="s">
        <v>46</v>
      </c>
      <c r="C1122" t="str">
        <f>SUBSTITUTE(Table1[[#This Row],[Fuel]],", ",",")</f>
        <v>bioenergy: agricultural waste (solids)</v>
      </c>
      <c r="D1122" t="s">
        <v>46</v>
      </c>
      <c r="G1122">
        <v>35</v>
      </c>
      <c r="H1122" t="s">
        <v>27</v>
      </c>
      <c r="I1122">
        <v>2013</v>
      </c>
      <c r="J1122" t="s">
        <v>21</v>
      </c>
      <c r="K1122">
        <v>-17.691800000000001</v>
      </c>
      <c r="L1122">
        <v>-51.615499999999997</v>
      </c>
      <c r="M1122" t="s">
        <v>49</v>
      </c>
      <c r="N1122" s="2">
        <f>Table1[[#This Row],[Capacity (MW)]]*8760*0.72*10^-6</f>
        <v>0.220752</v>
      </c>
      <c r="O1122" s="2" cm="1">
        <f t="array" ref="O1122">AVERAGE(VLOOKUP(_xlfn.TEXTSPLIT(Table1[[#This Row],[Fuel (no space after comma)]], ","), FuelList_Final_EF!$A$2:$B$32, 2, FALSE))</f>
        <v>118.17</v>
      </c>
      <c r="P1122" s="2">
        <f>(16112*Table1[[#This Row],[Generation (TWh)]]*10^9)/10^6</f>
        <v>3556756.2239999999</v>
      </c>
      <c r="Q1122" s="2">
        <f>Table1[[#This Row],[Emission Factor (kg CO2/ mmBtu)]]*Table1[[#This Row],[Fuel Consumption (mmBtu)]]*10^3</f>
        <v>420301882990.08002</v>
      </c>
      <c r="R1122" s="2">
        <f>(Table1[[#This Row],[CO2 Emissions (g CO2)]])/(Table1[[#This Row],[Generation (TWh)]]*10^9)</f>
        <v>1903.9550400000001</v>
      </c>
    </row>
    <row r="1123" spans="1:18" hidden="1">
      <c r="A1123" t="s">
        <v>744</v>
      </c>
      <c r="B1123" t="s">
        <v>46</v>
      </c>
      <c r="C1123" t="str">
        <f>SUBSTITUTE(Table1[[#This Row],[Fuel]],", ",",")</f>
        <v>bioenergy: agricultural waste (solids)</v>
      </c>
      <c r="D1123" t="s">
        <v>46</v>
      </c>
      <c r="G1123">
        <v>35</v>
      </c>
      <c r="H1123" t="s">
        <v>27</v>
      </c>
      <c r="I1123">
        <v>2013</v>
      </c>
      <c r="J1123" t="s">
        <v>21</v>
      </c>
      <c r="K1123">
        <v>-17.691800000000001</v>
      </c>
      <c r="L1123">
        <v>-51.615499999999997</v>
      </c>
      <c r="M1123" t="s">
        <v>49</v>
      </c>
      <c r="N1123" s="2">
        <f>Table1[[#This Row],[Capacity (MW)]]*8760*0.72*10^-6</f>
        <v>0.220752</v>
      </c>
      <c r="O1123" s="2" cm="1">
        <f t="array" ref="O1123">AVERAGE(VLOOKUP(_xlfn.TEXTSPLIT(Table1[[#This Row],[Fuel (no space after comma)]], ","), FuelList_Final_EF!$A$2:$B$32, 2, FALSE))</f>
        <v>118.17</v>
      </c>
      <c r="P1123" s="2">
        <f>(16112*Table1[[#This Row],[Generation (TWh)]]*10^9)/10^6</f>
        <v>3556756.2239999999</v>
      </c>
      <c r="Q1123" s="2">
        <f>Table1[[#This Row],[Emission Factor (kg CO2/ mmBtu)]]*Table1[[#This Row],[Fuel Consumption (mmBtu)]]*10^3</f>
        <v>420301882990.08002</v>
      </c>
      <c r="R1123" s="2">
        <f>(Table1[[#This Row],[CO2 Emissions (g CO2)]])/(Table1[[#This Row],[Generation (TWh)]]*10^9)</f>
        <v>1903.9550400000001</v>
      </c>
    </row>
    <row r="1124" spans="1:18" hidden="1">
      <c r="A1124" t="s">
        <v>744</v>
      </c>
      <c r="B1124" t="s">
        <v>46</v>
      </c>
      <c r="C1124" t="str">
        <f>SUBSTITUTE(Table1[[#This Row],[Fuel]],", ",",")</f>
        <v>bioenergy: agricultural waste (solids)</v>
      </c>
      <c r="D1124" t="s">
        <v>46</v>
      </c>
      <c r="G1124">
        <v>35</v>
      </c>
      <c r="H1124" t="s">
        <v>27</v>
      </c>
      <c r="I1124">
        <v>2013</v>
      </c>
      <c r="J1124" t="s">
        <v>21</v>
      </c>
      <c r="K1124">
        <v>-17.691800000000001</v>
      </c>
      <c r="L1124">
        <v>-51.615499999999997</v>
      </c>
      <c r="M1124" t="s">
        <v>49</v>
      </c>
      <c r="N1124" s="2">
        <f>Table1[[#This Row],[Capacity (MW)]]*8760*0.72*10^-6</f>
        <v>0.220752</v>
      </c>
      <c r="O1124" s="2" cm="1">
        <f t="array" ref="O1124">AVERAGE(VLOOKUP(_xlfn.TEXTSPLIT(Table1[[#This Row],[Fuel (no space after comma)]], ","), FuelList_Final_EF!$A$2:$B$32, 2, FALSE))</f>
        <v>118.17</v>
      </c>
      <c r="P1124" s="2">
        <f>(16112*Table1[[#This Row],[Generation (TWh)]]*10^9)/10^6</f>
        <v>3556756.2239999999</v>
      </c>
      <c r="Q1124" s="2">
        <f>Table1[[#This Row],[Emission Factor (kg CO2/ mmBtu)]]*Table1[[#This Row],[Fuel Consumption (mmBtu)]]*10^3</f>
        <v>420301882990.08002</v>
      </c>
      <c r="R1124" s="2">
        <f>(Table1[[#This Row],[CO2 Emissions (g CO2)]])/(Table1[[#This Row],[Generation (TWh)]]*10^9)</f>
        <v>1903.9550400000001</v>
      </c>
    </row>
    <row r="1125" spans="1:18" hidden="1">
      <c r="A1125" t="s">
        <v>745</v>
      </c>
      <c r="B1125" t="s">
        <v>25</v>
      </c>
      <c r="C1125" t="str">
        <f>SUBSTITUTE(Table1[[#This Row],[Fuel]],", ",",")</f>
        <v>bioenergy: wood &amp; other biomass (solids)</v>
      </c>
      <c r="D1125" t="s">
        <v>25</v>
      </c>
      <c r="G1125">
        <v>50</v>
      </c>
      <c r="H1125" t="s">
        <v>27</v>
      </c>
      <c r="I1125">
        <v>1953</v>
      </c>
      <c r="J1125" t="s">
        <v>21</v>
      </c>
      <c r="K1125">
        <v>50.213351000000003</v>
      </c>
      <c r="L1125">
        <v>19.228059999999999</v>
      </c>
      <c r="M1125" t="s">
        <v>196</v>
      </c>
      <c r="N1125" s="2">
        <f>Table1[[#This Row],[Capacity (MW)]]*8760*0.72*10^-6</f>
        <v>0.31535999999999997</v>
      </c>
      <c r="O1125" s="2" cm="1">
        <f t="array" ref="O1125">AVERAGE(VLOOKUP(_xlfn.TEXTSPLIT(Table1[[#This Row],[Fuel (no space after comma)]], ","), FuelList_Final_EF!$A$2:$B$32, 2, FALSE))</f>
        <v>93.8</v>
      </c>
      <c r="P1125" s="2">
        <f>(16112*Table1[[#This Row],[Generation (TWh)]]*10^9)/10^6</f>
        <v>5081080.32</v>
      </c>
      <c r="Q1125" s="2">
        <f>Table1[[#This Row],[Emission Factor (kg CO2/ mmBtu)]]*Table1[[#This Row],[Fuel Consumption (mmBtu)]]*10^3</f>
        <v>476605334016.00006</v>
      </c>
      <c r="R1125" s="2">
        <f>(Table1[[#This Row],[CO2 Emissions (g CO2)]])/(Table1[[#This Row],[Generation (TWh)]]*10^9)</f>
        <v>1511.3056000000001</v>
      </c>
    </row>
    <row r="1126" spans="1:18" hidden="1">
      <c r="A1126" t="s">
        <v>745</v>
      </c>
      <c r="B1126" t="s">
        <v>25</v>
      </c>
      <c r="C1126" t="str">
        <f>SUBSTITUTE(Table1[[#This Row],[Fuel]],", ",",")</f>
        <v>bioenergy: wood &amp; other biomass (solids)</v>
      </c>
      <c r="D1126" t="s">
        <v>25</v>
      </c>
      <c r="G1126">
        <v>50</v>
      </c>
      <c r="H1126" t="s">
        <v>27</v>
      </c>
      <c r="I1126">
        <v>2013</v>
      </c>
      <c r="J1126" t="s">
        <v>21</v>
      </c>
      <c r="K1126">
        <v>50.213351000000003</v>
      </c>
      <c r="L1126">
        <v>19.228059999999999</v>
      </c>
      <c r="M1126" t="s">
        <v>196</v>
      </c>
      <c r="N1126" s="2">
        <f>Table1[[#This Row],[Capacity (MW)]]*8760*0.72*10^-6</f>
        <v>0.31535999999999997</v>
      </c>
      <c r="O1126" s="2" cm="1">
        <f t="array" ref="O1126">AVERAGE(VLOOKUP(_xlfn.TEXTSPLIT(Table1[[#This Row],[Fuel (no space after comma)]], ","), FuelList_Final_EF!$A$2:$B$32, 2, FALSE))</f>
        <v>93.8</v>
      </c>
      <c r="P1126" s="2">
        <f>(16112*Table1[[#This Row],[Generation (TWh)]]*10^9)/10^6</f>
        <v>5081080.32</v>
      </c>
      <c r="Q1126" s="2">
        <f>Table1[[#This Row],[Emission Factor (kg CO2/ mmBtu)]]*Table1[[#This Row],[Fuel Consumption (mmBtu)]]*10^3</f>
        <v>476605334016.00006</v>
      </c>
      <c r="R1126" s="2">
        <f>(Table1[[#This Row],[CO2 Emissions (g CO2)]])/(Table1[[#This Row],[Generation (TWh)]]*10^9)</f>
        <v>1511.3056000000001</v>
      </c>
    </row>
    <row r="1127" spans="1:18" hidden="1">
      <c r="A1127" t="s">
        <v>63</v>
      </c>
      <c r="B1127" t="s">
        <v>46</v>
      </c>
      <c r="C1127" t="str">
        <f>SUBSTITUTE(Table1[[#This Row],[Fuel]],", ",",")</f>
        <v>bioenergy: agricultural waste (solids)</v>
      </c>
      <c r="D1127" t="s">
        <v>46</v>
      </c>
      <c r="G1127">
        <v>49</v>
      </c>
      <c r="H1127" t="s">
        <v>27</v>
      </c>
      <c r="I1127">
        <v>2012</v>
      </c>
      <c r="J1127" t="s">
        <v>21</v>
      </c>
      <c r="K1127">
        <v>19.146999999999998</v>
      </c>
      <c r="L1127">
        <v>76.268900000000002</v>
      </c>
      <c r="M1127" t="s">
        <v>66</v>
      </c>
      <c r="N1127" s="2">
        <f>Table1[[#This Row],[Capacity (MW)]]*8760*0.72*10^-6</f>
        <v>0.30905279999999996</v>
      </c>
      <c r="O1127" s="2" cm="1">
        <f t="array" ref="O1127">AVERAGE(VLOOKUP(_xlfn.TEXTSPLIT(Table1[[#This Row],[Fuel (no space after comma)]], ","), FuelList_Final_EF!$A$2:$B$32, 2, FALSE))</f>
        <v>118.17</v>
      </c>
      <c r="P1127" s="2">
        <f>(16112*Table1[[#This Row],[Generation (TWh)]]*10^9)/10^6</f>
        <v>4979458.7135999994</v>
      </c>
      <c r="Q1127" s="2">
        <f>Table1[[#This Row],[Emission Factor (kg CO2/ mmBtu)]]*Table1[[#This Row],[Fuel Consumption (mmBtu)]]*10^3</f>
        <v>588422636186.11194</v>
      </c>
      <c r="R1127" s="2">
        <f>(Table1[[#This Row],[CO2 Emissions (g CO2)]])/(Table1[[#This Row],[Generation (TWh)]]*10^9)</f>
        <v>1903.9550400000003</v>
      </c>
    </row>
    <row r="1128" spans="1:18" hidden="1">
      <c r="A1128" t="s">
        <v>746</v>
      </c>
      <c r="B1128" t="s">
        <v>46</v>
      </c>
      <c r="C1128" t="str">
        <f>SUBSTITUTE(Table1[[#This Row],[Fuel]],", ",",")</f>
        <v>bioenergy: agricultural waste (solids)</v>
      </c>
      <c r="D1128" t="s">
        <v>46</v>
      </c>
      <c r="G1128">
        <v>30</v>
      </c>
      <c r="H1128" t="s">
        <v>27</v>
      </c>
      <c r="I1128">
        <v>2006</v>
      </c>
      <c r="J1128" t="s">
        <v>21</v>
      </c>
      <c r="K1128">
        <v>-8.2239000000000004</v>
      </c>
      <c r="L1128">
        <v>-35.271799999999999</v>
      </c>
      <c r="M1128" t="s">
        <v>49</v>
      </c>
      <c r="N1128" s="2">
        <f>Table1[[#This Row],[Capacity (MW)]]*8760*0.72*10^-6</f>
        <v>0.189216</v>
      </c>
      <c r="O1128" s="2" cm="1">
        <f t="array" ref="O1128">AVERAGE(VLOOKUP(_xlfn.TEXTSPLIT(Table1[[#This Row],[Fuel (no space after comma)]], ","), FuelList_Final_EF!$A$2:$B$32, 2, FALSE))</f>
        <v>118.17</v>
      </c>
      <c r="P1128" s="2">
        <f>(16112*Table1[[#This Row],[Generation (TWh)]]*10^9)/10^6</f>
        <v>3048648.1919999998</v>
      </c>
      <c r="Q1128" s="2">
        <f>Table1[[#This Row],[Emission Factor (kg CO2/ mmBtu)]]*Table1[[#This Row],[Fuel Consumption (mmBtu)]]*10^3</f>
        <v>360258756848.63995</v>
      </c>
      <c r="R1128" s="2">
        <f>(Table1[[#This Row],[CO2 Emissions (g CO2)]])/(Table1[[#This Row],[Generation (TWh)]]*10^9)</f>
        <v>1903.9550399999998</v>
      </c>
    </row>
    <row r="1129" spans="1:18" hidden="1">
      <c r="A1129" t="s">
        <v>747</v>
      </c>
      <c r="B1129" t="s">
        <v>318</v>
      </c>
      <c r="C1129" t="str">
        <f>SUBSTITUTE(Table1[[#This Row],[Fuel]],", ",",")</f>
        <v>bioenergy: wood &amp; other biomass (solids),fossil gas: natural gas,fossil liquids: unknown</v>
      </c>
      <c r="D1129" t="s">
        <v>25</v>
      </c>
      <c r="E1129" t="s">
        <v>69</v>
      </c>
      <c r="F1129" t="s">
        <v>217</v>
      </c>
      <c r="G1129">
        <v>11.4</v>
      </c>
      <c r="H1129" t="s">
        <v>27</v>
      </c>
      <c r="I1129">
        <v>1984</v>
      </c>
      <c r="J1129" t="s">
        <v>21</v>
      </c>
      <c r="K1129">
        <v>44.491700000000002</v>
      </c>
      <c r="L1129">
        <v>-73.208100000000002</v>
      </c>
      <c r="M1129" t="s">
        <v>62</v>
      </c>
      <c r="N1129" s="2">
        <f>Table1[[#This Row],[Capacity (MW)]]*8760*0.72*10^-6</f>
        <v>7.1902079999999993E-2</v>
      </c>
      <c r="O1129" s="2" cm="1">
        <f t="array" ref="O1129">AVERAGE(VLOOKUP(_xlfn.TEXTSPLIT(Table1[[#This Row],[Fuel (no space after comma)]], ","), FuelList_Final_EF!$A$2:$B$32, 2, FALSE))</f>
        <v>77.236594022090785</v>
      </c>
      <c r="P1129" s="2">
        <f>(16112*Table1[[#This Row],[Generation (TWh)]]*10^9)/10^6</f>
        <v>1158486.3129599998</v>
      </c>
      <c r="Q1129" s="2">
        <f>Table1[[#This Row],[Emission Factor (kg CO2/ mmBtu)]]*Table1[[#This Row],[Fuel Consumption (mmBtu)]]*10^3</f>
        <v>89477537034.240311</v>
      </c>
      <c r="R1129" s="2">
        <f>(Table1[[#This Row],[CO2 Emissions (g CO2)]])/(Table1[[#This Row],[Generation (TWh)]]*10^9)</f>
        <v>1244.4360028839264</v>
      </c>
    </row>
    <row r="1130" spans="1:18" hidden="1">
      <c r="A1130" t="s">
        <v>748</v>
      </c>
      <c r="B1130" t="s">
        <v>318</v>
      </c>
      <c r="C1130" t="str">
        <f>SUBSTITUTE(Table1[[#This Row],[Fuel]],", ",",")</f>
        <v>bioenergy: wood &amp; other biomass (solids),fossil gas: natural gas,fossil liquids: unknown</v>
      </c>
      <c r="D1130" t="s">
        <v>25</v>
      </c>
      <c r="E1130" t="s">
        <v>69</v>
      </c>
      <c r="F1130" t="s">
        <v>217</v>
      </c>
      <c r="G1130">
        <v>18.600000000000001</v>
      </c>
      <c r="H1130" t="s">
        <v>27</v>
      </c>
      <c r="I1130">
        <v>1984</v>
      </c>
      <c r="J1130" t="s">
        <v>21</v>
      </c>
      <c r="K1130">
        <v>44.491700000000002</v>
      </c>
      <c r="L1130">
        <v>-73.208100000000002</v>
      </c>
      <c r="M1130" t="s">
        <v>62</v>
      </c>
      <c r="N1130" s="2">
        <f>Table1[[#This Row],[Capacity (MW)]]*8760*0.72*10^-6</f>
        <v>0.11731391999999999</v>
      </c>
      <c r="O1130" s="2" cm="1">
        <f t="array" ref="O1130">AVERAGE(VLOOKUP(_xlfn.TEXTSPLIT(Table1[[#This Row],[Fuel (no space after comma)]], ","), FuelList_Final_EF!$A$2:$B$32, 2, FALSE))</f>
        <v>77.236594022090785</v>
      </c>
      <c r="P1130" s="2">
        <f>(16112*Table1[[#This Row],[Generation (TWh)]]*10^9)/10^6</f>
        <v>1890161.8790399998</v>
      </c>
      <c r="Q1130" s="2">
        <f>Table1[[#This Row],[Emission Factor (kg CO2/ mmBtu)]]*Table1[[#This Row],[Fuel Consumption (mmBtu)]]*10^3</f>
        <v>145989665687.44473</v>
      </c>
      <c r="R1130" s="2">
        <f>(Table1[[#This Row],[CO2 Emissions (g CO2)]])/(Table1[[#This Row],[Generation (TWh)]]*10^9)</f>
        <v>1244.4360028839267</v>
      </c>
    </row>
    <row r="1131" spans="1:18" hidden="1">
      <c r="A1131" t="s">
        <v>749</v>
      </c>
      <c r="B1131" t="s">
        <v>318</v>
      </c>
      <c r="C1131" t="str">
        <f>SUBSTITUTE(Table1[[#This Row],[Fuel]],", ",",")</f>
        <v>bioenergy: wood &amp; other biomass (solids),fossil gas: natural gas,fossil liquids: unknown</v>
      </c>
      <c r="D1131" t="s">
        <v>25</v>
      </c>
      <c r="E1131" t="s">
        <v>69</v>
      </c>
      <c r="F1131" t="s">
        <v>217</v>
      </c>
      <c r="G1131">
        <v>30</v>
      </c>
      <c r="H1131" t="s">
        <v>27</v>
      </c>
      <c r="I1131">
        <v>1984</v>
      </c>
      <c r="J1131" t="s">
        <v>21</v>
      </c>
      <c r="K1131">
        <v>44.491700000000002</v>
      </c>
      <c r="L1131">
        <v>-73.208100000000002</v>
      </c>
      <c r="M1131" t="s">
        <v>62</v>
      </c>
      <c r="N1131" s="2">
        <f>Table1[[#This Row],[Capacity (MW)]]*8760*0.72*10^-6</f>
        <v>0.189216</v>
      </c>
      <c r="O1131" s="2" cm="1">
        <f t="array" ref="O1131">AVERAGE(VLOOKUP(_xlfn.TEXTSPLIT(Table1[[#This Row],[Fuel (no space after comma)]], ","), FuelList_Final_EF!$A$2:$B$32, 2, FALSE))</f>
        <v>77.236594022090785</v>
      </c>
      <c r="P1131" s="2">
        <f>(16112*Table1[[#This Row],[Generation (TWh)]]*10^9)/10^6</f>
        <v>3048648.1919999998</v>
      </c>
      <c r="Q1131" s="2">
        <f>Table1[[#This Row],[Emission Factor (kg CO2/ mmBtu)]]*Table1[[#This Row],[Fuel Consumption (mmBtu)]]*10^3</f>
        <v>235467202721.68506</v>
      </c>
      <c r="R1131" s="2">
        <f>(Table1[[#This Row],[CO2 Emissions (g CO2)]])/(Table1[[#This Row],[Generation (TWh)]]*10^9)</f>
        <v>1244.4360028839267</v>
      </c>
    </row>
    <row r="1132" spans="1:18" hidden="1">
      <c r="A1132" t="s">
        <v>750</v>
      </c>
      <c r="B1132" t="s">
        <v>251</v>
      </c>
      <c r="C1132" t="str">
        <f>SUBSTITUTE(Table1[[#This Row],[Fuel]],", ",",")</f>
        <v>bioenergy: wood &amp; other biomass (solids),bioenergy: refuse (municipal and industrial wastes)</v>
      </c>
      <c r="D1132" t="s">
        <v>25</v>
      </c>
      <c r="E1132" t="s">
        <v>19</v>
      </c>
      <c r="G1132">
        <v>32</v>
      </c>
      <c r="H1132" t="s">
        <v>27</v>
      </c>
      <c r="I1132">
        <v>2017</v>
      </c>
      <c r="J1132" t="s">
        <v>21</v>
      </c>
      <c r="K1132">
        <v>35.848599999999998</v>
      </c>
      <c r="L1132">
        <v>127.0986</v>
      </c>
      <c r="M1132" t="s">
        <v>333</v>
      </c>
      <c r="N1132" s="2">
        <f>Table1[[#This Row],[Capacity (MW)]]*8760*0.72*10^-6</f>
        <v>0.20183039999999999</v>
      </c>
      <c r="O1132" s="2" cm="1">
        <f t="array" ref="O1132">AVERAGE(VLOOKUP(_xlfn.TEXTSPLIT(Table1[[#This Row],[Fuel (no space after comma)]], ","), FuelList_Final_EF!$A$2:$B$32, 2, FALSE))</f>
        <v>99.61481286241434</v>
      </c>
      <c r="P1132" s="2">
        <f>(16112*Table1[[#This Row],[Generation (TWh)]]*10^9)/10^6</f>
        <v>3251891.4047999997</v>
      </c>
      <c r="Q1132" s="2">
        <f>Table1[[#This Row],[Emission Factor (kg CO2/ mmBtu)]]*Table1[[#This Row],[Fuel Consumption (mmBtu)]]*10^3</f>
        <v>323936553738.04565</v>
      </c>
      <c r="R1132" s="2">
        <f>(Table1[[#This Row],[CO2 Emissions (g CO2)]])/(Table1[[#This Row],[Generation (TWh)]]*10^9)</f>
        <v>1604.9938648392197</v>
      </c>
    </row>
    <row r="1133" spans="1:18" hidden="1">
      <c r="A1133" t="s">
        <v>751</v>
      </c>
      <c r="B1133" t="s">
        <v>145</v>
      </c>
      <c r="C1133" t="str">
        <f>SUBSTITUTE(Table1[[#This Row],[Fuel]],", ",",")</f>
        <v>bioenergy: paper mill wastes,bioenergy: wood &amp; other biomass (solids),fossil gas: natural gas</v>
      </c>
      <c r="D1133" t="s">
        <v>61</v>
      </c>
      <c r="E1133" t="s">
        <v>25</v>
      </c>
      <c r="F1133" t="s">
        <v>69</v>
      </c>
      <c r="G1133">
        <v>30</v>
      </c>
      <c r="H1133" t="s">
        <v>27</v>
      </c>
      <c r="I1133">
        <v>1971</v>
      </c>
      <c r="J1133" t="s">
        <v>21</v>
      </c>
      <c r="K1133">
        <v>31.659300000000002</v>
      </c>
      <c r="L1133">
        <v>-81.843900000000005</v>
      </c>
      <c r="M1133" t="s">
        <v>62</v>
      </c>
      <c r="N1133" s="2">
        <f>Table1[[#This Row],[Capacity (MW)]]*8760*0.72*10^-6</f>
        <v>0.189216</v>
      </c>
      <c r="O1133" s="2" cm="1">
        <f t="array" ref="O1133">AVERAGE(VLOOKUP(_xlfn.TEXTSPLIT(Table1[[#This Row],[Fuel (no space after comma)]], ","), FuelList_Final_EF!$A$2:$B$32, 2, FALSE))</f>
        <v>82.444811105253905</v>
      </c>
      <c r="P1133" s="2">
        <f>(16112*Table1[[#This Row],[Generation (TWh)]]*10^9)/10^6</f>
        <v>3048648.1919999998</v>
      </c>
      <c r="Q1133" s="2">
        <f>Table1[[#This Row],[Emission Factor (kg CO2/ mmBtu)]]*Table1[[#This Row],[Fuel Consumption (mmBtu)]]*10^3</f>
        <v>251345224315.81381</v>
      </c>
      <c r="R1133" s="2">
        <f>(Table1[[#This Row],[CO2 Emissions (g CO2)]])/(Table1[[#This Row],[Generation (TWh)]]*10^9)</f>
        <v>1328.3507965278507</v>
      </c>
    </row>
    <row r="1134" spans="1:18" hidden="1">
      <c r="A1134" t="s">
        <v>130</v>
      </c>
      <c r="B1134" t="s">
        <v>19</v>
      </c>
      <c r="C1134" t="str">
        <f>SUBSTITUTE(Table1[[#This Row],[Fuel]],", ",",")</f>
        <v>bioenergy: refuse (municipal and industrial wastes)</v>
      </c>
      <c r="D1134" t="s">
        <v>19</v>
      </c>
      <c r="G1134">
        <v>30</v>
      </c>
      <c r="H1134" t="s">
        <v>27</v>
      </c>
      <c r="I1134">
        <v>2020</v>
      </c>
      <c r="J1134" t="s">
        <v>21</v>
      </c>
      <c r="K1134">
        <v>31.747599999999998</v>
      </c>
      <c r="L1134">
        <v>121.0204</v>
      </c>
      <c r="M1134" t="s">
        <v>102</v>
      </c>
      <c r="N1134" s="2">
        <f>Table1[[#This Row],[Capacity (MW)]]*8760*0.72*10^-6</f>
        <v>0.189216</v>
      </c>
      <c r="O1134" s="2" cm="1">
        <f t="array" ref="O1134">AVERAGE(VLOOKUP(_xlfn.TEXTSPLIT(Table1[[#This Row],[Fuel (no space after comma)]], ","), FuelList_Final_EF!$A$2:$B$32, 2, FALSE))</f>
        <v>105.42962572482868</v>
      </c>
      <c r="P1134" s="2">
        <f>(16112*Table1[[#This Row],[Generation (TWh)]]*10^9)/10^6</f>
        <v>3048648.1919999998</v>
      </c>
      <c r="Q1134" s="2">
        <f>Table1[[#This Row],[Emission Factor (kg CO2/ mmBtu)]]*Table1[[#This Row],[Fuel Consumption (mmBtu)]]*10^3</f>
        <v>321417837849.23566</v>
      </c>
      <c r="R1134" s="2">
        <f>(Table1[[#This Row],[CO2 Emissions (g CO2)]])/(Table1[[#This Row],[Generation (TWh)]]*10^9)</f>
        <v>1698.6821296784397</v>
      </c>
    </row>
    <row r="1135" spans="1:18" hidden="1">
      <c r="A1135" t="s">
        <v>284</v>
      </c>
      <c r="B1135" t="s">
        <v>46</v>
      </c>
      <c r="C1135" t="str">
        <f>SUBSTITUTE(Table1[[#This Row],[Fuel]],", ",",")</f>
        <v>bioenergy: agricultural waste (solids)</v>
      </c>
      <c r="D1135" t="s">
        <v>46</v>
      </c>
      <c r="G1135">
        <v>35</v>
      </c>
      <c r="H1135" t="s">
        <v>27</v>
      </c>
      <c r="I1135">
        <v>2020</v>
      </c>
      <c r="J1135" t="s">
        <v>21</v>
      </c>
      <c r="K1135">
        <v>33.6021</v>
      </c>
      <c r="L1135">
        <v>119.6091</v>
      </c>
      <c r="M1135" t="s">
        <v>102</v>
      </c>
      <c r="N1135" s="2">
        <f>Table1[[#This Row],[Capacity (MW)]]*8760*0.72*10^-6</f>
        <v>0.220752</v>
      </c>
      <c r="O1135" s="2" cm="1">
        <f t="array" ref="O1135">AVERAGE(VLOOKUP(_xlfn.TEXTSPLIT(Table1[[#This Row],[Fuel (no space after comma)]], ","), FuelList_Final_EF!$A$2:$B$32, 2, FALSE))</f>
        <v>118.17</v>
      </c>
      <c r="P1135" s="2">
        <f>(16112*Table1[[#This Row],[Generation (TWh)]]*10^9)/10^6</f>
        <v>3556756.2239999999</v>
      </c>
      <c r="Q1135" s="2">
        <f>Table1[[#This Row],[Emission Factor (kg CO2/ mmBtu)]]*Table1[[#This Row],[Fuel Consumption (mmBtu)]]*10^3</f>
        <v>420301882990.08002</v>
      </c>
      <c r="R1135" s="2">
        <f>(Table1[[#This Row],[CO2 Emissions (g CO2)]])/(Table1[[#This Row],[Generation (TWh)]]*10^9)</f>
        <v>1903.9550400000001</v>
      </c>
    </row>
    <row r="1136" spans="1:18" hidden="1">
      <c r="A1136" t="s">
        <v>530</v>
      </c>
      <c r="B1136" t="s">
        <v>105</v>
      </c>
      <c r="C1136" t="str">
        <f>SUBSTITUTE(Table1[[#This Row],[Fuel]],", ",",")</f>
        <v>bioenergy: agricultural waste (solids),bioenergy: wood &amp; other biomass (solids)</v>
      </c>
      <c r="D1136" t="s">
        <v>46</v>
      </c>
      <c r="E1136" t="s">
        <v>25</v>
      </c>
      <c r="G1136">
        <v>30</v>
      </c>
      <c r="H1136" t="s">
        <v>27</v>
      </c>
      <c r="I1136">
        <v>2020</v>
      </c>
      <c r="J1136" t="s">
        <v>21</v>
      </c>
      <c r="K1136">
        <v>32.787500000000001</v>
      </c>
      <c r="L1136">
        <v>119.74809999999999</v>
      </c>
      <c r="M1136" t="s">
        <v>102</v>
      </c>
      <c r="N1136" s="2">
        <f>Table1[[#This Row],[Capacity (MW)]]*8760*0.72*10^-6</f>
        <v>0.189216</v>
      </c>
      <c r="O1136" s="2" cm="1">
        <f t="array" ref="O1136">AVERAGE(VLOOKUP(_xlfn.TEXTSPLIT(Table1[[#This Row],[Fuel (no space after comma)]], ","), FuelList_Final_EF!$A$2:$B$32, 2, FALSE))</f>
        <v>105.985</v>
      </c>
      <c r="P1136" s="2">
        <f>(16112*Table1[[#This Row],[Generation (TWh)]]*10^9)/10^6</f>
        <v>3048648.1919999998</v>
      </c>
      <c r="Q1136" s="2">
        <f>Table1[[#This Row],[Emission Factor (kg CO2/ mmBtu)]]*Table1[[#This Row],[Fuel Consumption (mmBtu)]]*10^3</f>
        <v>323110978629.12</v>
      </c>
      <c r="R1136" s="2">
        <f>(Table1[[#This Row],[CO2 Emissions (g CO2)]])/(Table1[[#This Row],[Generation (TWh)]]*10^9)</f>
        <v>1707.63032</v>
      </c>
    </row>
    <row r="1137" spans="1:18" hidden="1">
      <c r="A1137" t="s">
        <v>109</v>
      </c>
      <c r="B1137" t="s">
        <v>46</v>
      </c>
      <c r="C1137" t="str">
        <f>SUBSTITUTE(Table1[[#This Row],[Fuel]],", ",",")</f>
        <v>bioenergy: agricultural waste (solids)</v>
      </c>
      <c r="D1137" t="s">
        <v>46</v>
      </c>
      <c r="G1137">
        <v>30</v>
      </c>
      <c r="H1137" t="s">
        <v>27</v>
      </c>
      <c r="I1137">
        <v>2018</v>
      </c>
      <c r="J1137" t="s">
        <v>21</v>
      </c>
      <c r="K1137">
        <v>34.255899999999997</v>
      </c>
      <c r="L1137">
        <v>119.25020000000001</v>
      </c>
      <c r="M1137" t="s">
        <v>102</v>
      </c>
      <c r="N1137" s="2">
        <f>Table1[[#This Row],[Capacity (MW)]]*8760*0.72*10^-6</f>
        <v>0.189216</v>
      </c>
      <c r="O1137" s="2" cm="1">
        <f t="array" ref="O1137">AVERAGE(VLOOKUP(_xlfn.TEXTSPLIT(Table1[[#This Row],[Fuel (no space after comma)]], ","), FuelList_Final_EF!$A$2:$B$32, 2, FALSE))</f>
        <v>118.17</v>
      </c>
      <c r="P1137" s="2">
        <f>(16112*Table1[[#This Row],[Generation (TWh)]]*10^9)/10^6</f>
        <v>3048648.1919999998</v>
      </c>
      <c r="Q1137" s="2">
        <f>Table1[[#This Row],[Emission Factor (kg CO2/ mmBtu)]]*Table1[[#This Row],[Fuel Consumption (mmBtu)]]*10^3</f>
        <v>360258756848.63995</v>
      </c>
      <c r="R1137" s="2">
        <f>(Table1[[#This Row],[CO2 Emissions (g CO2)]])/(Table1[[#This Row],[Generation (TWh)]]*10^9)</f>
        <v>1903.9550399999998</v>
      </c>
    </row>
    <row r="1138" spans="1:18">
      <c r="A1138" t="s">
        <v>752</v>
      </c>
      <c r="B1138" t="s">
        <v>19</v>
      </c>
      <c r="C1138" t="str">
        <f>SUBSTITUTE(Table1[[#This Row],[Fuel]],", ",",")</f>
        <v>bioenergy: refuse (municipal and industrial wastes)</v>
      </c>
      <c r="D1138" t="s">
        <v>19</v>
      </c>
      <c r="G1138">
        <v>35</v>
      </c>
      <c r="H1138" t="s">
        <v>20</v>
      </c>
      <c r="I1138" t="s">
        <v>21</v>
      </c>
      <c r="J1138" t="s">
        <v>21</v>
      </c>
      <c r="K1138">
        <v>31.474599999999999</v>
      </c>
      <c r="L1138">
        <v>120.9966</v>
      </c>
      <c r="M1138" t="s">
        <v>102</v>
      </c>
      <c r="N1138" s="2">
        <f>Table1[[#This Row],[Capacity (MW)]]*8760*0.72*10^-6</f>
        <v>0.220752</v>
      </c>
      <c r="O1138" s="2" cm="1">
        <f t="array" ref="O1138">AVERAGE(VLOOKUP(_xlfn.TEXTSPLIT(Table1[[#This Row],[Fuel (no space after comma)]], ","), FuelList_Final_EF!$A$2:$B$32, 2, FALSE))</f>
        <v>105.42962572482868</v>
      </c>
      <c r="P1138" s="2">
        <f>(16112*Table1[[#This Row],[Generation (TWh)]]*10^9)/10^6</f>
        <v>3556756.2239999999</v>
      </c>
      <c r="Q1138" s="2">
        <f>Table1[[#This Row],[Emission Factor (kg CO2/ mmBtu)]]*Table1[[#This Row],[Fuel Consumption (mmBtu)]]*10^3</f>
        <v>374987477490.7749</v>
      </c>
      <c r="R1138" s="2">
        <f>(Table1[[#This Row],[CO2 Emissions (g CO2)]])/(Table1[[#This Row],[Generation (TWh)]]*10^9)</f>
        <v>1698.6821296784397</v>
      </c>
    </row>
    <row r="1139" spans="1:18">
      <c r="A1139" t="s">
        <v>752</v>
      </c>
      <c r="B1139" t="s">
        <v>19</v>
      </c>
      <c r="C1139" t="str">
        <f>SUBSTITUTE(Table1[[#This Row],[Fuel]],", ",",")</f>
        <v>bioenergy: refuse (municipal and industrial wastes)</v>
      </c>
      <c r="D1139" t="s">
        <v>19</v>
      </c>
      <c r="G1139">
        <v>35</v>
      </c>
      <c r="H1139" t="s">
        <v>20</v>
      </c>
      <c r="I1139" t="s">
        <v>21</v>
      </c>
      <c r="J1139" t="s">
        <v>21</v>
      </c>
      <c r="K1139">
        <v>31.474599999999999</v>
      </c>
      <c r="L1139">
        <v>120.9966</v>
      </c>
      <c r="M1139" t="s">
        <v>102</v>
      </c>
      <c r="N1139" s="2">
        <f>Table1[[#This Row],[Capacity (MW)]]*8760*0.72*10^-6</f>
        <v>0.220752</v>
      </c>
      <c r="O1139" s="2" cm="1">
        <f t="array" ref="O1139">AVERAGE(VLOOKUP(_xlfn.TEXTSPLIT(Table1[[#This Row],[Fuel (no space after comma)]], ","), FuelList_Final_EF!$A$2:$B$32, 2, FALSE))</f>
        <v>105.42962572482868</v>
      </c>
      <c r="P1139" s="2">
        <f>(16112*Table1[[#This Row],[Generation (TWh)]]*10^9)/10^6</f>
        <v>3556756.2239999999</v>
      </c>
      <c r="Q1139" s="2">
        <f>Table1[[#This Row],[Emission Factor (kg CO2/ mmBtu)]]*Table1[[#This Row],[Fuel Consumption (mmBtu)]]*10^3</f>
        <v>374987477490.7749</v>
      </c>
      <c r="R1139" s="2">
        <f>(Table1[[#This Row],[CO2 Emissions (g CO2)]])/(Table1[[#This Row],[Generation (TWh)]]*10^9)</f>
        <v>1698.6821296784397</v>
      </c>
    </row>
    <row r="1140" spans="1:18" hidden="1">
      <c r="A1140" t="s">
        <v>109</v>
      </c>
      <c r="B1140" t="s">
        <v>46</v>
      </c>
      <c r="C1140" t="str">
        <f>SUBSTITUTE(Table1[[#This Row],[Fuel]],", ",",")</f>
        <v>bioenergy: agricultural waste (solids)</v>
      </c>
      <c r="D1140" t="s">
        <v>46</v>
      </c>
      <c r="G1140">
        <v>30</v>
      </c>
      <c r="H1140" t="s">
        <v>27</v>
      </c>
      <c r="I1140">
        <v>2019</v>
      </c>
      <c r="J1140" t="s">
        <v>21</v>
      </c>
      <c r="K1140">
        <v>34.014499999999998</v>
      </c>
      <c r="L1140">
        <v>119.161</v>
      </c>
      <c r="M1140" t="s">
        <v>102</v>
      </c>
      <c r="N1140" s="2">
        <f>Table1[[#This Row],[Capacity (MW)]]*8760*0.72*10^-6</f>
        <v>0.189216</v>
      </c>
      <c r="O1140" s="2" cm="1">
        <f t="array" ref="O1140">AVERAGE(VLOOKUP(_xlfn.TEXTSPLIT(Table1[[#This Row],[Fuel (no space after comma)]], ","), FuelList_Final_EF!$A$2:$B$32, 2, FALSE))</f>
        <v>118.17</v>
      </c>
      <c r="P1140" s="2">
        <f>(16112*Table1[[#This Row],[Generation (TWh)]]*10^9)/10^6</f>
        <v>3048648.1919999998</v>
      </c>
      <c r="Q1140" s="2">
        <f>Table1[[#This Row],[Emission Factor (kg CO2/ mmBtu)]]*Table1[[#This Row],[Fuel Consumption (mmBtu)]]*10^3</f>
        <v>360258756848.63995</v>
      </c>
      <c r="R1140" s="2">
        <f>(Table1[[#This Row],[CO2 Emissions (g CO2)]])/(Table1[[#This Row],[Generation (TWh)]]*10^9)</f>
        <v>1903.9550399999998</v>
      </c>
    </row>
    <row r="1141" spans="1:18" hidden="1">
      <c r="A1141" t="s">
        <v>629</v>
      </c>
      <c r="B1141" t="s">
        <v>19</v>
      </c>
      <c r="C1141" t="str">
        <f>SUBSTITUTE(Table1[[#This Row],[Fuel]],", ",",")</f>
        <v>bioenergy: refuse (municipal and industrial wastes)</v>
      </c>
      <c r="D1141" t="s">
        <v>19</v>
      </c>
      <c r="G1141">
        <v>35</v>
      </c>
      <c r="H1141" t="s">
        <v>27</v>
      </c>
      <c r="I1141">
        <v>2021</v>
      </c>
      <c r="J1141" t="s">
        <v>21</v>
      </c>
      <c r="K1141">
        <v>34.687600000000003</v>
      </c>
      <c r="L1141">
        <v>119.19799999999999</v>
      </c>
      <c r="M1141" t="s">
        <v>102</v>
      </c>
      <c r="N1141" s="2">
        <f>Table1[[#This Row],[Capacity (MW)]]*8760*0.72*10^-6</f>
        <v>0.220752</v>
      </c>
      <c r="O1141" s="2" cm="1">
        <f t="array" ref="O1141">AVERAGE(VLOOKUP(_xlfn.TEXTSPLIT(Table1[[#This Row],[Fuel (no space after comma)]], ","), FuelList_Final_EF!$A$2:$B$32, 2, FALSE))</f>
        <v>105.42962572482868</v>
      </c>
      <c r="P1141" s="2">
        <f>(16112*Table1[[#This Row],[Generation (TWh)]]*10^9)/10^6</f>
        <v>3556756.2239999999</v>
      </c>
      <c r="Q1141" s="2">
        <f>Table1[[#This Row],[Emission Factor (kg CO2/ mmBtu)]]*Table1[[#This Row],[Fuel Consumption (mmBtu)]]*10^3</f>
        <v>374987477490.7749</v>
      </c>
      <c r="R1141" s="2">
        <f>(Table1[[#This Row],[CO2 Emissions (g CO2)]])/(Table1[[#This Row],[Generation (TWh)]]*10^9)</f>
        <v>1698.6821296784397</v>
      </c>
    </row>
    <row r="1142" spans="1:18">
      <c r="A1142" t="s">
        <v>21</v>
      </c>
      <c r="B1142" t="s">
        <v>19</v>
      </c>
      <c r="C1142" t="str">
        <f>SUBSTITUTE(Table1[[#This Row],[Fuel]],", ",",")</f>
        <v>bioenergy: refuse (municipal and industrial wastes)</v>
      </c>
      <c r="D1142" t="s">
        <v>19</v>
      </c>
      <c r="G1142">
        <v>70</v>
      </c>
      <c r="H1142" t="s">
        <v>20</v>
      </c>
      <c r="I1142">
        <v>2030</v>
      </c>
      <c r="J1142" t="s">
        <v>21</v>
      </c>
      <c r="K1142">
        <v>31.905000000000001</v>
      </c>
      <c r="L1142">
        <v>118.8009</v>
      </c>
      <c r="M1142" t="s">
        <v>102</v>
      </c>
      <c r="N1142" s="2">
        <f>Table1[[#This Row],[Capacity (MW)]]*8760*0.72*10^-6</f>
        <v>0.44150400000000001</v>
      </c>
      <c r="O1142" s="2" cm="1">
        <f t="array" ref="O1142">AVERAGE(VLOOKUP(_xlfn.TEXTSPLIT(Table1[[#This Row],[Fuel (no space after comma)]], ","), FuelList_Final_EF!$A$2:$B$32, 2, FALSE))</f>
        <v>105.42962572482868</v>
      </c>
      <c r="P1142" s="2">
        <f>(16112*Table1[[#This Row],[Generation (TWh)]]*10^9)/10^6</f>
        <v>7113512.4479999999</v>
      </c>
      <c r="Q1142" s="2">
        <f>Table1[[#This Row],[Emission Factor (kg CO2/ mmBtu)]]*Table1[[#This Row],[Fuel Consumption (mmBtu)]]*10^3</f>
        <v>749974954981.5498</v>
      </c>
      <c r="R1142" s="2">
        <f>(Table1[[#This Row],[CO2 Emissions (g CO2)]])/(Table1[[#This Row],[Generation (TWh)]]*10^9)</f>
        <v>1698.6821296784397</v>
      </c>
    </row>
    <row r="1143" spans="1:18" hidden="1">
      <c r="A1143" t="s">
        <v>122</v>
      </c>
      <c r="B1143" t="s">
        <v>105</v>
      </c>
      <c r="C1143" t="str">
        <f>SUBSTITUTE(Table1[[#This Row],[Fuel]],", ",",")</f>
        <v>bioenergy: agricultural waste (solids),bioenergy: wood &amp; other biomass (solids)</v>
      </c>
      <c r="D1143" t="s">
        <v>46</v>
      </c>
      <c r="E1143" t="s">
        <v>25</v>
      </c>
      <c r="G1143">
        <v>30</v>
      </c>
      <c r="H1143" t="s">
        <v>27</v>
      </c>
      <c r="I1143">
        <v>2020</v>
      </c>
      <c r="J1143" t="s">
        <v>21</v>
      </c>
      <c r="K1143">
        <v>34.536700000000003</v>
      </c>
      <c r="L1143">
        <v>116.9876</v>
      </c>
      <c r="M1143" t="s">
        <v>102</v>
      </c>
      <c r="N1143" s="2">
        <f>Table1[[#This Row],[Capacity (MW)]]*8760*0.72*10^-6</f>
        <v>0.189216</v>
      </c>
      <c r="O1143" s="2" cm="1">
        <f t="array" ref="O1143">AVERAGE(VLOOKUP(_xlfn.TEXTSPLIT(Table1[[#This Row],[Fuel (no space after comma)]], ","), FuelList_Final_EF!$A$2:$B$32, 2, FALSE))</f>
        <v>105.985</v>
      </c>
      <c r="P1143" s="2">
        <f>(16112*Table1[[#This Row],[Generation (TWh)]]*10^9)/10^6</f>
        <v>3048648.1919999998</v>
      </c>
      <c r="Q1143" s="2">
        <f>Table1[[#This Row],[Emission Factor (kg CO2/ mmBtu)]]*Table1[[#This Row],[Fuel Consumption (mmBtu)]]*10^3</f>
        <v>323110978629.12</v>
      </c>
      <c r="R1143" s="2">
        <f>(Table1[[#This Row],[CO2 Emissions (g CO2)]])/(Table1[[#This Row],[Generation (TWh)]]*10^9)</f>
        <v>1707.63032</v>
      </c>
    </row>
    <row r="1144" spans="1:18" hidden="1">
      <c r="A1144" t="s">
        <v>117</v>
      </c>
      <c r="B1144" t="s">
        <v>46</v>
      </c>
      <c r="C1144" t="str">
        <f>SUBSTITUTE(Table1[[#This Row],[Fuel]],", ",",")</f>
        <v>bioenergy: agricultural waste (solids)</v>
      </c>
      <c r="D1144" t="s">
        <v>46</v>
      </c>
      <c r="G1144">
        <v>30</v>
      </c>
      <c r="H1144" t="s">
        <v>27</v>
      </c>
      <c r="I1144">
        <v>2016</v>
      </c>
      <c r="J1144" t="s">
        <v>21</v>
      </c>
      <c r="K1144">
        <v>34.3962</v>
      </c>
      <c r="L1144">
        <v>117.9371</v>
      </c>
      <c r="M1144" t="s">
        <v>102</v>
      </c>
      <c r="N1144" s="2">
        <f>Table1[[#This Row],[Capacity (MW)]]*8760*0.72*10^-6</f>
        <v>0.189216</v>
      </c>
      <c r="O1144" s="2" cm="1">
        <f t="array" ref="O1144">AVERAGE(VLOOKUP(_xlfn.TEXTSPLIT(Table1[[#This Row],[Fuel (no space after comma)]], ","), FuelList_Final_EF!$A$2:$B$32, 2, FALSE))</f>
        <v>118.17</v>
      </c>
      <c r="P1144" s="2">
        <f>(16112*Table1[[#This Row],[Generation (TWh)]]*10^9)/10^6</f>
        <v>3048648.1919999998</v>
      </c>
      <c r="Q1144" s="2">
        <f>Table1[[#This Row],[Emission Factor (kg CO2/ mmBtu)]]*Table1[[#This Row],[Fuel Consumption (mmBtu)]]*10^3</f>
        <v>360258756848.63995</v>
      </c>
      <c r="R1144" s="2">
        <f>(Table1[[#This Row],[CO2 Emissions (g CO2)]])/(Table1[[#This Row],[Generation (TWh)]]*10^9)</f>
        <v>1903.9550399999998</v>
      </c>
    </row>
    <row r="1145" spans="1:18">
      <c r="A1145" t="s">
        <v>753</v>
      </c>
      <c r="B1145" t="s">
        <v>19</v>
      </c>
      <c r="C1145" t="str">
        <f>SUBSTITUTE(Table1[[#This Row],[Fuel]],", ",",")</f>
        <v>bioenergy: refuse (municipal and industrial wastes)</v>
      </c>
      <c r="D1145" t="s">
        <v>19</v>
      </c>
      <c r="G1145">
        <v>24</v>
      </c>
      <c r="H1145" t="s">
        <v>53</v>
      </c>
      <c r="I1145" t="s">
        <v>21</v>
      </c>
      <c r="J1145" t="s">
        <v>21</v>
      </c>
      <c r="K1145">
        <v>32.0852</v>
      </c>
      <c r="L1145">
        <v>120.5125</v>
      </c>
      <c r="M1145" t="s">
        <v>102</v>
      </c>
      <c r="N1145" s="2">
        <f>Table1[[#This Row],[Capacity (MW)]]*8760*0.72*10^-6</f>
        <v>0.15137279999999997</v>
      </c>
      <c r="O1145" s="2" cm="1">
        <f t="array" ref="O1145">AVERAGE(VLOOKUP(_xlfn.TEXTSPLIT(Table1[[#This Row],[Fuel (no space after comma)]], ","), FuelList_Final_EF!$A$2:$B$32, 2, FALSE))</f>
        <v>105.42962572482868</v>
      </c>
      <c r="P1145" s="2">
        <f>(16112*Table1[[#This Row],[Generation (TWh)]]*10^9)/10^6</f>
        <v>2438918.5535999993</v>
      </c>
      <c r="Q1145" s="2">
        <f>Table1[[#This Row],[Emission Factor (kg CO2/ mmBtu)]]*Table1[[#This Row],[Fuel Consumption (mmBtu)]]*10^3</f>
        <v>257134270279.38846</v>
      </c>
      <c r="R1145" s="2">
        <f>(Table1[[#This Row],[CO2 Emissions (g CO2)]])/(Table1[[#This Row],[Generation (TWh)]]*10^9)</f>
        <v>1698.6821296784397</v>
      </c>
    </row>
    <row r="1146" spans="1:18">
      <c r="A1146" t="s">
        <v>754</v>
      </c>
      <c r="B1146" t="s">
        <v>19</v>
      </c>
      <c r="C1146" t="str">
        <f>SUBSTITUTE(Table1[[#This Row],[Fuel]],", ",",")</f>
        <v>bioenergy: refuse (municipal and industrial wastes)</v>
      </c>
      <c r="D1146" t="s">
        <v>19</v>
      </c>
      <c r="G1146">
        <v>8</v>
      </c>
      <c r="H1146" t="s">
        <v>53</v>
      </c>
      <c r="I1146" t="s">
        <v>21</v>
      </c>
      <c r="J1146" t="s">
        <v>21</v>
      </c>
      <c r="K1146">
        <v>32.0852</v>
      </c>
      <c r="L1146">
        <v>120.5125</v>
      </c>
      <c r="M1146" t="s">
        <v>102</v>
      </c>
      <c r="N1146" s="2">
        <f>Table1[[#This Row],[Capacity (MW)]]*8760*0.72*10^-6</f>
        <v>5.0457599999999998E-2</v>
      </c>
      <c r="O1146" s="2" cm="1">
        <f t="array" ref="O1146">AVERAGE(VLOOKUP(_xlfn.TEXTSPLIT(Table1[[#This Row],[Fuel (no space after comma)]], ","), FuelList_Final_EF!$A$2:$B$32, 2, FALSE))</f>
        <v>105.42962572482868</v>
      </c>
      <c r="P1146" s="2">
        <f>(16112*Table1[[#This Row],[Generation (TWh)]]*10^9)/10^6</f>
        <v>812972.85119999992</v>
      </c>
      <c r="Q1146" s="2">
        <f>Table1[[#This Row],[Emission Factor (kg CO2/ mmBtu)]]*Table1[[#This Row],[Fuel Consumption (mmBtu)]]*10^3</f>
        <v>85711423426.46283</v>
      </c>
      <c r="R1146" s="2">
        <f>(Table1[[#This Row],[CO2 Emissions (g CO2)]])/(Table1[[#This Row],[Generation (TWh)]]*10^9)</f>
        <v>1698.6821296784394</v>
      </c>
    </row>
    <row r="1147" spans="1:18" hidden="1">
      <c r="A1147" t="s">
        <v>117</v>
      </c>
      <c r="B1147" t="s">
        <v>46</v>
      </c>
      <c r="C1147" t="str">
        <f>SUBSTITUTE(Table1[[#This Row],[Fuel]],", ",",")</f>
        <v>bioenergy: agricultural waste (solids)</v>
      </c>
      <c r="D1147" t="s">
        <v>46</v>
      </c>
      <c r="G1147">
        <v>30</v>
      </c>
      <c r="H1147" t="s">
        <v>27</v>
      </c>
      <c r="I1147">
        <v>2007</v>
      </c>
      <c r="J1147" t="s">
        <v>21</v>
      </c>
      <c r="K1147">
        <v>33.768799999999999</v>
      </c>
      <c r="L1147">
        <v>120.1845</v>
      </c>
      <c r="M1147" t="s">
        <v>102</v>
      </c>
      <c r="N1147" s="2">
        <f>Table1[[#This Row],[Capacity (MW)]]*8760*0.72*10^-6</f>
        <v>0.189216</v>
      </c>
      <c r="O1147" s="2" cm="1">
        <f t="array" ref="O1147">AVERAGE(VLOOKUP(_xlfn.TEXTSPLIT(Table1[[#This Row],[Fuel (no space after comma)]], ","), FuelList_Final_EF!$A$2:$B$32, 2, FALSE))</f>
        <v>118.17</v>
      </c>
      <c r="P1147" s="2">
        <f>(16112*Table1[[#This Row],[Generation (TWh)]]*10^9)/10^6</f>
        <v>3048648.1919999998</v>
      </c>
      <c r="Q1147" s="2">
        <f>Table1[[#This Row],[Emission Factor (kg CO2/ mmBtu)]]*Table1[[#This Row],[Fuel Consumption (mmBtu)]]*10^3</f>
        <v>360258756848.63995</v>
      </c>
      <c r="R1147" s="2">
        <f>(Table1[[#This Row],[CO2 Emissions (g CO2)]])/(Table1[[#This Row],[Generation (TWh)]]*10^9)</f>
        <v>1903.9550399999998</v>
      </c>
    </row>
    <row r="1148" spans="1:18" hidden="1">
      <c r="A1148" t="s">
        <v>284</v>
      </c>
      <c r="B1148" t="s">
        <v>105</v>
      </c>
      <c r="C1148" t="str">
        <f>SUBSTITUTE(Table1[[#This Row],[Fuel]],", ",",")</f>
        <v>bioenergy: agricultural waste (solids),bioenergy: wood &amp; other biomass (solids)</v>
      </c>
      <c r="D1148" t="s">
        <v>46</v>
      </c>
      <c r="E1148" t="s">
        <v>25</v>
      </c>
      <c r="G1148">
        <v>35</v>
      </c>
      <c r="H1148" t="s">
        <v>27</v>
      </c>
      <c r="I1148">
        <v>2020</v>
      </c>
      <c r="J1148" t="s">
        <v>21</v>
      </c>
      <c r="K1148">
        <v>34.118200000000002</v>
      </c>
      <c r="L1148">
        <v>117.8476</v>
      </c>
      <c r="M1148" t="s">
        <v>102</v>
      </c>
      <c r="N1148" s="2">
        <f>Table1[[#This Row],[Capacity (MW)]]*8760*0.72*10^-6</f>
        <v>0.220752</v>
      </c>
      <c r="O1148" s="2" cm="1">
        <f t="array" ref="O1148">AVERAGE(VLOOKUP(_xlfn.TEXTSPLIT(Table1[[#This Row],[Fuel (no space after comma)]], ","), FuelList_Final_EF!$A$2:$B$32, 2, FALSE))</f>
        <v>105.985</v>
      </c>
      <c r="P1148" s="2">
        <f>(16112*Table1[[#This Row],[Generation (TWh)]]*10^9)/10^6</f>
        <v>3556756.2239999999</v>
      </c>
      <c r="Q1148" s="2">
        <f>Table1[[#This Row],[Emission Factor (kg CO2/ mmBtu)]]*Table1[[#This Row],[Fuel Consumption (mmBtu)]]*10^3</f>
        <v>376962808400.64001</v>
      </c>
      <c r="R1148" s="2">
        <f>(Table1[[#This Row],[CO2 Emissions (g CO2)]])/(Table1[[#This Row],[Generation (TWh)]]*10^9)</f>
        <v>1707.63032</v>
      </c>
    </row>
    <row r="1149" spans="1:18">
      <c r="A1149" t="s">
        <v>284</v>
      </c>
      <c r="B1149" t="s">
        <v>46</v>
      </c>
      <c r="C1149" t="str">
        <f>SUBSTITUTE(Table1[[#This Row],[Fuel]],", ",",")</f>
        <v>bioenergy: agricultural waste (solids)</v>
      </c>
      <c r="D1149" t="s">
        <v>46</v>
      </c>
      <c r="G1149">
        <v>40</v>
      </c>
      <c r="H1149" t="s">
        <v>97</v>
      </c>
      <c r="I1149" t="s">
        <v>21</v>
      </c>
      <c r="J1149" t="s">
        <v>21</v>
      </c>
      <c r="K1149">
        <v>34.118099999999998</v>
      </c>
      <c r="L1149">
        <v>117.8473</v>
      </c>
      <c r="M1149" t="s">
        <v>102</v>
      </c>
      <c r="N1149" s="2">
        <f>Table1[[#This Row],[Capacity (MW)]]*8760*0.72*10^-6</f>
        <v>0.25228800000000001</v>
      </c>
      <c r="O1149" s="2" cm="1">
        <f t="array" ref="O1149">AVERAGE(VLOOKUP(_xlfn.TEXTSPLIT(Table1[[#This Row],[Fuel (no space after comma)]], ","), FuelList_Final_EF!$A$2:$B$32, 2, FALSE))</f>
        <v>118.17</v>
      </c>
      <c r="P1149" s="2">
        <f>(16112*Table1[[#This Row],[Generation (TWh)]]*10^9)/10^6</f>
        <v>4064864.2560000005</v>
      </c>
      <c r="Q1149" s="2">
        <f>Table1[[#This Row],[Emission Factor (kg CO2/ mmBtu)]]*Table1[[#This Row],[Fuel Consumption (mmBtu)]]*10^3</f>
        <v>480345009131.52008</v>
      </c>
      <c r="R1149" s="2">
        <f>(Table1[[#This Row],[CO2 Emissions (g CO2)]])/(Table1[[#This Row],[Generation (TWh)]]*10^9)</f>
        <v>1903.9550400000003</v>
      </c>
    </row>
    <row r="1150" spans="1:18">
      <c r="A1150" t="s">
        <v>54</v>
      </c>
      <c r="B1150" t="s">
        <v>19</v>
      </c>
      <c r="C1150" t="str">
        <f>SUBSTITUTE(Table1[[#This Row],[Fuel]],", ",",")</f>
        <v>bioenergy: refuse (municipal and industrial wastes)</v>
      </c>
      <c r="D1150" t="s">
        <v>19</v>
      </c>
      <c r="G1150">
        <v>30</v>
      </c>
      <c r="H1150" t="s">
        <v>53</v>
      </c>
      <c r="I1150" t="s">
        <v>21</v>
      </c>
      <c r="J1150" t="s">
        <v>21</v>
      </c>
      <c r="K1150">
        <v>31.244499999999999</v>
      </c>
      <c r="L1150">
        <v>120.5458</v>
      </c>
      <c r="M1150" t="s">
        <v>102</v>
      </c>
      <c r="N1150" s="2">
        <f>Table1[[#This Row],[Capacity (MW)]]*8760*0.72*10^-6</f>
        <v>0.189216</v>
      </c>
      <c r="O1150" s="2" cm="1">
        <f t="array" ref="O1150">AVERAGE(VLOOKUP(_xlfn.TEXTSPLIT(Table1[[#This Row],[Fuel (no space after comma)]], ","), FuelList_Final_EF!$A$2:$B$32, 2, FALSE))</f>
        <v>105.42962572482868</v>
      </c>
      <c r="P1150" s="2">
        <f>(16112*Table1[[#This Row],[Generation (TWh)]]*10^9)/10^6</f>
        <v>3048648.1919999998</v>
      </c>
      <c r="Q1150" s="2">
        <f>Table1[[#This Row],[Emission Factor (kg CO2/ mmBtu)]]*Table1[[#This Row],[Fuel Consumption (mmBtu)]]*10^3</f>
        <v>321417837849.23566</v>
      </c>
      <c r="R1150" s="2">
        <f>(Table1[[#This Row],[CO2 Emissions (g CO2)]])/(Table1[[#This Row],[Generation (TWh)]]*10^9)</f>
        <v>1698.6821296784397</v>
      </c>
    </row>
    <row r="1151" spans="1:18" hidden="1">
      <c r="A1151" t="s">
        <v>54</v>
      </c>
      <c r="B1151" t="s">
        <v>19</v>
      </c>
      <c r="C1151" t="str">
        <f>SUBSTITUTE(Table1[[#This Row],[Fuel]],", ",",")</f>
        <v>bioenergy: refuse (municipal and industrial wastes)</v>
      </c>
      <c r="D1151" t="s">
        <v>19</v>
      </c>
      <c r="G1151">
        <v>50</v>
      </c>
      <c r="H1151" t="s">
        <v>27</v>
      </c>
      <c r="I1151">
        <v>2019</v>
      </c>
      <c r="J1151" t="s">
        <v>21</v>
      </c>
      <c r="K1151">
        <v>31.244499999999999</v>
      </c>
      <c r="L1151">
        <v>120.5458</v>
      </c>
      <c r="M1151" t="s">
        <v>102</v>
      </c>
      <c r="N1151" s="2">
        <f>Table1[[#This Row],[Capacity (MW)]]*8760*0.72*10^-6</f>
        <v>0.31535999999999997</v>
      </c>
      <c r="O1151" s="2" cm="1">
        <f t="array" ref="O1151">AVERAGE(VLOOKUP(_xlfn.TEXTSPLIT(Table1[[#This Row],[Fuel (no space after comma)]], ","), FuelList_Final_EF!$A$2:$B$32, 2, FALSE))</f>
        <v>105.42962572482868</v>
      </c>
      <c r="P1151" s="2">
        <f>(16112*Table1[[#This Row],[Generation (TWh)]]*10^9)/10^6</f>
        <v>5081080.32</v>
      </c>
      <c r="Q1151" s="2">
        <f>Table1[[#This Row],[Emission Factor (kg CO2/ mmBtu)]]*Table1[[#This Row],[Fuel Consumption (mmBtu)]]*10^3</f>
        <v>535696396415.39276</v>
      </c>
      <c r="R1151" s="2">
        <f>(Table1[[#This Row],[CO2 Emissions (g CO2)]])/(Table1[[#This Row],[Generation (TWh)]]*10^9)</f>
        <v>1698.6821296784397</v>
      </c>
    </row>
    <row r="1152" spans="1:18" hidden="1">
      <c r="A1152" t="s">
        <v>54</v>
      </c>
      <c r="B1152" t="s">
        <v>19</v>
      </c>
      <c r="C1152" t="str">
        <f>SUBSTITUTE(Table1[[#This Row],[Fuel]],", ",",")</f>
        <v>bioenergy: refuse (municipal and industrial wastes)</v>
      </c>
      <c r="D1152" t="s">
        <v>19</v>
      </c>
      <c r="G1152">
        <v>50</v>
      </c>
      <c r="H1152" t="s">
        <v>27</v>
      </c>
      <c r="I1152">
        <v>2019</v>
      </c>
      <c r="J1152" t="s">
        <v>21</v>
      </c>
      <c r="K1152">
        <v>31.244499999999999</v>
      </c>
      <c r="L1152">
        <v>120.5458</v>
      </c>
      <c r="M1152" t="s">
        <v>102</v>
      </c>
      <c r="N1152" s="2">
        <f>Table1[[#This Row],[Capacity (MW)]]*8760*0.72*10^-6</f>
        <v>0.31535999999999997</v>
      </c>
      <c r="O1152" s="2" cm="1">
        <f t="array" ref="O1152">AVERAGE(VLOOKUP(_xlfn.TEXTSPLIT(Table1[[#This Row],[Fuel (no space after comma)]], ","), FuelList_Final_EF!$A$2:$B$32, 2, FALSE))</f>
        <v>105.42962572482868</v>
      </c>
      <c r="P1152" s="2">
        <f>(16112*Table1[[#This Row],[Generation (TWh)]]*10^9)/10^6</f>
        <v>5081080.32</v>
      </c>
      <c r="Q1152" s="2">
        <f>Table1[[#This Row],[Emission Factor (kg CO2/ mmBtu)]]*Table1[[#This Row],[Fuel Consumption (mmBtu)]]*10^3</f>
        <v>535696396415.39276</v>
      </c>
      <c r="R1152" s="2">
        <f>(Table1[[#This Row],[CO2 Emissions (g CO2)]])/(Table1[[#This Row],[Generation (TWh)]]*10^9)</f>
        <v>1698.6821296784397</v>
      </c>
    </row>
    <row r="1153" spans="1:18">
      <c r="A1153" t="s">
        <v>54</v>
      </c>
      <c r="B1153" t="s">
        <v>19</v>
      </c>
      <c r="C1153" t="str">
        <f>SUBSTITUTE(Table1[[#This Row],[Fuel]],", ",",")</f>
        <v>bioenergy: refuse (municipal and industrial wastes)</v>
      </c>
      <c r="D1153" t="s">
        <v>19</v>
      </c>
      <c r="G1153">
        <v>50</v>
      </c>
      <c r="H1153" t="s">
        <v>53</v>
      </c>
      <c r="I1153" t="s">
        <v>21</v>
      </c>
      <c r="J1153" t="s">
        <v>21</v>
      </c>
      <c r="K1153">
        <v>31.244499999999999</v>
      </c>
      <c r="L1153">
        <v>120.5458</v>
      </c>
      <c r="M1153" t="s">
        <v>102</v>
      </c>
      <c r="N1153" s="2">
        <f>Table1[[#This Row],[Capacity (MW)]]*8760*0.72*10^-6</f>
        <v>0.31535999999999997</v>
      </c>
      <c r="O1153" s="2" cm="1">
        <f t="array" ref="O1153">AVERAGE(VLOOKUP(_xlfn.TEXTSPLIT(Table1[[#This Row],[Fuel (no space after comma)]], ","), FuelList_Final_EF!$A$2:$B$32, 2, FALSE))</f>
        <v>105.42962572482868</v>
      </c>
      <c r="P1153" s="2">
        <f>(16112*Table1[[#This Row],[Generation (TWh)]]*10^9)/10^6</f>
        <v>5081080.32</v>
      </c>
      <c r="Q1153" s="2">
        <f>Table1[[#This Row],[Emission Factor (kg CO2/ mmBtu)]]*Table1[[#This Row],[Fuel Consumption (mmBtu)]]*10^3</f>
        <v>535696396415.39276</v>
      </c>
      <c r="R1153" s="2">
        <f>(Table1[[#This Row],[CO2 Emissions (g CO2)]])/(Table1[[#This Row],[Generation (TWh)]]*10^9)</f>
        <v>1698.6821296784397</v>
      </c>
    </row>
    <row r="1154" spans="1:18">
      <c r="A1154" t="s">
        <v>755</v>
      </c>
      <c r="B1154" t="s">
        <v>19</v>
      </c>
      <c r="C1154" t="str">
        <f>SUBSTITUTE(Table1[[#This Row],[Fuel]],", ",",")</f>
        <v>bioenergy: refuse (municipal and industrial wastes)</v>
      </c>
      <c r="D1154" t="s">
        <v>19</v>
      </c>
      <c r="G1154">
        <v>22.05</v>
      </c>
      <c r="H1154" t="s">
        <v>53</v>
      </c>
      <c r="I1154" t="s">
        <v>21</v>
      </c>
      <c r="J1154" t="s">
        <v>21</v>
      </c>
      <c r="K1154">
        <v>31.448799999999999</v>
      </c>
      <c r="L1154">
        <v>121.0536</v>
      </c>
      <c r="M1154" t="s">
        <v>102</v>
      </c>
      <c r="N1154" s="2">
        <f>Table1[[#This Row],[Capacity (MW)]]*8760*0.72*10^-6</f>
        <v>0.13907375999999999</v>
      </c>
      <c r="O1154" s="2" cm="1">
        <f t="array" ref="O1154">AVERAGE(VLOOKUP(_xlfn.TEXTSPLIT(Table1[[#This Row],[Fuel (no space after comma)]], ","), FuelList_Final_EF!$A$2:$B$32, 2, FALSE))</f>
        <v>105.42962572482868</v>
      </c>
      <c r="P1154" s="2">
        <f>(16112*Table1[[#This Row],[Generation (TWh)]]*10^9)/10^6</f>
        <v>2240756.4211199996</v>
      </c>
      <c r="Q1154" s="2">
        <f>Table1[[#This Row],[Emission Factor (kg CO2/ mmBtu)]]*Table1[[#This Row],[Fuel Consumption (mmBtu)]]*10^3</f>
        <v>236242110819.18814</v>
      </c>
      <c r="R1154" s="2">
        <f>(Table1[[#This Row],[CO2 Emissions (g CO2)]])/(Table1[[#This Row],[Generation (TWh)]]*10^9)</f>
        <v>1698.6821296784392</v>
      </c>
    </row>
    <row r="1155" spans="1:18">
      <c r="A1155" t="s">
        <v>756</v>
      </c>
      <c r="B1155" t="s">
        <v>19</v>
      </c>
      <c r="C1155" t="str">
        <f>SUBSTITUTE(Table1[[#This Row],[Fuel]],", ",",")</f>
        <v>bioenergy: refuse (municipal and industrial wastes)</v>
      </c>
      <c r="D1155" t="s">
        <v>19</v>
      </c>
      <c r="G1155">
        <v>22.95</v>
      </c>
      <c r="H1155" t="s">
        <v>53</v>
      </c>
      <c r="I1155" t="s">
        <v>21</v>
      </c>
      <c r="J1155" t="s">
        <v>21</v>
      </c>
      <c r="K1155">
        <v>31.448799999999999</v>
      </c>
      <c r="L1155">
        <v>121.0536</v>
      </c>
      <c r="M1155" t="s">
        <v>102</v>
      </c>
      <c r="N1155" s="2">
        <f>Table1[[#This Row],[Capacity (MW)]]*8760*0.72*10^-6</f>
        <v>0.14475023999999997</v>
      </c>
      <c r="O1155" s="2" cm="1">
        <f t="array" ref="O1155">AVERAGE(VLOOKUP(_xlfn.TEXTSPLIT(Table1[[#This Row],[Fuel (no space after comma)]], ","), FuelList_Final_EF!$A$2:$B$32, 2, FALSE))</f>
        <v>105.42962572482868</v>
      </c>
      <c r="P1155" s="2">
        <f>(16112*Table1[[#This Row],[Generation (TWh)]]*10^9)/10^6</f>
        <v>2332215.8668800001</v>
      </c>
      <c r="Q1155" s="2">
        <f>Table1[[#This Row],[Emission Factor (kg CO2/ mmBtu)]]*Table1[[#This Row],[Fuel Consumption (mmBtu)]]*10^3</f>
        <v>245884645954.66528</v>
      </c>
      <c r="R1155" s="2">
        <f>(Table1[[#This Row],[CO2 Emissions (g CO2)]])/(Table1[[#This Row],[Generation (TWh)]]*10^9)</f>
        <v>1698.6821296784401</v>
      </c>
    </row>
    <row r="1156" spans="1:18" hidden="1">
      <c r="A1156" t="s">
        <v>757</v>
      </c>
      <c r="B1156" t="s">
        <v>46</v>
      </c>
      <c r="C1156" t="str">
        <f>SUBSTITUTE(Table1[[#This Row],[Fuel]],", ",",")</f>
        <v>bioenergy: agricultural waste (solids)</v>
      </c>
      <c r="D1156" t="s">
        <v>46</v>
      </c>
      <c r="G1156">
        <v>30</v>
      </c>
      <c r="H1156" t="s">
        <v>27</v>
      </c>
      <c r="I1156">
        <v>2020</v>
      </c>
      <c r="J1156" t="s">
        <v>21</v>
      </c>
      <c r="K1156">
        <v>32.622500000000002</v>
      </c>
      <c r="L1156">
        <v>120.17619999999999</v>
      </c>
      <c r="M1156" t="s">
        <v>102</v>
      </c>
      <c r="N1156" s="2">
        <f>Table1[[#This Row],[Capacity (MW)]]*8760*0.72*10^-6</f>
        <v>0.189216</v>
      </c>
      <c r="O1156" s="2" cm="1">
        <f t="array" ref="O1156">AVERAGE(VLOOKUP(_xlfn.TEXTSPLIT(Table1[[#This Row],[Fuel (no space after comma)]], ","), FuelList_Final_EF!$A$2:$B$32, 2, FALSE))</f>
        <v>118.17</v>
      </c>
      <c r="P1156" s="2">
        <f>(16112*Table1[[#This Row],[Generation (TWh)]]*10^9)/10^6</f>
        <v>3048648.1919999998</v>
      </c>
      <c r="Q1156" s="2">
        <f>Table1[[#This Row],[Emission Factor (kg CO2/ mmBtu)]]*Table1[[#This Row],[Fuel Consumption (mmBtu)]]*10^3</f>
        <v>360258756848.63995</v>
      </c>
      <c r="R1156" s="2">
        <f>(Table1[[#This Row],[CO2 Emissions (g CO2)]])/(Table1[[#This Row],[Generation (TWh)]]*10^9)</f>
        <v>1903.9550399999998</v>
      </c>
    </row>
    <row r="1157" spans="1:18" hidden="1">
      <c r="A1157" t="s">
        <v>514</v>
      </c>
      <c r="B1157" t="s">
        <v>19</v>
      </c>
      <c r="C1157" t="str">
        <f>SUBSTITUTE(Table1[[#This Row],[Fuel]],", ",",")</f>
        <v>bioenergy: refuse (municipal and industrial wastes)</v>
      </c>
      <c r="D1157" t="s">
        <v>19</v>
      </c>
      <c r="G1157">
        <v>60</v>
      </c>
      <c r="H1157" t="s">
        <v>27</v>
      </c>
      <c r="I1157">
        <v>2021</v>
      </c>
      <c r="J1157" t="s">
        <v>21</v>
      </c>
      <c r="K1157">
        <v>31.0794</v>
      </c>
      <c r="L1157">
        <v>120.7107</v>
      </c>
      <c r="M1157" t="s">
        <v>102</v>
      </c>
      <c r="N1157" s="2">
        <f>Table1[[#This Row],[Capacity (MW)]]*8760*0.72*10^-6</f>
        <v>0.37843199999999999</v>
      </c>
      <c r="O1157" s="2" cm="1">
        <f t="array" ref="O1157">AVERAGE(VLOOKUP(_xlfn.TEXTSPLIT(Table1[[#This Row],[Fuel (no space after comma)]], ","), FuelList_Final_EF!$A$2:$B$32, 2, FALSE))</f>
        <v>105.42962572482868</v>
      </c>
      <c r="P1157" s="2">
        <f>(16112*Table1[[#This Row],[Generation (TWh)]]*10^9)/10^6</f>
        <v>6097296.3839999996</v>
      </c>
      <c r="Q1157" s="2">
        <f>Table1[[#This Row],[Emission Factor (kg CO2/ mmBtu)]]*Table1[[#This Row],[Fuel Consumption (mmBtu)]]*10^3</f>
        <v>642835675698.47131</v>
      </c>
      <c r="R1157" s="2">
        <f>(Table1[[#This Row],[CO2 Emissions (g CO2)]])/(Table1[[#This Row],[Generation (TWh)]]*10^9)</f>
        <v>1698.6821296784397</v>
      </c>
    </row>
    <row r="1158" spans="1:18" hidden="1">
      <c r="A1158" t="s">
        <v>514</v>
      </c>
      <c r="B1158" t="s">
        <v>19</v>
      </c>
      <c r="C1158" t="str">
        <f>SUBSTITUTE(Table1[[#This Row],[Fuel]],", ",",")</f>
        <v>bioenergy: refuse (municipal and industrial wastes)</v>
      </c>
      <c r="D1158" t="s">
        <v>19</v>
      </c>
      <c r="G1158">
        <v>60</v>
      </c>
      <c r="H1158" t="s">
        <v>27</v>
      </c>
      <c r="I1158">
        <v>2021</v>
      </c>
      <c r="J1158" t="s">
        <v>21</v>
      </c>
      <c r="K1158">
        <v>31.0794</v>
      </c>
      <c r="L1158">
        <v>120.7107</v>
      </c>
      <c r="M1158" t="s">
        <v>102</v>
      </c>
      <c r="N1158" s="2">
        <f>Table1[[#This Row],[Capacity (MW)]]*8760*0.72*10^-6</f>
        <v>0.37843199999999999</v>
      </c>
      <c r="O1158" s="2" cm="1">
        <f t="array" ref="O1158">AVERAGE(VLOOKUP(_xlfn.TEXTSPLIT(Table1[[#This Row],[Fuel (no space after comma)]], ","), FuelList_Final_EF!$A$2:$B$32, 2, FALSE))</f>
        <v>105.42962572482868</v>
      </c>
      <c r="P1158" s="2">
        <f>(16112*Table1[[#This Row],[Generation (TWh)]]*10^9)/10^6</f>
        <v>6097296.3839999996</v>
      </c>
      <c r="Q1158" s="2">
        <f>Table1[[#This Row],[Emission Factor (kg CO2/ mmBtu)]]*Table1[[#This Row],[Fuel Consumption (mmBtu)]]*10^3</f>
        <v>642835675698.47131</v>
      </c>
      <c r="R1158" s="2">
        <f>(Table1[[#This Row],[CO2 Emissions (g CO2)]])/(Table1[[#This Row],[Generation (TWh)]]*10^9)</f>
        <v>1698.6821296784397</v>
      </c>
    </row>
    <row r="1159" spans="1:18">
      <c r="A1159" t="s">
        <v>758</v>
      </c>
      <c r="B1159" t="s">
        <v>19</v>
      </c>
      <c r="C1159" t="str">
        <f>SUBSTITUTE(Table1[[#This Row],[Fuel]],", ",",")</f>
        <v>bioenergy: refuse (municipal and industrial wastes)</v>
      </c>
      <c r="D1159" t="s">
        <v>19</v>
      </c>
      <c r="G1159">
        <v>3</v>
      </c>
      <c r="H1159" t="s">
        <v>53</v>
      </c>
      <c r="I1159" t="s">
        <v>21</v>
      </c>
      <c r="J1159" t="s">
        <v>21</v>
      </c>
      <c r="K1159">
        <v>31.709499999999998</v>
      </c>
      <c r="L1159">
        <v>120.4714</v>
      </c>
      <c r="M1159" t="s">
        <v>102</v>
      </c>
      <c r="N1159" s="2">
        <f>Table1[[#This Row],[Capacity (MW)]]*8760*0.72*10^-6</f>
        <v>1.8921599999999997E-2</v>
      </c>
      <c r="O1159" s="2" cm="1">
        <f t="array" ref="O1159">AVERAGE(VLOOKUP(_xlfn.TEXTSPLIT(Table1[[#This Row],[Fuel (no space after comma)]], ","), FuelList_Final_EF!$A$2:$B$32, 2, FALSE))</f>
        <v>105.42962572482868</v>
      </c>
      <c r="P1159" s="2">
        <f>(16112*Table1[[#This Row],[Generation (TWh)]]*10^9)/10^6</f>
        <v>304864.81919999991</v>
      </c>
      <c r="Q1159" s="2">
        <f>Table1[[#This Row],[Emission Factor (kg CO2/ mmBtu)]]*Table1[[#This Row],[Fuel Consumption (mmBtu)]]*10^3</f>
        <v>32141783784.923557</v>
      </c>
      <c r="R1159" s="2">
        <f>(Table1[[#This Row],[CO2 Emissions (g CO2)]])/(Table1[[#This Row],[Generation (TWh)]]*10^9)</f>
        <v>1698.6821296784397</v>
      </c>
    </row>
    <row r="1160" spans="1:18">
      <c r="A1160" t="s">
        <v>460</v>
      </c>
      <c r="B1160" t="s">
        <v>19</v>
      </c>
      <c r="C1160" t="str">
        <f>SUBSTITUTE(Table1[[#This Row],[Fuel]],", ",",")</f>
        <v>bioenergy: refuse (municipal and industrial wastes)</v>
      </c>
      <c r="D1160" t="s">
        <v>19</v>
      </c>
      <c r="G1160">
        <v>24</v>
      </c>
      <c r="H1160" t="s">
        <v>53</v>
      </c>
      <c r="I1160" t="s">
        <v>21</v>
      </c>
      <c r="J1160" t="s">
        <v>21</v>
      </c>
      <c r="K1160">
        <v>31.709499999999998</v>
      </c>
      <c r="L1160">
        <v>120.4714</v>
      </c>
      <c r="M1160" t="s">
        <v>102</v>
      </c>
      <c r="N1160" s="2">
        <f>Table1[[#This Row],[Capacity (MW)]]*8760*0.72*10^-6</f>
        <v>0.15137279999999997</v>
      </c>
      <c r="O1160" s="2" cm="1">
        <f t="array" ref="O1160">AVERAGE(VLOOKUP(_xlfn.TEXTSPLIT(Table1[[#This Row],[Fuel (no space after comma)]], ","), FuelList_Final_EF!$A$2:$B$32, 2, FALSE))</f>
        <v>105.42962572482868</v>
      </c>
      <c r="P1160" s="2">
        <f>(16112*Table1[[#This Row],[Generation (TWh)]]*10^9)/10^6</f>
        <v>2438918.5535999993</v>
      </c>
      <c r="Q1160" s="2">
        <f>Table1[[#This Row],[Emission Factor (kg CO2/ mmBtu)]]*Table1[[#This Row],[Fuel Consumption (mmBtu)]]*10^3</f>
        <v>257134270279.38846</v>
      </c>
      <c r="R1160" s="2">
        <f>(Table1[[#This Row],[CO2 Emissions (g CO2)]])/(Table1[[#This Row],[Generation (TWh)]]*10^9)</f>
        <v>1698.6821296784397</v>
      </c>
    </row>
    <row r="1161" spans="1:18">
      <c r="A1161" t="s">
        <v>759</v>
      </c>
      <c r="B1161" t="s">
        <v>19</v>
      </c>
      <c r="C1161" t="str">
        <f>SUBSTITUTE(Table1[[#This Row],[Fuel]],", ",",")</f>
        <v>bioenergy: refuse (municipal and industrial wastes)</v>
      </c>
      <c r="D1161" t="s">
        <v>19</v>
      </c>
      <c r="G1161">
        <v>3</v>
      </c>
      <c r="H1161" t="s">
        <v>53</v>
      </c>
      <c r="I1161" t="s">
        <v>21</v>
      </c>
      <c r="J1161" t="s">
        <v>21</v>
      </c>
      <c r="K1161">
        <v>31.709499999999998</v>
      </c>
      <c r="L1161">
        <v>120.4714</v>
      </c>
      <c r="M1161" t="s">
        <v>102</v>
      </c>
      <c r="N1161" s="2">
        <f>Table1[[#This Row],[Capacity (MW)]]*8760*0.72*10^-6</f>
        <v>1.8921599999999997E-2</v>
      </c>
      <c r="O1161" s="2" cm="1">
        <f t="array" ref="O1161">AVERAGE(VLOOKUP(_xlfn.TEXTSPLIT(Table1[[#This Row],[Fuel (no space after comma)]], ","), FuelList_Final_EF!$A$2:$B$32, 2, FALSE))</f>
        <v>105.42962572482868</v>
      </c>
      <c r="P1161" s="2">
        <f>(16112*Table1[[#This Row],[Generation (TWh)]]*10^9)/10^6</f>
        <v>304864.81919999991</v>
      </c>
      <c r="Q1161" s="2">
        <f>Table1[[#This Row],[Emission Factor (kg CO2/ mmBtu)]]*Table1[[#This Row],[Fuel Consumption (mmBtu)]]*10^3</f>
        <v>32141783784.923557</v>
      </c>
      <c r="R1161" s="2">
        <f>(Table1[[#This Row],[CO2 Emissions (g CO2)]])/(Table1[[#This Row],[Generation (TWh)]]*10^9)</f>
        <v>1698.6821296784397</v>
      </c>
    </row>
    <row r="1162" spans="1:18">
      <c r="A1162" t="s">
        <v>460</v>
      </c>
      <c r="B1162" t="s">
        <v>19</v>
      </c>
      <c r="C1162" t="str">
        <f>SUBSTITUTE(Table1[[#This Row],[Fuel]],", ",",")</f>
        <v>bioenergy: refuse (municipal and industrial wastes)</v>
      </c>
      <c r="D1162" t="s">
        <v>19</v>
      </c>
      <c r="G1162">
        <v>24</v>
      </c>
      <c r="H1162" t="s">
        <v>53</v>
      </c>
      <c r="I1162" t="s">
        <v>21</v>
      </c>
      <c r="J1162" t="s">
        <v>21</v>
      </c>
      <c r="K1162">
        <v>31.709499999999998</v>
      </c>
      <c r="L1162">
        <v>120.4714</v>
      </c>
      <c r="M1162" t="s">
        <v>102</v>
      </c>
      <c r="N1162" s="2">
        <f>Table1[[#This Row],[Capacity (MW)]]*8760*0.72*10^-6</f>
        <v>0.15137279999999997</v>
      </c>
      <c r="O1162" s="2" cm="1">
        <f t="array" ref="O1162">AVERAGE(VLOOKUP(_xlfn.TEXTSPLIT(Table1[[#This Row],[Fuel (no space after comma)]], ","), FuelList_Final_EF!$A$2:$B$32, 2, FALSE))</f>
        <v>105.42962572482868</v>
      </c>
      <c r="P1162" s="2">
        <f>(16112*Table1[[#This Row],[Generation (TWh)]]*10^9)/10^6</f>
        <v>2438918.5535999993</v>
      </c>
      <c r="Q1162" s="2">
        <f>Table1[[#This Row],[Emission Factor (kg CO2/ mmBtu)]]*Table1[[#This Row],[Fuel Consumption (mmBtu)]]*10^3</f>
        <v>257134270279.38846</v>
      </c>
      <c r="R1162" s="2">
        <f>(Table1[[#This Row],[CO2 Emissions (g CO2)]])/(Table1[[#This Row],[Generation (TWh)]]*10^9)</f>
        <v>1698.6821296784397</v>
      </c>
    </row>
    <row r="1163" spans="1:18">
      <c r="A1163" t="s">
        <v>758</v>
      </c>
      <c r="B1163" t="s">
        <v>19</v>
      </c>
      <c r="C1163" t="str">
        <f>SUBSTITUTE(Table1[[#This Row],[Fuel]],", ",",")</f>
        <v>bioenergy: refuse (municipal and industrial wastes)</v>
      </c>
      <c r="D1163" t="s">
        <v>19</v>
      </c>
      <c r="G1163">
        <v>3</v>
      </c>
      <c r="H1163" t="s">
        <v>53</v>
      </c>
      <c r="I1163" t="s">
        <v>21</v>
      </c>
      <c r="J1163" t="s">
        <v>21</v>
      </c>
      <c r="K1163">
        <v>31.709499999999998</v>
      </c>
      <c r="L1163">
        <v>120.4714</v>
      </c>
      <c r="M1163" t="s">
        <v>102</v>
      </c>
      <c r="N1163" s="2">
        <f>Table1[[#This Row],[Capacity (MW)]]*8760*0.72*10^-6</f>
        <v>1.8921599999999997E-2</v>
      </c>
      <c r="O1163" s="2" cm="1">
        <f t="array" ref="O1163">AVERAGE(VLOOKUP(_xlfn.TEXTSPLIT(Table1[[#This Row],[Fuel (no space after comma)]], ","), FuelList_Final_EF!$A$2:$B$32, 2, FALSE))</f>
        <v>105.42962572482868</v>
      </c>
      <c r="P1163" s="2">
        <f>(16112*Table1[[#This Row],[Generation (TWh)]]*10^9)/10^6</f>
        <v>304864.81919999991</v>
      </c>
      <c r="Q1163" s="2">
        <f>Table1[[#This Row],[Emission Factor (kg CO2/ mmBtu)]]*Table1[[#This Row],[Fuel Consumption (mmBtu)]]*10^3</f>
        <v>32141783784.923557</v>
      </c>
      <c r="R1163" s="2">
        <f>(Table1[[#This Row],[CO2 Emissions (g CO2)]])/(Table1[[#This Row],[Generation (TWh)]]*10^9)</f>
        <v>1698.6821296784397</v>
      </c>
    </row>
    <row r="1164" spans="1:18">
      <c r="A1164" t="s">
        <v>759</v>
      </c>
      <c r="B1164" t="s">
        <v>19</v>
      </c>
      <c r="C1164" t="str">
        <f>SUBSTITUTE(Table1[[#This Row],[Fuel]],", ",",")</f>
        <v>bioenergy: refuse (municipal and industrial wastes)</v>
      </c>
      <c r="D1164" t="s">
        <v>19</v>
      </c>
      <c r="G1164">
        <v>3</v>
      </c>
      <c r="H1164" t="s">
        <v>53</v>
      </c>
      <c r="I1164" t="s">
        <v>21</v>
      </c>
      <c r="J1164" t="s">
        <v>21</v>
      </c>
      <c r="K1164">
        <v>31.709499999999998</v>
      </c>
      <c r="L1164">
        <v>120.4714</v>
      </c>
      <c r="M1164" t="s">
        <v>102</v>
      </c>
      <c r="N1164" s="2">
        <f>Table1[[#This Row],[Capacity (MW)]]*8760*0.72*10^-6</f>
        <v>1.8921599999999997E-2</v>
      </c>
      <c r="O1164" s="2" cm="1">
        <f t="array" ref="O1164">AVERAGE(VLOOKUP(_xlfn.TEXTSPLIT(Table1[[#This Row],[Fuel (no space after comma)]], ","), FuelList_Final_EF!$A$2:$B$32, 2, FALSE))</f>
        <v>105.42962572482868</v>
      </c>
      <c r="P1164" s="2">
        <f>(16112*Table1[[#This Row],[Generation (TWh)]]*10^9)/10^6</f>
        <v>304864.81919999991</v>
      </c>
      <c r="Q1164" s="2">
        <f>Table1[[#This Row],[Emission Factor (kg CO2/ mmBtu)]]*Table1[[#This Row],[Fuel Consumption (mmBtu)]]*10^3</f>
        <v>32141783784.923557</v>
      </c>
      <c r="R1164" s="2">
        <f>(Table1[[#This Row],[CO2 Emissions (g CO2)]])/(Table1[[#This Row],[Generation (TWh)]]*10^9)</f>
        <v>1698.6821296784397</v>
      </c>
    </row>
    <row r="1165" spans="1:18" hidden="1">
      <c r="A1165" t="s">
        <v>760</v>
      </c>
      <c r="B1165" t="s">
        <v>105</v>
      </c>
      <c r="C1165" t="str">
        <f>SUBSTITUTE(Table1[[#This Row],[Fuel]],", ",",")</f>
        <v>bioenergy: agricultural waste (solids),bioenergy: wood &amp; other biomass (solids)</v>
      </c>
      <c r="D1165" t="s">
        <v>46</v>
      </c>
      <c r="E1165" t="s">
        <v>25</v>
      </c>
      <c r="G1165">
        <v>30</v>
      </c>
      <c r="H1165" t="s">
        <v>27</v>
      </c>
      <c r="I1165">
        <v>2020</v>
      </c>
      <c r="J1165" t="s">
        <v>21</v>
      </c>
      <c r="K1165">
        <v>34.22</v>
      </c>
      <c r="L1165">
        <v>119.74809999999999</v>
      </c>
      <c r="M1165" t="s">
        <v>102</v>
      </c>
      <c r="N1165" s="2">
        <f>Table1[[#This Row],[Capacity (MW)]]*8760*0.72*10^-6</f>
        <v>0.189216</v>
      </c>
      <c r="O1165" s="2" cm="1">
        <f t="array" ref="O1165">AVERAGE(VLOOKUP(_xlfn.TEXTSPLIT(Table1[[#This Row],[Fuel (no space after comma)]], ","), FuelList_Final_EF!$A$2:$B$32, 2, FALSE))</f>
        <v>105.985</v>
      </c>
      <c r="P1165" s="2">
        <f>(16112*Table1[[#This Row],[Generation (TWh)]]*10^9)/10^6</f>
        <v>3048648.1919999998</v>
      </c>
      <c r="Q1165" s="2">
        <f>Table1[[#This Row],[Emission Factor (kg CO2/ mmBtu)]]*Table1[[#This Row],[Fuel Consumption (mmBtu)]]*10^3</f>
        <v>323110978629.12</v>
      </c>
      <c r="R1165" s="2">
        <f>(Table1[[#This Row],[CO2 Emissions (g CO2)]])/(Table1[[#This Row],[Generation (TWh)]]*10^9)</f>
        <v>1707.63032</v>
      </c>
    </row>
    <row r="1166" spans="1:18" hidden="1">
      <c r="A1166" t="s">
        <v>54</v>
      </c>
      <c r="B1166" t="s">
        <v>46</v>
      </c>
      <c r="C1166" t="str">
        <f>SUBSTITUTE(Table1[[#This Row],[Fuel]],", ",",")</f>
        <v>bioenergy: agricultural waste (solids)</v>
      </c>
      <c r="D1166" t="s">
        <v>46</v>
      </c>
      <c r="G1166">
        <v>30</v>
      </c>
      <c r="H1166" t="s">
        <v>27</v>
      </c>
      <c r="I1166">
        <v>2013</v>
      </c>
      <c r="J1166" t="s">
        <v>21</v>
      </c>
      <c r="K1166">
        <v>33.060299999999998</v>
      </c>
      <c r="L1166">
        <v>118.556</v>
      </c>
      <c r="M1166" t="s">
        <v>102</v>
      </c>
      <c r="N1166" s="2">
        <f>Table1[[#This Row],[Capacity (MW)]]*8760*0.72*10^-6</f>
        <v>0.189216</v>
      </c>
      <c r="O1166" s="2" cm="1">
        <f t="array" ref="O1166">AVERAGE(VLOOKUP(_xlfn.TEXTSPLIT(Table1[[#This Row],[Fuel (no space after comma)]], ","), FuelList_Final_EF!$A$2:$B$32, 2, FALSE))</f>
        <v>118.17</v>
      </c>
      <c r="P1166" s="2">
        <f>(16112*Table1[[#This Row],[Generation (TWh)]]*10^9)/10^6</f>
        <v>3048648.1919999998</v>
      </c>
      <c r="Q1166" s="2">
        <f>Table1[[#This Row],[Emission Factor (kg CO2/ mmBtu)]]*Table1[[#This Row],[Fuel Consumption (mmBtu)]]*10^3</f>
        <v>360258756848.63995</v>
      </c>
      <c r="R1166" s="2">
        <f>(Table1[[#This Row],[CO2 Emissions (g CO2)]])/(Table1[[#This Row],[Generation (TWh)]]*10^9)</f>
        <v>1903.9550399999998</v>
      </c>
    </row>
    <row r="1167" spans="1:18" hidden="1">
      <c r="A1167" t="s">
        <v>109</v>
      </c>
      <c r="B1167" t="s">
        <v>105</v>
      </c>
      <c r="C1167" t="str">
        <f>SUBSTITUTE(Table1[[#This Row],[Fuel]],", ",",")</f>
        <v>bioenergy: agricultural waste (solids),bioenergy: wood &amp; other biomass (solids)</v>
      </c>
      <c r="D1167" t="s">
        <v>46</v>
      </c>
      <c r="E1167" t="s">
        <v>25</v>
      </c>
      <c r="G1167">
        <v>30</v>
      </c>
      <c r="H1167" t="s">
        <v>27</v>
      </c>
      <c r="I1167">
        <v>2016</v>
      </c>
      <c r="J1167" t="s">
        <v>21</v>
      </c>
      <c r="K1167">
        <v>32.965299999999999</v>
      </c>
      <c r="L1167">
        <v>118.56440000000001</v>
      </c>
      <c r="M1167" t="s">
        <v>102</v>
      </c>
      <c r="N1167" s="2">
        <f>Table1[[#This Row],[Capacity (MW)]]*8760*0.72*10^-6</f>
        <v>0.189216</v>
      </c>
      <c r="O1167" s="2" cm="1">
        <f t="array" ref="O1167">AVERAGE(VLOOKUP(_xlfn.TEXTSPLIT(Table1[[#This Row],[Fuel (no space after comma)]], ","), FuelList_Final_EF!$A$2:$B$32, 2, FALSE))</f>
        <v>105.985</v>
      </c>
      <c r="P1167" s="2">
        <f>(16112*Table1[[#This Row],[Generation (TWh)]]*10^9)/10^6</f>
        <v>3048648.1919999998</v>
      </c>
      <c r="Q1167" s="2">
        <f>Table1[[#This Row],[Emission Factor (kg CO2/ mmBtu)]]*Table1[[#This Row],[Fuel Consumption (mmBtu)]]*10^3</f>
        <v>323110978629.12</v>
      </c>
      <c r="R1167" s="2">
        <f>(Table1[[#This Row],[CO2 Emissions (g CO2)]])/(Table1[[#This Row],[Generation (TWh)]]*10^9)</f>
        <v>1707.63032</v>
      </c>
    </row>
    <row r="1168" spans="1:18" hidden="1">
      <c r="A1168" t="s">
        <v>761</v>
      </c>
      <c r="B1168" t="s">
        <v>105</v>
      </c>
      <c r="C1168" t="str">
        <f>SUBSTITUTE(Table1[[#This Row],[Fuel]],", ",",")</f>
        <v>bioenergy: agricultural waste (solids),bioenergy: wood &amp; other biomass (solids)</v>
      </c>
      <c r="D1168" t="s">
        <v>46</v>
      </c>
      <c r="E1168" t="s">
        <v>25</v>
      </c>
      <c r="G1168">
        <v>35</v>
      </c>
      <c r="H1168" t="s">
        <v>27</v>
      </c>
      <c r="I1168">
        <v>2023</v>
      </c>
      <c r="J1168" t="s">
        <v>21</v>
      </c>
      <c r="K1168">
        <v>34.141500000000001</v>
      </c>
      <c r="L1168">
        <v>117.2003</v>
      </c>
      <c r="M1168" t="s">
        <v>102</v>
      </c>
      <c r="N1168" s="2">
        <f>Table1[[#This Row],[Capacity (MW)]]*8760*0.72*10^-6</f>
        <v>0.220752</v>
      </c>
      <c r="O1168" s="2" cm="1">
        <f t="array" ref="O1168">AVERAGE(VLOOKUP(_xlfn.TEXTSPLIT(Table1[[#This Row],[Fuel (no space after comma)]], ","), FuelList_Final_EF!$A$2:$B$32, 2, FALSE))</f>
        <v>105.985</v>
      </c>
      <c r="P1168" s="2">
        <f>(16112*Table1[[#This Row],[Generation (TWh)]]*10^9)/10^6</f>
        <v>3556756.2239999999</v>
      </c>
      <c r="Q1168" s="2">
        <f>Table1[[#This Row],[Emission Factor (kg CO2/ mmBtu)]]*Table1[[#This Row],[Fuel Consumption (mmBtu)]]*10^3</f>
        <v>376962808400.64001</v>
      </c>
      <c r="R1168" s="2">
        <f>(Table1[[#This Row],[CO2 Emissions (g CO2)]])/(Table1[[#This Row],[Generation (TWh)]]*10^9)</f>
        <v>1707.63032</v>
      </c>
    </row>
    <row r="1169" spans="1:18" hidden="1">
      <c r="A1169" t="s">
        <v>761</v>
      </c>
      <c r="B1169" t="s">
        <v>105</v>
      </c>
      <c r="C1169" t="str">
        <f>SUBSTITUTE(Table1[[#This Row],[Fuel]],", ",",")</f>
        <v>bioenergy: agricultural waste (solids),bioenergy: wood &amp; other biomass (solids)</v>
      </c>
      <c r="D1169" t="s">
        <v>46</v>
      </c>
      <c r="E1169" t="s">
        <v>25</v>
      </c>
      <c r="G1169">
        <v>35</v>
      </c>
      <c r="H1169" t="s">
        <v>27</v>
      </c>
      <c r="I1169">
        <v>2023</v>
      </c>
      <c r="J1169" t="s">
        <v>21</v>
      </c>
      <c r="K1169">
        <v>34.141500000000001</v>
      </c>
      <c r="L1169">
        <v>117.2003</v>
      </c>
      <c r="M1169" t="s">
        <v>102</v>
      </c>
      <c r="N1169" s="2">
        <f>Table1[[#This Row],[Capacity (MW)]]*8760*0.72*10^-6</f>
        <v>0.220752</v>
      </c>
      <c r="O1169" s="2" cm="1">
        <f t="array" ref="O1169">AVERAGE(VLOOKUP(_xlfn.TEXTSPLIT(Table1[[#This Row],[Fuel (no space after comma)]], ","), FuelList_Final_EF!$A$2:$B$32, 2, FALSE))</f>
        <v>105.985</v>
      </c>
      <c r="P1169" s="2">
        <f>(16112*Table1[[#This Row],[Generation (TWh)]]*10^9)/10^6</f>
        <v>3556756.2239999999</v>
      </c>
      <c r="Q1169" s="2">
        <f>Table1[[#This Row],[Emission Factor (kg CO2/ mmBtu)]]*Table1[[#This Row],[Fuel Consumption (mmBtu)]]*10^3</f>
        <v>376962808400.64001</v>
      </c>
      <c r="R1169" s="2">
        <f>(Table1[[#This Row],[CO2 Emissions (g CO2)]])/(Table1[[#This Row],[Generation (TWh)]]*10^9)</f>
        <v>1707.63032</v>
      </c>
    </row>
    <row r="1170" spans="1:18" hidden="1">
      <c r="A1170" t="s">
        <v>762</v>
      </c>
      <c r="B1170" t="s">
        <v>19</v>
      </c>
      <c r="C1170" t="str">
        <f>SUBSTITUTE(Table1[[#This Row],[Fuel]],", ",",")</f>
        <v>bioenergy: refuse (municipal and industrial wastes)</v>
      </c>
      <c r="D1170" t="s">
        <v>19</v>
      </c>
      <c r="G1170">
        <v>19.95</v>
      </c>
      <c r="H1170" t="s">
        <v>27</v>
      </c>
      <c r="I1170">
        <v>2019</v>
      </c>
      <c r="J1170" t="s">
        <v>21</v>
      </c>
      <c r="K1170">
        <v>33.423499999999997</v>
      </c>
      <c r="L1170">
        <v>120.0059</v>
      </c>
      <c r="M1170" t="s">
        <v>102</v>
      </c>
      <c r="N1170" s="2">
        <f>Table1[[#This Row],[Capacity (MW)]]*8760*0.72*10^-6</f>
        <v>0.12582863999999999</v>
      </c>
      <c r="O1170" s="2" cm="1">
        <f t="array" ref="O1170">AVERAGE(VLOOKUP(_xlfn.TEXTSPLIT(Table1[[#This Row],[Fuel (no space after comma)]], ","), FuelList_Final_EF!$A$2:$B$32, 2, FALSE))</f>
        <v>105.42962572482868</v>
      </c>
      <c r="P1170" s="2">
        <f>(16112*Table1[[#This Row],[Generation (TWh)]]*10^9)/10^6</f>
        <v>2027351.0476800001</v>
      </c>
      <c r="Q1170" s="2">
        <f>Table1[[#This Row],[Emission Factor (kg CO2/ mmBtu)]]*Table1[[#This Row],[Fuel Consumption (mmBtu)]]*10^3</f>
        <v>213742862169.74173</v>
      </c>
      <c r="R1170" s="2">
        <f>(Table1[[#This Row],[CO2 Emissions (g CO2)]])/(Table1[[#This Row],[Generation (TWh)]]*10^9)</f>
        <v>1698.6821296784401</v>
      </c>
    </row>
    <row r="1171" spans="1:18" hidden="1">
      <c r="A1171" t="s">
        <v>763</v>
      </c>
      <c r="B1171" t="s">
        <v>19</v>
      </c>
      <c r="C1171" t="str">
        <f>SUBSTITUTE(Table1[[#This Row],[Fuel]],", ",",")</f>
        <v>bioenergy: refuse (municipal and industrial wastes)</v>
      </c>
      <c r="D1171" t="s">
        <v>19</v>
      </c>
      <c r="G1171">
        <v>10.15</v>
      </c>
      <c r="H1171" t="s">
        <v>27</v>
      </c>
      <c r="I1171">
        <v>2019</v>
      </c>
      <c r="J1171" t="s">
        <v>21</v>
      </c>
      <c r="K1171">
        <v>33.423499999999997</v>
      </c>
      <c r="L1171">
        <v>120.0059</v>
      </c>
      <c r="M1171" t="s">
        <v>102</v>
      </c>
      <c r="N1171" s="2">
        <f>Table1[[#This Row],[Capacity (MW)]]*8760*0.72*10^-6</f>
        <v>6.4018079999999991E-2</v>
      </c>
      <c r="O1171" s="2" cm="1">
        <f t="array" ref="O1171">AVERAGE(VLOOKUP(_xlfn.TEXTSPLIT(Table1[[#This Row],[Fuel (no space after comma)]], ","), FuelList_Final_EF!$A$2:$B$32, 2, FALSE))</f>
        <v>105.42962572482868</v>
      </c>
      <c r="P1171" s="2">
        <f>(16112*Table1[[#This Row],[Generation (TWh)]]*10^9)/10^6</f>
        <v>1031459.3049599999</v>
      </c>
      <c r="Q1171" s="2">
        <f>Table1[[#This Row],[Emission Factor (kg CO2/ mmBtu)]]*Table1[[#This Row],[Fuel Consumption (mmBtu)]]*10^3</f>
        <v>108746368472.32471</v>
      </c>
      <c r="R1171" s="2">
        <f>(Table1[[#This Row],[CO2 Emissions (g CO2)]])/(Table1[[#This Row],[Generation (TWh)]]*10^9)</f>
        <v>1698.6821296784397</v>
      </c>
    </row>
    <row r="1172" spans="1:18" hidden="1">
      <c r="A1172" t="s">
        <v>514</v>
      </c>
      <c r="B1172" t="s">
        <v>19</v>
      </c>
      <c r="C1172" t="str">
        <f>SUBSTITUTE(Table1[[#This Row],[Fuel]],", ",",")</f>
        <v>bioenergy: refuse (municipal and industrial wastes)</v>
      </c>
      <c r="D1172" t="s">
        <v>19</v>
      </c>
      <c r="G1172">
        <v>4.9000000000000004</v>
      </c>
      <c r="H1172" t="s">
        <v>27</v>
      </c>
      <c r="I1172">
        <v>2019</v>
      </c>
      <c r="J1172" t="s">
        <v>21</v>
      </c>
      <c r="K1172">
        <v>33.423499999999997</v>
      </c>
      <c r="L1172">
        <v>120.0059</v>
      </c>
      <c r="M1172" t="s">
        <v>102</v>
      </c>
      <c r="N1172" s="2">
        <f>Table1[[#This Row],[Capacity (MW)]]*8760*0.72*10^-6</f>
        <v>3.0905279999999997E-2</v>
      </c>
      <c r="O1172" s="2" cm="1">
        <f t="array" ref="O1172">AVERAGE(VLOOKUP(_xlfn.TEXTSPLIT(Table1[[#This Row],[Fuel (no space after comma)]], ","), FuelList_Final_EF!$A$2:$B$32, 2, FALSE))</f>
        <v>105.42962572482868</v>
      </c>
      <c r="P1172" s="2">
        <f>(16112*Table1[[#This Row],[Generation (TWh)]]*10^9)/10^6</f>
        <v>497945.87135999993</v>
      </c>
      <c r="Q1172" s="2">
        <f>Table1[[#This Row],[Emission Factor (kg CO2/ mmBtu)]]*Table1[[#This Row],[Fuel Consumption (mmBtu)]]*10^3</f>
        <v>52498246848.708481</v>
      </c>
      <c r="R1172" s="2">
        <f>(Table1[[#This Row],[CO2 Emissions (g CO2)]])/(Table1[[#This Row],[Generation (TWh)]]*10^9)</f>
        <v>1698.6821296784397</v>
      </c>
    </row>
    <row r="1173" spans="1:18" hidden="1">
      <c r="A1173" t="s">
        <v>514</v>
      </c>
      <c r="B1173" t="s">
        <v>19</v>
      </c>
      <c r="C1173" t="str">
        <f>SUBSTITUTE(Table1[[#This Row],[Fuel]],", ",",")</f>
        <v>bioenergy: refuse (municipal and industrial wastes)</v>
      </c>
      <c r="D1173" t="s">
        <v>19</v>
      </c>
      <c r="G1173">
        <v>45</v>
      </c>
      <c r="H1173" t="s">
        <v>27</v>
      </c>
      <c r="I1173">
        <v>2019</v>
      </c>
      <c r="J1173" t="s">
        <v>21</v>
      </c>
      <c r="K1173">
        <v>31.334199999999999</v>
      </c>
      <c r="L1173">
        <v>119.6514</v>
      </c>
      <c r="M1173" t="s">
        <v>102</v>
      </c>
      <c r="N1173" s="2">
        <f>Table1[[#This Row],[Capacity (MW)]]*8760*0.72*10^-6</f>
        <v>0.28382399999999997</v>
      </c>
      <c r="O1173" s="2" cm="1">
        <f t="array" ref="O1173">AVERAGE(VLOOKUP(_xlfn.TEXTSPLIT(Table1[[#This Row],[Fuel (no space after comma)]], ","), FuelList_Final_EF!$A$2:$B$32, 2, FALSE))</f>
        <v>105.42962572482868</v>
      </c>
      <c r="P1173" s="2">
        <f>(16112*Table1[[#This Row],[Generation (TWh)]]*10^9)/10^6</f>
        <v>4572972.2879999988</v>
      </c>
      <c r="Q1173" s="2">
        <f>Table1[[#This Row],[Emission Factor (kg CO2/ mmBtu)]]*Table1[[#This Row],[Fuel Consumption (mmBtu)]]*10^3</f>
        <v>482126756773.85333</v>
      </c>
      <c r="R1173" s="2">
        <f>(Table1[[#This Row],[CO2 Emissions (g CO2)]])/(Table1[[#This Row],[Generation (TWh)]]*10^9)</f>
        <v>1698.6821296784397</v>
      </c>
    </row>
    <row r="1174" spans="1:18" hidden="1">
      <c r="A1174" t="s">
        <v>764</v>
      </c>
      <c r="B1174" t="s">
        <v>19</v>
      </c>
      <c r="C1174" t="str">
        <f>SUBSTITUTE(Table1[[#This Row],[Fuel]],", ",",")</f>
        <v>bioenergy: refuse (municipal and industrial wastes)</v>
      </c>
      <c r="D1174" t="s">
        <v>19</v>
      </c>
      <c r="G1174">
        <v>30</v>
      </c>
      <c r="H1174" t="s">
        <v>27</v>
      </c>
      <c r="I1174">
        <v>2023</v>
      </c>
      <c r="J1174" t="s">
        <v>21</v>
      </c>
      <c r="K1174">
        <v>31.879000000000001</v>
      </c>
      <c r="L1174">
        <v>120.6302</v>
      </c>
      <c r="M1174" t="s">
        <v>102</v>
      </c>
      <c r="N1174" s="2">
        <f>Table1[[#This Row],[Capacity (MW)]]*8760*0.72*10^-6</f>
        <v>0.189216</v>
      </c>
      <c r="O1174" s="2" cm="1">
        <f t="array" ref="O1174">AVERAGE(VLOOKUP(_xlfn.TEXTSPLIT(Table1[[#This Row],[Fuel (no space after comma)]], ","), FuelList_Final_EF!$A$2:$B$32, 2, FALSE))</f>
        <v>105.42962572482868</v>
      </c>
      <c r="P1174" s="2">
        <f>(16112*Table1[[#This Row],[Generation (TWh)]]*10^9)/10^6</f>
        <v>3048648.1919999998</v>
      </c>
      <c r="Q1174" s="2">
        <f>Table1[[#This Row],[Emission Factor (kg CO2/ mmBtu)]]*Table1[[#This Row],[Fuel Consumption (mmBtu)]]*10^3</f>
        <v>321417837849.23566</v>
      </c>
      <c r="R1174" s="2">
        <f>(Table1[[#This Row],[CO2 Emissions (g CO2)]])/(Table1[[#This Row],[Generation (TWh)]]*10^9)</f>
        <v>1698.6821296784397</v>
      </c>
    </row>
    <row r="1175" spans="1:18" hidden="1">
      <c r="A1175" t="s">
        <v>764</v>
      </c>
      <c r="B1175" t="s">
        <v>19</v>
      </c>
      <c r="C1175" t="str">
        <f>SUBSTITUTE(Table1[[#This Row],[Fuel]],", ",",")</f>
        <v>bioenergy: refuse (municipal and industrial wastes)</v>
      </c>
      <c r="D1175" t="s">
        <v>19</v>
      </c>
      <c r="G1175">
        <v>30</v>
      </c>
      <c r="H1175" t="s">
        <v>27</v>
      </c>
      <c r="I1175">
        <v>2023</v>
      </c>
      <c r="J1175" t="s">
        <v>21</v>
      </c>
      <c r="K1175">
        <v>31.879000000000001</v>
      </c>
      <c r="L1175">
        <v>120.6302</v>
      </c>
      <c r="M1175" t="s">
        <v>102</v>
      </c>
      <c r="N1175" s="2">
        <f>Table1[[#This Row],[Capacity (MW)]]*8760*0.72*10^-6</f>
        <v>0.189216</v>
      </c>
      <c r="O1175" s="2" cm="1">
        <f t="array" ref="O1175">AVERAGE(VLOOKUP(_xlfn.TEXTSPLIT(Table1[[#This Row],[Fuel (no space after comma)]], ","), FuelList_Final_EF!$A$2:$B$32, 2, FALSE))</f>
        <v>105.42962572482868</v>
      </c>
      <c r="P1175" s="2">
        <f>(16112*Table1[[#This Row],[Generation (TWh)]]*10^9)/10^6</f>
        <v>3048648.1919999998</v>
      </c>
      <c r="Q1175" s="2">
        <f>Table1[[#This Row],[Emission Factor (kg CO2/ mmBtu)]]*Table1[[#This Row],[Fuel Consumption (mmBtu)]]*10^3</f>
        <v>321417837849.23566</v>
      </c>
      <c r="R1175" s="2">
        <f>(Table1[[#This Row],[CO2 Emissions (g CO2)]])/(Table1[[#This Row],[Generation (TWh)]]*10^9)</f>
        <v>1698.6821296784397</v>
      </c>
    </row>
    <row r="1176" spans="1:18">
      <c r="A1176" t="s">
        <v>677</v>
      </c>
      <c r="B1176" t="s">
        <v>653</v>
      </c>
      <c r="C1176" t="str">
        <f>SUBSTITUTE(Table1[[#This Row],[Fuel]],", ",",")</f>
        <v>bioenergy: wood &amp; other biomass (solids),bioenergy: paper mill wastes</v>
      </c>
      <c r="D1176" t="s">
        <v>25</v>
      </c>
      <c r="E1176" t="s">
        <v>61</v>
      </c>
      <c r="G1176">
        <v>12</v>
      </c>
      <c r="H1176" t="s">
        <v>53</v>
      </c>
      <c r="I1176" t="s">
        <v>21</v>
      </c>
      <c r="J1176" t="s">
        <v>21</v>
      </c>
      <c r="K1176">
        <v>27.3994</v>
      </c>
      <c r="L1176">
        <v>114.6789</v>
      </c>
      <c r="M1176" t="s">
        <v>102</v>
      </c>
      <c r="N1176" s="2">
        <f>Table1[[#This Row],[Capacity (MW)]]*8760*0.72*10^-6</f>
        <v>7.5686399999999987E-2</v>
      </c>
      <c r="O1176" s="2" cm="1">
        <f t="array" ref="O1176">AVERAGE(VLOOKUP(_xlfn.TEXTSPLIT(Table1[[#This Row],[Fuel (no space after comma)]], ","), FuelList_Final_EF!$A$2:$B$32, 2, FALSE))</f>
        <v>97.137216657880856</v>
      </c>
      <c r="P1176" s="2">
        <f>(16112*Table1[[#This Row],[Generation (TWh)]]*10^9)/10^6</f>
        <v>1219459.2767999996</v>
      </c>
      <c r="Q1176" s="2">
        <f>Table1[[#This Row],[Emission Factor (kg CO2/ mmBtu)]]*Table1[[#This Row],[Fuel Consumption (mmBtu)]]*10^3</f>
        <v>118454879975.98425</v>
      </c>
      <c r="R1176" s="2">
        <f>(Table1[[#This Row],[CO2 Emissions (g CO2)]])/(Table1[[#This Row],[Generation (TWh)]]*10^9)</f>
        <v>1565.0748347917761</v>
      </c>
    </row>
    <row r="1177" spans="1:18">
      <c r="A1177" t="s">
        <v>676</v>
      </c>
      <c r="B1177" t="s">
        <v>653</v>
      </c>
      <c r="C1177" t="str">
        <f>SUBSTITUTE(Table1[[#This Row],[Fuel]],", ",",")</f>
        <v>bioenergy: wood &amp; other biomass (solids),bioenergy: paper mill wastes</v>
      </c>
      <c r="D1177" t="s">
        <v>25</v>
      </c>
      <c r="E1177" t="s">
        <v>61</v>
      </c>
      <c r="G1177">
        <v>18</v>
      </c>
      <c r="H1177" t="s">
        <v>53</v>
      </c>
      <c r="I1177" t="s">
        <v>21</v>
      </c>
      <c r="J1177" t="s">
        <v>21</v>
      </c>
      <c r="K1177">
        <v>27.3994</v>
      </c>
      <c r="L1177">
        <v>114.6789</v>
      </c>
      <c r="M1177" t="s">
        <v>102</v>
      </c>
      <c r="N1177" s="2">
        <f>Table1[[#This Row],[Capacity (MW)]]*8760*0.72*10^-6</f>
        <v>0.11352959999999998</v>
      </c>
      <c r="O1177" s="2" cm="1">
        <f t="array" ref="O1177">AVERAGE(VLOOKUP(_xlfn.TEXTSPLIT(Table1[[#This Row],[Fuel (no space after comma)]], ","), FuelList_Final_EF!$A$2:$B$32, 2, FALSE))</f>
        <v>97.137216657880856</v>
      </c>
      <c r="P1177" s="2">
        <f>(16112*Table1[[#This Row],[Generation (TWh)]]*10^9)/10^6</f>
        <v>1829188.9151999997</v>
      </c>
      <c r="Q1177" s="2">
        <f>Table1[[#This Row],[Emission Factor (kg CO2/ mmBtu)]]*Table1[[#This Row],[Fuel Consumption (mmBtu)]]*10^3</f>
        <v>177682319963.97641</v>
      </c>
      <c r="R1177" s="2">
        <f>(Table1[[#This Row],[CO2 Emissions (g CO2)]])/(Table1[[#This Row],[Generation (TWh)]]*10^9)</f>
        <v>1565.0748347917761</v>
      </c>
    </row>
    <row r="1178" spans="1:18">
      <c r="A1178" t="s">
        <v>676</v>
      </c>
      <c r="B1178" t="s">
        <v>653</v>
      </c>
      <c r="C1178" t="str">
        <f>SUBSTITUTE(Table1[[#This Row],[Fuel]],", ",",")</f>
        <v>bioenergy: wood &amp; other biomass (solids),bioenergy: paper mill wastes</v>
      </c>
      <c r="D1178" t="s">
        <v>25</v>
      </c>
      <c r="E1178" t="s">
        <v>61</v>
      </c>
      <c r="G1178">
        <v>18</v>
      </c>
      <c r="H1178" t="s">
        <v>53</v>
      </c>
      <c r="I1178" t="s">
        <v>21</v>
      </c>
      <c r="J1178" t="s">
        <v>21</v>
      </c>
      <c r="K1178">
        <v>27.3994</v>
      </c>
      <c r="L1178">
        <v>114.6789</v>
      </c>
      <c r="M1178" t="s">
        <v>102</v>
      </c>
      <c r="N1178" s="2">
        <f>Table1[[#This Row],[Capacity (MW)]]*8760*0.72*10^-6</f>
        <v>0.11352959999999998</v>
      </c>
      <c r="O1178" s="2" cm="1">
        <f t="array" ref="O1178">AVERAGE(VLOOKUP(_xlfn.TEXTSPLIT(Table1[[#This Row],[Fuel (no space after comma)]], ","), FuelList_Final_EF!$A$2:$B$32, 2, FALSE))</f>
        <v>97.137216657880856</v>
      </c>
      <c r="P1178" s="2">
        <f>(16112*Table1[[#This Row],[Generation (TWh)]]*10^9)/10^6</f>
        <v>1829188.9151999997</v>
      </c>
      <c r="Q1178" s="2">
        <f>Table1[[#This Row],[Emission Factor (kg CO2/ mmBtu)]]*Table1[[#This Row],[Fuel Consumption (mmBtu)]]*10^3</f>
        <v>177682319963.97641</v>
      </c>
      <c r="R1178" s="2">
        <f>(Table1[[#This Row],[CO2 Emissions (g CO2)]])/(Table1[[#This Row],[Generation (TWh)]]*10^9)</f>
        <v>1565.0748347917761</v>
      </c>
    </row>
    <row r="1179" spans="1:18">
      <c r="A1179" t="s">
        <v>677</v>
      </c>
      <c r="B1179" t="s">
        <v>653</v>
      </c>
      <c r="C1179" t="str">
        <f>SUBSTITUTE(Table1[[#This Row],[Fuel]],", ",",")</f>
        <v>bioenergy: wood &amp; other biomass (solids),bioenergy: paper mill wastes</v>
      </c>
      <c r="D1179" t="s">
        <v>25</v>
      </c>
      <c r="E1179" t="s">
        <v>61</v>
      </c>
      <c r="G1179">
        <v>12</v>
      </c>
      <c r="H1179" t="s">
        <v>53</v>
      </c>
      <c r="I1179" t="s">
        <v>21</v>
      </c>
      <c r="J1179" t="s">
        <v>21</v>
      </c>
      <c r="K1179">
        <v>27.3994</v>
      </c>
      <c r="L1179">
        <v>114.6789</v>
      </c>
      <c r="M1179" t="s">
        <v>102</v>
      </c>
      <c r="N1179" s="2">
        <f>Table1[[#This Row],[Capacity (MW)]]*8760*0.72*10^-6</f>
        <v>7.5686399999999987E-2</v>
      </c>
      <c r="O1179" s="2" cm="1">
        <f t="array" ref="O1179">AVERAGE(VLOOKUP(_xlfn.TEXTSPLIT(Table1[[#This Row],[Fuel (no space after comma)]], ","), FuelList_Final_EF!$A$2:$B$32, 2, FALSE))</f>
        <v>97.137216657880856</v>
      </c>
      <c r="P1179" s="2">
        <f>(16112*Table1[[#This Row],[Generation (TWh)]]*10^9)/10^6</f>
        <v>1219459.2767999996</v>
      </c>
      <c r="Q1179" s="2">
        <f>Table1[[#This Row],[Emission Factor (kg CO2/ mmBtu)]]*Table1[[#This Row],[Fuel Consumption (mmBtu)]]*10^3</f>
        <v>118454879975.98425</v>
      </c>
      <c r="R1179" s="2">
        <f>(Table1[[#This Row],[CO2 Emissions (g CO2)]])/(Table1[[#This Row],[Generation (TWh)]]*10^9)</f>
        <v>1565.0748347917761</v>
      </c>
    </row>
    <row r="1180" spans="1:18" hidden="1">
      <c r="A1180" t="s">
        <v>765</v>
      </c>
      <c r="B1180" t="s">
        <v>105</v>
      </c>
      <c r="C1180" t="str">
        <f>SUBSTITUTE(Table1[[#This Row],[Fuel]],", ",",")</f>
        <v>bioenergy: agricultural waste (solids),bioenergy: wood &amp; other biomass (solids)</v>
      </c>
      <c r="D1180" t="s">
        <v>46</v>
      </c>
      <c r="E1180" t="s">
        <v>25</v>
      </c>
      <c r="G1180">
        <v>30</v>
      </c>
      <c r="H1180" t="s">
        <v>27</v>
      </c>
      <c r="I1180">
        <v>2016</v>
      </c>
      <c r="J1180" t="s">
        <v>21</v>
      </c>
      <c r="K1180">
        <v>29.389900000000001</v>
      </c>
      <c r="L1180">
        <v>115.7236</v>
      </c>
      <c r="M1180" t="s">
        <v>102</v>
      </c>
      <c r="N1180" s="2">
        <f>Table1[[#This Row],[Capacity (MW)]]*8760*0.72*10^-6</f>
        <v>0.189216</v>
      </c>
      <c r="O1180" s="2" cm="1">
        <f t="array" ref="O1180">AVERAGE(VLOOKUP(_xlfn.TEXTSPLIT(Table1[[#This Row],[Fuel (no space after comma)]], ","), FuelList_Final_EF!$A$2:$B$32, 2, FALSE))</f>
        <v>105.985</v>
      </c>
      <c r="P1180" s="2">
        <f>(16112*Table1[[#This Row],[Generation (TWh)]]*10^9)/10^6</f>
        <v>3048648.1919999998</v>
      </c>
      <c r="Q1180" s="2">
        <f>Table1[[#This Row],[Emission Factor (kg CO2/ mmBtu)]]*Table1[[#This Row],[Fuel Consumption (mmBtu)]]*10^3</f>
        <v>323110978629.12</v>
      </c>
      <c r="R1180" s="2">
        <f>(Table1[[#This Row],[CO2 Emissions (g CO2)]])/(Table1[[#This Row],[Generation (TWh)]]*10^9)</f>
        <v>1707.63032</v>
      </c>
    </row>
    <row r="1181" spans="1:18" hidden="1">
      <c r="A1181" t="s">
        <v>766</v>
      </c>
      <c r="B1181" t="s">
        <v>105</v>
      </c>
      <c r="C1181" t="str">
        <f>SUBSTITUTE(Table1[[#This Row],[Fuel]],", ",",")</f>
        <v>bioenergy: agricultural waste (solids),bioenergy: wood &amp; other biomass (solids)</v>
      </c>
      <c r="D1181" t="s">
        <v>46</v>
      </c>
      <c r="E1181" t="s">
        <v>25</v>
      </c>
      <c r="G1181">
        <v>9</v>
      </c>
      <c r="H1181" t="s">
        <v>27</v>
      </c>
      <c r="I1181">
        <v>2021</v>
      </c>
      <c r="J1181" t="s">
        <v>21</v>
      </c>
      <c r="K1181">
        <v>28.069199999999999</v>
      </c>
      <c r="L1181">
        <v>115.76819999999999</v>
      </c>
      <c r="M1181" t="s">
        <v>102</v>
      </c>
      <c r="N1181" s="2">
        <f>Table1[[#This Row],[Capacity (MW)]]*8760*0.72*10^-6</f>
        <v>5.676479999999999E-2</v>
      </c>
      <c r="O1181" s="2" cm="1">
        <f t="array" ref="O1181">AVERAGE(VLOOKUP(_xlfn.TEXTSPLIT(Table1[[#This Row],[Fuel (no space after comma)]], ","), FuelList_Final_EF!$A$2:$B$32, 2, FALSE))</f>
        <v>105.985</v>
      </c>
      <c r="P1181" s="2">
        <f>(16112*Table1[[#This Row],[Generation (TWh)]]*10^9)/10^6</f>
        <v>914594.45759999985</v>
      </c>
      <c r="Q1181" s="2">
        <f>Table1[[#This Row],[Emission Factor (kg CO2/ mmBtu)]]*Table1[[#This Row],[Fuel Consumption (mmBtu)]]*10^3</f>
        <v>96933293588.735977</v>
      </c>
      <c r="R1181" s="2">
        <f>(Table1[[#This Row],[CO2 Emissions (g CO2)]])/(Table1[[#This Row],[Generation (TWh)]]*10^9)</f>
        <v>1707.6303199999998</v>
      </c>
    </row>
    <row r="1182" spans="1:18" hidden="1">
      <c r="A1182" t="s">
        <v>115</v>
      </c>
      <c r="B1182" t="s">
        <v>105</v>
      </c>
      <c r="C1182" t="str">
        <f>SUBSTITUTE(Table1[[#This Row],[Fuel]],", ",",")</f>
        <v>bioenergy: agricultural waste (solids),bioenergy: wood &amp; other biomass (solids)</v>
      </c>
      <c r="D1182" t="s">
        <v>46</v>
      </c>
      <c r="E1182" t="s">
        <v>25</v>
      </c>
      <c r="G1182">
        <v>21</v>
      </c>
      <c r="H1182" t="s">
        <v>27</v>
      </c>
      <c r="I1182">
        <v>2021</v>
      </c>
      <c r="J1182" t="s">
        <v>21</v>
      </c>
      <c r="K1182">
        <v>28.069199999999999</v>
      </c>
      <c r="L1182">
        <v>115.76819999999999</v>
      </c>
      <c r="M1182" t="s">
        <v>102</v>
      </c>
      <c r="N1182" s="2">
        <f>Table1[[#This Row],[Capacity (MW)]]*8760*0.72*10^-6</f>
        <v>0.13245119999999996</v>
      </c>
      <c r="O1182" s="2" cm="1">
        <f t="array" ref="O1182">AVERAGE(VLOOKUP(_xlfn.TEXTSPLIT(Table1[[#This Row],[Fuel (no space after comma)]], ","), FuelList_Final_EF!$A$2:$B$32, 2, FALSE))</f>
        <v>105.985</v>
      </c>
      <c r="P1182" s="2">
        <f>(16112*Table1[[#This Row],[Generation (TWh)]]*10^9)/10^6</f>
        <v>2134053.7343999995</v>
      </c>
      <c r="Q1182" s="2">
        <f>Table1[[#This Row],[Emission Factor (kg CO2/ mmBtu)]]*Table1[[#This Row],[Fuel Consumption (mmBtu)]]*10^3</f>
        <v>226177685040.38394</v>
      </c>
      <c r="R1182" s="2">
        <f>(Table1[[#This Row],[CO2 Emissions (g CO2)]])/(Table1[[#This Row],[Generation (TWh)]]*10^9)</f>
        <v>1707.63032</v>
      </c>
    </row>
    <row r="1183" spans="1:18" hidden="1">
      <c r="A1183" t="s">
        <v>121</v>
      </c>
      <c r="B1183" t="s">
        <v>105</v>
      </c>
      <c r="C1183" t="str">
        <f>SUBSTITUTE(Table1[[#This Row],[Fuel]],", ",",")</f>
        <v>bioenergy: agricultural waste (solids),bioenergy: wood &amp; other biomass (solids)</v>
      </c>
      <c r="D1183" t="s">
        <v>46</v>
      </c>
      <c r="E1183" t="s">
        <v>25</v>
      </c>
      <c r="G1183">
        <v>30</v>
      </c>
      <c r="H1183" t="s">
        <v>27</v>
      </c>
      <c r="I1183">
        <v>2020</v>
      </c>
      <c r="J1183" t="s">
        <v>21</v>
      </c>
      <c r="K1183">
        <v>28.017499999999998</v>
      </c>
      <c r="L1183">
        <v>116.29559999999999</v>
      </c>
      <c r="M1183" t="s">
        <v>102</v>
      </c>
      <c r="N1183" s="2">
        <f>Table1[[#This Row],[Capacity (MW)]]*8760*0.72*10^-6</f>
        <v>0.189216</v>
      </c>
      <c r="O1183" s="2" cm="1">
        <f t="array" ref="O1183">AVERAGE(VLOOKUP(_xlfn.TEXTSPLIT(Table1[[#This Row],[Fuel (no space after comma)]], ","), FuelList_Final_EF!$A$2:$B$32, 2, FALSE))</f>
        <v>105.985</v>
      </c>
      <c r="P1183" s="2">
        <f>(16112*Table1[[#This Row],[Generation (TWh)]]*10^9)/10^6</f>
        <v>3048648.1919999998</v>
      </c>
      <c r="Q1183" s="2">
        <f>Table1[[#This Row],[Emission Factor (kg CO2/ mmBtu)]]*Table1[[#This Row],[Fuel Consumption (mmBtu)]]*10^3</f>
        <v>323110978629.12</v>
      </c>
      <c r="R1183" s="2">
        <f>(Table1[[#This Row],[CO2 Emissions (g CO2)]])/(Table1[[#This Row],[Generation (TWh)]]*10^9)</f>
        <v>1707.63032</v>
      </c>
    </row>
    <row r="1184" spans="1:18" hidden="1">
      <c r="A1184" t="s">
        <v>117</v>
      </c>
      <c r="B1184" t="s">
        <v>46</v>
      </c>
      <c r="C1184" t="str">
        <f>SUBSTITUTE(Table1[[#This Row],[Fuel]],", ",",")</f>
        <v>bioenergy: agricultural waste (solids)</v>
      </c>
      <c r="D1184" t="s">
        <v>46</v>
      </c>
      <c r="G1184">
        <v>30</v>
      </c>
      <c r="H1184" t="s">
        <v>27</v>
      </c>
      <c r="I1184">
        <v>2012</v>
      </c>
      <c r="J1184" t="s">
        <v>21</v>
      </c>
      <c r="K1184">
        <v>25.984000000000002</v>
      </c>
      <c r="L1184">
        <v>115.14230000000001</v>
      </c>
      <c r="M1184" t="s">
        <v>102</v>
      </c>
      <c r="N1184" s="2">
        <f>Table1[[#This Row],[Capacity (MW)]]*8760*0.72*10^-6</f>
        <v>0.189216</v>
      </c>
      <c r="O1184" s="2" cm="1">
        <f t="array" ref="O1184">AVERAGE(VLOOKUP(_xlfn.TEXTSPLIT(Table1[[#This Row],[Fuel (no space after comma)]], ","), FuelList_Final_EF!$A$2:$B$32, 2, FALSE))</f>
        <v>118.17</v>
      </c>
      <c r="P1184" s="2">
        <f>(16112*Table1[[#This Row],[Generation (TWh)]]*10^9)/10^6</f>
        <v>3048648.1919999998</v>
      </c>
      <c r="Q1184" s="2">
        <f>Table1[[#This Row],[Emission Factor (kg CO2/ mmBtu)]]*Table1[[#This Row],[Fuel Consumption (mmBtu)]]*10^3</f>
        <v>360258756848.63995</v>
      </c>
      <c r="R1184" s="2">
        <f>(Table1[[#This Row],[CO2 Emissions (g CO2)]])/(Table1[[#This Row],[Generation (TWh)]]*10^9)</f>
        <v>1903.9550399999998</v>
      </c>
    </row>
    <row r="1185" spans="1:18" hidden="1">
      <c r="A1185" t="s">
        <v>591</v>
      </c>
      <c r="B1185" t="s">
        <v>19</v>
      </c>
      <c r="C1185" t="str">
        <f>SUBSTITUTE(Table1[[#This Row],[Fuel]],", ",",")</f>
        <v>bioenergy: refuse (municipal and industrial wastes)</v>
      </c>
      <c r="D1185" t="s">
        <v>19</v>
      </c>
      <c r="G1185">
        <v>30</v>
      </c>
      <c r="H1185" t="s">
        <v>27</v>
      </c>
      <c r="I1185">
        <v>2023</v>
      </c>
      <c r="J1185" t="s">
        <v>21</v>
      </c>
      <c r="K1185">
        <v>25.668399999999998</v>
      </c>
      <c r="L1185">
        <v>114.7834</v>
      </c>
      <c r="M1185" t="s">
        <v>102</v>
      </c>
      <c r="N1185" s="2">
        <f>Table1[[#This Row],[Capacity (MW)]]*8760*0.72*10^-6</f>
        <v>0.189216</v>
      </c>
      <c r="O1185" s="2" cm="1">
        <f t="array" ref="O1185">AVERAGE(VLOOKUP(_xlfn.TEXTSPLIT(Table1[[#This Row],[Fuel (no space after comma)]], ","), FuelList_Final_EF!$A$2:$B$32, 2, FALSE))</f>
        <v>105.42962572482868</v>
      </c>
      <c r="P1185" s="2">
        <f>(16112*Table1[[#This Row],[Generation (TWh)]]*10^9)/10^6</f>
        <v>3048648.1919999998</v>
      </c>
      <c r="Q1185" s="2">
        <f>Table1[[#This Row],[Emission Factor (kg CO2/ mmBtu)]]*Table1[[#This Row],[Fuel Consumption (mmBtu)]]*10^3</f>
        <v>321417837849.23566</v>
      </c>
      <c r="R1185" s="2">
        <f>(Table1[[#This Row],[CO2 Emissions (g CO2)]])/(Table1[[#This Row],[Generation (TWh)]]*10^9)</f>
        <v>1698.6821296784397</v>
      </c>
    </row>
    <row r="1186" spans="1:18" hidden="1">
      <c r="A1186" t="s">
        <v>654</v>
      </c>
      <c r="B1186" t="s">
        <v>46</v>
      </c>
      <c r="C1186" t="str">
        <f>SUBSTITUTE(Table1[[#This Row],[Fuel]],", ",",")</f>
        <v>bioenergy: agricultural waste (solids)</v>
      </c>
      <c r="D1186" t="s">
        <v>46</v>
      </c>
      <c r="G1186">
        <v>30</v>
      </c>
      <c r="H1186" t="s">
        <v>27</v>
      </c>
      <c r="I1186">
        <v>2019</v>
      </c>
      <c r="J1186" t="s">
        <v>21</v>
      </c>
      <c r="K1186">
        <v>28.243200000000002</v>
      </c>
      <c r="L1186">
        <v>117.1461</v>
      </c>
      <c r="M1186" t="s">
        <v>102</v>
      </c>
      <c r="N1186" s="2">
        <f>Table1[[#This Row],[Capacity (MW)]]*8760*0.72*10^-6</f>
        <v>0.189216</v>
      </c>
      <c r="O1186" s="2" cm="1">
        <f t="array" ref="O1186">AVERAGE(VLOOKUP(_xlfn.TEXTSPLIT(Table1[[#This Row],[Fuel (no space after comma)]], ","), FuelList_Final_EF!$A$2:$B$32, 2, FALSE))</f>
        <v>118.17</v>
      </c>
      <c r="P1186" s="2">
        <f>(16112*Table1[[#This Row],[Generation (TWh)]]*10^9)/10^6</f>
        <v>3048648.1919999998</v>
      </c>
      <c r="Q1186" s="2">
        <f>Table1[[#This Row],[Emission Factor (kg CO2/ mmBtu)]]*Table1[[#This Row],[Fuel Consumption (mmBtu)]]*10^3</f>
        <v>360258756848.63995</v>
      </c>
      <c r="R1186" s="2">
        <f>(Table1[[#This Row],[CO2 Emissions (g CO2)]])/(Table1[[#This Row],[Generation (TWh)]]*10^9)</f>
        <v>1903.9550399999998</v>
      </c>
    </row>
    <row r="1187" spans="1:18" hidden="1">
      <c r="A1187" t="s">
        <v>767</v>
      </c>
      <c r="B1187" t="s">
        <v>768</v>
      </c>
      <c r="C1187" t="str">
        <f>SUBSTITUTE(Table1[[#This Row],[Fuel]],", ",",")</f>
        <v>bioenergy: paper mill wastes,bioenergy: agricultural waste (solids)</v>
      </c>
      <c r="D1187" t="s">
        <v>61</v>
      </c>
      <c r="E1187" t="s">
        <v>46</v>
      </c>
      <c r="G1187">
        <v>30</v>
      </c>
      <c r="H1187" t="s">
        <v>27</v>
      </c>
      <c r="I1187">
        <v>2020</v>
      </c>
      <c r="J1187" t="s">
        <v>21</v>
      </c>
      <c r="K1187">
        <v>29.822299999999998</v>
      </c>
      <c r="L1187">
        <v>116.37649999999999</v>
      </c>
      <c r="M1187" t="s">
        <v>102</v>
      </c>
      <c r="N1187" s="2">
        <f>Table1[[#This Row],[Capacity (MW)]]*8760*0.72*10^-6</f>
        <v>0.189216</v>
      </c>
      <c r="O1187" s="2" cm="1">
        <f t="array" ref="O1187">AVERAGE(VLOOKUP(_xlfn.TEXTSPLIT(Table1[[#This Row],[Fuel (no space after comma)]], ","), FuelList_Final_EF!$A$2:$B$32, 2, FALSE))</f>
        <v>109.32221665788086</v>
      </c>
      <c r="P1187" s="2">
        <f>(16112*Table1[[#This Row],[Generation (TWh)]]*10^9)/10^6</f>
        <v>3048648.1919999998</v>
      </c>
      <c r="Q1187" s="2">
        <f>Table1[[#This Row],[Emission Factor (kg CO2/ mmBtu)]]*Table1[[#This Row],[Fuel Consumption (mmBtu)]]*10^3</f>
        <v>333284978159.48077</v>
      </c>
      <c r="R1187" s="2">
        <f>(Table1[[#This Row],[CO2 Emissions (g CO2)]])/(Table1[[#This Row],[Generation (TWh)]]*10^9)</f>
        <v>1761.3995547917764</v>
      </c>
    </row>
    <row r="1188" spans="1:18" hidden="1">
      <c r="A1188" t="s">
        <v>401</v>
      </c>
      <c r="B1188" t="s">
        <v>464</v>
      </c>
      <c r="C1188" t="str">
        <f>SUBSTITUTE(Table1[[#This Row],[Fuel]],", ",",")</f>
        <v>bioenergy: paper mill wastes,bioenergy: wastewater and sewage sludge (solids or biogas),bioenergy: wood &amp; other biomass (solids)</v>
      </c>
      <c r="D1188" t="s">
        <v>61</v>
      </c>
      <c r="E1188" t="s">
        <v>42</v>
      </c>
      <c r="F1188" t="s">
        <v>25</v>
      </c>
      <c r="G1188">
        <v>30</v>
      </c>
      <c r="H1188" t="s">
        <v>27</v>
      </c>
      <c r="I1188">
        <v>2018</v>
      </c>
      <c r="J1188" t="s">
        <v>21</v>
      </c>
      <c r="K1188">
        <v>29.7361</v>
      </c>
      <c r="L1188">
        <v>115.8494</v>
      </c>
      <c r="M1188" t="s">
        <v>102</v>
      </c>
      <c r="N1188" s="2">
        <f>Table1[[#This Row],[Capacity (MW)]]*8760*0.72*10^-6</f>
        <v>0.189216</v>
      </c>
      <c r="O1188" s="2" cm="1">
        <f t="array" ref="O1188">AVERAGE(VLOOKUP(_xlfn.TEXTSPLIT(Table1[[#This Row],[Fuel (no space after comma)]], ","), FuelList_Final_EF!$A$2:$B$32, 2, FALSE))</f>
        <v>83.946336320506063</v>
      </c>
      <c r="P1188" s="2">
        <f>(16112*Table1[[#This Row],[Generation (TWh)]]*10^9)/10^6</f>
        <v>3048648.1919999998</v>
      </c>
      <c r="Q1188" s="2">
        <f>Table1[[#This Row],[Emission Factor (kg CO2/ mmBtu)]]*Table1[[#This Row],[Fuel Consumption (mmBtu)]]*10^3</f>
        <v>255922846448.53473</v>
      </c>
      <c r="R1188" s="2">
        <f>(Table1[[#This Row],[CO2 Emissions (g CO2)]])/(Table1[[#This Row],[Generation (TWh)]]*10^9)</f>
        <v>1352.5433707959937</v>
      </c>
    </row>
    <row r="1189" spans="1:18" hidden="1">
      <c r="A1189" t="s">
        <v>401</v>
      </c>
      <c r="B1189" t="s">
        <v>464</v>
      </c>
      <c r="C1189" t="str">
        <f>SUBSTITUTE(Table1[[#This Row],[Fuel]],", ",",")</f>
        <v>bioenergy: paper mill wastes,bioenergy: wastewater and sewage sludge (solids or biogas),bioenergy: wood &amp; other biomass (solids)</v>
      </c>
      <c r="D1189" t="s">
        <v>61</v>
      </c>
      <c r="E1189" t="s">
        <v>42</v>
      </c>
      <c r="F1189" t="s">
        <v>25</v>
      </c>
      <c r="G1189">
        <v>30</v>
      </c>
      <c r="H1189" t="s">
        <v>27</v>
      </c>
      <c r="I1189">
        <v>2022</v>
      </c>
      <c r="J1189" t="s">
        <v>21</v>
      </c>
      <c r="K1189">
        <v>29.7361</v>
      </c>
      <c r="L1189">
        <v>115.8494</v>
      </c>
      <c r="M1189" t="s">
        <v>102</v>
      </c>
      <c r="N1189" s="2">
        <f>Table1[[#This Row],[Capacity (MW)]]*8760*0.72*10^-6</f>
        <v>0.189216</v>
      </c>
      <c r="O1189" s="2" cm="1">
        <f t="array" ref="O1189">AVERAGE(VLOOKUP(_xlfn.TEXTSPLIT(Table1[[#This Row],[Fuel (no space after comma)]], ","), FuelList_Final_EF!$A$2:$B$32, 2, FALSE))</f>
        <v>83.946336320506063</v>
      </c>
      <c r="P1189" s="2">
        <f>(16112*Table1[[#This Row],[Generation (TWh)]]*10^9)/10^6</f>
        <v>3048648.1919999998</v>
      </c>
      <c r="Q1189" s="2">
        <f>Table1[[#This Row],[Emission Factor (kg CO2/ mmBtu)]]*Table1[[#This Row],[Fuel Consumption (mmBtu)]]*10^3</f>
        <v>255922846448.53473</v>
      </c>
      <c r="R1189" s="2">
        <f>(Table1[[#This Row],[CO2 Emissions (g CO2)]])/(Table1[[#This Row],[Generation (TWh)]]*10^9)</f>
        <v>1352.5433707959937</v>
      </c>
    </row>
    <row r="1190" spans="1:18" hidden="1">
      <c r="A1190" t="s">
        <v>482</v>
      </c>
      <c r="B1190" t="s">
        <v>19</v>
      </c>
      <c r="C1190" t="str">
        <f>SUBSTITUTE(Table1[[#This Row],[Fuel]],", ",",")</f>
        <v>bioenergy: refuse (municipal and industrial wastes)</v>
      </c>
      <c r="D1190" t="s">
        <v>19</v>
      </c>
      <c r="G1190">
        <v>12</v>
      </c>
      <c r="H1190" t="s">
        <v>27</v>
      </c>
      <c r="I1190">
        <v>2020</v>
      </c>
      <c r="J1190" t="s">
        <v>21</v>
      </c>
      <c r="K1190">
        <v>28.732500000000002</v>
      </c>
      <c r="L1190">
        <v>115.7825</v>
      </c>
      <c r="M1190" t="s">
        <v>102</v>
      </c>
      <c r="N1190" s="2">
        <f>Table1[[#This Row],[Capacity (MW)]]*8760*0.72*10^-6</f>
        <v>7.5686399999999987E-2</v>
      </c>
      <c r="O1190" s="2" cm="1">
        <f t="array" ref="O1190">AVERAGE(VLOOKUP(_xlfn.TEXTSPLIT(Table1[[#This Row],[Fuel (no space after comma)]], ","), FuelList_Final_EF!$A$2:$B$32, 2, FALSE))</f>
        <v>105.42962572482868</v>
      </c>
      <c r="P1190" s="2">
        <f>(16112*Table1[[#This Row],[Generation (TWh)]]*10^9)/10^6</f>
        <v>1219459.2767999996</v>
      </c>
      <c r="Q1190" s="2">
        <f>Table1[[#This Row],[Emission Factor (kg CO2/ mmBtu)]]*Table1[[#This Row],[Fuel Consumption (mmBtu)]]*10^3</f>
        <v>128567135139.69423</v>
      </c>
      <c r="R1190" s="2">
        <f>(Table1[[#This Row],[CO2 Emissions (g CO2)]])/(Table1[[#This Row],[Generation (TWh)]]*10^9)</f>
        <v>1698.6821296784397</v>
      </c>
    </row>
    <row r="1191" spans="1:18" hidden="1">
      <c r="A1191" t="s">
        <v>769</v>
      </c>
      <c r="B1191" t="s">
        <v>19</v>
      </c>
      <c r="C1191" t="str">
        <f>SUBSTITUTE(Table1[[#This Row],[Fuel]],", ",",")</f>
        <v>bioenergy: refuse (municipal and industrial wastes)</v>
      </c>
      <c r="D1191" t="s">
        <v>19</v>
      </c>
      <c r="G1191">
        <v>18</v>
      </c>
      <c r="H1191" t="s">
        <v>27</v>
      </c>
      <c r="I1191">
        <v>2020</v>
      </c>
      <c r="J1191" t="s">
        <v>21</v>
      </c>
      <c r="K1191">
        <v>28.732500000000002</v>
      </c>
      <c r="L1191">
        <v>115.7825</v>
      </c>
      <c r="M1191" t="s">
        <v>102</v>
      </c>
      <c r="N1191" s="2">
        <f>Table1[[#This Row],[Capacity (MW)]]*8760*0.72*10^-6</f>
        <v>0.11352959999999998</v>
      </c>
      <c r="O1191" s="2" cm="1">
        <f t="array" ref="O1191">AVERAGE(VLOOKUP(_xlfn.TEXTSPLIT(Table1[[#This Row],[Fuel (no space after comma)]], ","), FuelList_Final_EF!$A$2:$B$32, 2, FALSE))</f>
        <v>105.42962572482868</v>
      </c>
      <c r="P1191" s="2">
        <f>(16112*Table1[[#This Row],[Generation (TWh)]]*10^9)/10^6</f>
        <v>1829188.9151999997</v>
      </c>
      <c r="Q1191" s="2">
        <f>Table1[[#This Row],[Emission Factor (kg CO2/ mmBtu)]]*Table1[[#This Row],[Fuel Consumption (mmBtu)]]*10^3</f>
        <v>192850702709.54135</v>
      </c>
      <c r="R1191" s="2">
        <f>(Table1[[#This Row],[CO2 Emissions (g CO2)]])/(Table1[[#This Row],[Generation (TWh)]]*10^9)</f>
        <v>1698.6821296784397</v>
      </c>
    </row>
    <row r="1192" spans="1:18" hidden="1">
      <c r="A1192" t="s">
        <v>482</v>
      </c>
      <c r="B1192" t="s">
        <v>19</v>
      </c>
      <c r="C1192" t="str">
        <f>SUBSTITUTE(Table1[[#This Row],[Fuel]],", ",",")</f>
        <v>bioenergy: refuse (municipal and industrial wastes)</v>
      </c>
      <c r="D1192" t="s">
        <v>19</v>
      </c>
      <c r="G1192">
        <v>12</v>
      </c>
      <c r="H1192" t="s">
        <v>27</v>
      </c>
      <c r="I1192">
        <v>2020</v>
      </c>
      <c r="J1192" t="s">
        <v>21</v>
      </c>
      <c r="K1192">
        <v>28.732500000000002</v>
      </c>
      <c r="L1192">
        <v>115.7825</v>
      </c>
      <c r="M1192" t="s">
        <v>102</v>
      </c>
      <c r="N1192" s="2">
        <f>Table1[[#This Row],[Capacity (MW)]]*8760*0.72*10^-6</f>
        <v>7.5686399999999987E-2</v>
      </c>
      <c r="O1192" s="2" cm="1">
        <f t="array" ref="O1192">AVERAGE(VLOOKUP(_xlfn.TEXTSPLIT(Table1[[#This Row],[Fuel (no space after comma)]], ","), FuelList_Final_EF!$A$2:$B$32, 2, FALSE))</f>
        <v>105.42962572482868</v>
      </c>
      <c r="P1192" s="2">
        <f>(16112*Table1[[#This Row],[Generation (TWh)]]*10^9)/10^6</f>
        <v>1219459.2767999996</v>
      </c>
      <c r="Q1192" s="2">
        <f>Table1[[#This Row],[Emission Factor (kg CO2/ mmBtu)]]*Table1[[#This Row],[Fuel Consumption (mmBtu)]]*10^3</f>
        <v>128567135139.69423</v>
      </c>
      <c r="R1192" s="2">
        <f>(Table1[[#This Row],[CO2 Emissions (g CO2)]])/(Table1[[#This Row],[Generation (TWh)]]*10^9)</f>
        <v>1698.6821296784397</v>
      </c>
    </row>
    <row r="1193" spans="1:18" hidden="1">
      <c r="A1193" t="s">
        <v>769</v>
      </c>
      <c r="B1193" t="s">
        <v>19</v>
      </c>
      <c r="C1193" t="str">
        <f>SUBSTITUTE(Table1[[#This Row],[Fuel]],", ",",")</f>
        <v>bioenergy: refuse (municipal and industrial wastes)</v>
      </c>
      <c r="D1193" t="s">
        <v>19</v>
      </c>
      <c r="G1193">
        <v>18</v>
      </c>
      <c r="H1193" t="s">
        <v>27</v>
      </c>
      <c r="I1193">
        <v>2020</v>
      </c>
      <c r="J1193" t="s">
        <v>21</v>
      </c>
      <c r="K1193">
        <v>28.732500000000002</v>
      </c>
      <c r="L1193">
        <v>115.7825</v>
      </c>
      <c r="M1193" t="s">
        <v>102</v>
      </c>
      <c r="N1193" s="2">
        <f>Table1[[#This Row],[Capacity (MW)]]*8760*0.72*10^-6</f>
        <v>0.11352959999999998</v>
      </c>
      <c r="O1193" s="2" cm="1">
        <f t="array" ref="O1193">AVERAGE(VLOOKUP(_xlfn.TEXTSPLIT(Table1[[#This Row],[Fuel (no space after comma)]], ","), FuelList_Final_EF!$A$2:$B$32, 2, FALSE))</f>
        <v>105.42962572482868</v>
      </c>
      <c r="P1193" s="2">
        <f>(16112*Table1[[#This Row],[Generation (TWh)]]*10^9)/10^6</f>
        <v>1829188.9151999997</v>
      </c>
      <c r="Q1193" s="2">
        <f>Table1[[#This Row],[Emission Factor (kg CO2/ mmBtu)]]*Table1[[#This Row],[Fuel Consumption (mmBtu)]]*10^3</f>
        <v>192850702709.54135</v>
      </c>
      <c r="R1193" s="2">
        <f>(Table1[[#This Row],[CO2 Emissions (g CO2)]])/(Table1[[#This Row],[Generation (TWh)]]*10^9)</f>
        <v>1698.6821296784397</v>
      </c>
    </row>
    <row r="1194" spans="1:18">
      <c r="A1194" t="s">
        <v>770</v>
      </c>
      <c r="B1194" t="s">
        <v>46</v>
      </c>
      <c r="C1194" t="str">
        <f>SUBSTITUTE(Table1[[#This Row],[Fuel]],", ",",")</f>
        <v>bioenergy: agricultural waste (solids)</v>
      </c>
      <c r="D1194" t="s">
        <v>46</v>
      </c>
      <c r="G1194">
        <v>30</v>
      </c>
      <c r="H1194" t="s">
        <v>97</v>
      </c>
      <c r="I1194" t="s">
        <v>21</v>
      </c>
      <c r="J1194" t="s">
        <v>21</v>
      </c>
      <c r="K1194">
        <v>29.017600000000002</v>
      </c>
      <c r="L1194">
        <v>116.0645</v>
      </c>
      <c r="M1194" t="s">
        <v>102</v>
      </c>
      <c r="N1194" s="2">
        <f>Table1[[#This Row],[Capacity (MW)]]*8760*0.72*10^-6</f>
        <v>0.189216</v>
      </c>
      <c r="O1194" s="2" cm="1">
        <f t="array" ref="O1194">AVERAGE(VLOOKUP(_xlfn.TEXTSPLIT(Table1[[#This Row],[Fuel (no space after comma)]], ","), FuelList_Final_EF!$A$2:$B$32, 2, FALSE))</f>
        <v>118.17</v>
      </c>
      <c r="P1194" s="2">
        <f>(16112*Table1[[#This Row],[Generation (TWh)]]*10^9)/10^6</f>
        <v>3048648.1919999998</v>
      </c>
      <c r="Q1194" s="2">
        <f>Table1[[#This Row],[Emission Factor (kg CO2/ mmBtu)]]*Table1[[#This Row],[Fuel Consumption (mmBtu)]]*10^3</f>
        <v>360258756848.63995</v>
      </c>
      <c r="R1194" s="2">
        <f>(Table1[[#This Row],[CO2 Emissions (g CO2)]])/(Table1[[#This Row],[Generation (TWh)]]*10^9)</f>
        <v>1903.9550399999998</v>
      </c>
    </row>
    <row r="1195" spans="1:18" hidden="1">
      <c r="A1195" t="s">
        <v>117</v>
      </c>
      <c r="B1195" t="s">
        <v>105</v>
      </c>
      <c r="C1195" t="str">
        <f>SUBSTITUTE(Table1[[#This Row],[Fuel]],", ",",")</f>
        <v>bioenergy: agricultural waste (solids),bioenergy: wood &amp; other biomass (solids)</v>
      </c>
      <c r="D1195" t="s">
        <v>46</v>
      </c>
      <c r="E1195" t="s">
        <v>25</v>
      </c>
      <c r="G1195">
        <v>30</v>
      </c>
      <c r="H1195" t="s">
        <v>27</v>
      </c>
      <c r="I1195">
        <v>2016</v>
      </c>
      <c r="J1195" t="s">
        <v>21</v>
      </c>
      <c r="K1195">
        <v>29.848500000000001</v>
      </c>
      <c r="L1195">
        <v>116.41549999999999</v>
      </c>
      <c r="M1195" t="s">
        <v>102</v>
      </c>
      <c r="N1195" s="2">
        <f>Table1[[#This Row],[Capacity (MW)]]*8760*0.72*10^-6</f>
        <v>0.189216</v>
      </c>
      <c r="O1195" s="2" cm="1">
        <f t="array" ref="O1195">AVERAGE(VLOOKUP(_xlfn.TEXTSPLIT(Table1[[#This Row],[Fuel (no space after comma)]], ","), FuelList_Final_EF!$A$2:$B$32, 2, FALSE))</f>
        <v>105.985</v>
      </c>
      <c r="P1195" s="2">
        <f>(16112*Table1[[#This Row],[Generation (TWh)]]*10^9)/10^6</f>
        <v>3048648.1919999998</v>
      </c>
      <c r="Q1195" s="2">
        <f>Table1[[#This Row],[Emission Factor (kg CO2/ mmBtu)]]*Table1[[#This Row],[Fuel Consumption (mmBtu)]]*10^3</f>
        <v>323110978629.12</v>
      </c>
      <c r="R1195" s="2">
        <f>(Table1[[#This Row],[CO2 Emissions (g CO2)]])/(Table1[[#This Row],[Generation (TWh)]]*10^9)</f>
        <v>1707.63032</v>
      </c>
    </row>
    <row r="1196" spans="1:18" hidden="1">
      <c r="A1196" t="s">
        <v>771</v>
      </c>
      <c r="B1196" t="s">
        <v>19</v>
      </c>
      <c r="C1196" t="str">
        <f>SUBSTITUTE(Table1[[#This Row],[Fuel]],", ",",")</f>
        <v>bioenergy: refuse (municipal and industrial wastes)</v>
      </c>
      <c r="D1196" t="s">
        <v>19</v>
      </c>
      <c r="G1196">
        <v>4.4000000000000004</v>
      </c>
      <c r="H1196" t="s">
        <v>27</v>
      </c>
      <c r="I1196">
        <v>2022</v>
      </c>
      <c r="J1196" t="s">
        <v>21</v>
      </c>
      <c r="K1196">
        <v>28.359400000000001</v>
      </c>
      <c r="L1196">
        <v>116.0651</v>
      </c>
      <c r="M1196" t="s">
        <v>102</v>
      </c>
      <c r="N1196" s="2">
        <f>Table1[[#This Row],[Capacity (MW)]]*8760*0.72*10^-6</f>
        <v>2.7751679999999997E-2</v>
      </c>
      <c r="O1196" s="2" cm="1">
        <f t="array" ref="O1196">AVERAGE(VLOOKUP(_xlfn.TEXTSPLIT(Table1[[#This Row],[Fuel (no space after comma)]], ","), FuelList_Final_EF!$A$2:$B$32, 2, FALSE))</f>
        <v>105.42962572482868</v>
      </c>
      <c r="P1196" s="2">
        <f>(16112*Table1[[#This Row],[Generation (TWh)]]*10^9)/10^6</f>
        <v>447135.06815999997</v>
      </c>
      <c r="Q1196" s="2">
        <f>Table1[[#This Row],[Emission Factor (kg CO2/ mmBtu)]]*Table1[[#This Row],[Fuel Consumption (mmBtu)]]*10^3</f>
        <v>47141282884.554558</v>
      </c>
      <c r="R1196" s="2">
        <f>(Table1[[#This Row],[CO2 Emissions (g CO2)]])/(Table1[[#This Row],[Generation (TWh)]]*10^9)</f>
        <v>1698.6821296784399</v>
      </c>
    </row>
    <row r="1197" spans="1:18" hidden="1">
      <c r="A1197" t="s">
        <v>615</v>
      </c>
      <c r="B1197" t="s">
        <v>19</v>
      </c>
      <c r="C1197" t="str">
        <f>SUBSTITUTE(Table1[[#This Row],[Fuel]],", ",",")</f>
        <v>bioenergy: refuse (municipal and industrial wastes)</v>
      </c>
      <c r="D1197" t="s">
        <v>19</v>
      </c>
      <c r="G1197">
        <v>35.6</v>
      </c>
      <c r="H1197" t="s">
        <v>27</v>
      </c>
      <c r="I1197">
        <v>2022</v>
      </c>
      <c r="J1197" t="s">
        <v>21</v>
      </c>
      <c r="K1197">
        <v>28.359400000000001</v>
      </c>
      <c r="L1197">
        <v>116.0651</v>
      </c>
      <c r="M1197" t="s">
        <v>102</v>
      </c>
      <c r="N1197" s="2">
        <f>Table1[[#This Row],[Capacity (MW)]]*8760*0.72*10^-6</f>
        <v>0.22453631999999996</v>
      </c>
      <c r="O1197" s="2" cm="1">
        <f t="array" ref="O1197">AVERAGE(VLOOKUP(_xlfn.TEXTSPLIT(Table1[[#This Row],[Fuel (no space after comma)]], ","), FuelList_Final_EF!$A$2:$B$32, 2, FALSE))</f>
        <v>105.42962572482868</v>
      </c>
      <c r="P1197" s="2">
        <f>(16112*Table1[[#This Row],[Generation (TWh)]]*10^9)/10^6</f>
        <v>3617729.1878399989</v>
      </c>
      <c r="Q1197" s="2">
        <f>Table1[[#This Row],[Emission Factor (kg CO2/ mmBtu)]]*Table1[[#This Row],[Fuel Consumption (mmBtu)]]*10^3</f>
        <v>381415834247.75952</v>
      </c>
      <c r="R1197" s="2">
        <f>(Table1[[#This Row],[CO2 Emissions (g CO2)]])/(Table1[[#This Row],[Generation (TWh)]]*10^9)</f>
        <v>1698.6821296784394</v>
      </c>
    </row>
    <row r="1198" spans="1:18" hidden="1">
      <c r="A1198" t="s">
        <v>111</v>
      </c>
      <c r="B1198" t="s">
        <v>105</v>
      </c>
      <c r="C1198" t="str">
        <f>SUBSTITUTE(Table1[[#This Row],[Fuel]],", ",",")</f>
        <v>bioenergy: agricultural waste (solids),bioenergy: wood &amp; other biomass (solids)</v>
      </c>
      <c r="D1198" t="s">
        <v>46</v>
      </c>
      <c r="E1198" t="s">
        <v>25</v>
      </c>
      <c r="G1198">
        <v>30</v>
      </c>
      <c r="H1198" t="s">
        <v>27</v>
      </c>
      <c r="I1198">
        <v>2017</v>
      </c>
      <c r="J1198" t="s">
        <v>21</v>
      </c>
      <c r="K1198">
        <v>32.283000000000001</v>
      </c>
      <c r="L1198">
        <v>120.563</v>
      </c>
      <c r="M1198" t="s">
        <v>102</v>
      </c>
      <c r="N1198" s="2">
        <f>Table1[[#This Row],[Capacity (MW)]]*8760*0.72*10^-6</f>
        <v>0.189216</v>
      </c>
      <c r="O1198" s="2" cm="1">
        <f t="array" ref="O1198">AVERAGE(VLOOKUP(_xlfn.TEXTSPLIT(Table1[[#This Row],[Fuel (no space after comma)]], ","), FuelList_Final_EF!$A$2:$B$32, 2, FALSE))</f>
        <v>105.985</v>
      </c>
      <c r="P1198" s="2">
        <f>(16112*Table1[[#This Row],[Generation (TWh)]]*10^9)/10^6</f>
        <v>3048648.1919999998</v>
      </c>
      <c r="Q1198" s="2">
        <f>Table1[[#This Row],[Emission Factor (kg CO2/ mmBtu)]]*Table1[[#This Row],[Fuel Consumption (mmBtu)]]*10^3</f>
        <v>323110978629.12</v>
      </c>
      <c r="R1198" s="2">
        <f>(Table1[[#This Row],[CO2 Emissions (g CO2)]])/(Table1[[#This Row],[Generation (TWh)]]*10^9)</f>
        <v>1707.63032</v>
      </c>
    </row>
    <row r="1199" spans="1:18" hidden="1">
      <c r="A1199" t="s">
        <v>772</v>
      </c>
      <c r="B1199" t="s">
        <v>19</v>
      </c>
      <c r="C1199" t="str">
        <f>SUBSTITUTE(Table1[[#This Row],[Fuel]],", ",",")</f>
        <v>bioenergy: refuse (municipal and industrial wastes)</v>
      </c>
      <c r="D1199" t="s">
        <v>19</v>
      </c>
      <c r="G1199">
        <v>1.05</v>
      </c>
      <c r="H1199" t="s">
        <v>27</v>
      </c>
      <c r="I1199">
        <v>2020</v>
      </c>
      <c r="J1199" t="s">
        <v>21</v>
      </c>
      <c r="K1199">
        <v>28.387799999999999</v>
      </c>
      <c r="L1199">
        <v>117.84869999999999</v>
      </c>
      <c r="M1199" t="s">
        <v>102</v>
      </c>
      <c r="N1199" s="2">
        <f>Table1[[#This Row],[Capacity (MW)]]*8760*0.72*10^-6</f>
        <v>6.6225599999999996E-3</v>
      </c>
      <c r="O1199" s="2" cm="1">
        <f t="array" ref="O1199">AVERAGE(VLOOKUP(_xlfn.TEXTSPLIT(Table1[[#This Row],[Fuel (no space after comma)]], ","), FuelList_Final_EF!$A$2:$B$32, 2, FALSE))</f>
        <v>105.42962572482868</v>
      </c>
      <c r="P1199" s="2">
        <f>(16112*Table1[[#This Row],[Generation (TWh)]]*10^9)/10^6</f>
        <v>106702.68671999998</v>
      </c>
      <c r="Q1199" s="2">
        <f>Table1[[#This Row],[Emission Factor (kg CO2/ mmBtu)]]*Table1[[#This Row],[Fuel Consumption (mmBtu)]]*10^3</f>
        <v>11249624324.723246</v>
      </c>
      <c r="R1199" s="2">
        <f>(Table1[[#This Row],[CO2 Emissions (g CO2)]])/(Table1[[#This Row],[Generation (TWh)]]*10^9)</f>
        <v>1698.6821296784394</v>
      </c>
    </row>
    <row r="1200" spans="1:18" hidden="1">
      <c r="A1200" t="s">
        <v>773</v>
      </c>
      <c r="B1200" t="s">
        <v>19</v>
      </c>
      <c r="C1200" t="str">
        <f>SUBSTITUTE(Table1[[#This Row],[Fuel]],", ",",")</f>
        <v>bioenergy: refuse (municipal and industrial wastes)</v>
      </c>
      <c r="D1200" t="s">
        <v>19</v>
      </c>
      <c r="G1200">
        <v>33.950000000000003</v>
      </c>
      <c r="H1200" t="s">
        <v>27</v>
      </c>
      <c r="I1200">
        <v>2020</v>
      </c>
      <c r="J1200" t="s">
        <v>21</v>
      </c>
      <c r="K1200">
        <v>28.387799999999999</v>
      </c>
      <c r="L1200">
        <v>117.84869999999999</v>
      </c>
      <c r="M1200" t="s">
        <v>102</v>
      </c>
      <c r="N1200" s="2">
        <f>Table1[[#This Row],[Capacity (MW)]]*8760*0.72*10^-6</f>
        <v>0.21412944</v>
      </c>
      <c r="O1200" s="2" cm="1">
        <f t="array" ref="O1200">AVERAGE(VLOOKUP(_xlfn.TEXTSPLIT(Table1[[#This Row],[Fuel (no space after comma)]], ","), FuelList_Final_EF!$A$2:$B$32, 2, FALSE))</f>
        <v>105.42962572482868</v>
      </c>
      <c r="P1200" s="2">
        <f>(16112*Table1[[#This Row],[Generation (TWh)]]*10^9)/10^6</f>
        <v>3450053.5372799998</v>
      </c>
      <c r="Q1200" s="2">
        <f>Table1[[#This Row],[Emission Factor (kg CO2/ mmBtu)]]*Table1[[#This Row],[Fuel Consumption (mmBtu)]]*10^3</f>
        <v>363737853166.0517</v>
      </c>
      <c r="R1200" s="2">
        <f>(Table1[[#This Row],[CO2 Emissions (g CO2)]])/(Table1[[#This Row],[Generation (TWh)]]*10^9)</f>
        <v>1698.6821296784399</v>
      </c>
    </row>
    <row r="1201" spans="1:18">
      <c r="A1201" t="s">
        <v>774</v>
      </c>
      <c r="B1201" t="s">
        <v>105</v>
      </c>
      <c r="C1201" t="str">
        <f>SUBSTITUTE(Table1[[#This Row],[Fuel]],", ",",")</f>
        <v>bioenergy: agricultural waste (solids),bioenergy: wood &amp; other biomass (solids)</v>
      </c>
      <c r="D1201" t="s">
        <v>46</v>
      </c>
      <c r="E1201" t="s">
        <v>25</v>
      </c>
      <c r="G1201">
        <v>30</v>
      </c>
      <c r="H1201" t="s">
        <v>53</v>
      </c>
      <c r="I1201" t="s">
        <v>21</v>
      </c>
      <c r="J1201" t="s">
        <v>21</v>
      </c>
      <c r="K1201">
        <v>26.312799999999999</v>
      </c>
      <c r="L1201">
        <v>116.3215</v>
      </c>
      <c r="M1201" t="s">
        <v>102</v>
      </c>
      <c r="N1201" s="2">
        <f>Table1[[#This Row],[Capacity (MW)]]*8760*0.72*10^-6</f>
        <v>0.189216</v>
      </c>
      <c r="O1201" s="2" cm="1">
        <f t="array" ref="O1201">AVERAGE(VLOOKUP(_xlfn.TEXTSPLIT(Table1[[#This Row],[Fuel (no space after comma)]], ","), FuelList_Final_EF!$A$2:$B$32, 2, FALSE))</f>
        <v>105.985</v>
      </c>
      <c r="P1201" s="2">
        <f>(16112*Table1[[#This Row],[Generation (TWh)]]*10^9)/10^6</f>
        <v>3048648.1919999998</v>
      </c>
      <c r="Q1201" s="2">
        <f>Table1[[#This Row],[Emission Factor (kg CO2/ mmBtu)]]*Table1[[#This Row],[Fuel Consumption (mmBtu)]]*10^3</f>
        <v>323110978629.12</v>
      </c>
      <c r="R1201" s="2">
        <f>(Table1[[#This Row],[CO2 Emissions (g CO2)]])/(Table1[[#This Row],[Generation (TWh)]]*10^9)</f>
        <v>1707.63032</v>
      </c>
    </row>
    <row r="1202" spans="1:18" hidden="1">
      <c r="A1202" t="s">
        <v>775</v>
      </c>
      <c r="B1202" t="s">
        <v>46</v>
      </c>
      <c r="C1202" t="str">
        <f>SUBSTITUTE(Table1[[#This Row],[Fuel]],", ",",")</f>
        <v>bioenergy: agricultural waste (solids)</v>
      </c>
      <c r="D1202" t="s">
        <v>46</v>
      </c>
      <c r="G1202">
        <v>4.5</v>
      </c>
      <c r="H1202" t="s">
        <v>27</v>
      </c>
      <c r="I1202">
        <v>2020</v>
      </c>
      <c r="J1202" t="s">
        <v>21</v>
      </c>
      <c r="K1202">
        <v>26.229600000000001</v>
      </c>
      <c r="L1202">
        <v>116.3446</v>
      </c>
      <c r="M1202" t="s">
        <v>102</v>
      </c>
      <c r="N1202" s="2">
        <f>Table1[[#This Row],[Capacity (MW)]]*8760*0.72*10^-6</f>
        <v>2.8382399999999995E-2</v>
      </c>
      <c r="O1202" s="2" cm="1">
        <f t="array" ref="O1202">AVERAGE(VLOOKUP(_xlfn.TEXTSPLIT(Table1[[#This Row],[Fuel (no space after comma)]], ","), FuelList_Final_EF!$A$2:$B$32, 2, FALSE))</f>
        <v>118.17</v>
      </c>
      <c r="P1202" s="2">
        <f>(16112*Table1[[#This Row],[Generation (TWh)]]*10^9)/10^6</f>
        <v>457297.22879999992</v>
      </c>
      <c r="Q1202" s="2">
        <f>Table1[[#This Row],[Emission Factor (kg CO2/ mmBtu)]]*Table1[[#This Row],[Fuel Consumption (mmBtu)]]*10^3</f>
        <v>54038813527.29599</v>
      </c>
      <c r="R1202" s="2">
        <f>(Table1[[#This Row],[CO2 Emissions (g CO2)]])/(Table1[[#This Row],[Generation (TWh)]]*10^9)</f>
        <v>1903.9550399999998</v>
      </c>
    </row>
    <row r="1203" spans="1:18" hidden="1">
      <c r="A1203" t="s">
        <v>776</v>
      </c>
      <c r="B1203" t="s">
        <v>46</v>
      </c>
      <c r="C1203" t="str">
        <f>SUBSTITUTE(Table1[[#This Row],[Fuel]],", ",",")</f>
        <v>bioenergy: agricultural waste (solids)</v>
      </c>
      <c r="D1203" t="s">
        <v>46</v>
      </c>
      <c r="G1203">
        <v>16.2</v>
      </c>
      <c r="H1203" t="s">
        <v>27</v>
      </c>
      <c r="I1203">
        <v>2020</v>
      </c>
      <c r="J1203" t="s">
        <v>21</v>
      </c>
      <c r="K1203">
        <v>26.229600000000001</v>
      </c>
      <c r="L1203">
        <v>116.3446</v>
      </c>
      <c r="M1203" t="s">
        <v>102</v>
      </c>
      <c r="N1203" s="2">
        <f>Table1[[#This Row],[Capacity (MW)]]*8760*0.72*10^-6</f>
        <v>0.10217664</v>
      </c>
      <c r="O1203" s="2" cm="1">
        <f t="array" ref="O1203">AVERAGE(VLOOKUP(_xlfn.TEXTSPLIT(Table1[[#This Row],[Fuel (no space after comma)]], ","), FuelList_Final_EF!$A$2:$B$32, 2, FALSE))</f>
        <v>118.17</v>
      </c>
      <c r="P1203" s="2">
        <f>(16112*Table1[[#This Row],[Generation (TWh)]]*10^9)/10^6</f>
        <v>1646270.0236800001</v>
      </c>
      <c r="Q1203" s="2">
        <f>Table1[[#This Row],[Emission Factor (kg CO2/ mmBtu)]]*Table1[[#This Row],[Fuel Consumption (mmBtu)]]*10^3</f>
        <v>194539728698.26563</v>
      </c>
      <c r="R1203" s="2">
        <f>(Table1[[#This Row],[CO2 Emissions (g CO2)]])/(Table1[[#This Row],[Generation (TWh)]]*10^9)</f>
        <v>1903.9550400000003</v>
      </c>
    </row>
    <row r="1204" spans="1:18" hidden="1">
      <c r="A1204" t="s">
        <v>777</v>
      </c>
      <c r="B1204" t="s">
        <v>46</v>
      </c>
      <c r="C1204" t="str">
        <f>SUBSTITUTE(Table1[[#This Row],[Fuel]],", ",",")</f>
        <v>bioenergy: agricultural waste (solids)</v>
      </c>
      <c r="D1204" t="s">
        <v>46</v>
      </c>
      <c r="G1204">
        <v>9.3000000000000007</v>
      </c>
      <c r="H1204" t="s">
        <v>27</v>
      </c>
      <c r="I1204">
        <v>2020</v>
      </c>
      <c r="J1204" t="s">
        <v>21</v>
      </c>
      <c r="K1204">
        <v>26.229600000000001</v>
      </c>
      <c r="L1204">
        <v>116.3446</v>
      </c>
      <c r="M1204" t="s">
        <v>102</v>
      </c>
      <c r="N1204" s="2">
        <f>Table1[[#This Row],[Capacity (MW)]]*8760*0.72*10^-6</f>
        <v>5.8656959999999994E-2</v>
      </c>
      <c r="O1204" s="2" cm="1">
        <f t="array" ref="O1204">AVERAGE(VLOOKUP(_xlfn.TEXTSPLIT(Table1[[#This Row],[Fuel (no space after comma)]], ","), FuelList_Final_EF!$A$2:$B$32, 2, FALSE))</f>
        <v>118.17</v>
      </c>
      <c r="P1204" s="2">
        <f>(16112*Table1[[#This Row],[Generation (TWh)]]*10^9)/10^6</f>
        <v>945080.9395199999</v>
      </c>
      <c r="Q1204" s="2">
        <f>Table1[[#This Row],[Emission Factor (kg CO2/ mmBtu)]]*Table1[[#This Row],[Fuel Consumption (mmBtu)]]*10^3</f>
        <v>111680214623.07838</v>
      </c>
      <c r="R1204" s="2">
        <f>(Table1[[#This Row],[CO2 Emissions (g CO2)]])/(Table1[[#This Row],[Generation (TWh)]]*10^9)</f>
        <v>1903.9550400000001</v>
      </c>
    </row>
    <row r="1205" spans="1:18" hidden="1">
      <c r="A1205" t="s">
        <v>120</v>
      </c>
      <c r="B1205" t="s">
        <v>105</v>
      </c>
      <c r="C1205" t="str">
        <f>SUBSTITUTE(Table1[[#This Row],[Fuel]],", ",",")</f>
        <v>bioenergy: agricultural waste (solids),bioenergy: wood &amp; other biomass (solids)</v>
      </c>
      <c r="D1205" t="s">
        <v>46</v>
      </c>
      <c r="E1205" t="s">
        <v>25</v>
      </c>
      <c r="G1205">
        <v>30</v>
      </c>
      <c r="H1205" t="s">
        <v>27</v>
      </c>
      <c r="I1205">
        <v>2014</v>
      </c>
      <c r="J1205" t="s">
        <v>21</v>
      </c>
      <c r="K1205">
        <v>27.0395</v>
      </c>
      <c r="L1205">
        <v>114.30840000000001</v>
      </c>
      <c r="M1205" t="s">
        <v>102</v>
      </c>
      <c r="N1205" s="2">
        <f>Table1[[#This Row],[Capacity (MW)]]*8760*0.72*10^-6</f>
        <v>0.189216</v>
      </c>
      <c r="O1205" s="2" cm="1">
        <f t="array" ref="O1205">AVERAGE(VLOOKUP(_xlfn.TEXTSPLIT(Table1[[#This Row],[Fuel (no space after comma)]], ","), FuelList_Final_EF!$A$2:$B$32, 2, FALSE))</f>
        <v>105.985</v>
      </c>
      <c r="P1205" s="2">
        <f>(16112*Table1[[#This Row],[Generation (TWh)]]*10^9)/10^6</f>
        <v>3048648.1919999998</v>
      </c>
      <c r="Q1205" s="2">
        <f>Table1[[#This Row],[Emission Factor (kg CO2/ mmBtu)]]*Table1[[#This Row],[Fuel Consumption (mmBtu)]]*10^3</f>
        <v>323110978629.12</v>
      </c>
      <c r="R1205" s="2">
        <f>(Table1[[#This Row],[CO2 Emissions (g CO2)]])/(Table1[[#This Row],[Generation (TWh)]]*10^9)</f>
        <v>1707.63032</v>
      </c>
    </row>
    <row r="1206" spans="1:18">
      <c r="A1206" t="s">
        <v>778</v>
      </c>
      <c r="B1206" t="s">
        <v>46</v>
      </c>
      <c r="C1206" t="str">
        <f>SUBSTITUTE(Table1[[#This Row],[Fuel]],", ",",")</f>
        <v>bioenergy: agricultural waste (solids)</v>
      </c>
      <c r="D1206" t="s">
        <v>46</v>
      </c>
      <c r="G1206">
        <v>2.7</v>
      </c>
      <c r="H1206" t="s">
        <v>53</v>
      </c>
      <c r="I1206" t="s">
        <v>21</v>
      </c>
      <c r="J1206" t="s">
        <v>21</v>
      </c>
      <c r="K1206">
        <v>44.375599999999999</v>
      </c>
      <c r="L1206">
        <v>126.34480000000001</v>
      </c>
      <c r="M1206" t="s">
        <v>102</v>
      </c>
      <c r="N1206" s="2">
        <f>Table1[[#This Row],[Capacity (MW)]]*8760*0.72*10^-6</f>
        <v>1.7029439999999996E-2</v>
      </c>
      <c r="O1206" s="2" cm="1">
        <f t="array" ref="O1206">AVERAGE(VLOOKUP(_xlfn.TEXTSPLIT(Table1[[#This Row],[Fuel (no space after comma)]], ","), FuelList_Final_EF!$A$2:$B$32, 2, FALSE))</f>
        <v>118.17</v>
      </c>
      <c r="P1206" s="2">
        <f>(16112*Table1[[#This Row],[Generation (TWh)]]*10^9)/10^6</f>
        <v>274378.33727999992</v>
      </c>
      <c r="Q1206" s="2">
        <f>Table1[[#This Row],[Emission Factor (kg CO2/ mmBtu)]]*Table1[[#This Row],[Fuel Consumption (mmBtu)]]*10^3</f>
        <v>32423288116.377594</v>
      </c>
      <c r="R1206" s="2">
        <f>(Table1[[#This Row],[CO2 Emissions (g CO2)]])/(Table1[[#This Row],[Generation (TWh)]]*10^9)</f>
        <v>1903.9550400000001</v>
      </c>
    </row>
    <row r="1207" spans="1:18">
      <c r="A1207" t="s">
        <v>779</v>
      </c>
      <c r="B1207" t="s">
        <v>46</v>
      </c>
      <c r="C1207" t="str">
        <f>SUBSTITUTE(Table1[[#This Row],[Fuel]],", ",",")</f>
        <v>bioenergy: agricultural waste (solids)</v>
      </c>
      <c r="D1207" t="s">
        <v>46</v>
      </c>
      <c r="G1207">
        <v>2.1</v>
      </c>
      <c r="H1207" t="s">
        <v>53</v>
      </c>
      <c r="I1207" t="s">
        <v>21</v>
      </c>
      <c r="J1207" t="s">
        <v>21</v>
      </c>
      <c r="K1207">
        <v>44.375599999999999</v>
      </c>
      <c r="L1207">
        <v>126.34480000000001</v>
      </c>
      <c r="M1207" t="s">
        <v>102</v>
      </c>
      <c r="N1207" s="2">
        <f>Table1[[#This Row],[Capacity (MW)]]*8760*0.72*10^-6</f>
        <v>1.3245119999999999E-2</v>
      </c>
      <c r="O1207" s="2" cm="1">
        <f t="array" ref="O1207">AVERAGE(VLOOKUP(_xlfn.TEXTSPLIT(Table1[[#This Row],[Fuel (no space after comma)]], ","), FuelList_Final_EF!$A$2:$B$32, 2, FALSE))</f>
        <v>118.17</v>
      </c>
      <c r="P1207" s="2">
        <f>(16112*Table1[[#This Row],[Generation (TWh)]]*10^9)/10^6</f>
        <v>213405.37343999997</v>
      </c>
      <c r="Q1207" s="2">
        <f>Table1[[#This Row],[Emission Factor (kg CO2/ mmBtu)]]*Table1[[#This Row],[Fuel Consumption (mmBtu)]]*10^3</f>
        <v>25218112979.404797</v>
      </c>
      <c r="R1207" s="2">
        <f>(Table1[[#This Row],[CO2 Emissions (g CO2)]])/(Table1[[#This Row],[Generation (TWh)]]*10^9)</f>
        <v>1903.9550399999998</v>
      </c>
    </row>
    <row r="1208" spans="1:18">
      <c r="A1208" t="s">
        <v>780</v>
      </c>
      <c r="B1208" t="s">
        <v>46</v>
      </c>
      <c r="C1208" t="str">
        <f>SUBSTITUTE(Table1[[#This Row],[Fuel]],", ",",")</f>
        <v>bioenergy: agricultural waste (solids)</v>
      </c>
      <c r="D1208" t="s">
        <v>46</v>
      </c>
      <c r="G1208">
        <v>12.9</v>
      </c>
      <c r="H1208" t="s">
        <v>53</v>
      </c>
      <c r="I1208" t="s">
        <v>21</v>
      </c>
      <c r="J1208" t="s">
        <v>21</v>
      </c>
      <c r="K1208">
        <v>44.375599999999999</v>
      </c>
      <c r="L1208">
        <v>126.34480000000001</v>
      </c>
      <c r="M1208" t="s">
        <v>102</v>
      </c>
      <c r="N1208" s="2">
        <f>Table1[[#This Row],[Capacity (MW)]]*8760*0.72*10^-6</f>
        <v>8.1362879999999985E-2</v>
      </c>
      <c r="O1208" s="2" cm="1">
        <f t="array" ref="O1208">AVERAGE(VLOOKUP(_xlfn.TEXTSPLIT(Table1[[#This Row],[Fuel (no space after comma)]], ","), FuelList_Final_EF!$A$2:$B$32, 2, FALSE))</f>
        <v>118.17</v>
      </c>
      <c r="P1208" s="2">
        <f>(16112*Table1[[#This Row],[Generation (TWh)]]*10^9)/10^6</f>
        <v>1310918.7225599997</v>
      </c>
      <c r="Q1208" s="2">
        <f>Table1[[#This Row],[Emission Factor (kg CO2/ mmBtu)]]*Table1[[#This Row],[Fuel Consumption (mmBtu)]]*10^3</f>
        <v>154911265444.91516</v>
      </c>
      <c r="R1208" s="2">
        <f>(Table1[[#This Row],[CO2 Emissions (g CO2)]])/(Table1[[#This Row],[Generation (TWh)]]*10^9)</f>
        <v>1903.9550399999998</v>
      </c>
    </row>
    <row r="1209" spans="1:18">
      <c r="A1209" t="s">
        <v>54</v>
      </c>
      <c r="B1209" t="s">
        <v>46</v>
      </c>
      <c r="C1209" t="str">
        <f>SUBSTITUTE(Table1[[#This Row],[Fuel]],", ",",")</f>
        <v>bioenergy: agricultural waste (solids)</v>
      </c>
      <c r="D1209" t="s">
        <v>46</v>
      </c>
      <c r="G1209">
        <v>2.7</v>
      </c>
      <c r="H1209" t="s">
        <v>53</v>
      </c>
      <c r="I1209" t="s">
        <v>21</v>
      </c>
      <c r="J1209" t="s">
        <v>21</v>
      </c>
      <c r="K1209">
        <v>44.375599999999999</v>
      </c>
      <c r="L1209">
        <v>126.34480000000001</v>
      </c>
      <c r="M1209" t="s">
        <v>102</v>
      </c>
      <c r="N1209" s="2">
        <f>Table1[[#This Row],[Capacity (MW)]]*8760*0.72*10^-6</f>
        <v>1.7029439999999996E-2</v>
      </c>
      <c r="O1209" s="2" cm="1">
        <f t="array" ref="O1209">AVERAGE(VLOOKUP(_xlfn.TEXTSPLIT(Table1[[#This Row],[Fuel (no space after comma)]], ","), FuelList_Final_EF!$A$2:$B$32, 2, FALSE))</f>
        <v>118.17</v>
      </c>
      <c r="P1209" s="2">
        <f>(16112*Table1[[#This Row],[Generation (TWh)]]*10^9)/10^6</f>
        <v>274378.33727999992</v>
      </c>
      <c r="Q1209" s="2">
        <f>Table1[[#This Row],[Emission Factor (kg CO2/ mmBtu)]]*Table1[[#This Row],[Fuel Consumption (mmBtu)]]*10^3</f>
        <v>32423288116.377594</v>
      </c>
      <c r="R1209" s="2">
        <f>(Table1[[#This Row],[CO2 Emissions (g CO2)]])/(Table1[[#This Row],[Generation (TWh)]]*10^9)</f>
        <v>1903.9550400000001</v>
      </c>
    </row>
    <row r="1210" spans="1:18">
      <c r="A1210" t="s">
        <v>781</v>
      </c>
      <c r="B1210" t="s">
        <v>46</v>
      </c>
      <c r="C1210" t="str">
        <f>SUBSTITUTE(Table1[[#This Row],[Fuel]],", ",",")</f>
        <v>bioenergy: agricultural waste (solids)</v>
      </c>
      <c r="D1210" t="s">
        <v>46</v>
      </c>
      <c r="G1210">
        <v>9.6</v>
      </c>
      <c r="H1210" t="s">
        <v>53</v>
      </c>
      <c r="I1210" t="s">
        <v>21</v>
      </c>
      <c r="J1210" t="s">
        <v>21</v>
      </c>
      <c r="K1210">
        <v>44.375599999999999</v>
      </c>
      <c r="L1210">
        <v>126.34480000000001</v>
      </c>
      <c r="M1210" t="s">
        <v>102</v>
      </c>
      <c r="N1210" s="2">
        <f>Table1[[#This Row],[Capacity (MW)]]*8760*0.72*10^-6</f>
        <v>6.0549119999999991E-2</v>
      </c>
      <c r="O1210" s="2" cm="1">
        <f t="array" ref="O1210">AVERAGE(VLOOKUP(_xlfn.TEXTSPLIT(Table1[[#This Row],[Fuel (no space after comma)]], ","), FuelList_Final_EF!$A$2:$B$32, 2, FALSE))</f>
        <v>118.17</v>
      </c>
      <c r="P1210" s="2">
        <f>(16112*Table1[[#This Row],[Generation (TWh)]]*10^9)/10^6</f>
        <v>975567.42143999983</v>
      </c>
      <c r="Q1210" s="2">
        <f>Table1[[#This Row],[Emission Factor (kg CO2/ mmBtu)]]*Table1[[#This Row],[Fuel Consumption (mmBtu)]]*10^3</f>
        <v>115282802191.56479</v>
      </c>
      <c r="R1210" s="2">
        <f>(Table1[[#This Row],[CO2 Emissions (g CO2)]])/(Table1[[#This Row],[Generation (TWh)]]*10^9)</f>
        <v>1903.9550400000001</v>
      </c>
    </row>
    <row r="1211" spans="1:18">
      <c r="A1211" t="s">
        <v>782</v>
      </c>
      <c r="B1211" t="s">
        <v>105</v>
      </c>
      <c r="C1211" t="str">
        <f>SUBSTITUTE(Table1[[#This Row],[Fuel]],", ",",")</f>
        <v>bioenergy: agricultural waste (solids),bioenergy: wood &amp; other biomass (solids)</v>
      </c>
      <c r="D1211" t="s">
        <v>46</v>
      </c>
      <c r="E1211" t="s">
        <v>25</v>
      </c>
      <c r="G1211">
        <v>30</v>
      </c>
      <c r="H1211" t="s">
        <v>53</v>
      </c>
      <c r="I1211" t="s">
        <v>21</v>
      </c>
      <c r="J1211" t="s">
        <v>21</v>
      </c>
      <c r="K1211">
        <v>44.220700000000001</v>
      </c>
      <c r="L1211">
        <v>123.9503</v>
      </c>
      <c r="M1211" t="s">
        <v>102</v>
      </c>
      <c r="N1211" s="2">
        <f>Table1[[#This Row],[Capacity (MW)]]*8760*0.72*10^-6</f>
        <v>0.189216</v>
      </c>
      <c r="O1211" s="2" cm="1">
        <f t="array" ref="O1211">AVERAGE(VLOOKUP(_xlfn.TEXTSPLIT(Table1[[#This Row],[Fuel (no space after comma)]], ","), FuelList_Final_EF!$A$2:$B$32, 2, FALSE))</f>
        <v>105.985</v>
      </c>
      <c r="P1211" s="2">
        <f>(16112*Table1[[#This Row],[Generation (TWh)]]*10^9)/10^6</f>
        <v>3048648.1919999998</v>
      </c>
      <c r="Q1211" s="2">
        <f>Table1[[#This Row],[Emission Factor (kg CO2/ mmBtu)]]*Table1[[#This Row],[Fuel Consumption (mmBtu)]]*10^3</f>
        <v>323110978629.12</v>
      </c>
      <c r="R1211" s="2">
        <f>(Table1[[#This Row],[CO2 Emissions (g CO2)]])/(Table1[[#This Row],[Generation (TWh)]]*10^9)</f>
        <v>1707.63032</v>
      </c>
    </row>
    <row r="1212" spans="1:18">
      <c r="A1212" t="s">
        <v>783</v>
      </c>
      <c r="B1212" t="s">
        <v>46</v>
      </c>
      <c r="C1212" t="str">
        <f>SUBSTITUTE(Table1[[#This Row],[Fuel]],", ",",")</f>
        <v>bioenergy: agricultural waste (solids)</v>
      </c>
      <c r="D1212" t="s">
        <v>46</v>
      </c>
      <c r="G1212">
        <v>30</v>
      </c>
      <c r="H1212" t="s">
        <v>20</v>
      </c>
      <c r="I1212" t="s">
        <v>21</v>
      </c>
      <c r="J1212" t="s">
        <v>21</v>
      </c>
      <c r="K1212">
        <v>44.400799999999997</v>
      </c>
      <c r="L1212">
        <v>123.2319</v>
      </c>
      <c r="M1212" t="s">
        <v>102</v>
      </c>
      <c r="N1212" s="2">
        <f>Table1[[#This Row],[Capacity (MW)]]*8760*0.72*10^-6</f>
        <v>0.189216</v>
      </c>
      <c r="O1212" s="2" cm="1">
        <f t="array" ref="O1212">AVERAGE(VLOOKUP(_xlfn.TEXTSPLIT(Table1[[#This Row],[Fuel (no space after comma)]], ","), FuelList_Final_EF!$A$2:$B$32, 2, FALSE))</f>
        <v>118.17</v>
      </c>
      <c r="P1212" s="2">
        <f>(16112*Table1[[#This Row],[Generation (TWh)]]*10^9)/10^6</f>
        <v>3048648.1919999998</v>
      </c>
      <c r="Q1212" s="2">
        <f>Table1[[#This Row],[Emission Factor (kg CO2/ mmBtu)]]*Table1[[#This Row],[Fuel Consumption (mmBtu)]]*10^3</f>
        <v>360258756848.63995</v>
      </c>
      <c r="R1212" s="2">
        <f>(Table1[[#This Row],[CO2 Emissions (g CO2)]])/(Table1[[#This Row],[Generation (TWh)]]*10^9)</f>
        <v>1903.9550399999998</v>
      </c>
    </row>
    <row r="1213" spans="1:18" hidden="1">
      <c r="A1213" t="s">
        <v>117</v>
      </c>
      <c r="B1213" t="s">
        <v>46</v>
      </c>
      <c r="C1213" t="str">
        <f>SUBSTITUTE(Table1[[#This Row],[Fuel]],", ",",")</f>
        <v>bioenergy: agricultural waste (solids)</v>
      </c>
      <c r="D1213" t="s">
        <v>46</v>
      </c>
      <c r="G1213">
        <v>30</v>
      </c>
      <c r="H1213" t="s">
        <v>27</v>
      </c>
      <c r="I1213">
        <v>2011</v>
      </c>
      <c r="J1213" t="s">
        <v>21</v>
      </c>
      <c r="K1213">
        <v>44.217399999999998</v>
      </c>
      <c r="L1213">
        <v>123.94499999999999</v>
      </c>
      <c r="M1213" t="s">
        <v>102</v>
      </c>
      <c r="N1213" s="2">
        <f>Table1[[#This Row],[Capacity (MW)]]*8760*0.72*10^-6</f>
        <v>0.189216</v>
      </c>
      <c r="O1213" s="2" cm="1">
        <f t="array" ref="O1213">AVERAGE(VLOOKUP(_xlfn.TEXTSPLIT(Table1[[#This Row],[Fuel (no space after comma)]], ","), FuelList_Final_EF!$A$2:$B$32, 2, FALSE))</f>
        <v>118.17</v>
      </c>
      <c r="P1213" s="2">
        <f>(16112*Table1[[#This Row],[Generation (TWh)]]*10^9)/10^6</f>
        <v>3048648.1919999998</v>
      </c>
      <c r="Q1213" s="2">
        <f>Table1[[#This Row],[Emission Factor (kg CO2/ mmBtu)]]*Table1[[#This Row],[Fuel Consumption (mmBtu)]]*10^3</f>
        <v>360258756848.63995</v>
      </c>
      <c r="R1213" s="2">
        <f>(Table1[[#This Row],[CO2 Emissions (g CO2)]])/(Table1[[#This Row],[Generation (TWh)]]*10^9)</f>
        <v>1903.9550399999998</v>
      </c>
    </row>
    <row r="1214" spans="1:18" hidden="1">
      <c r="A1214" t="s">
        <v>718</v>
      </c>
      <c r="B1214" t="s">
        <v>105</v>
      </c>
      <c r="C1214" t="str">
        <f>SUBSTITUTE(Table1[[#This Row],[Fuel]],", ",",")</f>
        <v>bioenergy: agricultural waste (solids),bioenergy: wood &amp; other biomass (solids)</v>
      </c>
      <c r="D1214" t="s">
        <v>46</v>
      </c>
      <c r="E1214" t="s">
        <v>25</v>
      </c>
      <c r="G1214">
        <v>14.7</v>
      </c>
      <c r="H1214" t="s">
        <v>27</v>
      </c>
      <c r="I1214">
        <v>2019</v>
      </c>
      <c r="J1214" t="s">
        <v>21</v>
      </c>
      <c r="K1214">
        <v>45.5944</v>
      </c>
      <c r="L1214">
        <v>123.80249999999999</v>
      </c>
      <c r="M1214" t="s">
        <v>102</v>
      </c>
      <c r="N1214" s="2">
        <f>Table1[[#This Row],[Capacity (MW)]]*8760*0.72*10^-6</f>
        <v>9.2715839999999994E-2</v>
      </c>
      <c r="O1214" s="2" cm="1">
        <f t="array" ref="O1214">AVERAGE(VLOOKUP(_xlfn.TEXTSPLIT(Table1[[#This Row],[Fuel (no space after comma)]], ","), FuelList_Final_EF!$A$2:$B$32, 2, FALSE))</f>
        <v>105.985</v>
      </c>
      <c r="P1214" s="2">
        <f>(16112*Table1[[#This Row],[Generation (TWh)]]*10^9)/10^6</f>
        <v>1493837.6140799997</v>
      </c>
      <c r="Q1214" s="2">
        <f>Table1[[#This Row],[Emission Factor (kg CO2/ mmBtu)]]*Table1[[#This Row],[Fuel Consumption (mmBtu)]]*10^3</f>
        <v>158324379528.2688</v>
      </c>
      <c r="R1214" s="2">
        <f>(Table1[[#This Row],[CO2 Emissions (g CO2)]])/(Table1[[#This Row],[Generation (TWh)]]*10^9)</f>
        <v>1707.63032</v>
      </c>
    </row>
    <row r="1215" spans="1:18" hidden="1">
      <c r="A1215" t="s">
        <v>717</v>
      </c>
      <c r="B1215" t="s">
        <v>105</v>
      </c>
      <c r="C1215" t="str">
        <f>SUBSTITUTE(Table1[[#This Row],[Fuel]],", ",",")</f>
        <v>bioenergy: agricultural waste (solids),bioenergy: wood &amp; other biomass (solids)</v>
      </c>
      <c r="D1215" t="s">
        <v>46</v>
      </c>
      <c r="E1215" t="s">
        <v>25</v>
      </c>
      <c r="G1215">
        <v>15.3</v>
      </c>
      <c r="H1215" t="s">
        <v>27</v>
      </c>
      <c r="I1215">
        <v>2019</v>
      </c>
      <c r="J1215" t="s">
        <v>21</v>
      </c>
      <c r="K1215">
        <v>45.5944</v>
      </c>
      <c r="L1215">
        <v>123.80249999999999</v>
      </c>
      <c r="M1215" t="s">
        <v>102</v>
      </c>
      <c r="N1215" s="2">
        <f>Table1[[#This Row],[Capacity (MW)]]*8760*0.72*10^-6</f>
        <v>9.6500160000000001E-2</v>
      </c>
      <c r="O1215" s="2" cm="1">
        <f t="array" ref="O1215">AVERAGE(VLOOKUP(_xlfn.TEXTSPLIT(Table1[[#This Row],[Fuel (no space after comma)]], ","), FuelList_Final_EF!$A$2:$B$32, 2, FALSE))</f>
        <v>105.985</v>
      </c>
      <c r="P1215" s="2">
        <f>(16112*Table1[[#This Row],[Generation (TWh)]]*10^9)/10^6</f>
        <v>1554810.5779200001</v>
      </c>
      <c r="Q1215" s="2">
        <f>Table1[[#This Row],[Emission Factor (kg CO2/ mmBtu)]]*Table1[[#This Row],[Fuel Consumption (mmBtu)]]*10^3</f>
        <v>164786599100.8512</v>
      </c>
      <c r="R1215" s="2">
        <f>(Table1[[#This Row],[CO2 Emissions (g CO2)]])/(Table1[[#This Row],[Generation (TWh)]]*10^9)</f>
        <v>1707.63032</v>
      </c>
    </row>
    <row r="1216" spans="1:18">
      <c r="A1216" t="s">
        <v>108</v>
      </c>
      <c r="B1216" t="s">
        <v>46</v>
      </c>
      <c r="C1216" t="str">
        <f>SUBSTITUTE(Table1[[#This Row],[Fuel]],", ",",")</f>
        <v>bioenergy: agricultural waste (solids)</v>
      </c>
      <c r="D1216" t="s">
        <v>46</v>
      </c>
      <c r="G1216">
        <v>30</v>
      </c>
      <c r="H1216" t="s">
        <v>97</v>
      </c>
      <c r="I1216" t="s">
        <v>21</v>
      </c>
      <c r="J1216" t="s">
        <v>21</v>
      </c>
      <c r="K1216">
        <v>43.331400000000002</v>
      </c>
      <c r="L1216">
        <v>125.0885</v>
      </c>
      <c r="M1216" t="s">
        <v>102</v>
      </c>
      <c r="N1216" s="2">
        <f>Table1[[#This Row],[Capacity (MW)]]*8760*0.72*10^-6</f>
        <v>0.189216</v>
      </c>
      <c r="O1216" s="2" cm="1">
        <f t="array" ref="O1216">AVERAGE(VLOOKUP(_xlfn.TEXTSPLIT(Table1[[#This Row],[Fuel (no space after comma)]], ","), FuelList_Final_EF!$A$2:$B$32, 2, FALSE))</f>
        <v>118.17</v>
      </c>
      <c r="P1216" s="2">
        <f>(16112*Table1[[#This Row],[Generation (TWh)]]*10^9)/10^6</f>
        <v>3048648.1919999998</v>
      </c>
      <c r="Q1216" s="2">
        <f>Table1[[#This Row],[Emission Factor (kg CO2/ mmBtu)]]*Table1[[#This Row],[Fuel Consumption (mmBtu)]]*10^3</f>
        <v>360258756848.63995</v>
      </c>
      <c r="R1216" s="2">
        <f>(Table1[[#This Row],[CO2 Emissions (g CO2)]])/(Table1[[#This Row],[Generation (TWh)]]*10^9)</f>
        <v>1903.9550399999998</v>
      </c>
    </row>
    <row r="1217" spans="1:18" hidden="1">
      <c r="A1217" t="s">
        <v>117</v>
      </c>
      <c r="B1217" t="s">
        <v>105</v>
      </c>
      <c r="C1217" t="str">
        <f>SUBSTITUTE(Table1[[#This Row],[Fuel]],", ",",")</f>
        <v>bioenergy: agricultural waste (solids),bioenergy: wood &amp; other biomass (solids)</v>
      </c>
      <c r="D1217" t="s">
        <v>46</v>
      </c>
      <c r="E1217" t="s">
        <v>25</v>
      </c>
      <c r="G1217">
        <v>30</v>
      </c>
      <c r="H1217" t="s">
        <v>27</v>
      </c>
      <c r="I1217">
        <v>2013</v>
      </c>
      <c r="J1217" t="s">
        <v>21</v>
      </c>
      <c r="K1217">
        <v>44.564399999999999</v>
      </c>
      <c r="L1217">
        <v>125.7067</v>
      </c>
      <c r="M1217" t="s">
        <v>102</v>
      </c>
      <c r="N1217" s="2">
        <f>Table1[[#This Row],[Capacity (MW)]]*8760*0.72*10^-6</f>
        <v>0.189216</v>
      </c>
      <c r="O1217" s="2" cm="1">
        <f t="array" ref="O1217">AVERAGE(VLOOKUP(_xlfn.TEXTSPLIT(Table1[[#This Row],[Fuel (no space after comma)]], ","), FuelList_Final_EF!$A$2:$B$32, 2, FALSE))</f>
        <v>105.985</v>
      </c>
      <c r="P1217" s="2">
        <f>(16112*Table1[[#This Row],[Generation (TWh)]]*10^9)/10^6</f>
        <v>3048648.1919999998</v>
      </c>
      <c r="Q1217" s="2">
        <f>Table1[[#This Row],[Emission Factor (kg CO2/ mmBtu)]]*Table1[[#This Row],[Fuel Consumption (mmBtu)]]*10^3</f>
        <v>323110978629.12</v>
      </c>
      <c r="R1217" s="2">
        <f>(Table1[[#This Row],[CO2 Emissions (g CO2)]])/(Table1[[#This Row],[Generation (TWh)]]*10^9)</f>
        <v>1707.63032</v>
      </c>
    </row>
    <row r="1218" spans="1:18" hidden="1">
      <c r="A1218" t="s">
        <v>448</v>
      </c>
      <c r="B1218" t="s">
        <v>19</v>
      </c>
      <c r="C1218" t="str">
        <f>SUBSTITUTE(Table1[[#This Row],[Fuel]],", ",",")</f>
        <v>bioenergy: refuse (municipal and industrial wastes)</v>
      </c>
      <c r="D1218" t="s">
        <v>19</v>
      </c>
      <c r="G1218">
        <v>31.5</v>
      </c>
      <c r="H1218" t="s">
        <v>27</v>
      </c>
      <c r="I1218">
        <v>2021</v>
      </c>
      <c r="J1218" t="s">
        <v>21</v>
      </c>
      <c r="K1218">
        <v>44.099499999999999</v>
      </c>
      <c r="L1218">
        <v>125.38639999999999</v>
      </c>
      <c r="M1218" t="s">
        <v>102</v>
      </c>
      <c r="N1218" s="2">
        <f>Table1[[#This Row],[Capacity (MW)]]*8760*0.72*10^-6</f>
        <v>0.19867679999999999</v>
      </c>
      <c r="O1218" s="2" cm="1">
        <f t="array" ref="O1218">AVERAGE(VLOOKUP(_xlfn.TEXTSPLIT(Table1[[#This Row],[Fuel (no space after comma)]], ","), FuelList_Final_EF!$A$2:$B$32, 2, FALSE))</f>
        <v>105.42962572482868</v>
      </c>
      <c r="P1218" s="2">
        <f>(16112*Table1[[#This Row],[Generation (TWh)]]*10^9)/10^6</f>
        <v>3201080.6015999997</v>
      </c>
      <c r="Q1218" s="2">
        <f>Table1[[#This Row],[Emission Factor (kg CO2/ mmBtu)]]*Table1[[#This Row],[Fuel Consumption (mmBtu)]]*10^3</f>
        <v>337488729741.69745</v>
      </c>
      <c r="R1218" s="2">
        <f>(Table1[[#This Row],[CO2 Emissions (g CO2)]])/(Table1[[#This Row],[Generation (TWh)]]*10^9)</f>
        <v>1698.6821296784399</v>
      </c>
    </row>
    <row r="1219" spans="1:18" hidden="1">
      <c r="A1219" t="s">
        <v>448</v>
      </c>
      <c r="B1219" t="s">
        <v>19</v>
      </c>
      <c r="C1219" t="str">
        <f>SUBSTITUTE(Table1[[#This Row],[Fuel]],", ",",")</f>
        <v>bioenergy: refuse (municipal and industrial wastes)</v>
      </c>
      <c r="D1219" t="s">
        <v>19</v>
      </c>
      <c r="G1219">
        <v>40</v>
      </c>
      <c r="H1219" t="s">
        <v>27</v>
      </c>
      <c r="I1219">
        <v>2023</v>
      </c>
      <c r="J1219" t="s">
        <v>21</v>
      </c>
      <c r="K1219">
        <v>44.099499999999999</v>
      </c>
      <c r="L1219">
        <v>125.38639999999999</v>
      </c>
      <c r="M1219" t="s">
        <v>102</v>
      </c>
      <c r="N1219" s="2">
        <f>Table1[[#This Row],[Capacity (MW)]]*8760*0.72*10^-6</f>
        <v>0.25228800000000001</v>
      </c>
      <c r="O1219" s="2" cm="1">
        <f t="array" ref="O1219">AVERAGE(VLOOKUP(_xlfn.TEXTSPLIT(Table1[[#This Row],[Fuel (no space after comma)]], ","), FuelList_Final_EF!$A$2:$B$32, 2, FALSE))</f>
        <v>105.42962572482868</v>
      </c>
      <c r="P1219" s="2">
        <f>(16112*Table1[[#This Row],[Generation (TWh)]]*10^9)/10^6</f>
        <v>4064864.2560000005</v>
      </c>
      <c r="Q1219" s="2">
        <f>Table1[[#This Row],[Emission Factor (kg CO2/ mmBtu)]]*Table1[[#This Row],[Fuel Consumption (mmBtu)]]*10^3</f>
        <v>428557117132.31427</v>
      </c>
      <c r="R1219" s="2">
        <f>(Table1[[#This Row],[CO2 Emissions (g CO2)]])/(Table1[[#This Row],[Generation (TWh)]]*10^9)</f>
        <v>1698.6821296784401</v>
      </c>
    </row>
    <row r="1220" spans="1:18" hidden="1">
      <c r="A1220" t="s">
        <v>568</v>
      </c>
      <c r="B1220" t="s">
        <v>46</v>
      </c>
      <c r="C1220" t="str">
        <f>SUBSTITUTE(Table1[[#This Row],[Fuel]],", ",",")</f>
        <v>bioenergy: agricultural waste (solids)</v>
      </c>
      <c r="D1220" t="s">
        <v>46</v>
      </c>
      <c r="G1220">
        <v>40</v>
      </c>
      <c r="H1220" t="s">
        <v>27</v>
      </c>
      <c r="I1220">
        <v>2021</v>
      </c>
      <c r="J1220" t="s">
        <v>21</v>
      </c>
      <c r="K1220">
        <v>46.8506</v>
      </c>
      <c r="L1220">
        <v>126.5322</v>
      </c>
      <c r="M1220" t="s">
        <v>102</v>
      </c>
      <c r="N1220" s="2">
        <f>Table1[[#This Row],[Capacity (MW)]]*8760*0.72*10^-6</f>
        <v>0.25228800000000001</v>
      </c>
      <c r="O1220" s="2" cm="1">
        <f t="array" ref="O1220">AVERAGE(VLOOKUP(_xlfn.TEXTSPLIT(Table1[[#This Row],[Fuel (no space after comma)]], ","), FuelList_Final_EF!$A$2:$B$32, 2, FALSE))</f>
        <v>118.17</v>
      </c>
      <c r="P1220" s="2">
        <f>(16112*Table1[[#This Row],[Generation (TWh)]]*10^9)/10^6</f>
        <v>4064864.2560000005</v>
      </c>
      <c r="Q1220" s="2">
        <f>Table1[[#This Row],[Emission Factor (kg CO2/ mmBtu)]]*Table1[[#This Row],[Fuel Consumption (mmBtu)]]*10^3</f>
        <v>480345009131.52008</v>
      </c>
      <c r="R1220" s="2">
        <f>(Table1[[#This Row],[CO2 Emissions (g CO2)]])/(Table1[[#This Row],[Generation (TWh)]]*10^9)</f>
        <v>1903.9550400000003</v>
      </c>
    </row>
    <row r="1221" spans="1:18" hidden="1">
      <c r="A1221" t="s">
        <v>54</v>
      </c>
      <c r="B1221" t="s">
        <v>105</v>
      </c>
      <c r="C1221" t="str">
        <f>SUBSTITUTE(Table1[[#This Row],[Fuel]],", ",",")</f>
        <v>bioenergy: agricultural waste (solids),bioenergy: wood &amp; other biomass (solids)</v>
      </c>
      <c r="D1221" t="s">
        <v>46</v>
      </c>
      <c r="E1221" t="s">
        <v>25</v>
      </c>
      <c r="G1221">
        <v>30</v>
      </c>
      <c r="H1221" t="s">
        <v>97</v>
      </c>
      <c r="I1221">
        <v>2025</v>
      </c>
      <c r="J1221" t="s">
        <v>21</v>
      </c>
      <c r="K1221">
        <v>42.910200000000003</v>
      </c>
      <c r="L1221">
        <v>125.0299</v>
      </c>
      <c r="M1221" t="s">
        <v>102</v>
      </c>
      <c r="N1221" s="2">
        <f>Table1[[#This Row],[Capacity (MW)]]*8760*0.72*10^-6</f>
        <v>0.189216</v>
      </c>
      <c r="O1221" s="2" cm="1">
        <f t="array" ref="O1221">AVERAGE(VLOOKUP(_xlfn.TEXTSPLIT(Table1[[#This Row],[Fuel (no space after comma)]], ","), FuelList_Final_EF!$A$2:$B$32, 2, FALSE))</f>
        <v>105.985</v>
      </c>
      <c r="P1221" s="2">
        <f>(16112*Table1[[#This Row],[Generation (TWh)]]*10^9)/10^6</f>
        <v>3048648.1919999998</v>
      </c>
      <c r="Q1221" s="2">
        <f>Table1[[#This Row],[Emission Factor (kg CO2/ mmBtu)]]*Table1[[#This Row],[Fuel Consumption (mmBtu)]]*10^3</f>
        <v>323110978629.12</v>
      </c>
      <c r="R1221" s="2">
        <f>(Table1[[#This Row],[CO2 Emissions (g CO2)]])/(Table1[[#This Row],[Generation (TWh)]]*10^9)</f>
        <v>1707.63032</v>
      </c>
    </row>
    <row r="1222" spans="1:18" hidden="1">
      <c r="A1222" t="s">
        <v>784</v>
      </c>
      <c r="B1222" t="s">
        <v>46</v>
      </c>
      <c r="C1222" t="str">
        <f>SUBSTITUTE(Table1[[#This Row],[Fuel]],", ",",")</f>
        <v>bioenergy: agricultural waste (solids)</v>
      </c>
      <c r="D1222" t="s">
        <v>46</v>
      </c>
      <c r="G1222">
        <v>30</v>
      </c>
      <c r="H1222" t="s">
        <v>20</v>
      </c>
      <c r="I1222">
        <v>2025</v>
      </c>
      <c r="J1222" t="s">
        <v>21</v>
      </c>
      <c r="K1222">
        <v>42.816600000000001</v>
      </c>
      <c r="L1222">
        <v>125.0487</v>
      </c>
      <c r="M1222" t="s">
        <v>102</v>
      </c>
      <c r="N1222" s="2">
        <f>Table1[[#This Row],[Capacity (MW)]]*8760*0.72*10^-6</f>
        <v>0.189216</v>
      </c>
      <c r="O1222" s="2" cm="1">
        <f t="array" ref="O1222">AVERAGE(VLOOKUP(_xlfn.TEXTSPLIT(Table1[[#This Row],[Fuel (no space after comma)]], ","), FuelList_Final_EF!$A$2:$B$32, 2, FALSE))</f>
        <v>118.17</v>
      </c>
      <c r="P1222" s="2">
        <f>(16112*Table1[[#This Row],[Generation (TWh)]]*10^9)/10^6</f>
        <v>3048648.1919999998</v>
      </c>
      <c r="Q1222" s="2">
        <f>Table1[[#This Row],[Emission Factor (kg CO2/ mmBtu)]]*Table1[[#This Row],[Fuel Consumption (mmBtu)]]*10^3</f>
        <v>360258756848.63995</v>
      </c>
      <c r="R1222" s="2">
        <f>(Table1[[#This Row],[CO2 Emissions (g CO2)]])/(Table1[[#This Row],[Generation (TWh)]]*10^9)</f>
        <v>1903.9550399999998</v>
      </c>
    </row>
    <row r="1223" spans="1:18" hidden="1">
      <c r="A1223" t="s">
        <v>784</v>
      </c>
      <c r="B1223" t="s">
        <v>46</v>
      </c>
      <c r="C1223" t="str">
        <f>SUBSTITUTE(Table1[[#This Row],[Fuel]],", ",",")</f>
        <v>bioenergy: agricultural waste (solids)</v>
      </c>
      <c r="D1223" t="s">
        <v>46</v>
      </c>
      <c r="G1223">
        <v>30</v>
      </c>
      <c r="H1223" t="s">
        <v>20</v>
      </c>
      <c r="I1223">
        <v>2025</v>
      </c>
      <c r="J1223" t="s">
        <v>21</v>
      </c>
      <c r="K1223">
        <v>42.816600000000001</v>
      </c>
      <c r="L1223">
        <v>125.0487</v>
      </c>
      <c r="M1223" t="s">
        <v>102</v>
      </c>
      <c r="N1223" s="2">
        <f>Table1[[#This Row],[Capacity (MW)]]*8760*0.72*10^-6</f>
        <v>0.189216</v>
      </c>
      <c r="O1223" s="2" cm="1">
        <f t="array" ref="O1223">AVERAGE(VLOOKUP(_xlfn.TEXTSPLIT(Table1[[#This Row],[Fuel (no space after comma)]], ","), FuelList_Final_EF!$A$2:$B$32, 2, FALSE))</f>
        <v>118.17</v>
      </c>
      <c r="P1223" s="2">
        <f>(16112*Table1[[#This Row],[Generation (TWh)]]*10^9)/10^6</f>
        <v>3048648.1919999998</v>
      </c>
      <c r="Q1223" s="2">
        <f>Table1[[#This Row],[Emission Factor (kg CO2/ mmBtu)]]*Table1[[#This Row],[Fuel Consumption (mmBtu)]]*10^3</f>
        <v>360258756848.63995</v>
      </c>
      <c r="R1223" s="2">
        <f>(Table1[[#This Row],[CO2 Emissions (g CO2)]])/(Table1[[#This Row],[Generation (TWh)]]*10^9)</f>
        <v>1903.9550399999998</v>
      </c>
    </row>
    <row r="1224" spans="1:18">
      <c r="A1224" t="s">
        <v>118</v>
      </c>
      <c r="B1224" t="s">
        <v>105</v>
      </c>
      <c r="C1224" t="str">
        <f>SUBSTITUTE(Table1[[#This Row],[Fuel]],", ",",")</f>
        <v>bioenergy: agricultural waste (solids),bioenergy: wood &amp; other biomass (solids)</v>
      </c>
      <c r="D1224" t="s">
        <v>46</v>
      </c>
      <c r="E1224" t="s">
        <v>25</v>
      </c>
      <c r="G1224">
        <v>30</v>
      </c>
      <c r="H1224" t="s">
        <v>138</v>
      </c>
      <c r="I1224" t="s">
        <v>21</v>
      </c>
      <c r="J1224" t="s">
        <v>21</v>
      </c>
      <c r="K1224">
        <v>43.307600000000001</v>
      </c>
      <c r="L1224">
        <v>128.51240000000001</v>
      </c>
      <c r="M1224" t="s">
        <v>102</v>
      </c>
      <c r="N1224" s="2">
        <f>Table1[[#This Row],[Capacity (MW)]]*8760*0.72*10^-6</f>
        <v>0.189216</v>
      </c>
      <c r="O1224" s="2" cm="1">
        <f t="array" ref="O1224">AVERAGE(VLOOKUP(_xlfn.TEXTSPLIT(Table1[[#This Row],[Fuel (no space after comma)]], ","), FuelList_Final_EF!$A$2:$B$32, 2, FALSE))</f>
        <v>105.985</v>
      </c>
      <c r="P1224" s="2">
        <f>(16112*Table1[[#This Row],[Generation (TWh)]]*10^9)/10^6</f>
        <v>3048648.1919999998</v>
      </c>
      <c r="Q1224" s="2">
        <f>Table1[[#This Row],[Emission Factor (kg CO2/ mmBtu)]]*Table1[[#This Row],[Fuel Consumption (mmBtu)]]*10^3</f>
        <v>323110978629.12</v>
      </c>
      <c r="R1224" s="2">
        <f>(Table1[[#This Row],[CO2 Emissions (g CO2)]])/(Table1[[#This Row],[Generation (TWh)]]*10^9)</f>
        <v>1707.63032</v>
      </c>
    </row>
    <row r="1225" spans="1:18">
      <c r="A1225" t="s">
        <v>118</v>
      </c>
      <c r="B1225" t="s">
        <v>105</v>
      </c>
      <c r="C1225" t="str">
        <f>SUBSTITUTE(Table1[[#This Row],[Fuel]],", ",",")</f>
        <v>bioenergy: agricultural waste (solids),bioenergy: wood &amp; other biomass (solids)</v>
      </c>
      <c r="D1225" t="s">
        <v>46</v>
      </c>
      <c r="E1225" t="s">
        <v>25</v>
      </c>
      <c r="G1225">
        <v>30</v>
      </c>
      <c r="H1225" t="s">
        <v>138</v>
      </c>
      <c r="I1225" t="s">
        <v>21</v>
      </c>
      <c r="J1225" t="s">
        <v>21</v>
      </c>
      <c r="K1225">
        <v>43.307600000000001</v>
      </c>
      <c r="L1225">
        <v>128.51240000000001</v>
      </c>
      <c r="M1225" t="s">
        <v>102</v>
      </c>
      <c r="N1225" s="2">
        <f>Table1[[#This Row],[Capacity (MW)]]*8760*0.72*10^-6</f>
        <v>0.189216</v>
      </c>
      <c r="O1225" s="2" cm="1">
        <f t="array" ref="O1225">AVERAGE(VLOOKUP(_xlfn.TEXTSPLIT(Table1[[#This Row],[Fuel (no space after comma)]], ","), FuelList_Final_EF!$A$2:$B$32, 2, FALSE))</f>
        <v>105.985</v>
      </c>
      <c r="P1225" s="2">
        <f>(16112*Table1[[#This Row],[Generation (TWh)]]*10^9)/10^6</f>
        <v>3048648.1919999998</v>
      </c>
      <c r="Q1225" s="2">
        <f>Table1[[#This Row],[Emission Factor (kg CO2/ mmBtu)]]*Table1[[#This Row],[Fuel Consumption (mmBtu)]]*10^3</f>
        <v>323110978629.12</v>
      </c>
      <c r="R1225" s="2">
        <f>(Table1[[#This Row],[CO2 Emissions (g CO2)]])/(Table1[[#This Row],[Generation (TWh)]]*10^9)</f>
        <v>1707.63032</v>
      </c>
    </row>
    <row r="1226" spans="1:18" hidden="1">
      <c r="A1226" t="s">
        <v>54</v>
      </c>
      <c r="B1226" t="s">
        <v>46</v>
      </c>
      <c r="C1226" t="str">
        <f>SUBSTITUTE(Table1[[#This Row],[Fuel]],", ",",")</f>
        <v>bioenergy: agricultural waste (solids)</v>
      </c>
      <c r="D1226" t="s">
        <v>46</v>
      </c>
      <c r="G1226">
        <v>30</v>
      </c>
      <c r="H1226" t="s">
        <v>27</v>
      </c>
      <c r="I1226">
        <v>2022</v>
      </c>
      <c r="J1226" t="s">
        <v>21</v>
      </c>
      <c r="K1226">
        <v>43.5321</v>
      </c>
      <c r="L1226">
        <v>124.8702</v>
      </c>
      <c r="M1226" t="s">
        <v>102</v>
      </c>
      <c r="N1226" s="2">
        <f>Table1[[#This Row],[Capacity (MW)]]*8760*0.72*10^-6</f>
        <v>0.189216</v>
      </c>
      <c r="O1226" s="2" cm="1">
        <f t="array" ref="O1226">AVERAGE(VLOOKUP(_xlfn.TEXTSPLIT(Table1[[#This Row],[Fuel (no space after comma)]], ","), FuelList_Final_EF!$A$2:$B$32, 2, FALSE))</f>
        <v>118.17</v>
      </c>
      <c r="P1226" s="2">
        <f>(16112*Table1[[#This Row],[Generation (TWh)]]*10^9)/10^6</f>
        <v>3048648.1919999998</v>
      </c>
      <c r="Q1226" s="2">
        <f>Table1[[#This Row],[Emission Factor (kg CO2/ mmBtu)]]*Table1[[#This Row],[Fuel Consumption (mmBtu)]]*10^3</f>
        <v>360258756848.63995</v>
      </c>
      <c r="R1226" s="2">
        <f>(Table1[[#This Row],[CO2 Emissions (g CO2)]])/(Table1[[#This Row],[Generation (TWh)]]*10^9)</f>
        <v>1903.9550399999998</v>
      </c>
    </row>
    <row r="1227" spans="1:18" hidden="1">
      <c r="A1227" t="s">
        <v>118</v>
      </c>
      <c r="B1227" t="s">
        <v>105</v>
      </c>
      <c r="C1227" t="str">
        <f>SUBSTITUTE(Table1[[#This Row],[Fuel]],", ",",")</f>
        <v>bioenergy: agricultural waste (solids),bioenergy: wood &amp; other biomass (solids)</v>
      </c>
      <c r="D1227" t="s">
        <v>46</v>
      </c>
      <c r="E1227" t="s">
        <v>25</v>
      </c>
      <c r="G1227">
        <v>30</v>
      </c>
      <c r="H1227" t="s">
        <v>27</v>
      </c>
      <c r="I1227">
        <v>2017</v>
      </c>
      <c r="J1227" t="s">
        <v>21</v>
      </c>
      <c r="K1227">
        <v>42.978000000000002</v>
      </c>
      <c r="L1227">
        <v>126.8546</v>
      </c>
      <c r="M1227" t="s">
        <v>102</v>
      </c>
      <c r="N1227" s="2">
        <f>Table1[[#This Row],[Capacity (MW)]]*8760*0.72*10^-6</f>
        <v>0.189216</v>
      </c>
      <c r="O1227" s="2" cm="1">
        <f t="array" ref="O1227">AVERAGE(VLOOKUP(_xlfn.TEXTSPLIT(Table1[[#This Row],[Fuel (no space after comma)]], ","), FuelList_Final_EF!$A$2:$B$32, 2, FALSE))</f>
        <v>105.985</v>
      </c>
      <c r="P1227" s="2">
        <f>(16112*Table1[[#This Row],[Generation (TWh)]]*10^9)/10^6</f>
        <v>3048648.1919999998</v>
      </c>
      <c r="Q1227" s="2">
        <f>Table1[[#This Row],[Emission Factor (kg CO2/ mmBtu)]]*Table1[[#This Row],[Fuel Consumption (mmBtu)]]*10^3</f>
        <v>323110978629.12</v>
      </c>
      <c r="R1227" s="2">
        <f>(Table1[[#This Row],[CO2 Emissions (g CO2)]])/(Table1[[#This Row],[Generation (TWh)]]*10^9)</f>
        <v>1707.63032</v>
      </c>
    </row>
    <row r="1228" spans="1:18" hidden="1">
      <c r="A1228" t="s">
        <v>118</v>
      </c>
      <c r="B1228" t="s">
        <v>105</v>
      </c>
      <c r="C1228" t="str">
        <f>SUBSTITUTE(Table1[[#This Row],[Fuel]],", ",",")</f>
        <v>bioenergy: agricultural waste (solids),bioenergy: wood &amp; other biomass (solids)</v>
      </c>
      <c r="D1228" t="s">
        <v>46</v>
      </c>
      <c r="E1228" t="s">
        <v>25</v>
      </c>
      <c r="G1228">
        <v>30</v>
      </c>
      <c r="H1228" t="s">
        <v>27</v>
      </c>
      <c r="I1228">
        <v>2018</v>
      </c>
      <c r="J1228" t="s">
        <v>21</v>
      </c>
      <c r="K1228">
        <v>42.978000000000002</v>
      </c>
      <c r="L1228">
        <v>126.8546</v>
      </c>
      <c r="M1228" t="s">
        <v>102</v>
      </c>
      <c r="N1228" s="2">
        <f>Table1[[#This Row],[Capacity (MW)]]*8760*0.72*10^-6</f>
        <v>0.189216</v>
      </c>
      <c r="O1228" s="2" cm="1">
        <f t="array" ref="O1228">AVERAGE(VLOOKUP(_xlfn.TEXTSPLIT(Table1[[#This Row],[Fuel (no space after comma)]], ","), FuelList_Final_EF!$A$2:$B$32, 2, FALSE))</f>
        <v>105.985</v>
      </c>
      <c r="P1228" s="2">
        <f>(16112*Table1[[#This Row],[Generation (TWh)]]*10^9)/10^6</f>
        <v>3048648.1919999998</v>
      </c>
      <c r="Q1228" s="2">
        <f>Table1[[#This Row],[Emission Factor (kg CO2/ mmBtu)]]*Table1[[#This Row],[Fuel Consumption (mmBtu)]]*10^3</f>
        <v>323110978629.12</v>
      </c>
      <c r="R1228" s="2">
        <f>(Table1[[#This Row],[CO2 Emissions (g CO2)]])/(Table1[[#This Row],[Generation (TWh)]]*10^9)</f>
        <v>1707.63032</v>
      </c>
    </row>
    <row r="1229" spans="1:18">
      <c r="A1229" t="s">
        <v>21</v>
      </c>
      <c r="B1229" t="s">
        <v>46</v>
      </c>
      <c r="C1229" t="str">
        <f>SUBSTITUTE(Table1[[#This Row],[Fuel]],", ",",")</f>
        <v>bioenergy: agricultural waste (solids)</v>
      </c>
      <c r="D1229" t="s">
        <v>46</v>
      </c>
      <c r="G1229">
        <v>30</v>
      </c>
      <c r="H1229" t="s">
        <v>27</v>
      </c>
      <c r="I1229" t="s">
        <v>21</v>
      </c>
      <c r="J1229" t="s">
        <v>21</v>
      </c>
      <c r="K1229">
        <v>43.876300000000001</v>
      </c>
      <c r="L1229">
        <v>124.7551</v>
      </c>
      <c r="M1229" t="s">
        <v>102</v>
      </c>
      <c r="N1229" s="2">
        <f>Table1[[#This Row],[Capacity (MW)]]*8760*0.72*10^-6</f>
        <v>0.189216</v>
      </c>
      <c r="O1229" s="2" cm="1">
        <f t="array" ref="O1229">AVERAGE(VLOOKUP(_xlfn.TEXTSPLIT(Table1[[#This Row],[Fuel (no space after comma)]], ","), FuelList_Final_EF!$A$2:$B$32, 2, FALSE))</f>
        <v>118.17</v>
      </c>
      <c r="P1229" s="2">
        <f>(16112*Table1[[#This Row],[Generation (TWh)]]*10^9)/10^6</f>
        <v>3048648.1919999998</v>
      </c>
      <c r="Q1229" s="2">
        <f>Table1[[#This Row],[Emission Factor (kg CO2/ mmBtu)]]*Table1[[#This Row],[Fuel Consumption (mmBtu)]]*10^3</f>
        <v>360258756848.63995</v>
      </c>
      <c r="R1229" s="2">
        <f>(Table1[[#This Row],[CO2 Emissions (g CO2)]])/(Table1[[#This Row],[Generation (TWh)]]*10^9)</f>
        <v>1903.9550399999998</v>
      </c>
    </row>
    <row r="1230" spans="1:18" hidden="1">
      <c r="A1230" t="s">
        <v>785</v>
      </c>
      <c r="B1230" t="s">
        <v>46</v>
      </c>
      <c r="C1230" t="str">
        <f>SUBSTITUTE(Table1[[#This Row],[Fuel]],", ",",")</f>
        <v>bioenergy: agricultural waste (solids)</v>
      </c>
      <c r="D1230" t="s">
        <v>46</v>
      </c>
      <c r="G1230">
        <v>30</v>
      </c>
      <c r="H1230" t="s">
        <v>27</v>
      </c>
      <c r="I1230">
        <v>2023</v>
      </c>
      <c r="J1230" t="s">
        <v>21</v>
      </c>
      <c r="K1230">
        <v>42.709699999999998</v>
      </c>
      <c r="L1230">
        <v>126.07989999999999</v>
      </c>
      <c r="M1230" t="s">
        <v>102</v>
      </c>
      <c r="N1230" s="2">
        <f>Table1[[#This Row],[Capacity (MW)]]*8760*0.72*10^-6</f>
        <v>0.189216</v>
      </c>
      <c r="O1230" s="2" cm="1">
        <f t="array" ref="O1230">AVERAGE(VLOOKUP(_xlfn.TEXTSPLIT(Table1[[#This Row],[Fuel (no space after comma)]], ","), FuelList_Final_EF!$A$2:$B$32, 2, FALSE))</f>
        <v>118.17</v>
      </c>
      <c r="P1230" s="2">
        <f>(16112*Table1[[#This Row],[Generation (TWh)]]*10^9)/10^6</f>
        <v>3048648.1919999998</v>
      </c>
      <c r="Q1230" s="2">
        <f>Table1[[#This Row],[Emission Factor (kg CO2/ mmBtu)]]*Table1[[#This Row],[Fuel Consumption (mmBtu)]]*10^3</f>
        <v>360258756848.63995</v>
      </c>
      <c r="R1230" s="2">
        <f>(Table1[[#This Row],[CO2 Emissions (g CO2)]])/(Table1[[#This Row],[Generation (TWh)]]*10^9)</f>
        <v>1903.9550399999998</v>
      </c>
    </row>
    <row r="1231" spans="1:18" hidden="1">
      <c r="A1231" t="s">
        <v>118</v>
      </c>
      <c r="B1231" t="s">
        <v>46</v>
      </c>
      <c r="C1231" t="str">
        <f>SUBSTITUTE(Table1[[#This Row],[Fuel]],", ",",")</f>
        <v>bioenergy: agricultural waste (solids)</v>
      </c>
      <c r="D1231" t="s">
        <v>46</v>
      </c>
      <c r="G1231">
        <v>30</v>
      </c>
      <c r="H1231" t="s">
        <v>27</v>
      </c>
      <c r="I1231">
        <v>2014</v>
      </c>
      <c r="J1231" t="s">
        <v>21</v>
      </c>
      <c r="K1231">
        <v>43.732500000000002</v>
      </c>
      <c r="L1231">
        <v>127.3374</v>
      </c>
      <c r="M1231" t="s">
        <v>102</v>
      </c>
      <c r="N1231" s="2">
        <f>Table1[[#This Row],[Capacity (MW)]]*8760*0.72*10^-6</f>
        <v>0.189216</v>
      </c>
      <c r="O1231" s="2" cm="1">
        <f t="array" ref="O1231">AVERAGE(VLOOKUP(_xlfn.TEXTSPLIT(Table1[[#This Row],[Fuel (no space after comma)]], ","), FuelList_Final_EF!$A$2:$B$32, 2, FALSE))</f>
        <v>118.17</v>
      </c>
      <c r="P1231" s="2">
        <f>(16112*Table1[[#This Row],[Generation (TWh)]]*10^9)/10^6</f>
        <v>3048648.1919999998</v>
      </c>
      <c r="Q1231" s="2">
        <f>Table1[[#This Row],[Emission Factor (kg CO2/ mmBtu)]]*Table1[[#This Row],[Fuel Consumption (mmBtu)]]*10^3</f>
        <v>360258756848.63995</v>
      </c>
      <c r="R1231" s="2">
        <f>(Table1[[#This Row],[CO2 Emissions (g CO2)]])/(Table1[[#This Row],[Generation (TWh)]]*10^9)</f>
        <v>1903.9550399999998</v>
      </c>
    </row>
    <row r="1232" spans="1:18" hidden="1">
      <c r="A1232" t="s">
        <v>118</v>
      </c>
      <c r="B1232" t="s">
        <v>46</v>
      </c>
      <c r="C1232" t="str">
        <f>SUBSTITUTE(Table1[[#This Row],[Fuel]],", ",",")</f>
        <v>bioenergy: agricultural waste (solids)</v>
      </c>
      <c r="D1232" t="s">
        <v>46</v>
      </c>
      <c r="G1232">
        <v>30</v>
      </c>
      <c r="H1232" t="s">
        <v>27</v>
      </c>
      <c r="I1232">
        <v>2015</v>
      </c>
      <c r="J1232" t="s">
        <v>21</v>
      </c>
      <c r="K1232">
        <v>43.732500000000002</v>
      </c>
      <c r="L1232">
        <v>127.3374</v>
      </c>
      <c r="M1232" t="s">
        <v>102</v>
      </c>
      <c r="N1232" s="2">
        <f>Table1[[#This Row],[Capacity (MW)]]*8760*0.72*10^-6</f>
        <v>0.189216</v>
      </c>
      <c r="O1232" s="2" cm="1">
        <f t="array" ref="O1232">AVERAGE(VLOOKUP(_xlfn.TEXTSPLIT(Table1[[#This Row],[Fuel (no space after comma)]], ","), FuelList_Final_EF!$A$2:$B$32, 2, FALSE))</f>
        <v>118.17</v>
      </c>
      <c r="P1232" s="2">
        <f>(16112*Table1[[#This Row],[Generation (TWh)]]*10^9)/10^6</f>
        <v>3048648.1919999998</v>
      </c>
      <c r="Q1232" s="2">
        <f>Table1[[#This Row],[Emission Factor (kg CO2/ mmBtu)]]*Table1[[#This Row],[Fuel Consumption (mmBtu)]]*10^3</f>
        <v>360258756848.63995</v>
      </c>
      <c r="R1232" s="2">
        <f>(Table1[[#This Row],[CO2 Emissions (g CO2)]])/(Table1[[#This Row],[Generation (TWh)]]*10^9)</f>
        <v>1903.9550399999998</v>
      </c>
    </row>
    <row r="1233" spans="1:18" hidden="1">
      <c r="A1233" t="s">
        <v>117</v>
      </c>
      <c r="B1233" t="s">
        <v>46</v>
      </c>
      <c r="C1233" t="str">
        <f>SUBSTITUTE(Table1[[#This Row],[Fuel]],", ",",")</f>
        <v>bioenergy: agricultural waste (solids)</v>
      </c>
      <c r="D1233" t="s">
        <v>46</v>
      </c>
      <c r="G1233">
        <v>30</v>
      </c>
      <c r="H1233" t="s">
        <v>27</v>
      </c>
      <c r="I1233">
        <v>2007</v>
      </c>
      <c r="J1233" t="s">
        <v>21</v>
      </c>
      <c r="K1233">
        <v>42.924500000000002</v>
      </c>
      <c r="L1233">
        <v>125.2555</v>
      </c>
      <c r="M1233" t="s">
        <v>102</v>
      </c>
      <c r="N1233" s="2">
        <f>Table1[[#This Row],[Capacity (MW)]]*8760*0.72*10^-6</f>
        <v>0.189216</v>
      </c>
      <c r="O1233" s="2" cm="1">
        <f t="array" ref="O1233">AVERAGE(VLOOKUP(_xlfn.TEXTSPLIT(Table1[[#This Row],[Fuel (no space after comma)]], ","), FuelList_Final_EF!$A$2:$B$32, 2, FALSE))</f>
        <v>118.17</v>
      </c>
      <c r="P1233" s="2">
        <f>(16112*Table1[[#This Row],[Generation (TWh)]]*10^9)/10^6</f>
        <v>3048648.1919999998</v>
      </c>
      <c r="Q1233" s="2">
        <f>Table1[[#This Row],[Emission Factor (kg CO2/ mmBtu)]]*Table1[[#This Row],[Fuel Consumption (mmBtu)]]*10^3</f>
        <v>360258756848.63995</v>
      </c>
      <c r="R1233" s="2">
        <f>(Table1[[#This Row],[CO2 Emissions (g CO2)]])/(Table1[[#This Row],[Generation (TWh)]]*10^9)</f>
        <v>1903.9550399999998</v>
      </c>
    </row>
    <row r="1234" spans="1:18" hidden="1">
      <c r="A1234" t="s">
        <v>108</v>
      </c>
      <c r="B1234" t="s">
        <v>46</v>
      </c>
      <c r="C1234" t="str">
        <f>SUBSTITUTE(Table1[[#This Row],[Fuel]],", ",",")</f>
        <v>bioenergy: agricultural waste (solids)</v>
      </c>
      <c r="D1234" t="s">
        <v>46</v>
      </c>
      <c r="G1234">
        <v>35</v>
      </c>
      <c r="H1234" t="s">
        <v>27</v>
      </c>
      <c r="I1234">
        <v>2022</v>
      </c>
      <c r="J1234" t="s">
        <v>21</v>
      </c>
      <c r="K1234">
        <v>43.327500000000001</v>
      </c>
      <c r="L1234">
        <v>124.1437</v>
      </c>
      <c r="M1234" t="s">
        <v>102</v>
      </c>
      <c r="N1234" s="2">
        <f>Table1[[#This Row],[Capacity (MW)]]*8760*0.72*10^-6</f>
        <v>0.220752</v>
      </c>
      <c r="O1234" s="2" cm="1">
        <f t="array" ref="O1234">AVERAGE(VLOOKUP(_xlfn.TEXTSPLIT(Table1[[#This Row],[Fuel (no space after comma)]], ","), FuelList_Final_EF!$A$2:$B$32, 2, FALSE))</f>
        <v>118.17</v>
      </c>
      <c r="P1234" s="2">
        <f>(16112*Table1[[#This Row],[Generation (TWh)]]*10^9)/10^6</f>
        <v>3556756.2239999999</v>
      </c>
      <c r="Q1234" s="2">
        <f>Table1[[#This Row],[Emission Factor (kg CO2/ mmBtu)]]*Table1[[#This Row],[Fuel Consumption (mmBtu)]]*10^3</f>
        <v>420301882990.08002</v>
      </c>
      <c r="R1234" s="2">
        <f>(Table1[[#This Row],[CO2 Emissions (g CO2)]])/(Table1[[#This Row],[Generation (TWh)]]*10^9)</f>
        <v>1903.9550400000001</v>
      </c>
    </row>
    <row r="1235" spans="1:18">
      <c r="A1235" t="s">
        <v>786</v>
      </c>
      <c r="B1235" t="s">
        <v>46</v>
      </c>
      <c r="C1235" t="str">
        <f>SUBSTITUTE(Table1[[#This Row],[Fuel]],", ",",")</f>
        <v>bioenergy: agricultural waste (solids)</v>
      </c>
      <c r="D1235" t="s">
        <v>46</v>
      </c>
      <c r="G1235">
        <v>30</v>
      </c>
      <c r="H1235" t="s">
        <v>20</v>
      </c>
      <c r="I1235" t="s">
        <v>21</v>
      </c>
      <c r="J1235" t="s">
        <v>21</v>
      </c>
      <c r="K1235">
        <v>42.296300000000002</v>
      </c>
      <c r="L1235">
        <v>125.7611</v>
      </c>
      <c r="M1235" t="s">
        <v>102</v>
      </c>
      <c r="N1235" s="2">
        <f>Table1[[#This Row],[Capacity (MW)]]*8760*0.72*10^-6</f>
        <v>0.189216</v>
      </c>
      <c r="O1235" s="2" cm="1">
        <f t="array" ref="O1235">AVERAGE(VLOOKUP(_xlfn.TEXTSPLIT(Table1[[#This Row],[Fuel (no space after comma)]], ","), FuelList_Final_EF!$A$2:$B$32, 2, FALSE))</f>
        <v>118.17</v>
      </c>
      <c r="P1235" s="2">
        <f>(16112*Table1[[#This Row],[Generation (TWh)]]*10^9)/10^6</f>
        <v>3048648.1919999998</v>
      </c>
      <c r="Q1235" s="2">
        <f>Table1[[#This Row],[Emission Factor (kg CO2/ mmBtu)]]*Table1[[#This Row],[Fuel Consumption (mmBtu)]]*10^3</f>
        <v>360258756848.63995</v>
      </c>
      <c r="R1235" s="2">
        <f>(Table1[[#This Row],[CO2 Emissions (g CO2)]])/(Table1[[#This Row],[Generation (TWh)]]*10^9)</f>
        <v>1903.9550399999998</v>
      </c>
    </row>
    <row r="1236" spans="1:18" hidden="1">
      <c r="A1236" t="s">
        <v>787</v>
      </c>
      <c r="B1236" t="s">
        <v>46</v>
      </c>
      <c r="C1236" t="str">
        <f>SUBSTITUTE(Table1[[#This Row],[Fuel]],", ",",")</f>
        <v>bioenergy: agricultural waste (solids)</v>
      </c>
      <c r="D1236" t="s">
        <v>46</v>
      </c>
      <c r="G1236">
        <v>30</v>
      </c>
      <c r="H1236" t="s">
        <v>27</v>
      </c>
      <c r="I1236">
        <v>2011</v>
      </c>
      <c r="J1236" t="s">
        <v>21</v>
      </c>
      <c r="K1236">
        <v>44.435299999999998</v>
      </c>
      <c r="L1236">
        <v>125.1734</v>
      </c>
      <c r="M1236" t="s">
        <v>102</v>
      </c>
      <c r="N1236" s="2">
        <f>Table1[[#This Row],[Capacity (MW)]]*8760*0.72*10^-6</f>
        <v>0.189216</v>
      </c>
      <c r="O1236" s="2" cm="1">
        <f t="array" ref="O1236">AVERAGE(VLOOKUP(_xlfn.TEXTSPLIT(Table1[[#This Row],[Fuel (no space after comma)]], ","), FuelList_Final_EF!$A$2:$B$32, 2, FALSE))</f>
        <v>118.17</v>
      </c>
      <c r="P1236" s="2">
        <f>(16112*Table1[[#This Row],[Generation (TWh)]]*10^9)/10^6</f>
        <v>3048648.1919999998</v>
      </c>
      <c r="Q1236" s="2">
        <f>Table1[[#This Row],[Emission Factor (kg CO2/ mmBtu)]]*Table1[[#This Row],[Fuel Consumption (mmBtu)]]*10^3</f>
        <v>360258756848.63995</v>
      </c>
      <c r="R1236" s="2">
        <f>(Table1[[#This Row],[CO2 Emissions (g CO2)]])/(Table1[[#This Row],[Generation (TWh)]]*10^9)</f>
        <v>1903.9550399999998</v>
      </c>
    </row>
    <row r="1237" spans="1:18" hidden="1">
      <c r="A1237" t="s">
        <v>787</v>
      </c>
      <c r="B1237" t="s">
        <v>46</v>
      </c>
      <c r="C1237" t="str">
        <f>SUBSTITUTE(Table1[[#This Row],[Fuel]],", ",",")</f>
        <v>bioenergy: agricultural waste (solids)</v>
      </c>
      <c r="D1237" t="s">
        <v>46</v>
      </c>
      <c r="G1237">
        <v>30</v>
      </c>
      <c r="H1237" t="s">
        <v>27</v>
      </c>
      <c r="I1237">
        <v>2021</v>
      </c>
      <c r="J1237" t="s">
        <v>21</v>
      </c>
      <c r="K1237">
        <v>44.435299999999998</v>
      </c>
      <c r="L1237">
        <v>125.1734</v>
      </c>
      <c r="M1237" t="s">
        <v>102</v>
      </c>
      <c r="N1237" s="2">
        <f>Table1[[#This Row],[Capacity (MW)]]*8760*0.72*10^-6</f>
        <v>0.189216</v>
      </c>
      <c r="O1237" s="2" cm="1">
        <f t="array" ref="O1237">AVERAGE(VLOOKUP(_xlfn.TEXTSPLIT(Table1[[#This Row],[Fuel (no space after comma)]], ","), FuelList_Final_EF!$A$2:$B$32, 2, FALSE))</f>
        <v>118.17</v>
      </c>
      <c r="P1237" s="2">
        <f>(16112*Table1[[#This Row],[Generation (TWh)]]*10^9)/10^6</f>
        <v>3048648.1919999998</v>
      </c>
      <c r="Q1237" s="2">
        <f>Table1[[#This Row],[Emission Factor (kg CO2/ mmBtu)]]*Table1[[#This Row],[Fuel Consumption (mmBtu)]]*10^3</f>
        <v>360258756848.63995</v>
      </c>
      <c r="R1237" s="2">
        <f>(Table1[[#This Row],[CO2 Emissions (g CO2)]])/(Table1[[#This Row],[Generation (TWh)]]*10^9)</f>
        <v>1903.9550399999998</v>
      </c>
    </row>
    <row r="1238" spans="1:18">
      <c r="A1238" t="s">
        <v>788</v>
      </c>
      <c r="B1238" t="s">
        <v>46</v>
      </c>
      <c r="C1238" t="str">
        <f>SUBSTITUTE(Table1[[#This Row],[Fuel]],", ",",")</f>
        <v>bioenergy: agricultural waste (solids)</v>
      </c>
      <c r="D1238" t="s">
        <v>46</v>
      </c>
      <c r="G1238">
        <v>30</v>
      </c>
      <c r="H1238" t="s">
        <v>20</v>
      </c>
      <c r="I1238" t="s">
        <v>21</v>
      </c>
      <c r="J1238" t="s">
        <v>21</v>
      </c>
      <c r="K1238">
        <v>44.763500000000001</v>
      </c>
      <c r="L1238">
        <v>125.3396</v>
      </c>
      <c r="M1238" t="s">
        <v>102</v>
      </c>
      <c r="N1238" s="2">
        <f>Table1[[#This Row],[Capacity (MW)]]*8760*0.72*10^-6</f>
        <v>0.189216</v>
      </c>
      <c r="O1238" s="2" cm="1">
        <f t="array" ref="O1238">AVERAGE(VLOOKUP(_xlfn.TEXTSPLIT(Table1[[#This Row],[Fuel (no space after comma)]], ","), FuelList_Final_EF!$A$2:$B$32, 2, FALSE))</f>
        <v>118.17</v>
      </c>
      <c r="P1238" s="2">
        <f>(16112*Table1[[#This Row],[Generation (TWh)]]*10^9)/10^6</f>
        <v>3048648.1919999998</v>
      </c>
      <c r="Q1238" s="2">
        <f>Table1[[#This Row],[Emission Factor (kg CO2/ mmBtu)]]*Table1[[#This Row],[Fuel Consumption (mmBtu)]]*10^3</f>
        <v>360258756848.63995</v>
      </c>
      <c r="R1238" s="2">
        <f>(Table1[[#This Row],[CO2 Emissions (g CO2)]])/(Table1[[#This Row],[Generation (TWh)]]*10^9)</f>
        <v>1903.9550399999998</v>
      </c>
    </row>
    <row r="1239" spans="1:18" hidden="1">
      <c r="A1239" t="s">
        <v>789</v>
      </c>
      <c r="B1239" t="s">
        <v>46</v>
      </c>
      <c r="C1239" t="str">
        <f>SUBSTITUTE(Table1[[#This Row],[Fuel]],", ",",")</f>
        <v>bioenergy: agricultural waste (solids)</v>
      </c>
      <c r="D1239" t="s">
        <v>46</v>
      </c>
      <c r="G1239">
        <v>30</v>
      </c>
      <c r="H1239" t="s">
        <v>27</v>
      </c>
      <c r="I1239">
        <v>2021</v>
      </c>
      <c r="J1239" t="s">
        <v>21</v>
      </c>
      <c r="K1239">
        <v>42.937199999999997</v>
      </c>
      <c r="L1239">
        <v>126.0068</v>
      </c>
      <c r="M1239" t="s">
        <v>102</v>
      </c>
      <c r="N1239" s="2">
        <f>Table1[[#This Row],[Capacity (MW)]]*8760*0.72*10^-6</f>
        <v>0.189216</v>
      </c>
      <c r="O1239" s="2" cm="1">
        <f t="array" ref="O1239">AVERAGE(VLOOKUP(_xlfn.TEXTSPLIT(Table1[[#This Row],[Fuel (no space after comma)]], ","), FuelList_Final_EF!$A$2:$B$32, 2, FALSE))</f>
        <v>118.17</v>
      </c>
      <c r="P1239" s="2">
        <f>(16112*Table1[[#This Row],[Generation (TWh)]]*10^9)/10^6</f>
        <v>3048648.1919999998</v>
      </c>
      <c r="Q1239" s="2">
        <f>Table1[[#This Row],[Emission Factor (kg CO2/ mmBtu)]]*Table1[[#This Row],[Fuel Consumption (mmBtu)]]*10^3</f>
        <v>360258756848.63995</v>
      </c>
      <c r="R1239" s="2">
        <f>(Table1[[#This Row],[CO2 Emissions (g CO2)]])/(Table1[[#This Row],[Generation (TWh)]]*10^9)</f>
        <v>1903.9550399999998</v>
      </c>
    </row>
    <row r="1240" spans="1:18" hidden="1">
      <c r="A1240" t="s">
        <v>790</v>
      </c>
      <c r="B1240" t="s">
        <v>25</v>
      </c>
      <c r="C1240" t="str">
        <f>SUBSTITUTE(Table1[[#This Row],[Fuel]],", ",",")</f>
        <v>bioenergy: wood &amp; other biomass (solids)</v>
      </c>
      <c r="D1240" t="s">
        <v>25</v>
      </c>
      <c r="G1240">
        <v>24</v>
      </c>
      <c r="H1240" t="s">
        <v>27</v>
      </c>
      <c r="I1240">
        <v>2022</v>
      </c>
      <c r="J1240" t="s">
        <v>21</v>
      </c>
      <c r="K1240">
        <v>45.081200000000003</v>
      </c>
      <c r="L1240">
        <v>124.87990000000001</v>
      </c>
      <c r="M1240" t="s">
        <v>102</v>
      </c>
      <c r="N1240" s="2">
        <f>Table1[[#This Row],[Capacity (MW)]]*8760*0.72*10^-6</f>
        <v>0.15137279999999997</v>
      </c>
      <c r="O1240" s="2" cm="1">
        <f t="array" ref="O1240">AVERAGE(VLOOKUP(_xlfn.TEXTSPLIT(Table1[[#This Row],[Fuel (no space after comma)]], ","), FuelList_Final_EF!$A$2:$B$32, 2, FALSE))</f>
        <v>93.8</v>
      </c>
      <c r="P1240" s="2">
        <f>(16112*Table1[[#This Row],[Generation (TWh)]]*10^9)/10^6</f>
        <v>2438918.5535999993</v>
      </c>
      <c r="Q1240" s="2">
        <f>Table1[[#This Row],[Emission Factor (kg CO2/ mmBtu)]]*Table1[[#This Row],[Fuel Consumption (mmBtu)]]*10^3</f>
        <v>228770560327.67993</v>
      </c>
      <c r="R1240" s="2">
        <f>(Table1[[#This Row],[CO2 Emissions (g CO2)]])/(Table1[[#This Row],[Generation (TWh)]]*10^9)</f>
        <v>1511.3055999999999</v>
      </c>
    </row>
    <row r="1241" spans="1:18" hidden="1">
      <c r="A1241" t="s">
        <v>54</v>
      </c>
      <c r="B1241" t="s">
        <v>25</v>
      </c>
      <c r="C1241" t="str">
        <f>SUBSTITUTE(Table1[[#This Row],[Fuel]],", ",",")</f>
        <v>bioenergy: wood &amp; other biomass (solids)</v>
      </c>
      <c r="D1241" t="s">
        <v>25</v>
      </c>
      <c r="G1241">
        <v>6</v>
      </c>
      <c r="H1241" t="s">
        <v>27</v>
      </c>
      <c r="I1241">
        <v>2022</v>
      </c>
      <c r="J1241" t="s">
        <v>21</v>
      </c>
      <c r="K1241">
        <v>45.081200000000003</v>
      </c>
      <c r="L1241">
        <v>124.87990000000001</v>
      </c>
      <c r="M1241" t="s">
        <v>102</v>
      </c>
      <c r="N1241" s="2">
        <f>Table1[[#This Row],[Capacity (MW)]]*8760*0.72*10^-6</f>
        <v>3.7843199999999994E-2</v>
      </c>
      <c r="O1241" s="2" cm="1">
        <f t="array" ref="O1241">AVERAGE(VLOOKUP(_xlfn.TEXTSPLIT(Table1[[#This Row],[Fuel (no space after comma)]], ","), FuelList_Final_EF!$A$2:$B$32, 2, FALSE))</f>
        <v>93.8</v>
      </c>
      <c r="P1241" s="2">
        <f>(16112*Table1[[#This Row],[Generation (TWh)]]*10^9)/10^6</f>
        <v>609729.63839999982</v>
      </c>
      <c r="Q1241" s="2">
        <f>Table1[[#This Row],[Emission Factor (kg CO2/ mmBtu)]]*Table1[[#This Row],[Fuel Consumption (mmBtu)]]*10^3</f>
        <v>57192640081.919983</v>
      </c>
      <c r="R1241" s="2">
        <f>(Table1[[#This Row],[CO2 Emissions (g CO2)]])/(Table1[[#This Row],[Generation (TWh)]]*10^9)</f>
        <v>1511.3055999999999</v>
      </c>
    </row>
    <row r="1242" spans="1:18" hidden="1">
      <c r="A1242" t="s">
        <v>108</v>
      </c>
      <c r="B1242" t="s">
        <v>46</v>
      </c>
      <c r="C1242" t="str">
        <f>SUBSTITUTE(Table1[[#This Row],[Fuel]],", ",",")</f>
        <v>bioenergy: agricultural waste (solids)</v>
      </c>
      <c r="D1242" t="s">
        <v>46</v>
      </c>
      <c r="G1242">
        <v>30</v>
      </c>
      <c r="H1242" t="s">
        <v>27</v>
      </c>
      <c r="I1242">
        <v>2020</v>
      </c>
      <c r="J1242" t="s">
        <v>21</v>
      </c>
      <c r="K1242">
        <v>44.915799999999997</v>
      </c>
      <c r="L1242">
        <v>124.03489999999999</v>
      </c>
      <c r="M1242" t="s">
        <v>102</v>
      </c>
      <c r="N1242" s="2">
        <f>Table1[[#This Row],[Capacity (MW)]]*8760*0.72*10^-6</f>
        <v>0.189216</v>
      </c>
      <c r="O1242" s="2" cm="1">
        <f t="array" ref="O1242">AVERAGE(VLOOKUP(_xlfn.TEXTSPLIT(Table1[[#This Row],[Fuel (no space after comma)]], ","), FuelList_Final_EF!$A$2:$B$32, 2, FALSE))</f>
        <v>118.17</v>
      </c>
      <c r="P1242" s="2">
        <f>(16112*Table1[[#This Row],[Generation (TWh)]]*10^9)/10^6</f>
        <v>3048648.1919999998</v>
      </c>
      <c r="Q1242" s="2">
        <f>Table1[[#This Row],[Emission Factor (kg CO2/ mmBtu)]]*Table1[[#This Row],[Fuel Consumption (mmBtu)]]*10^3</f>
        <v>360258756848.63995</v>
      </c>
      <c r="R1242" s="2">
        <f>(Table1[[#This Row],[CO2 Emissions (g CO2)]])/(Table1[[#This Row],[Generation (TWh)]]*10^9)</f>
        <v>1903.9550399999998</v>
      </c>
    </row>
    <row r="1243" spans="1:18" hidden="1">
      <c r="A1243" t="s">
        <v>108</v>
      </c>
      <c r="B1243" t="s">
        <v>46</v>
      </c>
      <c r="C1243" t="str">
        <f>SUBSTITUTE(Table1[[#This Row],[Fuel]],", ",",")</f>
        <v>bioenergy: agricultural waste (solids)</v>
      </c>
      <c r="D1243" t="s">
        <v>46</v>
      </c>
      <c r="G1243">
        <v>30</v>
      </c>
      <c r="H1243" t="s">
        <v>27</v>
      </c>
      <c r="I1243">
        <v>2020</v>
      </c>
      <c r="J1243" t="s">
        <v>21</v>
      </c>
      <c r="K1243">
        <v>44.915799999999997</v>
      </c>
      <c r="L1243">
        <v>124.03489999999999</v>
      </c>
      <c r="M1243" t="s">
        <v>102</v>
      </c>
      <c r="N1243" s="2">
        <f>Table1[[#This Row],[Capacity (MW)]]*8760*0.72*10^-6</f>
        <v>0.189216</v>
      </c>
      <c r="O1243" s="2" cm="1">
        <f t="array" ref="O1243">AVERAGE(VLOOKUP(_xlfn.TEXTSPLIT(Table1[[#This Row],[Fuel (no space after comma)]], ","), FuelList_Final_EF!$A$2:$B$32, 2, FALSE))</f>
        <v>118.17</v>
      </c>
      <c r="P1243" s="2">
        <f>(16112*Table1[[#This Row],[Generation (TWh)]]*10^9)/10^6</f>
        <v>3048648.1919999998</v>
      </c>
      <c r="Q1243" s="2">
        <f>Table1[[#This Row],[Emission Factor (kg CO2/ mmBtu)]]*Table1[[#This Row],[Fuel Consumption (mmBtu)]]*10^3</f>
        <v>360258756848.63995</v>
      </c>
      <c r="R1243" s="2">
        <f>(Table1[[#This Row],[CO2 Emissions (g CO2)]])/(Table1[[#This Row],[Generation (TWh)]]*10^9)</f>
        <v>1903.9550399999998</v>
      </c>
    </row>
    <row r="1244" spans="1:18" hidden="1">
      <c r="A1244" t="s">
        <v>54</v>
      </c>
      <c r="B1244" t="s">
        <v>46</v>
      </c>
      <c r="C1244" t="str">
        <f>SUBSTITUTE(Table1[[#This Row],[Fuel]],", ",",")</f>
        <v>bioenergy: agricultural waste (solids)</v>
      </c>
      <c r="D1244" t="s">
        <v>46</v>
      </c>
      <c r="G1244">
        <v>30</v>
      </c>
      <c r="H1244" t="s">
        <v>27</v>
      </c>
      <c r="I1244">
        <v>2021</v>
      </c>
      <c r="J1244" t="s">
        <v>21</v>
      </c>
      <c r="K1244">
        <v>44.4191</v>
      </c>
      <c r="L1244">
        <v>126.9669</v>
      </c>
      <c r="M1244" t="s">
        <v>102</v>
      </c>
      <c r="N1244" s="2">
        <f>Table1[[#This Row],[Capacity (MW)]]*8760*0.72*10^-6</f>
        <v>0.189216</v>
      </c>
      <c r="O1244" s="2" cm="1">
        <f t="array" ref="O1244">AVERAGE(VLOOKUP(_xlfn.TEXTSPLIT(Table1[[#This Row],[Fuel (no space after comma)]], ","), FuelList_Final_EF!$A$2:$B$32, 2, FALSE))</f>
        <v>118.17</v>
      </c>
      <c r="P1244" s="2">
        <f>(16112*Table1[[#This Row],[Generation (TWh)]]*10^9)/10^6</f>
        <v>3048648.1919999998</v>
      </c>
      <c r="Q1244" s="2">
        <f>Table1[[#This Row],[Emission Factor (kg CO2/ mmBtu)]]*Table1[[#This Row],[Fuel Consumption (mmBtu)]]*10^3</f>
        <v>360258756848.63995</v>
      </c>
      <c r="R1244" s="2">
        <f>(Table1[[#This Row],[CO2 Emissions (g CO2)]])/(Table1[[#This Row],[Generation (TWh)]]*10^9)</f>
        <v>1903.9550399999998</v>
      </c>
    </row>
    <row r="1245" spans="1:18" hidden="1">
      <c r="A1245" t="s">
        <v>117</v>
      </c>
      <c r="B1245" t="s">
        <v>46</v>
      </c>
      <c r="C1245" t="str">
        <f>SUBSTITUTE(Table1[[#This Row],[Fuel]],", ",",")</f>
        <v>bioenergy: agricultural waste (solids)</v>
      </c>
      <c r="D1245" t="s">
        <v>46</v>
      </c>
      <c r="G1245">
        <v>30</v>
      </c>
      <c r="H1245" t="s">
        <v>27</v>
      </c>
      <c r="I1245">
        <v>2011</v>
      </c>
      <c r="J1245" t="s">
        <v>21</v>
      </c>
      <c r="K1245">
        <v>43.516500000000001</v>
      </c>
      <c r="L1245">
        <v>124.8587</v>
      </c>
      <c r="M1245" t="s">
        <v>102</v>
      </c>
      <c r="N1245" s="2">
        <f>Table1[[#This Row],[Capacity (MW)]]*8760*0.72*10^-6</f>
        <v>0.189216</v>
      </c>
      <c r="O1245" s="2" cm="1">
        <f t="array" ref="O1245">AVERAGE(VLOOKUP(_xlfn.TEXTSPLIT(Table1[[#This Row],[Fuel (no space after comma)]], ","), FuelList_Final_EF!$A$2:$B$32, 2, FALSE))</f>
        <v>118.17</v>
      </c>
      <c r="P1245" s="2">
        <f>(16112*Table1[[#This Row],[Generation (TWh)]]*10^9)/10^6</f>
        <v>3048648.1919999998</v>
      </c>
      <c r="Q1245" s="2">
        <f>Table1[[#This Row],[Emission Factor (kg CO2/ mmBtu)]]*Table1[[#This Row],[Fuel Consumption (mmBtu)]]*10^3</f>
        <v>360258756848.63995</v>
      </c>
      <c r="R1245" s="2">
        <f>(Table1[[#This Row],[CO2 Emissions (g CO2)]])/(Table1[[#This Row],[Generation (TWh)]]*10^9)</f>
        <v>1903.9550399999998</v>
      </c>
    </row>
    <row r="1246" spans="1:18" hidden="1">
      <c r="A1246" t="s">
        <v>108</v>
      </c>
      <c r="B1246" t="s">
        <v>46</v>
      </c>
      <c r="C1246" t="str">
        <f>SUBSTITUTE(Table1[[#This Row],[Fuel]],", ",",")</f>
        <v>bioenergy: agricultural waste (solids)</v>
      </c>
      <c r="D1246" t="s">
        <v>46</v>
      </c>
      <c r="G1246">
        <v>30</v>
      </c>
      <c r="H1246" t="s">
        <v>27</v>
      </c>
      <c r="I1246">
        <v>2021</v>
      </c>
      <c r="J1246" t="s">
        <v>21</v>
      </c>
      <c r="K1246">
        <v>43.441099999999999</v>
      </c>
      <c r="L1246">
        <v>125.2808</v>
      </c>
      <c r="M1246" t="s">
        <v>102</v>
      </c>
      <c r="N1246" s="2">
        <f>Table1[[#This Row],[Capacity (MW)]]*8760*0.72*10^-6</f>
        <v>0.189216</v>
      </c>
      <c r="O1246" s="2" cm="1">
        <f t="array" ref="O1246">AVERAGE(VLOOKUP(_xlfn.TEXTSPLIT(Table1[[#This Row],[Fuel (no space after comma)]], ","), FuelList_Final_EF!$A$2:$B$32, 2, FALSE))</f>
        <v>118.17</v>
      </c>
      <c r="P1246" s="2">
        <f>(16112*Table1[[#This Row],[Generation (TWh)]]*10^9)/10^6</f>
        <v>3048648.1919999998</v>
      </c>
      <c r="Q1246" s="2">
        <f>Table1[[#This Row],[Emission Factor (kg CO2/ mmBtu)]]*Table1[[#This Row],[Fuel Consumption (mmBtu)]]*10^3</f>
        <v>360258756848.63995</v>
      </c>
      <c r="R1246" s="2">
        <f>(Table1[[#This Row],[CO2 Emissions (g CO2)]])/(Table1[[#This Row],[Generation (TWh)]]*10^9)</f>
        <v>1903.9550399999998</v>
      </c>
    </row>
    <row r="1247" spans="1:18" hidden="1">
      <c r="A1247" t="s">
        <v>108</v>
      </c>
      <c r="B1247" t="s">
        <v>46</v>
      </c>
      <c r="C1247" t="str">
        <f>SUBSTITUTE(Table1[[#This Row],[Fuel]],", ",",")</f>
        <v>bioenergy: agricultural waste (solids)</v>
      </c>
      <c r="D1247" t="s">
        <v>46</v>
      </c>
      <c r="G1247">
        <v>30</v>
      </c>
      <c r="H1247" t="s">
        <v>27</v>
      </c>
      <c r="I1247">
        <v>2021</v>
      </c>
      <c r="J1247" t="s">
        <v>21</v>
      </c>
      <c r="K1247">
        <v>43.441099999999999</v>
      </c>
      <c r="L1247">
        <v>125.2808</v>
      </c>
      <c r="M1247" t="s">
        <v>102</v>
      </c>
      <c r="N1247" s="2">
        <f>Table1[[#This Row],[Capacity (MW)]]*8760*0.72*10^-6</f>
        <v>0.189216</v>
      </c>
      <c r="O1247" s="2" cm="1">
        <f t="array" ref="O1247">AVERAGE(VLOOKUP(_xlfn.TEXTSPLIT(Table1[[#This Row],[Fuel (no space after comma)]], ","), FuelList_Final_EF!$A$2:$B$32, 2, FALSE))</f>
        <v>118.17</v>
      </c>
      <c r="P1247" s="2">
        <f>(16112*Table1[[#This Row],[Generation (TWh)]]*10^9)/10^6</f>
        <v>3048648.1919999998</v>
      </c>
      <c r="Q1247" s="2">
        <f>Table1[[#This Row],[Emission Factor (kg CO2/ mmBtu)]]*Table1[[#This Row],[Fuel Consumption (mmBtu)]]*10^3</f>
        <v>360258756848.63995</v>
      </c>
      <c r="R1247" s="2">
        <f>(Table1[[#This Row],[CO2 Emissions (g CO2)]])/(Table1[[#This Row],[Generation (TWh)]]*10^9)</f>
        <v>1903.9550399999998</v>
      </c>
    </row>
    <row r="1248" spans="1:18">
      <c r="A1248" t="s">
        <v>108</v>
      </c>
      <c r="B1248" t="s">
        <v>46</v>
      </c>
      <c r="C1248" t="str">
        <f>SUBSTITUTE(Table1[[#This Row],[Fuel]],", ",",")</f>
        <v>bioenergy: agricultural waste (solids)</v>
      </c>
      <c r="D1248" t="s">
        <v>46</v>
      </c>
      <c r="G1248">
        <v>40</v>
      </c>
      <c r="H1248" t="s">
        <v>97</v>
      </c>
      <c r="I1248" t="s">
        <v>21</v>
      </c>
      <c r="J1248" t="s">
        <v>21</v>
      </c>
      <c r="K1248">
        <v>43.345500000000001</v>
      </c>
      <c r="L1248">
        <v>125.3317</v>
      </c>
      <c r="M1248" t="s">
        <v>102</v>
      </c>
      <c r="N1248" s="2">
        <f>Table1[[#This Row],[Capacity (MW)]]*8760*0.72*10^-6</f>
        <v>0.25228800000000001</v>
      </c>
      <c r="O1248" s="2" cm="1">
        <f t="array" ref="O1248">AVERAGE(VLOOKUP(_xlfn.TEXTSPLIT(Table1[[#This Row],[Fuel (no space after comma)]], ","), FuelList_Final_EF!$A$2:$B$32, 2, FALSE))</f>
        <v>118.17</v>
      </c>
      <c r="P1248" s="2">
        <f>(16112*Table1[[#This Row],[Generation (TWh)]]*10^9)/10^6</f>
        <v>4064864.2560000005</v>
      </c>
      <c r="Q1248" s="2">
        <f>Table1[[#This Row],[Emission Factor (kg CO2/ mmBtu)]]*Table1[[#This Row],[Fuel Consumption (mmBtu)]]*10^3</f>
        <v>480345009131.52008</v>
      </c>
      <c r="R1248" s="2">
        <f>(Table1[[#This Row],[CO2 Emissions (g CO2)]])/(Table1[[#This Row],[Generation (TWh)]]*10^9)</f>
        <v>1903.9550400000003</v>
      </c>
    </row>
    <row r="1249" spans="1:18" hidden="1">
      <c r="A1249" t="s">
        <v>284</v>
      </c>
      <c r="B1249" t="s">
        <v>105</v>
      </c>
      <c r="C1249" t="str">
        <f>SUBSTITUTE(Table1[[#This Row],[Fuel]],", ",",")</f>
        <v>bioenergy: agricultural waste (solids),bioenergy: wood &amp; other biomass (solids)</v>
      </c>
      <c r="D1249" t="s">
        <v>46</v>
      </c>
      <c r="E1249" t="s">
        <v>25</v>
      </c>
      <c r="G1249">
        <v>30</v>
      </c>
      <c r="H1249" t="s">
        <v>27</v>
      </c>
      <c r="I1249">
        <v>2022</v>
      </c>
      <c r="J1249" t="s">
        <v>21</v>
      </c>
      <c r="K1249">
        <v>45.254399999999997</v>
      </c>
      <c r="L1249">
        <v>124.8511</v>
      </c>
      <c r="M1249" t="s">
        <v>102</v>
      </c>
      <c r="N1249" s="2">
        <f>Table1[[#This Row],[Capacity (MW)]]*8760*0.72*10^-6</f>
        <v>0.189216</v>
      </c>
      <c r="O1249" s="2" cm="1">
        <f t="array" ref="O1249">AVERAGE(VLOOKUP(_xlfn.TEXTSPLIT(Table1[[#This Row],[Fuel (no space after comma)]], ","), FuelList_Final_EF!$A$2:$B$32, 2, FALSE))</f>
        <v>105.985</v>
      </c>
      <c r="P1249" s="2">
        <f>(16112*Table1[[#This Row],[Generation (TWh)]]*10^9)/10^6</f>
        <v>3048648.1919999998</v>
      </c>
      <c r="Q1249" s="2">
        <f>Table1[[#This Row],[Emission Factor (kg CO2/ mmBtu)]]*Table1[[#This Row],[Fuel Consumption (mmBtu)]]*10^3</f>
        <v>323110978629.12</v>
      </c>
      <c r="R1249" s="2">
        <f>(Table1[[#This Row],[CO2 Emissions (g CO2)]])/(Table1[[#This Row],[Generation (TWh)]]*10^9)</f>
        <v>1707.63032</v>
      </c>
    </row>
    <row r="1250" spans="1:18" hidden="1">
      <c r="A1250" t="s">
        <v>791</v>
      </c>
      <c r="B1250" t="s">
        <v>46</v>
      </c>
      <c r="C1250" t="str">
        <f>SUBSTITUTE(Table1[[#This Row],[Fuel]],", ",",")</f>
        <v>bioenergy: agricultural waste (solids)</v>
      </c>
      <c r="D1250" t="s">
        <v>46</v>
      </c>
      <c r="G1250">
        <v>30</v>
      </c>
      <c r="H1250" t="s">
        <v>27</v>
      </c>
      <c r="I1250">
        <v>2022</v>
      </c>
      <c r="J1250" t="s">
        <v>21</v>
      </c>
      <c r="K1250">
        <v>45.272100000000002</v>
      </c>
      <c r="L1250">
        <v>122.8168</v>
      </c>
      <c r="M1250" t="s">
        <v>102</v>
      </c>
      <c r="N1250" s="2">
        <f>Table1[[#This Row],[Capacity (MW)]]*8760*0.72*10^-6</f>
        <v>0.189216</v>
      </c>
      <c r="O1250" s="2" cm="1">
        <f t="array" ref="O1250">AVERAGE(VLOOKUP(_xlfn.TEXTSPLIT(Table1[[#This Row],[Fuel (no space after comma)]], ","), FuelList_Final_EF!$A$2:$B$32, 2, FALSE))</f>
        <v>118.17</v>
      </c>
      <c r="P1250" s="2">
        <f>(16112*Table1[[#This Row],[Generation (TWh)]]*10^9)/10^6</f>
        <v>3048648.1919999998</v>
      </c>
      <c r="Q1250" s="2">
        <f>Table1[[#This Row],[Emission Factor (kg CO2/ mmBtu)]]*Table1[[#This Row],[Fuel Consumption (mmBtu)]]*10^3</f>
        <v>360258756848.63995</v>
      </c>
      <c r="R1250" s="2">
        <f>(Table1[[#This Row],[CO2 Emissions (g CO2)]])/(Table1[[#This Row],[Generation (TWh)]]*10^9)</f>
        <v>1903.9550399999998</v>
      </c>
    </row>
    <row r="1251" spans="1:18">
      <c r="A1251" t="s">
        <v>792</v>
      </c>
      <c r="B1251" t="s">
        <v>46</v>
      </c>
      <c r="C1251" t="str">
        <f>SUBSTITUTE(Table1[[#This Row],[Fuel]],", ",",")</f>
        <v>bioenergy: agricultural waste (solids)</v>
      </c>
      <c r="D1251" t="s">
        <v>46</v>
      </c>
      <c r="G1251">
        <v>14.7</v>
      </c>
      <c r="H1251" t="s">
        <v>53</v>
      </c>
      <c r="I1251" t="s">
        <v>21</v>
      </c>
      <c r="J1251" t="s">
        <v>21</v>
      </c>
      <c r="K1251">
        <v>41.782600000000002</v>
      </c>
      <c r="L1251">
        <v>126.017</v>
      </c>
      <c r="M1251" t="s">
        <v>102</v>
      </c>
      <c r="N1251" s="2">
        <f>Table1[[#This Row],[Capacity (MW)]]*8760*0.72*10^-6</f>
        <v>9.2715839999999994E-2</v>
      </c>
      <c r="O1251" s="2" cm="1">
        <f t="array" ref="O1251">AVERAGE(VLOOKUP(_xlfn.TEXTSPLIT(Table1[[#This Row],[Fuel (no space after comma)]], ","), FuelList_Final_EF!$A$2:$B$32, 2, FALSE))</f>
        <v>118.17</v>
      </c>
      <c r="P1251" s="2">
        <f>(16112*Table1[[#This Row],[Generation (TWh)]]*10^9)/10^6</f>
        <v>1493837.6140799997</v>
      </c>
      <c r="Q1251" s="2">
        <f>Table1[[#This Row],[Emission Factor (kg CO2/ mmBtu)]]*Table1[[#This Row],[Fuel Consumption (mmBtu)]]*10^3</f>
        <v>176526790855.83356</v>
      </c>
      <c r="R1251" s="2">
        <f>(Table1[[#This Row],[CO2 Emissions (g CO2)]])/(Table1[[#This Row],[Generation (TWh)]]*10^9)</f>
        <v>1903.9550399999996</v>
      </c>
    </row>
    <row r="1252" spans="1:18">
      <c r="A1252" t="s">
        <v>793</v>
      </c>
      <c r="B1252" t="s">
        <v>46</v>
      </c>
      <c r="C1252" t="str">
        <f>SUBSTITUTE(Table1[[#This Row],[Fuel]],", ",",")</f>
        <v>bioenergy: agricultural waste (solids)</v>
      </c>
      <c r="D1252" t="s">
        <v>46</v>
      </c>
      <c r="G1252">
        <v>15.3</v>
      </c>
      <c r="H1252" t="s">
        <v>53</v>
      </c>
      <c r="I1252" t="s">
        <v>21</v>
      </c>
      <c r="J1252" t="s">
        <v>21</v>
      </c>
      <c r="K1252">
        <v>41.782600000000002</v>
      </c>
      <c r="L1252">
        <v>126.017</v>
      </c>
      <c r="M1252" t="s">
        <v>102</v>
      </c>
      <c r="N1252" s="2">
        <f>Table1[[#This Row],[Capacity (MW)]]*8760*0.72*10^-6</f>
        <v>9.6500160000000001E-2</v>
      </c>
      <c r="O1252" s="2" cm="1">
        <f t="array" ref="O1252">AVERAGE(VLOOKUP(_xlfn.TEXTSPLIT(Table1[[#This Row],[Fuel (no space after comma)]], ","), FuelList_Final_EF!$A$2:$B$32, 2, FALSE))</f>
        <v>118.17</v>
      </c>
      <c r="P1252" s="2">
        <f>(16112*Table1[[#This Row],[Generation (TWh)]]*10^9)/10^6</f>
        <v>1554810.5779200001</v>
      </c>
      <c r="Q1252" s="2">
        <f>Table1[[#This Row],[Emission Factor (kg CO2/ mmBtu)]]*Table1[[#This Row],[Fuel Consumption (mmBtu)]]*10^3</f>
        <v>183731965992.8064</v>
      </c>
      <c r="R1252" s="2">
        <f>(Table1[[#This Row],[CO2 Emissions (g CO2)]])/(Table1[[#This Row],[Generation (TWh)]]*10^9)</f>
        <v>1903.9550400000001</v>
      </c>
    </row>
    <row r="1253" spans="1:18" hidden="1">
      <c r="A1253" t="s">
        <v>530</v>
      </c>
      <c r="B1253" t="s">
        <v>105</v>
      </c>
      <c r="C1253" t="str">
        <f>SUBSTITUTE(Table1[[#This Row],[Fuel]],", ",",")</f>
        <v>bioenergy: agricultural waste (solids),bioenergy: wood &amp; other biomass (solids)</v>
      </c>
      <c r="D1253" t="s">
        <v>46</v>
      </c>
      <c r="E1253" t="s">
        <v>25</v>
      </c>
      <c r="G1253">
        <v>30</v>
      </c>
      <c r="H1253" t="s">
        <v>27</v>
      </c>
      <c r="I1253">
        <v>2021</v>
      </c>
      <c r="J1253" t="s">
        <v>21</v>
      </c>
      <c r="K1253">
        <v>44.8384</v>
      </c>
      <c r="L1253">
        <v>123.12520000000001</v>
      </c>
      <c r="M1253" t="s">
        <v>102</v>
      </c>
      <c r="N1253" s="2">
        <f>Table1[[#This Row],[Capacity (MW)]]*8760*0.72*10^-6</f>
        <v>0.189216</v>
      </c>
      <c r="O1253" s="2" cm="1">
        <f t="array" ref="O1253">AVERAGE(VLOOKUP(_xlfn.TEXTSPLIT(Table1[[#This Row],[Fuel (no space after comma)]], ","), FuelList_Final_EF!$A$2:$B$32, 2, FALSE))</f>
        <v>105.985</v>
      </c>
      <c r="P1253" s="2">
        <f>(16112*Table1[[#This Row],[Generation (TWh)]]*10^9)/10^6</f>
        <v>3048648.1919999998</v>
      </c>
      <c r="Q1253" s="2">
        <f>Table1[[#This Row],[Emission Factor (kg CO2/ mmBtu)]]*Table1[[#This Row],[Fuel Consumption (mmBtu)]]*10^3</f>
        <v>323110978629.12</v>
      </c>
      <c r="R1253" s="2">
        <f>(Table1[[#This Row],[CO2 Emissions (g CO2)]])/(Table1[[#This Row],[Generation (TWh)]]*10^9)</f>
        <v>1707.63032</v>
      </c>
    </row>
    <row r="1254" spans="1:18">
      <c r="A1254" t="s">
        <v>108</v>
      </c>
      <c r="B1254" t="s">
        <v>46</v>
      </c>
      <c r="C1254" t="str">
        <f>SUBSTITUTE(Table1[[#This Row],[Fuel]],", ",",")</f>
        <v>bioenergy: agricultural waste (solids)</v>
      </c>
      <c r="D1254" t="s">
        <v>46</v>
      </c>
      <c r="G1254">
        <v>30</v>
      </c>
      <c r="H1254" t="s">
        <v>20</v>
      </c>
      <c r="I1254" t="s">
        <v>21</v>
      </c>
      <c r="J1254" t="s">
        <v>21</v>
      </c>
      <c r="K1254">
        <v>44.8125</v>
      </c>
      <c r="L1254">
        <v>123.0675</v>
      </c>
      <c r="M1254" t="s">
        <v>102</v>
      </c>
      <c r="N1254" s="2">
        <f>Table1[[#This Row],[Capacity (MW)]]*8760*0.72*10^-6</f>
        <v>0.189216</v>
      </c>
      <c r="O1254" s="2" cm="1">
        <f t="array" ref="O1254">AVERAGE(VLOOKUP(_xlfn.TEXTSPLIT(Table1[[#This Row],[Fuel (no space after comma)]], ","), FuelList_Final_EF!$A$2:$B$32, 2, FALSE))</f>
        <v>118.17</v>
      </c>
      <c r="P1254" s="2">
        <f>(16112*Table1[[#This Row],[Generation (TWh)]]*10^9)/10^6</f>
        <v>3048648.1919999998</v>
      </c>
      <c r="Q1254" s="2">
        <f>Table1[[#This Row],[Emission Factor (kg CO2/ mmBtu)]]*Table1[[#This Row],[Fuel Consumption (mmBtu)]]*10^3</f>
        <v>360258756848.63995</v>
      </c>
      <c r="R1254" s="2">
        <f>(Table1[[#This Row],[CO2 Emissions (g CO2)]])/(Table1[[#This Row],[Generation (TWh)]]*10^9)</f>
        <v>1903.9550399999998</v>
      </c>
    </row>
    <row r="1255" spans="1:18" hidden="1">
      <c r="A1255" t="s">
        <v>118</v>
      </c>
      <c r="B1255" t="s">
        <v>46</v>
      </c>
      <c r="C1255" t="str">
        <f>SUBSTITUTE(Table1[[#This Row],[Fuel]],", ",",")</f>
        <v>bioenergy: agricultural waste (solids)</v>
      </c>
      <c r="D1255" t="s">
        <v>46</v>
      </c>
      <c r="G1255">
        <v>30</v>
      </c>
      <c r="H1255" t="s">
        <v>27</v>
      </c>
      <c r="I1255">
        <v>2015</v>
      </c>
      <c r="J1255" t="s">
        <v>21</v>
      </c>
      <c r="K1255">
        <v>43.3005</v>
      </c>
      <c r="L1255">
        <v>129.80539999999999</v>
      </c>
      <c r="M1255" t="s">
        <v>102</v>
      </c>
      <c r="N1255" s="2">
        <f>Table1[[#This Row],[Capacity (MW)]]*8760*0.72*10^-6</f>
        <v>0.189216</v>
      </c>
      <c r="O1255" s="2" cm="1">
        <f t="array" ref="O1255">AVERAGE(VLOOKUP(_xlfn.TEXTSPLIT(Table1[[#This Row],[Fuel (no space after comma)]], ","), FuelList_Final_EF!$A$2:$B$32, 2, FALSE))</f>
        <v>118.17</v>
      </c>
      <c r="P1255" s="2">
        <f>(16112*Table1[[#This Row],[Generation (TWh)]]*10^9)/10^6</f>
        <v>3048648.1919999998</v>
      </c>
      <c r="Q1255" s="2">
        <f>Table1[[#This Row],[Emission Factor (kg CO2/ mmBtu)]]*Table1[[#This Row],[Fuel Consumption (mmBtu)]]*10^3</f>
        <v>360258756848.63995</v>
      </c>
      <c r="R1255" s="2">
        <f>(Table1[[#This Row],[CO2 Emissions (g CO2)]])/(Table1[[#This Row],[Generation (TWh)]]*10^9)</f>
        <v>1903.9550399999998</v>
      </c>
    </row>
    <row r="1256" spans="1:18" hidden="1">
      <c r="A1256" t="s">
        <v>118</v>
      </c>
      <c r="B1256" t="s">
        <v>46</v>
      </c>
      <c r="C1256" t="str">
        <f>SUBSTITUTE(Table1[[#This Row],[Fuel]],", ",",")</f>
        <v>bioenergy: agricultural waste (solids)</v>
      </c>
      <c r="D1256" t="s">
        <v>46</v>
      </c>
      <c r="G1256">
        <v>30</v>
      </c>
      <c r="H1256" t="s">
        <v>27</v>
      </c>
      <c r="I1256">
        <v>2015</v>
      </c>
      <c r="J1256" t="s">
        <v>21</v>
      </c>
      <c r="K1256">
        <v>43.3005</v>
      </c>
      <c r="L1256">
        <v>129.80539999999999</v>
      </c>
      <c r="M1256" t="s">
        <v>102</v>
      </c>
      <c r="N1256" s="2">
        <f>Table1[[#This Row],[Capacity (MW)]]*8760*0.72*10^-6</f>
        <v>0.189216</v>
      </c>
      <c r="O1256" s="2" cm="1">
        <f t="array" ref="O1256">AVERAGE(VLOOKUP(_xlfn.TEXTSPLIT(Table1[[#This Row],[Fuel (no space after comma)]], ","), FuelList_Final_EF!$A$2:$B$32, 2, FALSE))</f>
        <v>118.17</v>
      </c>
      <c r="P1256" s="2">
        <f>(16112*Table1[[#This Row],[Generation (TWh)]]*10^9)/10^6</f>
        <v>3048648.1919999998</v>
      </c>
      <c r="Q1256" s="2">
        <f>Table1[[#This Row],[Emission Factor (kg CO2/ mmBtu)]]*Table1[[#This Row],[Fuel Consumption (mmBtu)]]*10^3</f>
        <v>360258756848.63995</v>
      </c>
      <c r="R1256" s="2">
        <f>(Table1[[#This Row],[CO2 Emissions (g CO2)]])/(Table1[[#This Row],[Generation (TWh)]]*10^9)</f>
        <v>1903.9550399999998</v>
      </c>
    </row>
    <row r="1257" spans="1:18">
      <c r="A1257" t="s">
        <v>118</v>
      </c>
      <c r="B1257" t="s">
        <v>46</v>
      </c>
      <c r="C1257" t="str">
        <f>SUBSTITUTE(Table1[[#This Row],[Fuel]],", ",",")</f>
        <v>bioenergy: agricultural waste (solids)</v>
      </c>
      <c r="D1257" t="s">
        <v>46</v>
      </c>
      <c r="G1257">
        <v>30</v>
      </c>
      <c r="H1257" t="s">
        <v>138</v>
      </c>
      <c r="I1257" t="s">
        <v>21</v>
      </c>
      <c r="J1257" t="s">
        <v>21</v>
      </c>
      <c r="K1257">
        <v>44.804400000000001</v>
      </c>
      <c r="L1257">
        <v>126.1455</v>
      </c>
      <c r="M1257" t="s">
        <v>102</v>
      </c>
      <c r="N1257" s="2">
        <f>Table1[[#This Row],[Capacity (MW)]]*8760*0.72*10^-6</f>
        <v>0.189216</v>
      </c>
      <c r="O1257" s="2" cm="1">
        <f t="array" ref="O1257">AVERAGE(VLOOKUP(_xlfn.TEXTSPLIT(Table1[[#This Row],[Fuel (no space after comma)]], ","), FuelList_Final_EF!$A$2:$B$32, 2, FALSE))</f>
        <v>118.17</v>
      </c>
      <c r="P1257" s="2">
        <f>(16112*Table1[[#This Row],[Generation (TWh)]]*10^9)/10^6</f>
        <v>3048648.1919999998</v>
      </c>
      <c r="Q1257" s="2">
        <f>Table1[[#This Row],[Emission Factor (kg CO2/ mmBtu)]]*Table1[[#This Row],[Fuel Consumption (mmBtu)]]*10^3</f>
        <v>360258756848.63995</v>
      </c>
      <c r="R1257" s="2">
        <f>(Table1[[#This Row],[CO2 Emissions (g CO2)]])/(Table1[[#This Row],[Generation (TWh)]]*10^9)</f>
        <v>1903.9550399999998</v>
      </c>
    </row>
    <row r="1258" spans="1:18">
      <c r="A1258" t="s">
        <v>21</v>
      </c>
      <c r="B1258" t="s">
        <v>105</v>
      </c>
      <c r="C1258" t="str">
        <f>SUBSTITUTE(Table1[[#This Row],[Fuel]],", ",",")</f>
        <v>bioenergy: agricultural waste (solids),bioenergy: wood &amp; other biomass (solids)</v>
      </c>
      <c r="D1258" t="s">
        <v>46</v>
      </c>
      <c r="E1258" t="s">
        <v>25</v>
      </c>
      <c r="G1258">
        <v>30</v>
      </c>
      <c r="H1258" t="s">
        <v>97</v>
      </c>
      <c r="I1258" t="s">
        <v>21</v>
      </c>
      <c r="J1258" t="s">
        <v>21</v>
      </c>
      <c r="K1258">
        <v>44.856499999999997</v>
      </c>
      <c r="L1258">
        <v>126.53100000000001</v>
      </c>
      <c r="M1258" t="s">
        <v>102</v>
      </c>
      <c r="N1258" s="2">
        <f>Table1[[#This Row],[Capacity (MW)]]*8760*0.72*10^-6</f>
        <v>0.189216</v>
      </c>
      <c r="O1258" s="2" cm="1">
        <f t="array" ref="O1258">AVERAGE(VLOOKUP(_xlfn.TEXTSPLIT(Table1[[#This Row],[Fuel (no space after comma)]], ","), FuelList_Final_EF!$A$2:$B$32, 2, FALSE))</f>
        <v>105.985</v>
      </c>
      <c r="P1258" s="2">
        <f>(16112*Table1[[#This Row],[Generation (TWh)]]*10^9)/10^6</f>
        <v>3048648.1919999998</v>
      </c>
      <c r="Q1258" s="2">
        <f>Table1[[#This Row],[Emission Factor (kg CO2/ mmBtu)]]*Table1[[#This Row],[Fuel Consumption (mmBtu)]]*10^3</f>
        <v>323110978629.12</v>
      </c>
      <c r="R1258" s="2">
        <f>(Table1[[#This Row],[CO2 Emissions (g CO2)]])/(Table1[[#This Row],[Generation (TWh)]]*10^9)</f>
        <v>1707.63032</v>
      </c>
    </row>
    <row r="1259" spans="1:18" hidden="1">
      <c r="A1259" t="s">
        <v>794</v>
      </c>
      <c r="B1259" t="s">
        <v>46</v>
      </c>
      <c r="C1259" t="str">
        <f>SUBSTITUTE(Table1[[#This Row],[Fuel]],", ",",")</f>
        <v>bioenergy: agricultural waste (solids)</v>
      </c>
      <c r="D1259" t="s">
        <v>46</v>
      </c>
      <c r="G1259">
        <v>30</v>
      </c>
      <c r="H1259" t="s">
        <v>27</v>
      </c>
      <c r="I1259">
        <v>2023</v>
      </c>
      <c r="J1259" t="s">
        <v>21</v>
      </c>
      <c r="K1259">
        <v>44.807896999999997</v>
      </c>
      <c r="L1259">
        <v>126.18566</v>
      </c>
      <c r="M1259" t="s">
        <v>102</v>
      </c>
      <c r="N1259" s="2">
        <f>Table1[[#This Row],[Capacity (MW)]]*8760*0.72*10^-6</f>
        <v>0.189216</v>
      </c>
      <c r="O1259" s="2" cm="1">
        <f t="array" ref="O1259">AVERAGE(VLOOKUP(_xlfn.TEXTSPLIT(Table1[[#This Row],[Fuel (no space after comma)]], ","), FuelList_Final_EF!$A$2:$B$32, 2, FALSE))</f>
        <v>118.17</v>
      </c>
      <c r="P1259" s="2">
        <f>(16112*Table1[[#This Row],[Generation (TWh)]]*10^9)/10^6</f>
        <v>3048648.1919999998</v>
      </c>
      <c r="Q1259" s="2">
        <f>Table1[[#This Row],[Emission Factor (kg CO2/ mmBtu)]]*Table1[[#This Row],[Fuel Consumption (mmBtu)]]*10^3</f>
        <v>360258756848.63995</v>
      </c>
      <c r="R1259" s="2">
        <f>(Table1[[#This Row],[CO2 Emissions (g CO2)]])/(Table1[[#This Row],[Generation (TWh)]]*10^9)</f>
        <v>1903.9550399999998</v>
      </c>
    </row>
    <row r="1260" spans="1:18">
      <c r="A1260" t="s">
        <v>54</v>
      </c>
      <c r="B1260" t="s">
        <v>46</v>
      </c>
      <c r="C1260" t="str">
        <f>SUBSTITUTE(Table1[[#This Row],[Fuel]],", ",",")</f>
        <v>bioenergy: agricultural waste (solids)</v>
      </c>
      <c r="D1260" t="s">
        <v>46</v>
      </c>
      <c r="G1260">
        <v>30</v>
      </c>
      <c r="H1260" t="s">
        <v>97</v>
      </c>
      <c r="I1260" t="s">
        <v>21</v>
      </c>
      <c r="J1260" t="s">
        <v>21</v>
      </c>
      <c r="K1260">
        <v>45.091500000000003</v>
      </c>
      <c r="L1260">
        <v>126.2589</v>
      </c>
      <c r="M1260" t="s">
        <v>102</v>
      </c>
      <c r="N1260" s="2">
        <f>Table1[[#This Row],[Capacity (MW)]]*8760*0.72*10^-6</f>
        <v>0.189216</v>
      </c>
      <c r="O1260" s="2" cm="1">
        <f t="array" ref="O1260">AVERAGE(VLOOKUP(_xlfn.TEXTSPLIT(Table1[[#This Row],[Fuel (no space after comma)]], ","), FuelList_Final_EF!$A$2:$B$32, 2, FALSE))</f>
        <v>118.17</v>
      </c>
      <c r="P1260" s="2">
        <f>(16112*Table1[[#This Row],[Generation (TWh)]]*10^9)/10^6</f>
        <v>3048648.1919999998</v>
      </c>
      <c r="Q1260" s="2">
        <f>Table1[[#This Row],[Emission Factor (kg CO2/ mmBtu)]]*Table1[[#This Row],[Fuel Consumption (mmBtu)]]*10^3</f>
        <v>360258756848.63995</v>
      </c>
      <c r="R1260" s="2">
        <f>(Table1[[#This Row],[CO2 Emissions (g CO2)]])/(Table1[[#This Row],[Generation (TWh)]]*10^9)</f>
        <v>1903.9550399999998</v>
      </c>
    </row>
    <row r="1261" spans="1:18">
      <c r="A1261" t="s">
        <v>795</v>
      </c>
      <c r="B1261" t="s">
        <v>46</v>
      </c>
      <c r="C1261" t="str">
        <f>SUBSTITUTE(Table1[[#This Row],[Fuel]],", ",",")</f>
        <v>bioenergy: agricultural waste (solids)</v>
      </c>
      <c r="D1261" t="s">
        <v>46</v>
      </c>
      <c r="G1261">
        <v>30</v>
      </c>
      <c r="H1261" t="s">
        <v>53</v>
      </c>
      <c r="I1261" t="s">
        <v>21</v>
      </c>
      <c r="J1261" t="s">
        <v>21</v>
      </c>
      <c r="K1261">
        <v>44.648400000000002</v>
      </c>
      <c r="L1261">
        <v>126.46299999999999</v>
      </c>
      <c r="M1261" t="s">
        <v>102</v>
      </c>
      <c r="N1261" s="2">
        <f>Table1[[#This Row],[Capacity (MW)]]*8760*0.72*10^-6</f>
        <v>0.189216</v>
      </c>
      <c r="O1261" s="2" cm="1">
        <f t="array" ref="O1261">AVERAGE(VLOOKUP(_xlfn.TEXTSPLIT(Table1[[#This Row],[Fuel (no space after comma)]], ","), FuelList_Final_EF!$A$2:$B$32, 2, FALSE))</f>
        <v>118.17</v>
      </c>
      <c r="P1261" s="2">
        <f>(16112*Table1[[#This Row],[Generation (TWh)]]*10^9)/10^6</f>
        <v>3048648.1919999998</v>
      </c>
      <c r="Q1261" s="2">
        <f>Table1[[#This Row],[Emission Factor (kg CO2/ mmBtu)]]*Table1[[#This Row],[Fuel Consumption (mmBtu)]]*10^3</f>
        <v>360258756848.63995</v>
      </c>
      <c r="R1261" s="2">
        <f>(Table1[[#This Row],[CO2 Emissions (g CO2)]])/(Table1[[#This Row],[Generation (TWh)]]*10^9)</f>
        <v>1903.9550399999998</v>
      </c>
    </row>
    <row r="1262" spans="1:18" hidden="1">
      <c r="A1262" t="s">
        <v>108</v>
      </c>
      <c r="B1262" t="s">
        <v>105</v>
      </c>
      <c r="C1262" t="str">
        <f>SUBSTITUTE(Table1[[#This Row],[Fuel]],", ",",")</f>
        <v>bioenergy: agricultural waste (solids),bioenergy: wood &amp; other biomass (solids)</v>
      </c>
      <c r="D1262" t="s">
        <v>46</v>
      </c>
      <c r="E1262" t="s">
        <v>25</v>
      </c>
      <c r="G1262">
        <v>9</v>
      </c>
      <c r="H1262" t="s">
        <v>27</v>
      </c>
      <c r="I1262">
        <v>2017</v>
      </c>
      <c r="J1262" t="s">
        <v>21</v>
      </c>
      <c r="K1262">
        <v>45.850200000000001</v>
      </c>
      <c r="L1262">
        <v>123.245</v>
      </c>
      <c r="M1262" t="s">
        <v>102</v>
      </c>
      <c r="N1262" s="2">
        <f>Table1[[#This Row],[Capacity (MW)]]*8760*0.72*10^-6</f>
        <v>5.676479999999999E-2</v>
      </c>
      <c r="O1262" s="2" cm="1">
        <f t="array" ref="O1262">AVERAGE(VLOOKUP(_xlfn.TEXTSPLIT(Table1[[#This Row],[Fuel (no space after comma)]], ","), FuelList_Final_EF!$A$2:$B$32, 2, FALSE))</f>
        <v>105.985</v>
      </c>
      <c r="P1262" s="2">
        <f>(16112*Table1[[#This Row],[Generation (TWh)]]*10^9)/10^6</f>
        <v>914594.45759999985</v>
      </c>
      <c r="Q1262" s="2">
        <f>Table1[[#This Row],[Emission Factor (kg CO2/ mmBtu)]]*Table1[[#This Row],[Fuel Consumption (mmBtu)]]*10^3</f>
        <v>96933293588.735977</v>
      </c>
      <c r="R1262" s="2">
        <f>(Table1[[#This Row],[CO2 Emissions (g CO2)]])/(Table1[[#This Row],[Generation (TWh)]]*10^9)</f>
        <v>1707.6303199999998</v>
      </c>
    </row>
    <row r="1263" spans="1:18" hidden="1">
      <c r="A1263" t="s">
        <v>790</v>
      </c>
      <c r="B1263" t="s">
        <v>105</v>
      </c>
      <c r="C1263" t="str">
        <f>SUBSTITUTE(Table1[[#This Row],[Fuel]],", ",",")</f>
        <v>bioenergy: agricultural waste (solids),bioenergy: wood &amp; other biomass (solids)</v>
      </c>
      <c r="D1263" t="s">
        <v>46</v>
      </c>
      <c r="E1263" t="s">
        <v>25</v>
      </c>
      <c r="G1263">
        <v>21</v>
      </c>
      <c r="H1263" t="s">
        <v>27</v>
      </c>
      <c r="I1263">
        <v>2017</v>
      </c>
      <c r="J1263" t="s">
        <v>21</v>
      </c>
      <c r="K1263">
        <v>45.850200000000001</v>
      </c>
      <c r="L1263">
        <v>123.245</v>
      </c>
      <c r="M1263" t="s">
        <v>102</v>
      </c>
      <c r="N1263" s="2">
        <f>Table1[[#This Row],[Capacity (MW)]]*8760*0.72*10^-6</f>
        <v>0.13245119999999996</v>
      </c>
      <c r="O1263" s="2" cm="1">
        <f t="array" ref="O1263">AVERAGE(VLOOKUP(_xlfn.TEXTSPLIT(Table1[[#This Row],[Fuel (no space after comma)]], ","), FuelList_Final_EF!$A$2:$B$32, 2, FALSE))</f>
        <v>105.985</v>
      </c>
      <c r="P1263" s="2">
        <f>(16112*Table1[[#This Row],[Generation (TWh)]]*10^9)/10^6</f>
        <v>2134053.7343999995</v>
      </c>
      <c r="Q1263" s="2">
        <f>Table1[[#This Row],[Emission Factor (kg CO2/ mmBtu)]]*Table1[[#This Row],[Fuel Consumption (mmBtu)]]*10^3</f>
        <v>226177685040.38394</v>
      </c>
      <c r="R1263" s="2">
        <f>(Table1[[#This Row],[CO2 Emissions (g CO2)]])/(Table1[[#This Row],[Generation (TWh)]]*10^9)</f>
        <v>1707.63032</v>
      </c>
    </row>
    <row r="1264" spans="1:18">
      <c r="A1264" t="s">
        <v>796</v>
      </c>
      <c r="B1264" t="s">
        <v>61</v>
      </c>
      <c r="C1264" t="str">
        <f>SUBSTITUTE(Table1[[#This Row],[Fuel]],", ",",")</f>
        <v>bioenergy: paper mill wastes</v>
      </c>
      <c r="D1264" t="s">
        <v>61</v>
      </c>
      <c r="G1264">
        <v>120</v>
      </c>
      <c r="H1264" t="s">
        <v>27</v>
      </c>
      <c r="I1264" t="s">
        <v>21</v>
      </c>
      <c r="J1264" t="s">
        <v>21</v>
      </c>
      <c r="K1264">
        <v>19.772635999999999</v>
      </c>
      <c r="L1264">
        <v>109.18407999999999</v>
      </c>
      <c r="M1264" t="s">
        <v>102</v>
      </c>
      <c r="N1264" s="2">
        <f>Table1[[#This Row],[Capacity (MW)]]*8760*0.72*10^-6</f>
        <v>0.75686399999999998</v>
      </c>
      <c r="O1264" s="2" cm="1">
        <f t="array" ref="O1264">AVERAGE(VLOOKUP(_xlfn.TEXTSPLIT(Table1[[#This Row],[Fuel (no space after comma)]], ","), FuelList_Final_EF!$A$2:$B$32, 2, FALSE))</f>
        <v>100.47443331576173</v>
      </c>
      <c r="P1264" s="2">
        <f>(16112*Table1[[#This Row],[Generation (TWh)]]*10^9)/10^6</f>
        <v>12194592.767999999</v>
      </c>
      <c r="Q1264" s="2">
        <f>Table1[[#This Row],[Emission Factor (kg CO2/ mmBtu)]]*Table1[[#This Row],[Fuel Consumption (mmBtu)]]*10^3</f>
        <v>1225244797881.2861</v>
      </c>
      <c r="R1264" s="2">
        <f>(Table1[[#This Row],[CO2 Emissions (g CO2)]])/(Table1[[#This Row],[Generation (TWh)]]*10^9)</f>
        <v>1618.8440695835529</v>
      </c>
    </row>
    <row r="1265" spans="1:18">
      <c r="A1265" t="s">
        <v>796</v>
      </c>
      <c r="B1265" t="s">
        <v>61</v>
      </c>
      <c r="C1265" t="str">
        <f>SUBSTITUTE(Table1[[#This Row],[Fuel]],", ",",")</f>
        <v>bioenergy: paper mill wastes</v>
      </c>
      <c r="D1265" t="s">
        <v>61</v>
      </c>
      <c r="G1265">
        <v>120</v>
      </c>
      <c r="H1265" t="s">
        <v>27</v>
      </c>
      <c r="I1265" t="s">
        <v>21</v>
      </c>
      <c r="J1265" t="s">
        <v>21</v>
      </c>
      <c r="K1265">
        <v>19.772635999999999</v>
      </c>
      <c r="L1265">
        <v>109.18407999999999</v>
      </c>
      <c r="M1265" t="s">
        <v>102</v>
      </c>
      <c r="N1265" s="2">
        <f>Table1[[#This Row],[Capacity (MW)]]*8760*0.72*10^-6</f>
        <v>0.75686399999999998</v>
      </c>
      <c r="O1265" s="2" cm="1">
        <f t="array" ref="O1265">AVERAGE(VLOOKUP(_xlfn.TEXTSPLIT(Table1[[#This Row],[Fuel (no space after comma)]], ","), FuelList_Final_EF!$A$2:$B$32, 2, FALSE))</f>
        <v>100.47443331576173</v>
      </c>
      <c r="P1265" s="2">
        <f>(16112*Table1[[#This Row],[Generation (TWh)]]*10^9)/10^6</f>
        <v>12194592.767999999</v>
      </c>
      <c r="Q1265" s="2">
        <f>Table1[[#This Row],[Emission Factor (kg CO2/ mmBtu)]]*Table1[[#This Row],[Fuel Consumption (mmBtu)]]*10^3</f>
        <v>1225244797881.2861</v>
      </c>
      <c r="R1265" s="2">
        <f>(Table1[[#This Row],[CO2 Emissions (g CO2)]])/(Table1[[#This Row],[Generation (TWh)]]*10^9)</f>
        <v>1618.8440695835529</v>
      </c>
    </row>
    <row r="1266" spans="1:18" hidden="1">
      <c r="A1266" t="s">
        <v>797</v>
      </c>
      <c r="B1266" t="s">
        <v>25</v>
      </c>
      <c r="C1266" t="str">
        <f>SUBSTITUTE(Table1[[#This Row],[Fuel]],", ",",")</f>
        <v>bioenergy: wood &amp; other biomass (solids)</v>
      </c>
      <c r="D1266" t="s">
        <v>25</v>
      </c>
      <c r="G1266">
        <v>47</v>
      </c>
      <c r="H1266" t="s">
        <v>27</v>
      </c>
      <c r="I1266">
        <v>2022</v>
      </c>
      <c r="J1266" t="s">
        <v>21</v>
      </c>
      <c r="K1266">
        <v>62.593400000000003</v>
      </c>
      <c r="L1266">
        <v>29.837199999999999</v>
      </c>
      <c r="M1266" t="s">
        <v>28</v>
      </c>
      <c r="N1266" s="2">
        <f>Table1[[#This Row],[Capacity (MW)]]*8760*0.72*10^-6</f>
        <v>0.29643839999999994</v>
      </c>
      <c r="O1266" s="2" cm="1">
        <f t="array" ref="O1266">AVERAGE(VLOOKUP(_xlfn.TEXTSPLIT(Table1[[#This Row],[Fuel (no space after comma)]], ","), FuelList_Final_EF!$A$2:$B$32, 2, FALSE))</f>
        <v>93.8</v>
      </c>
      <c r="P1266" s="2">
        <f>(16112*Table1[[#This Row],[Generation (TWh)]]*10^9)/10^6</f>
        <v>4776215.5007999986</v>
      </c>
      <c r="Q1266" s="2">
        <f>Table1[[#This Row],[Emission Factor (kg CO2/ mmBtu)]]*Table1[[#This Row],[Fuel Consumption (mmBtu)]]*10^3</f>
        <v>448009013975.03986</v>
      </c>
      <c r="R1266" s="2">
        <f>(Table1[[#This Row],[CO2 Emissions (g CO2)]])/(Table1[[#This Row],[Generation (TWh)]]*10^9)</f>
        <v>1511.3055999999999</v>
      </c>
    </row>
    <row r="1267" spans="1:18" hidden="1">
      <c r="A1267" t="s">
        <v>144</v>
      </c>
      <c r="B1267" t="s">
        <v>231</v>
      </c>
      <c r="C1267" t="str">
        <f>SUBSTITUTE(Table1[[#This Row],[Fuel]],", ",",")</f>
        <v>bioenergy: paper mill wastes,fossil gas: natural gas</v>
      </c>
      <c r="D1267" t="s">
        <v>61</v>
      </c>
      <c r="E1267" t="s">
        <v>69</v>
      </c>
      <c r="G1267">
        <v>54</v>
      </c>
      <c r="H1267" t="s">
        <v>27</v>
      </c>
      <c r="I1267">
        <v>1993</v>
      </c>
      <c r="J1267" t="s">
        <v>21</v>
      </c>
      <c r="K1267">
        <v>41.491500000000002</v>
      </c>
      <c r="L1267">
        <v>-78.675799999999995</v>
      </c>
      <c r="M1267" t="s">
        <v>62</v>
      </c>
      <c r="N1267" s="2">
        <f>Table1[[#This Row],[Capacity (MW)]]*8760*0.72*10^-6</f>
        <v>0.34058879999999997</v>
      </c>
      <c r="O1267" s="2" cm="1">
        <f t="array" ref="O1267">AVERAGE(VLOOKUP(_xlfn.TEXTSPLIT(Table1[[#This Row],[Fuel (no space after comma)]], ","), FuelList_Final_EF!$A$2:$B$32, 2, FALSE))</f>
        <v>76.767216657880866</v>
      </c>
      <c r="P1267" s="2">
        <f>(16112*Table1[[#This Row],[Generation (TWh)]]*10^9)/10^6</f>
        <v>5487566.7455999991</v>
      </c>
      <c r="Q1267" s="2">
        <f>Table1[[#This Row],[Emission Factor (kg CO2/ mmBtu)]]*Table1[[#This Row],[Fuel Consumption (mmBtu)]]*10^3</f>
        <v>421265225284.05731</v>
      </c>
      <c r="R1267" s="2">
        <f>(Table1[[#This Row],[CO2 Emissions (g CO2)]])/(Table1[[#This Row],[Generation (TWh)]]*10^9)</f>
        <v>1236.8733947917765</v>
      </c>
    </row>
    <row r="1268" spans="1:18">
      <c r="A1268" t="s">
        <v>23</v>
      </c>
      <c r="B1268" t="s">
        <v>231</v>
      </c>
      <c r="C1268" t="str">
        <f>SUBSTITUTE(Table1[[#This Row],[Fuel]],", ",",")</f>
        <v>bioenergy: paper mill wastes,fossil gas: natural gas</v>
      </c>
      <c r="D1268" t="s">
        <v>61</v>
      </c>
      <c r="E1268" t="s">
        <v>69</v>
      </c>
      <c r="G1268">
        <v>85</v>
      </c>
      <c r="H1268" t="s">
        <v>27</v>
      </c>
      <c r="I1268" t="s">
        <v>21</v>
      </c>
      <c r="J1268" t="s">
        <v>21</v>
      </c>
      <c r="K1268">
        <v>61.130299999999998</v>
      </c>
      <c r="L1268">
        <v>28.452100000000002</v>
      </c>
      <c r="M1268" t="s">
        <v>28</v>
      </c>
      <c r="N1268" s="2">
        <f>Table1[[#This Row],[Capacity (MW)]]*8760*0.72*10^-6</f>
        <v>0.53611199999999992</v>
      </c>
      <c r="O1268" s="2" cm="1">
        <f t="array" ref="O1268">AVERAGE(VLOOKUP(_xlfn.TEXTSPLIT(Table1[[#This Row],[Fuel (no space after comma)]], ","), FuelList_Final_EF!$A$2:$B$32, 2, FALSE))</f>
        <v>76.767216657880866</v>
      </c>
      <c r="P1268" s="2">
        <f>(16112*Table1[[#This Row],[Generation (TWh)]]*10^9)/10^6</f>
        <v>8637836.5439999979</v>
      </c>
      <c r="Q1268" s="2">
        <f>Table1[[#This Row],[Emission Factor (kg CO2/ mmBtu)]]*Table1[[#This Row],[Fuel Consumption (mmBtu)]]*10^3</f>
        <v>663102669428.60876</v>
      </c>
      <c r="R1268" s="2">
        <f>(Table1[[#This Row],[CO2 Emissions (g CO2)]])/(Table1[[#This Row],[Generation (TWh)]]*10^9)</f>
        <v>1236.8733947917765</v>
      </c>
    </row>
    <row r="1269" spans="1:18" hidden="1">
      <c r="A1269" t="s">
        <v>798</v>
      </c>
      <c r="B1269" t="s">
        <v>46</v>
      </c>
      <c r="C1269" t="str">
        <f>SUBSTITUTE(Table1[[#This Row],[Fuel]],", ",",")</f>
        <v>bioenergy: agricultural waste (solids)</v>
      </c>
      <c r="D1269" t="s">
        <v>46</v>
      </c>
      <c r="G1269">
        <v>46</v>
      </c>
      <c r="H1269" t="s">
        <v>27</v>
      </c>
      <c r="I1269">
        <v>2015</v>
      </c>
      <c r="J1269" t="s">
        <v>21</v>
      </c>
      <c r="K1269">
        <v>10.0184</v>
      </c>
      <c r="L1269">
        <v>122.84820000000001</v>
      </c>
      <c r="M1269" t="s">
        <v>72</v>
      </c>
      <c r="N1269" s="2">
        <f>Table1[[#This Row],[Capacity (MW)]]*8760*0.72*10^-6</f>
        <v>0.29013119999999998</v>
      </c>
      <c r="O1269" s="2" cm="1">
        <f t="array" ref="O1269">AVERAGE(VLOOKUP(_xlfn.TEXTSPLIT(Table1[[#This Row],[Fuel (no space after comma)]], ","), FuelList_Final_EF!$A$2:$B$32, 2, FALSE))</f>
        <v>118.17</v>
      </c>
      <c r="P1269" s="2">
        <f>(16112*Table1[[#This Row],[Generation (TWh)]]*10^9)/10^6</f>
        <v>4674593.8943999996</v>
      </c>
      <c r="Q1269" s="2">
        <f>Table1[[#This Row],[Emission Factor (kg CO2/ mmBtu)]]*Table1[[#This Row],[Fuel Consumption (mmBtu)]]*10^3</f>
        <v>552396760501.24805</v>
      </c>
      <c r="R1269" s="2">
        <f>(Table1[[#This Row],[CO2 Emissions (g CO2)]])/(Table1[[#This Row],[Generation (TWh)]]*10^9)</f>
        <v>1903.9550400000001</v>
      </c>
    </row>
    <row r="1270" spans="1:18" hidden="1">
      <c r="A1270" t="s">
        <v>799</v>
      </c>
      <c r="B1270" t="s">
        <v>46</v>
      </c>
      <c r="C1270" t="str">
        <f>SUBSTITUTE(Table1[[#This Row],[Fuel]],", ",",")</f>
        <v>bioenergy: agricultural waste (solids)</v>
      </c>
      <c r="D1270" t="s">
        <v>46</v>
      </c>
      <c r="G1270">
        <v>30</v>
      </c>
      <c r="H1270" t="s">
        <v>27</v>
      </c>
      <c r="I1270">
        <v>2014</v>
      </c>
      <c r="J1270" t="s">
        <v>21</v>
      </c>
      <c r="K1270">
        <v>0.50890000000000002</v>
      </c>
      <c r="L1270">
        <v>33.29</v>
      </c>
      <c r="M1270" t="s">
        <v>800</v>
      </c>
      <c r="N1270" s="2">
        <f>Table1[[#This Row],[Capacity (MW)]]*8760*0.72*10^-6</f>
        <v>0.189216</v>
      </c>
      <c r="O1270" s="2" cm="1">
        <f t="array" ref="O1270">AVERAGE(VLOOKUP(_xlfn.TEXTSPLIT(Table1[[#This Row],[Fuel (no space after comma)]], ","), FuelList_Final_EF!$A$2:$B$32, 2, FALSE))</f>
        <v>118.17</v>
      </c>
      <c r="P1270" s="2">
        <f>(16112*Table1[[#This Row],[Generation (TWh)]]*10^9)/10^6</f>
        <v>3048648.1919999998</v>
      </c>
      <c r="Q1270" s="2">
        <f>Table1[[#This Row],[Emission Factor (kg CO2/ mmBtu)]]*Table1[[#This Row],[Fuel Consumption (mmBtu)]]*10^3</f>
        <v>360258756848.63995</v>
      </c>
      <c r="R1270" s="2">
        <f>(Table1[[#This Row],[CO2 Emissions (g CO2)]])/(Table1[[#This Row],[Generation (TWh)]]*10^9)</f>
        <v>1903.9550399999998</v>
      </c>
    </row>
    <row r="1271" spans="1:18" hidden="1">
      <c r="A1271" t="s">
        <v>21</v>
      </c>
      <c r="B1271" t="s">
        <v>46</v>
      </c>
      <c r="C1271" t="str">
        <f>SUBSTITUTE(Table1[[#This Row],[Fuel]],", ",",")</f>
        <v>bioenergy: agricultural waste (solids)</v>
      </c>
      <c r="D1271" t="s">
        <v>46</v>
      </c>
      <c r="G1271">
        <v>39</v>
      </c>
      <c r="H1271" t="s">
        <v>27</v>
      </c>
      <c r="I1271">
        <v>2017</v>
      </c>
      <c r="J1271" t="s">
        <v>21</v>
      </c>
      <c r="K1271">
        <v>35.907299999999999</v>
      </c>
      <c r="L1271">
        <v>140.70650000000001</v>
      </c>
      <c r="M1271" t="s">
        <v>51</v>
      </c>
      <c r="N1271" s="2">
        <f>Table1[[#This Row],[Capacity (MW)]]*8760*0.72*10^-6</f>
        <v>0.24598079999999997</v>
      </c>
      <c r="O1271" s="2" cm="1">
        <f t="array" ref="O1271">AVERAGE(VLOOKUP(_xlfn.TEXTSPLIT(Table1[[#This Row],[Fuel (no space after comma)]], ","), FuelList_Final_EF!$A$2:$B$32, 2, FALSE))</f>
        <v>118.17</v>
      </c>
      <c r="P1271" s="2">
        <f>(16112*Table1[[#This Row],[Generation (TWh)]]*10^9)/10^6</f>
        <v>3963242.6495999997</v>
      </c>
      <c r="Q1271" s="2">
        <f>Table1[[#This Row],[Emission Factor (kg CO2/ mmBtu)]]*Table1[[#This Row],[Fuel Consumption (mmBtu)]]*10^3</f>
        <v>468336383903.23199</v>
      </c>
      <c r="R1271" s="2">
        <f>(Table1[[#This Row],[CO2 Emissions (g CO2)]])/(Table1[[#This Row],[Generation (TWh)]]*10^9)</f>
        <v>1903.9550400000003</v>
      </c>
    </row>
    <row r="1272" spans="1:18" hidden="1">
      <c r="A1272" t="s">
        <v>801</v>
      </c>
      <c r="B1272" t="s">
        <v>25</v>
      </c>
      <c r="C1272" t="str">
        <f>SUBSTITUTE(Table1[[#This Row],[Fuel]],", ",",")</f>
        <v>bioenergy: wood &amp; other biomass (solids)</v>
      </c>
      <c r="D1272" t="s">
        <v>25</v>
      </c>
      <c r="G1272">
        <v>50</v>
      </c>
      <c r="H1272" t="s">
        <v>27</v>
      </c>
      <c r="I1272">
        <v>2023</v>
      </c>
      <c r="J1272" t="s">
        <v>21</v>
      </c>
      <c r="K1272">
        <v>35.907299999999999</v>
      </c>
      <c r="L1272">
        <v>140.7064</v>
      </c>
      <c r="M1272" t="s">
        <v>51</v>
      </c>
      <c r="N1272" s="2">
        <f>Table1[[#This Row],[Capacity (MW)]]*8760*0.72*10^-6</f>
        <v>0.31535999999999997</v>
      </c>
      <c r="O1272" s="2" cm="1">
        <f t="array" ref="O1272">AVERAGE(VLOOKUP(_xlfn.TEXTSPLIT(Table1[[#This Row],[Fuel (no space after comma)]], ","), FuelList_Final_EF!$A$2:$B$32, 2, FALSE))</f>
        <v>93.8</v>
      </c>
      <c r="P1272" s="2">
        <f>(16112*Table1[[#This Row],[Generation (TWh)]]*10^9)/10^6</f>
        <v>5081080.32</v>
      </c>
      <c r="Q1272" s="2">
        <f>Table1[[#This Row],[Emission Factor (kg CO2/ mmBtu)]]*Table1[[#This Row],[Fuel Consumption (mmBtu)]]*10^3</f>
        <v>476605334016.00006</v>
      </c>
      <c r="R1272" s="2">
        <f>(Table1[[#This Row],[CO2 Emissions (g CO2)]])/(Table1[[#This Row],[Generation (TWh)]]*10^9)</f>
        <v>1511.3056000000001</v>
      </c>
    </row>
    <row r="1273" spans="1:18" hidden="1">
      <c r="A1273" t="s">
        <v>802</v>
      </c>
      <c r="B1273" t="s">
        <v>653</v>
      </c>
      <c r="C1273" t="str">
        <f>SUBSTITUTE(Table1[[#This Row],[Fuel]],", ",",")</f>
        <v>bioenergy: wood &amp; other biomass (solids),bioenergy: paper mill wastes</v>
      </c>
      <c r="D1273" t="s">
        <v>25</v>
      </c>
      <c r="E1273" t="s">
        <v>61</v>
      </c>
      <c r="G1273">
        <v>76</v>
      </c>
      <c r="H1273" t="s">
        <v>27</v>
      </c>
      <c r="I1273">
        <v>2017</v>
      </c>
      <c r="J1273" t="s">
        <v>21</v>
      </c>
      <c r="K1273">
        <v>50.686100000000003</v>
      </c>
      <c r="L1273">
        <v>-120.4037</v>
      </c>
      <c r="M1273" t="s">
        <v>79</v>
      </c>
      <c r="N1273" s="2">
        <f>Table1[[#This Row],[Capacity (MW)]]*8760*0.72*10^-6</f>
        <v>0.47934719999999992</v>
      </c>
      <c r="O1273" s="2" cm="1">
        <f t="array" ref="O1273">AVERAGE(VLOOKUP(_xlfn.TEXTSPLIT(Table1[[#This Row],[Fuel (no space after comma)]], ","), FuelList_Final_EF!$A$2:$B$32, 2, FALSE))</f>
        <v>97.137216657880856</v>
      </c>
      <c r="P1273" s="2">
        <f>(16112*Table1[[#This Row],[Generation (TWh)]]*10^9)/10^6</f>
        <v>7723242.0863999994</v>
      </c>
      <c r="Q1273" s="2">
        <f>Table1[[#This Row],[Emission Factor (kg CO2/ mmBtu)]]*Table1[[#This Row],[Fuel Consumption (mmBtu)]]*10^3</f>
        <v>750214239847.90051</v>
      </c>
      <c r="R1273" s="2">
        <f>(Table1[[#This Row],[CO2 Emissions (g CO2)]])/(Table1[[#This Row],[Generation (TWh)]]*10^9)</f>
        <v>1565.0748347917763</v>
      </c>
    </row>
    <row r="1274" spans="1:18">
      <c r="A1274" t="s">
        <v>21</v>
      </c>
      <c r="B1274" t="s">
        <v>19</v>
      </c>
      <c r="C1274" t="str">
        <f>SUBSTITUTE(Table1[[#This Row],[Fuel]],", ",",")</f>
        <v>bioenergy: refuse (municipal and industrial wastes)</v>
      </c>
      <c r="D1274" t="s">
        <v>19</v>
      </c>
      <c r="G1274">
        <v>40</v>
      </c>
      <c r="H1274" t="s">
        <v>97</v>
      </c>
      <c r="I1274" t="s">
        <v>21</v>
      </c>
      <c r="J1274" t="s">
        <v>21</v>
      </c>
      <c r="K1274">
        <v>0.32200418790000002</v>
      </c>
      <c r="L1274">
        <v>32.580857649999999</v>
      </c>
      <c r="M1274" t="s">
        <v>800</v>
      </c>
      <c r="N1274" s="2">
        <f>Table1[[#This Row],[Capacity (MW)]]*8760*0.72*10^-6</f>
        <v>0.25228800000000001</v>
      </c>
      <c r="O1274" s="2" cm="1">
        <f t="array" ref="O1274">AVERAGE(VLOOKUP(_xlfn.TEXTSPLIT(Table1[[#This Row],[Fuel (no space after comma)]], ","), FuelList_Final_EF!$A$2:$B$32, 2, FALSE))</f>
        <v>105.42962572482868</v>
      </c>
      <c r="P1274" s="2">
        <f>(16112*Table1[[#This Row],[Generation (TWh)]]*10^9)/10^6</f>
        <v>4064864.2560000005</v>
      </c>
      <c r="Q1274" s="2">
        <f>Table1[[#This Row],[Emission Factor (kg CO2/ mmBtu)]]*Table1[[#This Row],[Fuel Consumption (mmBtu)]]*10^3</f>
        <v>428557117132.31427</v>
      </c>
      <c r="R1274" s="2">
        <f>(Table1[[#This Row],[CO2 Emissions (g CO2)]])/(Table1[[#This Row],[Generation (TWh)]]*10^9)</f>
        <v>1698.6821296784401</v>
      </c>
    </row>
    <row r="1275" spans="1:18" hidden="1">
      <c r="A1275" t="s">
        <v>21</v>
      </c>
      <c r="B1275" t="s">
        <v>19</v>
      </c>
      <c r="C1275" t="str">
        <f>SUBSTITUTE(Table1[[#This Row],[Fuel]],", ",",")</f>
        <v>bioenergy: refuse (municipal and industrial wastes)</v>
      </c>
      <c r="D1275" t="s">
        <v>19</v>
      </c>
      <c r="G1275">
        <v>35</v>
      </c>
      <c r="H1275" t="s">
        <v>27</v>
      </c>
      <c r="I1275">
        <v>2001</v>
      </c>
      <c r="J1275" t="s">
        <v>21</v>
      </c>
      <c r="K1275">
        <v>35.364400000000003</v>
      </c>
      <c r="L1275">
        <v>139.65010000000001</v>
      </c>
      <c r="M1275" t="s">
        <v>51</v>
      </c>
      <c r="N1275" s="2">
        <f>Table1[[#This Row],[Capacity (MW)]]*8760*0.72*10^-6</f>
        <v>0.220752</v>
      </c>
      <c r="O1275" s="2" cm="1">
        <f t="array" ref="O1275">AVERAGE(VLOOKUP(_xlfn.TEXTSPLIT(Table1[[#This Row],[Fuel (no space after comma)]], ","), FuelList_Final_EF!$A$2:$B$32, 2, FALSE))</f>
        <v>105.42962572482868</v>
      </c>
      <c r="P1275" s="2">
        <f>(16112*Table1[[#This Row],[Generation (TWh)]]*10^9)/10^6</f>
        <v>3556756.2239999999</v>
      </c>
      <c r="Q1275" s="2">
        <f>Table1[[#This Row],[Emission Factor (kg CO2/ mmBtu)]]*Table1[[#This Row],[Fuel Consumption (mmBtu)]]*10^3</f>
        <v>374987477490.7749</v>
      </c>
      <c r="R1275" s="2">
        <f>(Table1[[#This Row],[CO2 Emissions (g CO2)]])/(Table1[[#This Row],[Generation (TWh)]]*10^9)</f>
        <v>1698.6821296784397</v>
      </c>
    </row>
    <row r="1276" spans="1:18" hidden="1">
      <c r="A1276" t="s">
        <v>55</v>
      </c>
      <c r="B1276" t="s">
        <v>210</v>
      </c>
      <c r="C1276" t="str">
        <f>SUBSTITUTE(Table1[[#This Row],[Fuel]],", ",",")</f>
        <v>bioenergy: wood &amp; other biomass (solids),bioenergy: agricultural waste (solids)</v>
      </c>
      <c r="D1276" t="s">
        <v>25</v>
      </c>
      <c r="E1276" t="s">
        <v>46</v>
      </c>
      <c r="G1276">
        <v>75</v>
      </c>
      <c r="H1276" t="s">
        <v>27</v>
      </c>
      <c r="I1276">
        <v>2022</v>
      </c>
      <c r="J1276" t="s">
        <v>21</v>
      </c>
      <c r="K1276">
        <v>33.809100000000001</v>
      </c>
      <c r="L1276">
        <v>131.0068</v>
      </c>
      <c r="M1276" t="s">
        <v>51</v>
      </c>
      <c r="N1276" s="2">
        <f>Table1[[#This Row],[Capacity (MW)]]*8760*0.72*10^-6</f>
        <v>0.47303999999999996</v>
      </c>
      <c r="O1276" s="2" cm="1">
        <f t="array" ref="O1276">AVERAGE(VLOOKUP(_xlfn.TEXTSPLIT(Table1[[#This Row],[Fuel (no space after comma)]], ","), FuelList_Final_EF!$A$2:$B$32, 2, FALSE))</f>
        <v>105.985</v>
      </c>
      <c r="P1276" s="2">
        <f>(16112*Table1[[#This Row],[Generation (TWh)]]*10^9)/10^6</f>
        <v>7621620.4800000004</v>
      </c>
      <c r="Q1276" s="2">
        <f>Table1[[#This Row],[Emission Factor (kg CO2/ mmBtu)]]*Table1[[#This Row],[Fuel Consumption (mmBtu)]]*10^3</f>
        <v>807777446572.80005</v>
      </c>
      <c r="R1276" s="2">
        <f>(Table1[[#This Row],[CO2 Emissions (g CO2)]])/(Table1[[#This Row],[Generation (TWh)]]*10^9)</f>
        <v>1707.6303200000002</v>
      </c>
    </row>
    <row r="1277" spans="1:18" hidden="1">
      <c r="A1277" t="s">
        <v>803</v>
      </c>
      <c r="B1277" t="s">
        <v>25</v>
      </c>
      <c r="C1277" t="str">
        <f>SUBSTITUTE(Table1[[#This Row],[Fuel]],", ",",")</f>
        <v>bioenergy: wood &amp; other biomass (solids)</v>
      </c>
      <c r="D1277" t="s">
        <v>25</v>
      </c>
      <c r="G1277">
        <v>75</v>
      </c>
      <c r="H1277" t="s">
        <v>27</v>
      </c>
      <c r="I1277">
        <v>2021</v>
      </c>
      <c r="J1277" t="s">
        <v>21</v>
      </c>
      <c r="K1277">
        <v>33.809199999999997</v>
      </c>
      <c r="L1277">
        <v>131.0068</v>
      </c>
      <c r="M1277" t="s">
        <v>51</v>
      </c>
      <c r="N1277" s="2">
        <f>Table1[[#This Row],[Capacity (MW)]]*8760*0.72*10^-6</f>
        <v>0.47303999999999996</v>
      </c>
      <c r="O1277" s="2" cm="1">
        <f t="array" ref="O1277">AVERAGE(VLOOKUP(_xlfn.TEXTSPLIT(Table1[[#This Row],[Fuel (no space after comma)]], ","), FuelList_Final_EF!$A$2:$B$32, 2, FALSE))</f>
        <v>93.8</v>
      </c>
      <c r="P1277" s="2">
        <f>(16112*Table1[[#This Row],[Generation (TWh)]]*10^9)/10^6</f>
        <v>7621620.4800000004</v>
      </c>
      <c r="Q1277" s="2">
        <f>Table1[[#This Row],[Emission Factor (kg CO2/ mmBtu)]]*Table1[[#This Row],[Fuel Consumption (mmBtu)]]*10^3</f>
        <v>714908001024</v>
      </c>
      <c r="R1277" s="2">
        <f>(Table1[[#This Row],[CO2 Emissions (g CO2)]])/(Table1[[#This Row],[Generation (TWh)]]*10^9)</f>
        <v>1511.3056000000001</v>
      </c>
    </row>
    <row r="1278" spans="1:18" hidden="1">
      <c r="A1278" t="s">
        <v>21</v>
      </c>
      <c r="B1278" t="s">
        <v>653</v>
      </c>
      <c r="C1278" t="str">
        <f>SUBSTITUTE(Table1[[#This Row],[Fuel]],", ",",")</f>
        <v>bioenergy: wood &amp; other biomass (solids),bioenergy: paper mill wastes</v>
      </c>
      <c r="D1278" t="s">
        <v>25</v>
      </c>
      <c r="E1278" t="s">
        <v>61</v>
      </c>
      <c r="G1278">
        <v>43</v>
      </c>
      <c r="H1278" t="s">
        <v>27</v>
      </c>
      <c r="I1278">
        <v>2019</v>
      </c>
      <c r="J1278" t="s">
        <v>21</v>
      </c>
      <c r="K1278">
        <v>36.4178</v>
      </c>
      <c r="L1278">
        <v>140.54769999999999</v>
      </c>
      <c r="M1278" t="s">
        <v>51</v>
      </c>
      <c r="N1278" s="2">
        <f>Table1[[#This Row],[Capacity (MW)]]*8760*0.72*10^-6</f>
        <v>0.27120959999999994</v>
      </c>
      <c r="O1278" s="2" cm="1">
        <f t="array" ref="O1278">AVERAGE(VLOOKUP(_xlfn.TEXTSPLIT(Table1[[#This Row],[Fuel (no space after comma)]], ","), FuelList_Final_EF!$A$2:$B$32, 2, FALSE))</f>
        <v>97.137216657880856</v>
      </c>
      <c r="P1278" s="2">
        <f>(16112*Table1[[#This Row],[Generation (TWh)]]*10^9)/10^6</f>
        <v>4369729.0751999989</v>
      </c>
      <c r="Q1278" s="2">
        <f>Table1[[#This Row],[Emission Factor (kg CO2/ mmBtu)]]*Table1[[#This Row],[Fuel Consumption (mmBtu)]]*10^3</f>
        <v>424463319913.94366</v>
      </c>
      <c r="R1278" s="2">
        <f>(Table1[[#This Row],[CO2 Emissions (g CO2)]])/(Table1[[#This Row],[Generation (TWh)]]*10^9)</f>
        <v>1565.0748347917763</v>
      </c>
    </row>
    <row r="1279" spans="1:18" hidden="1">
      <c r="A1279" t="s">
        <v>21</v>
      </c>
      <c r="B1279" t="s">
        <v>19</v>
      </c>
      <c r="C1279" t="str">
        <f>SUBSTITUTE(Table1[[#This Row],[Fuel]],", ",",")</f>
        <v>bioenergy: refuse (municipal and industrial wastes)</v>
      </c>
      <c r="D1279" t="s">
        <v>19</v>
      </c>
      <c r="G1279">
        <v>49</v>
      </c>
      <c r="H1279" t="s">
        <v>27</v>
      </c>
      <c r="I1279">
        <v>2000</v>
      </c>
      <c r="J1279" t="s">
        <v>21</v>
      </c>
      <c r="K1279">
        <v>22.5505</v>
      </c>
      <c r="L1279">
        <v>120.37649999999999</v>
      </c>
      <c r="M1279" t="s">
        <v>171</v>
      </c>
      <c r="N1279" s="2">
        <f>Table1[[#This Row],[Capacity (MW)]]*8760*0.72*10^-6</f>
        <v>0.30905279999999996</v>
      </c>
      <c r="O1279" s="2" cm="1">
        <f t="array" ref="O1279">AVERAGE(VLOOKUP(_xlfn.TEXTSPLIT(Table1[[#This Row],[Fuel (no space after comma)]], ","), FuelList_Final_EF!$A$2:$B$32, 2, FALSE))</f>
        <v>105.42962572482868</v>
      </c>
      <c r="P1279" s="2">
        <f>(16112*Table1[[#This Row],[Generation (TWh)]]*10^9)/10^6</f>
        <v>4979458.7135999994</v>
      </c>
      <c r="Q1279" s="2">
        <f>Table1[[#This Row],[Emission Factor (kg CO2/ mmBtu)]]*Table1[[#This Row],[Fuel Consumption (mmBtu)]]*10^3</f>
        <v>524982468487.08484</v>
      </c>
      <c r="R1279" s="2">
        <f>(Table1[[#This Row],[CO2 Emissions (g CO2)]])/(Table1[[#This Row],[Generation (TWh)]]*10^9)</f>
        <v>1698.6821296784399</v>
      </c>
    </row>
    <row r="1280" spans="1:18" hidden="1">
      <c r="A1280" t="s">
        <v>804</v>
      </c>
      <c r="B1280" t="s">
        <v>805</v>
      </c>
      <c r="C1280" t="str">
        <f>SUBSTITUTE(Table1[[#This Row],[Fuel]],", ",",")</f>
        <v>bioenergy: wood &amp; other biomass (solids),bioenergy: paper mill wastes,coal: bituminous</v>
      </c>
      <c r="D1280" t="s">
        <v>25</v>
      </c>
      <c r="E1280" t="s">
        <v>61</v>
      </c>
      <c r="F1280" t="s">
        <v>90</v>
      </c>
      <c r="G1280">
        <v>99</v>
      </c>
      <c r="H1280" t="s">
        <v>27</v>
      </c>
      <c r="I1280">
        <v>1999</v>
      </c>
      <c r="J1280" t="s">
        <v>21</v>
      </c>
      <c r="K1280">
        <v>32.897055999999999</v>
      </c>
      <c r="L1280">
        <v>-79.967944000000003</v>
      </c>
      <c r="M1280" t="s">
        <v>62</v>
      </c>
      <c r="N1280" s="2">
        <f>Table1[[#This Row],[Capacity (MW)]]*8760*0.72*10^-6</f>
        <v>0.62441279999999988</v>
      </c>
      <c r="O1280" s="2" cm="1">
        <f t="array" ref="O1280">AVERAGE(VLOOKUP(_xlfn.TEXTSPLIT(Table1[[#This Row],[Fuel (no space after comma)]], ","), FuelList_Final_EF!$A$2:$B$32, 2, FALSE))</f>
        <v>98.00361975048321</v>
      </c>
      <c r="P1280" s="2">
        <f>(16112*Table1[[#This Row],[Generation (TWh)]]*10^9)/10^6</f>
        <v>10060539.033599999</v>
      </c>
      <c r="Q1280" s="2">
        <f>Table1[[#This Row],[Emission Factor (kg CO2/ mmBtu)]]*Table1[[#This Row],[Fuel Consumption (mmBtu)]]*10^3</f>
        <v>985969241933.82813</v>
      </c>
      <c r="R1280" s="2">
        <f>(Table1[[#This Row],[CO2 Emissions (g CO2)]])/(Table1[[#This Row],[Generation (TWh)]]*10^9)</f>
        <v>1579.0343214197856</v>
      </c>
    </row>
    <row r="1281" spans="1:18" hidden="1">
      <c r="A1281" t="s">
        <v>806</v>
      </c>
      <c r="B1281" t="s">
        <v>210</v>
      </c>
      <c r="C1281" t="str">
        <f>SUBSTITUTE(Table1[[#This Row],[Fuel]],", ",",")</f>
        <v>bioenergy: wood &amp; other biomass (solids),bioenergy: agricultural waste (solids)</v>
      </c>
      <c r="D1281" t="s">
        <v>25</v>
      </c>
      <c r="E1281" t="s">
        <v>46</v>
      </c>
      <c r="G1281">
        <v>50</v>
      </c>
      <c r="H1281" t="s">
        <v>53</v>
      </c>
      <c r="I1281">
        <v>2024</v>
      </c>
      <c r="J1281" t="s">
        <v>21</v>
      </c>
      <c r="K1281">
        <v>33.464399999999998</v>
      </c>
      <c r="L1281">
        <v>129.9417</v>
      </c>
      <c r="M1281" t="s">
        <v>51</v>
      </c>
      <c r="N1281" s="2">
        <f>Table1[[#This Row],[Capacity (MW)]]*8760*0.72*10^-6</f>
        <v>0.31535999999999997</v>
      </c>
      <c r="O1281" s="2" cm="1">
        <f t="array" ref="O1281">AVERAGE(VLOOKUP(_xlfn.TEXTSPLIT(Table1[[#This Row],[Fuel (no space after comma)]], ","), FuelList_Final_EF!$A$2:$B$32, 2, FALSE))</f>
        <v>105.985</v>
      </c>
      <c r="P1281" s="2">
        <f>(16112*Table1[[#This Row],[Generation (TWh)]]*10^9)/10^6</f>
        <v>5081080.32</v>
      </c>
      <c r="Q1281" s="2">
        <f>Table1[[#This Row],[Emission Factor (kg CO2/ mmBtu)]]*Table1[[#This Row],[Fuel Consumption (mmBtu)]]*10^3</f>
        <v>538518297715.20007</v>
      </c>
      <c r="R1281" s="2">
        <f>(Table1[[#This Row],[CO2 Emissions (g CO2)]])/(Table1[[#This Row],[Generation (TWh)]]*10^9)</f>
        <v>1707.6303200000002</v>
      </c>
    </row>
    <row r="1282" spans="1:18">
      <c r="A1282" t="s">
        <v>432</v>
      </c>
      <c r="B1282" t="s">
        <v>25</v>
      </c>
      <c r="C1282" t="str">
        <f>SUBSTITUTE(Table1[[#This Row],[Fuel]],", ",",")</f>
        <v>bioenergy: wood &amp; other biomass (solids)</v>
      </c>
      <c r="D1282" t="s">
        <v>25</v>
      </c>
      <c r="G1282">
        <v>52</v>
      </c>
      <c r="H1282" t="s">
        <v>27</v>
      </c>
      <c r="I1282" t="s">
        <v>21</v>
      </c>
      <c r="J1282" t="s">
        <v>21</v>
      </c>
      <c r="K1282">
        <v>65.794200000000004</v>
      </c>
      <c r="L1282">
        <v>23.2804</v>
      </c>
      <c r="M1282" t="s">
        <v>34</v>
      </c>
      <c r="N1282" s="2">
        <f>Table1[[#This Row],[Capacity (MW)]]*8760*0.72*10^-6</f>
        <v>0.32797439999999994</v>
      </c>
      <c r="O1282" s="2" cm="1">
        <f t="array" ref="O1282">AVERAGE(VLOOKUP(_xlfn.TEXTSPLIT(Table1[[#This Row],[Fuel (no space after comma)]], ","), FuelList_Final_EF!$A$2:$B$32, 2, FALSE))</f>
        <v>93.8</v>
      </c>
      <c r="P1282" s="2">
        <f>(16112*Table1[[#This Row],[Generation (TWh)]]*10^9)/10^6</f>
        <v>5284323.5327999992</v>
      </c>
      <c r="Q1282" s="2">
        <f>Table1[[#This Row],[Emission Factor (kg CO2/ mmBtu)]]*Table1[[#This Row],[Fuel Consumption (mmBtu)]]*10^3</f>
        <v>495669547376.63989</v>
      </c>
      <c r="R1282" s="2">
        <f>(Table1[[#This Row],[CO2 Emissions (g CO2)]])/(Table1[[#This Row],[Generation (TWh)]]*10^9)</f>
        <v>1511.3055999999999</v>
      </c>
    </row>
    <row r="1283" spans="1:18" hidden="1">
      <c r="A1283" t="s">
        <v>21</v>
      </c>
      <c r="B1283" t="s">
        <v>19</v>
      </c>
      <c r="C1283" t="str">
        <f>SUBSTITUTE(Table1[[#This Row],[Fuel]],", ",",")</f>
        <v>bioenergy: refuse (municipal and industrial wastes)</v>
      </c>
      <c r="D1283" t="s">
        <v>19</v>
      </c>
      <c r="G1283">
        <v>40</v>
      </c>
      <c r="H1283" t="s">
        <v>20</v>
      </c>
      <c r="I1283">
        <v>2024</v>
      </c>
      <c r="J1283" t="s">
        <v>21</v>
      </c>
      <c r="K1283">
        <v>50.439</v>
      </c>
      <c r="L1283">
        <v>30.542200000000001</v>
      </c>
      <c r="M1283" t="s">
        <v>807</v>
      </c>
      <c r="N1283" s="2">
        <f>Table1[[#This Row],[Capacity (MW)]]*8760*0.72*10^-6</f>
        <v>0.25228800000000001</v>
      </c>
      <c r="O1283" s="2" cm="1">
        <f t="array" ref="O1283">AVERAGE(VLOOKUP(_xlfn.TEXTSPLIT(Table1[[#This Row],[Fuel (no space after comma)]], ","), FuelList_Final_EF!$A$2:$B$32, 2, FALSE))</f>
        <v>105.42962572482868</v>
      </c>
      <c r="P1283" s="2">
        <f>(16112*Table1[[#This Row],[Generation (TWh)]]*10^9)/10^6</f>
        <v>4064864.2560000005</v>
      </c>
      <c r="Q1283" s="2">
        <f>Table1[[#This Row],[Emission Factor (kg CO2/ mmBtu)]]*Table1[[#This Row],[Fuel Consumption (mmBtu)]]*10^3</f>
        <v>428557117132.31427</v>
      </c>
      <c r="R1283" s="2">
        <f>(Table1[[#This Row],[CO2 Emissions (g CO2)]])/(Table1[[#This Row],[Generation (TWh)]]*10^9)</f>
        <v>1698.6821296784401</v>
      </c>
    </row>
    <row r="1284" spans="1:18">
      <c r="A1284" t="s">
        <v>808</v>
      </c>
      <c r="B1284" t="s">
        <v>25</v>
      </c>
      <c r="C1284" t="str">
        <f>SUBSTITUTE(Table1[[#This Row],[Fuel]],", ",",")</f>
        <v>bioenergy: wood &amp; other biomass (solids)</v>
      </c>
      <c r="D1284" t="s">
        <v>25</v>
      </c>
      <c r="G1284">
        <v>40</v>
      </c>
      <c r="H1284" t="s">
        <v>20</v>
      </c>
      <c r="I1284" t="s">
        <v>21</v>
      </c>
      <c r="J1284" t="s">
        <v>21</v>
      </c>
      <c r="K1284">
        <v>30.823599999999999</v>
      </c>
      <c r="L1284">
        <v>72.142899999999997</v>
      </c>
      <c r="M1284" t="s">
        <v>160</v>
      </c>
      <c r="N1284" s="2">
        <f>Table1[[#This Row],[Capacity (MW)]]*8760*0.72*10^-6</f>
        <v>0.25228800000000001</v>
      </c>
      <c r="O1284" s="2" cm="1">
        <f t="array" ref="O1284">AVERAGE(VLOOKUP(_xlfn.TEXTSPLIT(Table1[[#This Row],[Fuel (no space after comma)]], ","), FuelList_Final_EF!$A$2:$B$32, 2, FALSE))</f>
        <v>93.8</v>
      </c>
      <c r="P1284" s="2">
        <f>(16112*Table1[[#This Row],[Generation (TWh)]]*10^9)/10^6</f>
        <v>4064864.2560000005</v>
      </c>
      <c r="Q1284" s="2">
        <f>Table1[[#This Row],[Emission Factor (kg CO2/ mmBtu)]]*Table1[[#This Row],[Fuel Consumption (mmBtu)]]*10^3</f>
        <v>381284267212.80005</v>
      </c>
      <c r="R1284" s="2">
        <f>(Table1[[#This Row],[CO2 Emissions (g CO2)]])/(Table1[[#This Row],[Generation (TWh)]]*10^9)</f>
        <v>1511.3056000000001</v>
      </c>
    </row>
    <row r="1285" spans="1:18" hidden="1">
      <c r="A1285" t="s">
        <v>56</v>
      </c>
      <c r="B1285" t="s">
        <v>19</v>
      </c>
      <c r="C1285" t="str">
        <f>SUBSTITUTE(Table1[[#This Row],[Fuel]],", ",",")</f>
        <v>bioenergy: refuse (municipal and industrial wastes)</v>
      </c>
      <c r="D1285" t="s">
        <v>19</v>
      </c>
      <c r="G1285">
        <v>55</v>
      </c>
      <c r="H1285" t="s">
        <v>53</v>
      </c>
      <c r="I1285">
        <v>2025</v>
      </c>
      <c r="J1285" t="s">
        <v>21</v>
      </c>
      <c r="K1285" t="s">
        <v>21</v>
      </c>
      <c r="L1285" t="s">
        <v>21</v>
      </c>
      <c r="M1285" t="s">
        <v>57</v>
      </c>
      <c r="N1285" s="2">
        <f>Table1[[#This Row],[Capacity (MW)]]*8760*0.72*10^-6</f>
        <v>0.34689599999999998</v>
      </c>
      <c r="O1285" s="2" cm="1">
        <f t="array" ref="O1285">AVERAGE(VLOOKUP(_xlfn.TEXTSPLIT(Table1[[#This Row],[Fuel (no space after comma)]], ","), FuelList_Final_EF!$A$2:$B$32, 2, FALSE))</f>
        <v>105.42962572482868</v>
      </c>
      <c r="P1285" s="2">
        <f>(16112*Table1[[#This Row],[Generation (TWh)]]*10^9)/10^6</f>
        <v>5589188.352</v>
      </c>
      <c r="Q1285" s="2">
        <f>Table1[[#This Row],[Emission Factor (kg CO2/ mmBtu)]]*Table1[[#This Row],[Fuel Consumption (mmBtu)]]*10^3</f>
        <v>589266036056.93201</v>
      </c>
      <c r="R1285" s="2">
        <f>(Table1[[#This Row],[CO2 Emissions (g CO2)]])/(Table1[[#This Row],[Generation (TWh)]]*10^9)</f>
        <v>1698.6821296784397</v>
      </c>
    </row>
    <row r="1286" spans="1:18">
      <c r="A1286" t="s">
        <v>809</v>
      </c>
      <c r="B1286" t="s">
        <v>19</v>
      </c>
      <c r="C1286" t="str">
        <f>SUBSTITUTE(Table1[[#This Row],[Fuel]],", ",",")</f>
        <v>bioenergy: refuse (municipal and industrial wastes)</v>
      </c>
      <c r="D1286" t="s">
        <v>19</v>
      </c>
      <c r="G1286">
        <v>15</v>
      </c>
      <c r="H1286" t="s">
        <v>20</v>
      </c>
      <c r="I1286" t="s">
        <v>21</v>
      </c>
      <c r="J1286" t="s">
        <v>21</v>
      </c>
      <c r="K1286">
        <v>-44.9056237</v>
      </c>
      <c r="L1286">
        <v>171.1005754</v>
      </c>
      <c r="M1286" t="s">
        <v>810</v>
      </c>
      <c r="N1286" s="2">
        <f>Table1[[#This Row],[Capacity (MW)]]*8760*0.72*10^-6</f>
        <v>9.4607999999999998E-2</v>
      </c>
      <c r="O1286" s="2" cm="1">
        <f t="array" ref="O1286">AVERAGE(VLOOKUP(_xlfn.TEXTSPLIT(Table1[[#This Row],[Fuel (no space after comma)]], ","), FuelList_Final_EF!$A$2:$B$32, 2, FALSE))</f>
        <v>105.42962572482868</v>
      </c>
      <c r="P1286" s="2">
        <f>(16112*Table1[[#This Row],[Generation (TWh)]]*10^9)/10^6</f>
        <v>1524324.0959999999</v>
      </c>
      <c r="Q1286" s="2">
        <f>Table1[[#This Row],[Emission Factor (kg CO2/ mmBtu)]]*Table1[[#This Row],[Fuel Consumption (mmBtu)]]*10^3</f>
        <v>160708918924.61783</v>
      </c>
      <c r="R1286" s="2">
        <f>(Table1[[#This Row],[CO2 Emissions (g CO2)]])/(Table1[[#This Row],[Generation (TWh)]]*10^9)</f>
        <v>1698.6821296784397</v>
      </c>
    </row>
    <row r="1287" spans="1:18">
      <c r="A1287" t="s">
        <v>811</v>
      </c>
      <c r="B1287" t="s">
        <v>19</v>
      </c>
      <c r="C1287" t="str">
        <f>SUBSTITUTE(Table1[[#This Row],[Fuel]],", ",",")</f>
        <v>bioenergy: refuse (municipal and industrial wastes)</v>
      </c>
      <c r="D1287" t="s">
        <v>19</v>
      </c>
      <c r="G1287">
        <v>15</v>
      </c>
      <c r="H1287" t="s">
        <v>20</v>
      </c>
      <c r="I1287" t="s">
        <v>21</v>
      </c>
      <c r="J1287" t="s">
        <v>21</v>
      </c>
      <c r="K1287">
        <v>-44.9056237</v>
      </c>
      <c r="L1287">
        <v>171.1005754</v>
      </c>
      <c r="M1287" t="s">
        <v>810</v>
      </c>
      <c r="N1287" s="2">
        <f>Table1[[#This Row],[Capacity (MW)]]*8760*0.72*10^-6</f>
        <v>9.4607999999999998E-2</v>
      </c>
      <c r="O1287" s="2" cm="1">
        <f t="array" ref="O1287">AVERAGE(VLOOKUP(_xlfn.TEXTSPLIT(Table1[[#This Row],[Fuel (no space after comma)]], ","), FuelList_Final_EF!$A$2:$B$32, 2, FALSE))</f>
        <v>105.42962572482868</v>
      </c>
      <c r="P1287" s="2">
        <f>(16112*Table1[[#This Row],[Generation (TWh)]]*10^9)/10^6</f>
        <v>1524324.0959999999</v>
      </c>
      <c r="Q1287" s="2">
        <f>Table1[[#This Row],[Emission Factor (kg CO2/ mmBtu)]]*Table1[[#This Row],[Fuel Consumption (mmBtu)]]*10^3</f>
        <v>160708918924.61783</v>
      </c>
      <c r="R1287" s="2">
        <f>(Table1[[#This Row],[CO2 Emissions (g CO2)]])/(Table1[[#This Row],[Generation (TWh)]]*10^9)</f>
        <v>1698.6821296784397</v>
      </c>
    </row>
    <row r="1288" spans="1:18" hidden="1">
      <c r="A1288" t="s">
        <v>54</v>
      </c>
      <c r="B1288" t="s">
        <v>210</v>
      </c>
      <c r="C1288" t="str">
        <f>SUBSTITUTE(Table1[[#This Row],[Fuel]],", ",",")</f>
        <v>bioenergy: wood &amp; other biomass (solids),bioenergy: agricultural waste (solids)</v>
      </c>
      <c r="D1288" t="s">
        <v>25</v>
      </c>
      <c r="E1288" t="s">
        <v>46</v>
      </c>
      <c r="G1288">
        <v>24.5</v>
      </c>
      <c r="H1288" t="s">
        <v>27</v>
      </c>
      <c r="I1288">
        <v>1955</v>
      </c>
      <c r="J1288" t="s">
        <v>21</v>
      </c>
      <c r="K1288">
        <v>35.505699999999997</v>
      </c>
      <c r="L1288">
        <v>139.72749999999999</v>
      </c>
      <c r="M1288" t="s">
        <v>51</v>
      </c>
      <c r="N1288" s="2">
        <f>Table1[[#This Row],[Capacity (MW)]]*8760*0.72*10^-6</f>
        <v>0.15452639999999998</v>
      </c>
      <c r="O1288" s="2" cm="1">
        <f t="array" ref="O1288">AVERAGE(VLOOKUP(_xlfn.TEXTSPLIT(Table1[[#This Row],[Fuel (no space after comma)]], ","), FuelList_Final_EF!$A$2:$B$32, 2, FALSE))</f>
        <v>105.985</v>
      </c>
      <c r="P1288" s="2">
        <f>(16112*Table1[[#This Row],[Generation (TWh)]]*10^9)/10^6</f>
        <v>2489729.3567999997</v>
      </c>
      <c r="Q1288" s="2">
        <f>Table1[[#This Row],[Emission Factor (kg CO2/ mmBtu)]]*Table1[[#This Row],[Fuel Consumption (mmBtu)]]*10^3</f>
        <v>263873965880.44797</v>
      </c>
      <c r="R1288" s="2">
        <f>(Table1[[#This Row],[CO2 Emissions (g CO2)]])/(Table1[[#This Row],[Generation (TWh)]]*10^9)</f>
        <v>1707.6303200000002</v>
      </c>
    </row>
    <row r="1289" spans="1:18" hidden="1">
      <c r="A1289" t="s">
        <v>812</v>
      </c>
      <c r="B1289" t="s">
        <v>210</v>
      </c>
      <c r="C1289" t="str">
        <f>SUBSTITUTE(Table1[[#This Row],[Fuel]],", ",",")</f>
        <v>bioenergy: wood &amp; other biomass (solids),bioenergy: agricultural waste (solids)</v>
      </c>
      <c r="D1289" t="s">
        <v>25</v>
      </c>
      <c r="E1289" t="s">
        <v>46</v>
      </c>
      <c r="G1289">
        <v>24.5</v>
      </c>
      <c r="H1289" t="s">
        <v>27</v>
      </c>
      <c r="I1289">
        <v>1955</v>
      </c>
      <c r="J1289" t="s">
        <v>21</v>
      </c>
      <c r="K1289">
        <v>35.505699999999997</v>
      </c>
      <c r="L1289">
        <v>139.72749999999999</v>
      </c>
      <c r="M1289" t="s">
        <v>51</v>
      </c>
      <c r="N1289" s="2">
        <f>Table1[[#This Row],[Capacity (MW)]]*8760*0.72*10^-6</f>
        <v>0.15452639999999998</v>
      </c>
      <c r="O1289" s="2" cm="1">
        <f t="array" ref="O1289">AVERAGE(VLOOKUP(_xlfn.TEXTSPLIT(Table1[[#This Row],[Fuel (no space after comma)]], ","), FuelList_Final_EF!$A$2:$B$32, 2, FALSE))</f>
        <v>105.985</v>
      </c>
      <c r="P1289" s="2">
        <f>(16112*Table1[[#This Row],[Generation (TWh)]]*10^9)/10^6</f>
        <v>2489729.3567999997</v>
      </c>
      <c r="Q1289" s="2">
        <f>Table1[[#This Row],[Emission Factor (kg CO2/ mmBtu)]]*Table1[[#This Row],[Fuel Consumption (mmBtu)]]*10^3</f>
        <v>263873965880.44797</v>
      </c>
      <c r="R1289" s="2">
        <f>(Table1[[#This Row],[CO2 Emissions (g CO2)]])/(Table1[[#This Row],[Generation (TWh)]]*10^9)</f>
        <v>1707.6303200000002</v>
      </c>
    </row>
    <row r="1290" spans="1:18">
      <c r="A1290" t="s">
        <v>813</v>
      </c>
      <c r="B1290" t="s">
        <v>19</v>
      </c>
      <c r="C1290" t="str">
        <f>SUBSTITUTE(Table1[[#This Row],[Fuel]],", ",",")</f>
        <v>bioenergy: refuse (municipal and industrial wastes)</v>
      </c>
      <c r="D1290" t="s">
        <v>19</v>
      </c>
      <c r="G1290">
        <v>35</v>
      </c>
      <c r="H1290" t="s">
        <v>53</v>
      </c>
      <c r="I1290" t="s">
        <v>21</v>
      </c>
      <c r="J1290" t="s">
        <v>21</v>
      </c>
      <c r="K1290">
        <v>52.507399999999997</v>
      </c>
      <c r="L1290">
        <v>-1.9974000000000001</v>
      </c>
      <c r="M1290" t="s">
        <v>22</v>
      </c>
      <c r="N1290" s="2">
        <f>Table1[[#This Row],[Capacity (MW)]]*8760*0.72*10^-6</f>
        <v>0.220752</v>
      </c>
      <c r="O1290" s="2" cm="1">
        <f t="array" ref="O1290">AVERAGE(VLOOKUP(_xlfn.TEXTSPLIT(Table1[[#This Row],[Fuel (no space after comma)]], ","), FuelList_Final_EF!$A$2:$B$32, 2, FALSE))</f>
        <v>105.42962572482868</v>
      </c>
      <c r="P1290" s="2">
        <f>(16112*Table1[[#This Row],[Generation (TWh)]]*10^9)/10^6</f>
        <v>3556756.2239999999</v>
      </c>
      <c r="Q1290" s="2">
        <f>Table1[[#This Row],[Emission Factor (kg CO2/ mmBtu)]]*Table1[[#This Row],[Fuel Consumption (mmBtu)]]*10^3</f>
        <v>374987477490.7749</v>
      </c>
      <c r="R1290" s="2">
        <f>(Table1[[#This Row],[CO2 Emissions (g CO2)]])/(Table1[[#This Row],[Generation (TWh)]]*10^9)</f>
        <v>1698.6821296784397</v>
      </c>
    </row>
    <row r="1291" spans="1:18" hidden="1">
      <c r="A1291" t="s">
        <v>23</v>
      </c>
      <c r="B1291" t="s">
        <v>653</v>
      </c>
      <c r="C1291" t="str">
        <f>SUBSTITUTE(Table1[[#This Row],[Fuel]],", ",",")</f>
        <v>bioenergy: wood &amp; other biomass (solids),bioenergy: paper mill wastes</v>
      </c>
      <c r="D1291" t="s">
        <v>25</v>
      </c>
      <c r="E1291" t="s">
        <v>61</v>
      </c>
      <c r="G1291">
        <v>270</v>
      </c>
      <c r="H1291" t="s">
        <v>27</v>
      </c>
      <c r="I1291">
        <v>2023</v>
      </c>
      <c r="J1291" t="s">
        <v>21</v>
      </c>
      <c r="K1291">
        <v>65.761300000000006</v>
      </c>
      <c r="L1291">
        <v>24.521999999999998</v>
      </c>
      <c r="M1291" t="s">
        <v>28</v>
      </c>
      <c r="N1291" s="2">
        <f>Table1[[#This Row],[Capacity (MW)]]*8760*0.72*10^-6</f>
        <v>1.702944</v>
      </c>
      <c r="O1291" s="2" cm="1">
        <f t="array" ref="O1291">AVERAGE(VLOOKUP(_xlfn.TEXTSPLIT(Table1[[#This Row],[Fuel (no space after comma)]], ","), FuelList_Final_EF!$A$2:$B$32, 2, FALSE))</f>
        <v>97.137216657880856</v>
      </c>
      <c r="P1291" s="2">
        <f>(16112*Table1[[#This Row],[Generation (TWh)]]*10^9)/10^6</f>
        <v>27437833.728</v>
      </c>
      <c r="Q1291" s="2">
        <f>Table1[[#This Row],[Emission Factor (kg CO2/ mmBtu)]]*Table1[[#This Row],[Fuel Consumption (mmBtu)]]*10^3</f>
        <v>2665234799459.6465</v>
      </c>
      <c r="R1291" s="2">
        <f>(Table1[[#This Row],[CO2 Emissions (g CO2)]])/(Table1[[#This Row],[Generation (TWh)]]*10^9)</f>
        <v>1565.0748347917761</v>
      </c>
    </row>
    <row r="1292" spans="1:18" hidden="1">
      <c r="A1292" t="s">
        <v>23</v>
      </c>
      <c r="B1292" t="s">
        <v>25</v>
      </c>
      <c r="C1292" t="str">
        <f>SUBSTITUTE(Table1[[#This Row],[Fuel]],", ",",")</f>
        <v>bioenergy: wood &amp; other biomass (solids)</v>
      </c>
      <c r="D1292" t="s">
        <v>25</v>
      </c>
      <c r="G1292">
        <v>83</v>
      </c>
      <c r="H1292" t="s">
        <v>27</v>
      </c>
      <c r="I1292">
        <v>1980</v>
      </c>
      <c r="J1292" t="s">
        <v>21</v>
      </c>
      <c r="K1292">
        <v>65.760199999999998</v>
      </c>
      <c r="L1292">
        <v>24.529299999999999</v>
      </c>
      <c r="M1292" t="s">
        <v>28</v>
      </c>
      <c r="N1292" s="2">
        <f>Table1[[#This Row],[Capacity (MW)]]*8760*0.72*10^-6</f>
        <v>0.52349760000000001</v>
      </c>
      <c r="O1292" s="2" cm="1">
        <f t="array" ref="O1292">AVERAGE(VLOOKUP(_xlfn.TEXTSPLIT(Table1[[#This Row],[Fuel (no space after comma)]], ","), FuelList_Final_EF!$A$2:$B$32, 2, FALSE))</f>
        <v>93.8</v>
      </c>
      <c r="P1292" s="2">
        <f>(16112*Table1[[#This Row],[Generation (TWh)]]*10^9)/10^6</f>
        <v>8434593.3311999999</v>
      </c>
      <c r="Q1292" s="2">
        <f>Table1[[#This Row],[Emission Factor (kg CO2/ mmBtu)]]*Table1[[#This Row],[Fuel Consumption (mmBtu)]]*10^3</f>
        <v>791164854466.56006</v>
      </c>
      <c r="R1292" s="2">
        <f>(Table1[[#This Row],[CO2 Emissions (g CO2)]])/(Table1[[#This Row],[Generation (TWh)]]*10^9)</f>
        <v>1511.3056000000001</v>
      </c>
    </row>
    <row r="1293" spans="1:18">
      <c r="A1293" t="s">
        <v>814</v>
      </c>
      <c r="B1293" t="s">
        <v>46</v>
      </c>
      <c r="C1293" t="str">
        <f>SUBSTITUTE(Table1[[#This Row],[Fuel]],", ",",")</f>
        <v>bioenergy: agricultural waste (solids)</v>
      </c>
      <c r="D1293" t="s">
        <v>46</v>
      </c>
      <c r="G1293">
        <v>76</v>
      </c>
      <c r="H1293" t="s">
        <v>27</v>
      </c>
      <c r="I1293" t="s">
        <v>21</v>
      </c>
      <c r="J1293" t="s">
        <v>21</v>
      </c>
      <c r="K1293">
        <v>13.074299999999999</v>
      </c>
      <c r="L1293">
        <v>32.927900000000001</v>
      </c>
      <c r="M1293" t="s">
        <v>815</v>
      </c>
      <c r="N1293" s="2">
        <f>Table1[[#This Row],[Capacity (MW)]]*8760*0.72*10^-6</f>
        <v>0.47934719999999992</v>
      </c>
      <c r="O1293" s="2" cm="1">
        <f t="array" ref="O1293">AVERAGE(VLOOKUP(_xlfn.TEXTSPLIT(Table1[[#This Row],[Fuel (no space after comma)]], ","), FuelList_Final_EF!$A$2:$B$32, 2, FALSE))</f>
        <v>118.17</v>
      </c>
      <c r="P1293" s="2">
        <f>(16112*Table1[[#This Row],[Generation (TWh)]]*10^9)/10^6</f>
        <v>7723242.0863999994</v>
      </c>
      <c r="Q1293" s="2">
        <f>Table1[[#This Row],[Emission Factor (kg CO2/ mmBtu)]]*Table1[[#This Row],[Fuel Consumption (mmBtu)]]*10^3</f>
        <v>912655517349.88794</v>
      </c>
      <c r="R1293" s="2">
        <f>(Table1[[#This Row],[CO2 Emissions (g CO2)]])/(Table1[[#This Row],[Generation (TWh)]]*10^9)</f>
        <v>1903.9550400000001</v>
      </c>
    </row>
    <row r="1294" spans="1:18" hidden="1">
      <c r="A1294" t="s">
        <v>816</v>
      </c>
      <c r="B1294" t="s">
        <v>817</v>
      </c>
      <c r="C1294" t="str">
        <f>SUBSTITUTE(Table1[[#This Row],[Fuel]],", ",",")</f>
        <v>bioenergy: paper mill wastes,bioenergy: wood &amp; other biomass (solids),bioenergy: agricultural waste (solids)</v>
      </c>
      <c r="D1294" t="s">
        <v>61</v>
      </c>
      <c r="E1294" t="s">
        <v>25</v>
      </c>
      <c r="F1294" t="s">
        <v>46</v>
      </c>
      <c r="G1294">
        <v>535</v>
      </c>
      <c r="H1294" t="s">
        <v>27</v>
      </c>
      <c r="I1294">
        <v>1998</v>
      </c>
      <c r="J1294" t="s">
        <v>21</v>
      </c>
      <c r="K1294">
        <v>0.44059999999999999</v>
      </c>
      <c r="L1294">
        <v>101.8883</v>
      </c>
      <c r="M1294" t="s">
        <v>44</v>
      </c>
      <c r="N1294" s="2">
        <f>Table1[[#This Row],[Capacity (MW)]]*8760*0.72*10^-6</f>
        <v>3.374352</v>
      </c>
      <c r="O1294" s="2" cm="1">
        <f t="array" ref="O1294">AVERAGE(VLOOKUP(_xlfn.TEXTSPLIT(Table1[[#This Row],[Fuel (no space after comma)]], ","), FuelList_Final_EF!$A$2:$B$32, 2, FALSE))</f>
        <v>104.14814443858724</v>
      </c>
      <c r="P1294" s="2">
        <f>(16112*Table1[[#This Row],[Generation (TWh)]]*10^9)/10^6</f>
        <v>54367559.424000002</v>
      </c>
      <c r="Q1294" s="2">
        <f>Table1[[#This Row],[Emission Factor (kg CO2/ mmBtu)]]*Table1[[#This Row],[Fuel Consumption (mmBtu)]]*10^3</f>
        <v>5662280431664.2275</v>
      </c>
      <c r="R1294" s="2">
        <f>(Table1[[#This Row],[CO2 Emissions (g CO2)]])/(Table1[[#This Row],[Generation (TWh)]]*10^9)</f>
        <v>1678.0349031945177</v>
      </c>
    </row>
    <row r="1295" spans="1:18" hidden="1">
      <c r="A1295" t="s">
        <v>818</v>
      </c>
      <c r="B1295" t="s">
        <v>68</v>
      </c>
      <c r="C1295" t="str">
        <f>SUBSTITUTE(Table1[[#This Row],[Fuel]],", ",",")</f>
        <v>bioenergy: wood &amp; other biomass (solids),fossil gas: natural gas</v>
      </c>
      <c r="D1295" t="s">
        <v>25</v>
      </c>
      <c r="E1295" t="s">
        <v>69</v>
      </c>
      <c r="G1295">
        <v>51</v>
      </c>
      <c r="H1295" t="s">
        <v>27</v>
      </c>
      <c r="I1295">
        <v>1983</v>
      </c>
      <c r="J1295" t="s">
        <v>21</v>
      </c>
      <c r="K1295">
        <v>48.6203</v>
      </c>
      <c r="L1295">
        <v>-118.11109999999999</v>
      </c>
      <c r="M1295" t="s">
        <v>62</v>
      </c>
      <c r="N1295" s="2">
        <f>Table1[[#This Row],[Capacity (MW)]]*8760*0.72*10^-6</f>
        <v>0.32166719999999999</v>
      </c>
      <c r="O1295" s="2" cm="1">
        <f t="array" ref="O1295">AVERAGE(VLOOKUP(_xlfn.TEXTSPLIT(Table1[[#This Row],[Fuel (no space after comma)]], ","), FuelList_Final_EF!$A$2:$B$32, 2, FALSE))</f>
        <v>73.430000000000007</v>
      </c>
      <c r="P1295" s="2">
        <f>(16112*Table1[[#This Row],[Generation (TWh)]]*10^9)/10^6</f>
        <v>5182701.9264000002</v>
      </c>
      <c r="Q1295" s="2">
        <f>Table1[[#This Row],[Emission Factor (kg CO2/ mmBtu)]]*Table1[[#This Row],[Fuel Consumption (mmBtu)]]*10^3</f>
        <v>380565802455.55206</v>
      </c>
      <c r="R1295" s="2">
        <f>(Table1[[#This Row],[CO2 Emissions (g CO2)]])/(Table1[[#This Row],[Generation (TWh)]]*10^9)</f>
        <v>1183.1041600000001</v>
      </c>
    </row>
    <row r="1296" spans="1:18" hidden="1">
      <c r="A1296" t="s">
        <v>21</v>
      </c>
      <c r="B1296" t="s">
        <v>46</v>
      </c>
      <c r="C1296" t="str">
        <f>SUBSTITUTE(Table1[[#This Row],[Fuel]],", ",",")</f>
        <v>bioenergy: agricultural waste (solids)</v>
      </c>
      <c r="D1296" t="s">
        <v>46</v>
      </c>
      <c r="G1296">
        <v>46</v>
      </c>
      <c r="H1296" t="s">
        <v>20</v>
      </c>
      <c r="I1296">
        <v>2025</v>
      </c>
      <c r="J1296" t="s">
        <v>21</v>
      </c>
      <c r="K1296">
        <v>49.478400000000001</v>
      </c>
      <c r="L1296">
        <v>27.015799999999999</v>
      </c>
      <c r="M1296" t="s">
        <v>807</v>
      </c>
      <c r="N1296" s="2">
        <f>Table1[[#This Row],[Capacity (MW)]]*8760*0.72*10^-6</f>
        <v>0.29013119999999998</v>
      </c>
      <c r="O1296" s="2" cm="1">
        <f t="array" ref="O1296">AVERAGE(VLOOKUP(_xlfn.TEXTSPLIT(Table1[[#This Row],[Fuel (no space after comma)]], ","), FuelList_Final_EF!$A$2:$B$32, 2, FALSE))</f>
        <v>118.17</v>
      </c>
      <c r="P1296" s="2">
        <f>(16112*Table1[[#This Row],[Generation (TWh)]]*10^9)/10^6</f>
        <v>4674593.8943999996</v>
      </c>
      <c r="Q1296" s="2">
        <f>Table1[[#This Row],[Emission Factor (kg CO2/ mmBtu)]]*Table1[[#This Row],[Fuel Consumption (mmBtu)]]*10^3</f>
        <v>552396760501.24805</v>
      </c>
      <c r="R1296" s="2">
        <f>(Table1[[#This Row],[CO2 Emissions (g CO2)]])/(Table1[[#This Row],[Generation (TWh)]]*10^9)</f>
        <v>1903.9550400000001</v>
      </c>
    </row>
    <row r="1297" spans="1:18" hidden="1">
      <c r="A1297" t="s">
        <v>56</v>
      </c>
      <c r="B1297" t="s">
        <v>19</v>
      </c>
      <c r="C1297" t="str">
        <f>SUBSTITUTE(Table1[[#This Row],[Fuel]],", ",",")</f>
        <v>bioenergy: refuse (municipal and industrial wastes)</v>
      </c>
      <c r="D1297" t="s">
        <v>19</v>
      </c>
      <c r="G1297">
        <v>70</v>
      </c>
      <c r="H1297" t="s">
        <v>53</v>
      </c>
      <c r="I1297">
        <v>2024</v>
      </c>
      <c r="J1297" t="s">
        <v>21</v>
      </c>
      <c r="K1297">
        <v>56.157538500000001</v>
      </c>
      <c r="L1297">
        <v>37.084651899999997</v>
      </c>
      <c r="M1297" t="s">
        <v>57</v>
      </c>
      <c r="N1297" s="2">
        <f>Table1[[#This Row],[Capacity (MW)]]*8760*0.72*10^-6</f>
        <v>0.44150400000000001</v>
      </c>
      <c r="O1297" s="2" cm="1">
        <f t="array" ref="O1297">AVERAGE(VLOOKUP(_xlfn.TEXTSPLIT(Table1[[#This Row],[Fuel (no space after comma)]], ","), FuelList_Final_EF!$A$2:$B$32, 2, FALSE))</f>
        <v>105.42962572482868</v>
      </c>
      <c r="P1297" s="2">
        <f>(16112*Table1[[#This Row],[Generation (TWh)]]*10^9)/10^6</f>
        <v>7113512.4479999999</v>
      </c>
      <c r="Q1297" s="2">
        <f>Table1[[#This Row],[Emission Factor (kg CO2/ mmBtu)]]*Table1[[#This Row],[Fuel Consumption (mmBtu)]]*10^3</f>
        <v>749974954981.5498</v>
      </c>
      <c r="R1297" s="2">
        <f>(Table1[[#This Row],[CO2 Emissions (g CO2)]])/(Table1[[#This Row],[Generation (TWh)]]*10^9)</f>
        <v>1698.6821296784397</v>
      </c>
    </row>
    <row r="1298" spans="1:18">
      <c r="A1298" t="s">
        <v>21</v>
      </c>
      <c r="B1298" t="s">
        <v>105</v>
      </c>
      <c r="C1298" t="str">
        <f>SUBSTITUTE(Table1[[#This Row],[Fuel]],", ",",")</f>
        <v>bioenergy: agricultural waste (solids),bioenergy: wood &amp; other biomass (solids)</v>
      </c>
      <c r="D1298" t="s">
        <v>46</v>
      </c>
      <c r="E1298" t="s">
        <v>25</v>
      </c>
      <c r="G1298">
        <v>30</v>
      </c>
      <c r="H1298" t="s">
        <v>27</v>
      </c>
      <c r="I1298" t="s">
        <v>21</v>
      </c>
      <c r="J1298" t="s">
        <v>21</v>
      </c>
      <c r="K1298">
        <v>16.713999999999999</v>
      </c>
      <c r="L1298">
        <v>102.8454</v>
      </c>
      <c r="M1298" t="s">
        <v>819</v>
      </c>
      <c r="N1298" s="2">
        <f>Table1[[#This Row],[Capacity (MW)]]*8760*0.72*10^-6</f>
        <v>0.189216</v>
      </c>
      <c r="O1298" s="2" cm="1">
        <f t="array" ref="O1298">AVERAGE(VLOOKUP(_xlfn.TEXTSPLIT(Table1[[#This Row],[Fuel (no space after comma)]], ","), FuelList_Final_EF!$A$2:$B$32, 2, FALSE))</f>
        <v>105.985</v>
      </c>
      <c r="P1298" s="2">
        <f>(16112*Table1[[#This Row],[Generation (TWh)]]*10^9)/10^6</f>
        <v>3048648.1919999998</v>
      </c>
      <c r="Q1298" s="2">
        <f>Table1[[#This Row],[Emission Factor (kg CO2/ mmBtu)]]*Table1[[#This Row],[Fuel Consumption (mmBtu)]]*10^3</f>
        <v>323110978629.12</v>
      </c>
      <c r="R1298" s="2">
        <f>(Table1[[#This Row],[CO2 Emissions (g CO2)]])/(Table1[[#This Row],[Generation (TWh)]]*10^9)</f>
        <v>1707.63032</v>
      </c>
    </row>
    <row r="1299" spans="1:18" hidden="1">
      <c r="A1299" t="s">
        <v>820</v>
      </c>
      <c r="B1299" t="s">
        <v>226</v>
      </c>
      <c r="C1299" t="str">
        <f>SUBSTITUTE(Table1[[#This Row],[Fuel]],", ",",")</f>
        <v>bioenergy: paper mill wastes,bioenergy: wood &amp; other biomass (solids),fossil liquids: unknown</v>
      </c>
      <c r="D1299" t="s">
        <v>61</v>
      </c>
      <c r="E1299" t="s">
        <v>25</v>
      </c>
      <c r="F1299" t="s">
        <v>217</v>
      </c>
      <c r="G1299">
        <v>50</v>
      </c>
      <c r="H1299" t="s">
        <v>27</v>
      </c>
      <c r="I1299">
        <v>2006</v>
      </c>
      <c r="J1299" t="s">
        <v>21</v>
      </c>
      <c r="K1299">
        <v>36.548900000000003</v>
      </c>
      <c r="L1299">
        <v>-82.566699999999997</v>
      </c>
      <c r="M1299" t="s">
        <v>62</v>
      </c>
      <c r="N1299" s="2">
        <f>Table1[[#This Row],[Capacity (MW)]]*8760*0.72*10^-6</f>
        <v>0.31535999999999997</v>
      </c>
      <c r="O1299" s="2" cm="1">
        <f t="array" ref="O1299">AVERAGE(VLOOKUP(_xlfn.TEXTSPLIT(Table1[[#This Row],[Fuel (no space after comma)]], ","), FuelList_Final_EF!$A$2:$B$32, 2, FALSE))</f>
        <v>93.041405127344674</v>
      </c>
      <c r="P1299" s="2">
        <f>(16112*Table1[[#This Row],[Generation (TWh)]]*10^9)/10^6</f>
        <v>5081080.32</v>
      </c>
      <c r="Q1299" s="2">
        <f>Table1[[#This Row],[Emission Factor (kg CO2/ mmBtu)]]*Table1[[#This Row],[Fuel Consumption (mmBtu)]]*10^3</f>
        <v>472750852537.69812</v>
      </c>
      <c r="R1299" s="2">
        <f>(Table1[[#This Row],[CO2 Emissions (g CO2)]])/(Table1[[#This Row],[Generation (TWh)]]*10^9)</f>
        <v>1499.0831194117775</v>
      </c>
    </row>
    <row r="1300" spans="1:18" hidden="1">
      <c r="A1300" t="s">
        <v>821</v>
      </c>
      <c r="B1300" t="s">
        <v>25</v>
      </c>
      <c r="C1300" t="str">
        <f>SUBSTITUTE(Table1[[#This Row],[Fuel]],", ",",")</f>
        <v>bioenergy: wood &amp; other biomass (solids)</v>
      </c>
      <c r="D1300" t="s">
        <v>25</v>
      </c>
      <c r="G1300">
        <v>39</v>
      </c>
      <c r="H1300" t="s">
        <v>27</v>
      </c>
      <c r="I1300">
        <v>1997</v>
      </c>
      <c r="J1300" t="s">
        <v>21</v>
      </c>
      <c r="K1300">
        <v>-38.277000000000001</v>
      </c>
      <c r="L1300">
        <v>175.88759999999999</v>
      </c>
      <c r="M1300" t="s">
        <v>810</v>
      </c>
      <c r="N1300" s="2">
        <f>Table1[[#This Row],[Capacity (MW)]]*8760*0.72*10^-6</f>
        <v>0.24598079999999997</v>
      </c>
      <c r="O1300" s="2" cm="1">
        <f t="array" ref="O1300">AVERAGE(VLOOKUP(_xlfn.TEXTSPLIT(Table1[[#This Row],[Fuel (no space after comma)]], ","), FuelList_Final_EF!$A$2:$B$32, 2, FALSE))</f>
        <v>93.8</v>
      </c>
      <c r="P1300" s="2">
        <f>(16112*Table1[[#This Row],[Generation (TWh)]]*10^9)/10^6</f>
        <v>3963242.6495999997</v>
      </c>
      <c r="Q1300" s="2">
        <f>Table1[[#This Row],[Emission Factor (kg CO2/ mmBtu)]]*Table1[[#This Row],[Fuel Consumption (mmBtu)]]*10^3</f>
        <v>371752160532.47992</v>
      </c>
      <c r="R1300" s="2">
        <f>(Table1[[#This Row],[CO2 Emissions (g CO2)]])/(Table1[[#This Row],[Generation (TWh)]]*10^9)</f>
        <v>1511.3055999999999</v>
      </c>
    </row>
    <row r="1301" spans="1:18" hidden="1">
      <c r="A1301" t="s">
        <v>822</v>
      </c>
      <c r="B1301" t="s">
        <v>134</v>
      </c>
      <c r="C1301" t="str">
        <f>SUBSTITUTE(Table1[[#This Row],[Fuel]],", ",",")</f>
        <v>bioenergy: unknown,fossil gas: natural gas</v>
      </c>
      <c r="D1301" t="s">
        <v>96</v>
      </c>
      <c r="E1301" t="s">
        <v>69</v>
      </c>
      <c r="G1301">
        <v>128</v>
      </c>
      <c r="H1301" t="s">
        <v>27</v>
      </c>
      <c r="I1301">
        <v>1997</v>
      </c>
      <c r="J1301" t="s">
        <v>21</v>
      </c>
      <c r="K1301">
        <v>60.190919999999998</v>
      </c>
      <c r="L1301">
        <v>23.943650000000002</v>
      </c>
      <c r="M1301" t="s">
        <v>28</v>
      </c>
      <c r="N1301" s="2">
        <f>Table1[[#This Row],[Capacity (MW)]]*8760*0.72*10^-6</f>
        <v>0.80732159999999997</v>
      </c>
      <c r="O1301" s="2" cm="1">
        <f t="array" ref="O1301">AVERAGE(VLOOKUP(_xlfn.TEXTSPLIT(Table1[[#This Row],[Fuel (no space after comma)]], ","), FuelList_Final_EF!$A$2:$B$32, 2, FALSE))</f>
        <v>62.922803008799328</v>
      </c>
      <c r="P1301" s="2">
        <f>(16112*Table1[[#This Row],[Generation (TWh)]]*10^9)/10^6</f>
        <v>13007565.619199999</v>
      </c>
      <c r="Q1301" s="2">
        <f>Table1[[#This Row],[Emission Factor (kg CO2/ mmBtu)]]*Table1[[#This Row],[Fuel Consumption (mmBtu)]]*10^3</f>
        <v>818472489080.95239</v>
      </c>
      <c r="R1301" s="2">
        <f>(Table1[[#This Row],[CO2 Emissions (g CO2)]])/(Table1[[#This Row],[Generation (TWh)]]*10^9)</f>
        <v>1013.8122020777747</v>
      </c>
    </row>
    <row r="1302" spans="1:18" hidden="1">
      <c r="A1302" t="s">
        <v>823</v>
      </c>
      <c r="B1302" t="s">
        <v>61</v>
      </c>
      <c r="C1302" t="str">
        <f>SUBSTITUTE(Table1[[#This Row],[Fuel]],", ",",")</f>
        <v>bioenergy: paper mill wastes</v>
      </c>
      <c r="D1302" t="s">
        <v>61</v>
      </c>
      <c r="G1302">
        <v>165</v>
      </c>
      <c r="H1302" t="s">
        <v>27</v>
      </c>
      <c r="I1302">
        <v>2016</v>
      </c>
      <c r="J1302" t="s">
        <v>21</v>
      </c>
      <c r="K1302">
        <v>-24.243600000000001</v>
      </c>
      <c r="L1302">
        <v>-50.741399999999999</v>
      </c>
      <c r="M1302" t="s">
        <v>49</v>
      </c>
      <c r="N1302" s="2">
        <f>Table1[[#This Row],[Capacity (MW)]]*8760*0.72*10^-6</f>
        <v>1.0406880000000001</v>
      </c>
      <c r="O1302" s="2" cm="1">
        <f t="array" ref="O1302">AVERAGE(VLOOKUP(_xlfn.TEXTSPLIT(Table1[[#This Row],[Fuel (no space after comma)]], ","), FuelList_Final_EF!$A$2:$B$32, 2, FALSE))</f>
        <v>100.47443331576173</v>
      </c>
      <c r="P1302" s="2">
        <f>(16112*Table1[[#This Row],[Generation (TWh)]]*10^9)/10^6</f>
        <v>16767565.056</v>
      </c>
      <c r="Q1302" s="2">
        <f>Table1[[#This Row],[Emission Factor (kg CO2/ mmBtu)]]*Table1[[#This Row],[Fuel Consumption (mmBtu)]]*10^3</f>
        <v>1684711597086.7686</v>
      </c>
      <c r="R1302" s="2">
        <f>(Table1[[#This Row],[CO2 Emissions (g CO2)]])/(Table1[[#This Row],[Generation (TWh)]]*10^9)</f>
        <v>1618.8440695835529</v>
      </c>
    </row>
    <row r="1303" spans="1:18" hidden="1">
      <c r="A1303" t="s">
        <v>823</v>
      </c>
      <c r="B1303" t="s">
        <v>61</v>
      </c>
      <c r="C1303" t="str">
        <f>SUBSTITUTE(Table1[[#This Row],[Fuel]],", ",",")</f>
        <v>bioenergy: paper mill wastes</v>
      </c>
      <c r="D1303" t="s">
        <v>61</v>
      </c>
      <c r="G1303">
        <v>165</v>
      </c>
      <c r="H1303" t="s">
        <v>27</v>
      </c>
      <c r="I1303">
        <v>2016</v>
      </c>
      <c r="J1303" t="s">
        <v>21</v>
      </c>
      <c r="K1303">
        <v>-24.243600000000001</v>
      </c>
      <c r="L1303">
        <v>-50.741399999999999</v>
      </c>
      <c r="M1303" t="s">
        <v>49</v>
      </c>
      <c r="N1303" s="2">
        <f>Table1[[#This Row],[Capacity (MW)]]*8760*0.72*10^-6</f>
        <v>1.0406880000000001</v>
      </c>
      <c r="O1303" s="2" cm="1">
        <f t="array" ref="O1303">AVERAGE(VLOOKUP(_xlfn.TEXTSPLIT(Table1[[#This Row],[Fuel (no space after comma)]], ","), FuelList_Final_EF!$A$2:$B$32, 2, FALSE))</f>
        <v>100.47443331576173</v>
      </c>
      <c r="P1303" s="2">
        <f>(16112*Table1[[#This Row],[Generation (TWh)]]*10^9)/10^6</f>
        <v>16767565.056</v>
      </c>
      <c r="Q1303" s="2">
        <f>Table1[[#This Row],[Emission Factor (kg CO2/ mmBtu)]]*Table1[[#This Row],[Fuel Consumption (mmBtu)]]*10^3</f>
        <v>1684711597086.7686</v>
      </c>
      <c r="R1303" s="2">
        <f>(Table1[[#This Row],[CO2 Emissions (g CO2)]])/(Table1[[#This Row],[Generation (TWh)]]*10^9)</f>
        <v>1618.8440695835529</v>
      </c>
    </row>
    <row r="1304" spans="1:18" hidden="1">
      <c r="A1304" t="s">
        <v>823</v>
      </c>
      <c r="B1304" t="s">
        <v>61</v>
      </c>
      <c r="C1304" t="str">
        <f>SUBSTITUTE(Table1[[#This Row],[Fuel]],", ",",")</f>
        <v>bioenergy: paper mill wastes</v>
      </c>
      <c r="D1304" t="s">
        <v>61</v>
      </c>
      <c r="G1304">
        <v>38</v>
      </c>
      <c r="H1304" t="s">
        <v>27</v>
      </c>
      <c r="I1304">
        <v>1969</v>
      </c>
      <c r="J1304" t="s">
        <v>21</v>
      </c>
      <c r="K1304">
        <v>-27.584800000000001</v>
      </c>
      <c r="L1304">
        <v>-50.363799999999998</v>
      </c>
      <c r="M1304" t="s">
        <v>49</v>
      </c>
      <c r="N1304" s="2">
        <f>Table1[[#This Row],[Capacity (MW)]]*8760*0.72*10^-6</f>
        <v>0.23967359999999996</v>
      </c>
      <c r="O1304" s="2" cm="1">
        <f t="array" ref="O1304">AVERAGE(VLOOKUP(_xlfn.TEXTSPLIT(Table1[[#This Row],[Fuel (no space after comma)]], ","), FuelList_Final_EF!$A$2:$B$32, 2, FALSE))</f>
        <v>100.47443331576173</v>
      </c>
      <c r="P1304" s="2">
        <f>(16112*Table1[[#This Row],[Generation (TWh)]]*10^9)/10^6</f>
        <v>3861621.0431999997</v>
      </c>
      <c r="Q1304" s="2">
        <f>Table1[[#This Row],[Emission Factor (kg CO2/ mmBtu)]]*Table1[[#This Row],[Fuel Consumption (mmBtu)]]*10^3</f>
        <v>387994185995.7406</v>
      </c>
      <c r="R1304" s="2">
        <f>(Table1[[#This Row],[CO2 Emissions (g CO2)]])/(Table1[[#This Row],[Generation (TWh)]]*10^9)</f>
        <v>1618.8440695835529</v>
      </c>
    </row>
    <row r="1305" spans="1:18" hidden="1">
      <c r="A1305" t="s">
        <v>823</v>
      </c>
      <c r="B1305" t="s">
        <v>61</v>
      </c>
      <c r="C1305" t="str">
        <f>SUBSTITUTE(Table1[[#This Row],[Fuel]],", ",",")</f>
        <v>bioenergy: paper mill wastes</v>
      </c>
      <c r="D1305" t="s">
        <v>61</v>
      </c>
      <c r="G1305">
        <v>34</v>
      </c>
      <c r="H1305" t="s">
        <v>27</v>
      </c>
      <c r="I1305">
        <v>1955</v>
      </c>
      <c r="J1305" t="s">
        <v>21</v>
      </c>
      <c r="K1305">
        <v>-27.505700000000001</v>
      </c>
      <c r="L1305">
        <v>-50.101100000000002</v>
      </c>
      <c r="M1305" t="s">
        <v>49</v>
      </c>
      <c r="N1305" s="2">
        <f>Table1[[#This Row],[Capacity (MW)]]*8760*0.72*10^-6</f>
        <v>0.21444479999999999</v>
      </c>
      <c r="O1305" s="2" cm="1">
        <f t="array" ref="O1305">AVERAGE(VLOOKUP(_xlfn.TEXTSPLIT(Table1[[#This Row],[Fuel (no space after comma)]], ","), FuelList_Final_EF!$A$2:$B$32, 2, FALSE))</f>
        <v>100.47443331576173</v>
      </c>
      <c r="P1305" s="2">
        <f>(16112*Table1[[#This Row],[Generation (TWh)]]*10^9)/10^6</f>
        <v>3455134.6175999995</v>
      </c>
      <c r="Q1305" s="2">
        <f>Table1[[#This Row],[Emission Factor (kg CO2/ mmBtu)]]*Table1[[#This Row],[Fuel Consumption (mmBtu)]]*10^3</f>
        <v>347152692733.03101</v>
      </c>
      <c r="R1305" s="2">
        <f>(Table1[[#This Row],[CO2 Emissions (g CO2)]])/(Table1[[#This Row],[Generation (TWh)]]*10^9)</f>
        <v>1618.8440695835525</v>
      </c>
    </row>
    <row r="1306" spans="1:18" hidden="1">
      <c r="A1306" t="s">
        <v>823</v>
      </c>
      <c r="B1306" t="s">
        <v>61</v>
      </c>
      <c r="C1306" t="str">
        <f>SUBSTITUTE(Table1[[#This Row],[Fuel]],", ",",")</f>
        <v>bioenergy: paper mill wastes</v>
      </c>
      <c r="D1306" t="s">
        <v>61</v>
      </c>
      <c r="G1306">
        <v>113</v>
      </c>
      <c r="H1306" t="s">
        <v>27</v>
      </c>
      <c r="I1306">
        <v>1961</v>
      </c>
      <c r="J1306" t="s">
        <v>21</v>
      </c>
      <c r="K1306">
        <v>-24.309100000000001</v>
      </c>
      <c r="L1306">
        <v>-50.599400000000003</v>
      </c>
      <c r="M1306" t="s">
        <v>49</v>
      </c>
      <c r="N1306" s="2">
        <f>Table1[[#This Row],[Capacity (MW)]]*8760*0.72*10^-6</f>
        <v>0.71271359999999995</v>
      </c>
      <c r="O1306" s="2" cm="1">
        <f t="array" ref="O1306">AVERAGE(VLOOKUP(_xlfn.TEXTSPLIT(Table1[[#This Row],[Fuel (no space after comma)]], ","), FuelList_Final_EF!$A$2:$B$32, 2, FALSE))</f>
        <v>100.47443331576173</v>
      </c>
      <c r="P1306" s="2">
        <f>(16112*Table1[[#This Row],[Generation (TWh)]]*10^9)/10^6</f>
        <v>11483241.523199998</v>
      </c>
      <c r="Q1306" s="2">
        <f>Table1[[#This Row],[Emission Factor (kg CO2/ mmBtu)]]*Table1[[#This Row],[Fuel Consumption (mmBtu)]]*10^3</f>
        <v>1153772184671.5444</v>
      </c>
      <c r="R1306" s="2">
        <f>(Table1[[#This Row],[CO2 Emissions (g CO2)]])/(Table1[[#This Row],[Generation (TWh)]]*10^9)</f>
        <v>1618.8440695835529</v>
      </c>
    </row>
    <row r="1307" spans="1:18" hidden="1">
      <c r="A1307" t="s">
        <v>823</v>
      </c>
      <c r="B1307" t="s">
        <v>61</v>
      </c>
      <c r="C1307" t="str">
        <f>SUBSTITUTE(Table1[[#This Row],[Fuel]],", ",",")</f>
        <v>bioenergy: paper mill wastes</v>
      </c>
      <c r="D1307" t="s">
        <v>61</v>
      </c>
      <c r="G1307">
        <v>135</v>
      </c>
      <c r="H1307" t="s">
        <v>27</v>
      </c>
      <c r="I1307">
        <v>2022</v>
      </c>
      <c r="J1307" t="s">
        <v>21</v>
      </c>
      <c r="K1307">
        <v>-24.244299999999999</v>
      </c>
      <c r="L1307">
        <v>-50.743499999999997</v>
      </c>
      <c r="M1307" t="s">
        <v>49</v>
      </c>
      <c r="N1307" s="2">
        <f>Table1[[#This Row],[Capacity (MW)]]*8760*0.72*10^-6</f>
        <v>0.85147200000000001</v>
      </c>
      <c r="O1307" s="2" cm="1">
        <f t="array" ref="O1307">AVERAGE(VLOOKUP(_xlfn.TEXTSPLIT(Table1[[#This Row],[Fuel (no space after comma)]], ","), FuelList_Final_EF!$A$2:$B$32, 2, FALSE))</f>
        <v>100.47443331576173</v>
      </c>
      <c r="P1307" s="2">
        <f>(16112*Table1[[#This Row],[Generation (TWh)]]*10^9)/10^6</f>
        <v>13718916.864</v>
      </c>
      <c r="Q1307" s="2">
        <f>Table1[[#This Row],[Emission Factor (kg CO2/ mmBtu)]]*Table1[[#This Row],[Fuel Consumption (mmBtu)]]*10^3</f>
        <v>1378400397616.447</v>
      </c>
      <c r="R1307" s="2">
        <f>(Table1[[#This Row],[CO2 Emissions (g CO2)]])/(Table1[[#This Row],[Generation (TWh)]]*10^9)</f>
        <v>1618.8440695835529</v>
      </c>
    </row>
    <row r="1308" spans="1:18">
      <c r="A1308" t="s">
        <v>824</v>
      </c>
      <c r="B1308" t="s">
        <v>19</v>
      </c>
      <c r="C1308" t="str">
        <f>SUBSTITUTE(Table1[[#This Row],[Fuel]],", ",",")</f>
        <v>bioenergy: refuse (municipal and industrial wastes)</v>
      </c>
      <c r="D1308" t="s">
        <v>19</v>
      </c>
      <c r="G1308">
        <v>30</v>
      </c>
      <c r="H1308" t="s">
        <v>20</v>
      </c>
      <c r="I1308" t="s">
        <v>21</v>
      </c>
      <c r="J1308" t="s">
        <v>21</v>
      </c>
      <c r="K1308">
        <v>13.136200000000001</v>
      </c>
      <c r="L1308">
        <v>80.2684</v>
      </c>
      <c r="M1308" t="s">
        <v>66</v>
      </c>
      <c r="N1308" s="2">
        <f>Table1[[#This Row],[Capacity (MW)]]*8760*0.72*10^-6</f>
        <v>0.189216</v>
      </c>
      <c r="O1308" s="2" cm="1">
        <f t="array" ref="O1308">AVERAGE(VLOOKUP(_xlfn.TEXTSPLIT(Table1[[#This Row],[Fuel (no space after comma)]], ","), FuelList_Final_EF!$A$2:$B$32, 2, FALSE))</f>
        <v>105.42962572482868</v>
      </c>
      <c r="P1308" s="2">
        <f>(16112*Table1[[#This Row],[Generation (TWh)]]*10^9)/10^6</f>
        <v>3048648.1919999998</v>
      </c>
      <c r="Q1308" s="2">
        <f>Table1[[#This Row],[Emission Factor (kg CO2/ mmBtu)]]*Table1[[#This Row],[Fuel Consumption (mmBtu)]]*10^3</f>
        <v>321417837849.23566</v>
      </c>
      <c r="R1308" s="2">
        <f>(Table1[[#This Row],[CO2 Emissions (g CO2)]])/(Table1[[#This Row],[Generation (TWh)]]*10^9)</f>
        <v>1698.6821296784397</v>
      </c>
    </row>
    <row r="1309" spans="1:18" hidden="1">
      <c r="A1309" t="s">
        <v>825</v>
      </c>
      <c r="B1309" t="s">
        <v>25</v>
      </c>
      <c r="C1309" t="str">
        <f>SUBSTITUTE(Table1[[#This Row],[Fuel]],", ",",")</f>
        <v>bioenergy: wood &amp; other biomass (solids)</v>
      </c>
      <c r="D1309" t="s">
        <v>25</v>
      </c>
      <c r="G1309">
        <v>50</v>
      </c>
      <c r="H1309" t="s">
        <v>27</v>
      </c>
      <c r="I1309">
        <v>1958</v>
      </c>
      <c r="J1309" t="s">
        <v>21</v>
      </c>
      <c r="K1309">
        <v>52.283656999999998</v>
      </c>
      <c r="L1309">
        <v>18.269475</v>
      </c>
      <c r="M1309" t="s">
        <v>196</v>
      </c>
      <c r="N1309" s="2">
        <f>Table1[[#This Row],[Capacity (MW)]]*8760*0.72*10^-6</f>
        <v>0.31535999999999997</v>
      </c>
      <c r="O1309" s="2" cm="1">
        <f t="array" ref="O1309">AVERAGE(VLOOKUP(_xlfn.TEXTSPLIT(Table1[[#This Row],[Fuel (no space after comma)]], ","), FuelList_Final_EF!$A$2:$B$32, 2, FALSE))</f>
        <v>93.8</v>
      </c>
      <c r="P1309" s="2">
        <f>(16112*Table1[[#This Row],[Generation (TWh)]]*10^9)/10^6</f>
        <v>5081080.32</v>
      </c>
      <c r="Q1309" s="2">
        <f>Table1[[#This Row],[Emission Factor (kg CO2/ mmBtu)]]*Table1[[#This Row],[Fuel Consumption (mmBtu)]]*10^3</f>
        <v>476605334016.00006</v>
      </c>
      <c r="R1309" s="2">
        <f>(Table1[[#This Row],[CO2 Emissions (g CO2)]])/(Table1[[#This Row],[Generation (TWh)]]*10^9)</f>
        <v>1511.3056000000001</v>
      </c>
    </row>
    <row r="1310" spans="1:18" hidden="1">
      <c r="A1310" t="s">
        <v>825</v>
      </c>
      <c r="B1310" t="s">
        <v>25</v>
      </c>
      <c r="C1310" t="str">
        <f>SUBSTITUTE(Table1[[#This Row],[Fuel]],", ",",")</f>
        <v>bioenergy: wood &amp; other biomass (solids)</v>
      </c>
      <c r="D1310" t="s">
        <v>25</v>
      </c>
      <c r="G1310">
        <v>50</v>
      </c>
      <c r="H1310" t="s">
        <v>27</v>
      </c>
      <c r="I1310">
        <v>2012</v>
      </c>
      <c r="J1310" t="s">
        <v>21</v>
      </c>
      <c r="K1310">
        <v>52.283656999999998</v>
      </c>
      <c r="L1310">
        <v>18.269475</v>
      </c>
      <c r="M1310" t="s">
        <v>196</v>
      </c>
      <c r="N1310" s="2">
        <f>Table1[[#This Row],[Capacity (MW)]]*8760*0.72*10^-6</f>
        <v>0.31535999999999997</v>
      </c>
      <c r="O1310" s="2" cm="1">
        <f t="array" ref="O1310">AVERAGE(VLOOKUP(_xlfn.TEXTSPLIT(Table1[[#This Row],[Fuel (no space after comma)]], ","), FuelList_Final_EF!$A$2:$B$32, 2, FALSE))</f>
        <v>93.8</v>
      </c>
      <c r="P1310" s="2">
        <f>(16112*Table1[[#This Row],[Generation (TWh)]]*10^9)/10^6</f>
        <v>5081080.32</v>
      </c>
      <c r="Q1310" s="2">
        <f>Table1[[#This Row],[Emission Factor (kg CO2/ mmBtu)]]*Table1[[#This Row],[Fuel Consumption (mmBtu)]]*10^3</f>
        <v>476605334016.00006</v>
      </c>
      <c r="R1310" s="2">
        <f>(Table1[[#This Row],[CO2 Emissions (g CO2)]])/(Table1[[#This Row],[Generation (TWh)]]*10^9)</f>
        <v>1511.3056000000001</v>
      </c>
    </row>
    <row r="1311" spans="1:18" hidden="1">
      <c r="A1311" t="s">
        <v>826</v>
      </c>
      <c r="B1311" t="s">
        <v>134</v>
      </c>
      <c r="C1311" t="str">
        <f>SUBSTITUTE(Table1[[#This Row],[Fuel]],", ",",")</f>
        <v>bioenergy: unknown,fossil gas: natural gas</v>
      </c>
      <c r="D1311" t="s">
        <v>96</v>
      </c>
      <c r="E1311" t="s">
        <v>69</v>
      </c>
      <c r="G1311">
        <v>46</v>
      </c>
      <c r="H1311" t="s">
        <v>27</v>
      </c>
      <c r="I1311">
        <v>2009</v>
      </c>
      <c r="J1311" t="s">
        <v>21</v>
      </c>
      <c r="K1311">
        <v>60.471600000000002</v>
      </c>
      <c r="L1311">
        <v>26.935870000000001</v>
      </c>
      <c r="M1311" t="s">
        <v>28</v>
      </c>
      <c r="N1311" s="2">
        <f>Table1[[#This Row],[Capacity (MW)]]*8760*0.72*10^-6</f>
        <v>0.29013119999999998</v>
      </c>
      <c r="O1311" s="2" cm="1">
        <f t="array" ref="O1311">AVERAGE(VLOOKUP(_xlfn.TEXTSPLIT(Table1[[#This Row],[Fuel (no space after comma)]], ","), FuelList_Final_EF!$A$2:$B$32, 2, FALSE))</f>
        <v>62.922803008799328</v>
      </c>
      <c r="P1311" s="2">
        <f>(16112*Table1[[#This Row],[Generation (TWh)]]*10^9)/10^6</f>
        <v>4674593.8943999996</v>
      </c>
      <c r="Q1311" s="2">
        <f>Table1[[#This Row],[Emission Factor (kg CO2/ mmBtu)]]*Table1[[#This Row],[Fuel Consumption (mmBtu)]]*10^3</f>
        <v>294138550763.46722</v>
      </c>
      <c r="R1311" s="2">
        <f>(Table1[[#This Row],[CO2 Emissions (g CO2)]])/(Table1[[#This Row],[Generation (TWh)]]*10^9)</f>
        <v>1013.8122020777746</v>
      </c>
    </row>
    <row r="1312" spans="1:18" hidden="1">
      <c r="A1312" t="s">
        <v>827</v>
      </c>
      <c r="B1312" t="s">
        <v>828</v>
      </c>
      <c r="C1312" t="str">
        <f>SUBSTITUTE(Table1[[#This Row],[Fuel]],", ",",")</f>
        <v>bioenergy: unknown,bioenergy: wood &amp; other biomass (solids),other: other</v>
      </c>
      <c r="D1312" t="s">
        <v>96</v>
      </c>
      <c r="E1312" t="s">
        <v>25</v>
      </c>
      <c r="F1312" t="s">
        <v>216</v>
      </c>
      <c r="G1312">
        <v>65</v>
      </c>
      <c r="H1312" t="s">
        <v>27</v>
      </c>
      <c r="I1312">
        <v>1964</v>
      </c>
      <c r="J1312" t="s">
        <v>21</v>
      </c>
      <c r="K1312">
        <v>58.418799999999997</v>
      </c>
      <c r="L1312">
        <v>15.623900000000001</v>
      </c>
      <c r="M1312" t="s">
        <v>34</v>
      </c>
      <c r="N1312" s="2">
        <f>Table1[[#This Row],[Capacity (MW)]]*8760*0.72*10^-6</f>
        <v>0.409968</v>
      </c>
      <c r="O1312" s="2" cm="1">
        <f t="array" ref="O1312">AVERAGE(VLOOKUP(_xlfn.TEXTSPLIT(Table1[[#This Row],[Fuel (no space after comma)]], ","), FuelList_Final_EF!$A$2:$B$32, 2, FALSE))</f>
        <v>84.185202005866216</v>
      </c>
      <c r="P1312" s="2">
        <f>(16112*Table1[[#This Row],[Generation (TWh)]]*10^9)/10^6</f>
        <v>6605404.4160000002</v>
      </c>
      <c r="Q1312" s="2">
        <f>Table1[[#This Row],[Emission Factor (kg CO2/ mmBtu)]]*Table1[[#This Row],[Fuel Consumption (mmBtu)]]*10^3</f>
        <v>556077305091.40076</v>
      </c>
      <c r="R1312" s="2">
        <f>(Table1[[#This Row],[CO2 Emissions (g CO2)]])/(Table1[[#This Row],[Generation (TWh)]]*10^9)</f>
        <v>1356.3919747185164</v>
      </c>
    </row>
    <row r="1313" spans="1:18" hidden="1">
      <c r="A1313" t="s">
        <v>829</v>
      </c>
      <c r="B1313" t="s">
        <v>19</v>
      </c>
      <c r="C1313" t="str">
        <f>SUBSTITUTE(Table1[[#This Row],[Fuel]],", ",",")</f>
        <v>bioenergy: refuse (municipal and industrial wastes)</v>
      </c>
      <c r="D1313" t="s">
        <v>19</v>
      </c>
      <c r="G1313">
        <v>38</v>
      </c>
      <c r="H1313" t="s">
        <v>53</v>
      </c>
      <c r="I1313">
        <v>2027</v>
      </c>
      <c r="J1313" t="s">
        <v>21</v>
      </c>
      <c r="K1313">
        <v>-32.209800000000001</v>
      </c>
      <c r="L1313">
        <v>115.77679999999999</v>
      </c>
      <c r="M1313" t="s">
        <v>235</v>
      </c>
      <c r="N1313" s="2">
        <f>Table1[[#This Row],[Capacity (MW)]]*8760*0.72*10^-6</f>
        <v>0.23967359999999996</v>
      </c>
      <c r="O1313" s="2" cm="1">
        <f t="array" ref="O1313">AVERAGE(VLOOKUP(_xlfn.TEXTSPLIT(Table1[[#This Row],[Fuel (no space after comma)]], ","), FuelList_Final_EF!$A$2:$B$32, 2, FALSE))</f>
        <v>105.42962572482868</v>
      </c>
      <c r="P1313" s="2">
        <f>(16112*Table1[[#This Row],[Generation (TWh)]]*10^9)/10^6</f>
        <v>3861621.0431999997</v>
      </c>
      <c r="Q1313" s="2">
        <f>Table1[[#This Row],[Emission Factor (kg CO2/ mmBtu)]]*Table1[[#This Row],[Fuel Consumption (mmBtu)]]*10^3</f>
        <v>407129261275.69849</v>
      </c>
      <c r="R1313" s="2">
        <f>(Table1[[#This Row],[CO2 Emissions (g CO2)]])/(Table1[[#This Row],[Generation (TWh)]]*10^9)</f>
        <v>1698.6821296784399</v>
      </c>
    </row>
    <row r="1314" spans="1:18" hidden="1">
      <c r="A1314" t="s">
        <v>830</v>
      </c>
      <c r="B1314" t="s">
        <v>261</v>
      </c>
      <c r="C1314" t="str">
        <f>SUBSTITUTE(Table1[[#This Row],[Fuel]],", ",",")</f>
        <v>bioenergy: wood &amp; other biomass (solids),bioenergy: paper mill wastes,fossil gas: natural gas</v>
      </c>
      <c r="D1314" t="s">
        <v>25</v>
      </c>
      <c r="E1314" t="s">
        <v>61</v>
      </c>
      <c r="F1314" t="s">
        <v>69</v>
      </c>
      <c r="G1314">
        <v>76</v>
      </c>
      <c r="H1314" t="s">
        <v>27</v>
      </c>
      <c r="I1314">
        <v>2008</v>
      </c>
      <c r="J1314" t="s">
        <v>21</v>
      </c>
      <c r="K1314">
        <v>60.9101</v>
      </c>
      <c r="L1314">
        <v>26.660299999999999</v>
      </c>
      <c r="M1314" t="s">
        <v>28</v>
      </c>
      <c r="N1314" s="2">
        <f>Table1[[#This Row],[Capacity (MW)]]*8760*0.72*10^-6</f>
        <v>0.47934719999999992</v>
      </c>
      <c r="O1314" s="2" cm="1">
        <f t="array" ref="O1314">AVERAGE(VLOOKUP(_xlfn.TEXTSPLIT(Table1[[#This Row],[Fuel (no space after comma)]], ","), FuelList_Final_EF!$A$2:$B$32, 2, FALSE))</f>
        <v>82.444811105253905</v>
      </c>
      <c r="P1314" s="2">
        <f>(16112*Table1[[#This Row],[Generation (TWh)]]*10^9)/10^6</f>
        <v>7723242.0863999994</v>
      </c>
      <c r="Q1314" s="2">
        <f>Table1[[#This Row],[Emission Factor (kg CO2/ mmBtu)]]*Table1[[#This Row],[Fuel Consumption (mmBtu)]]*10^3</f>
        <v>636741234933.39502</v>
      </c>
      <c r="R1314" s="2">
        <f>(Table1[[#This Row],[CO2 Emissions (g CO2)]])/(Table1[[#This Row],[Generation (TWh)]]*10^9)</f>
        <v>1328.3507965278509</v>
      </c>
    </row>
    <row r="1315" spans="1:18" hidden="1">
      <c r="A1315" t="s">
        <v>831</v>
      </c>
      <c r="B1315" t="s">
        <v>25</v>
      </c>
      <c r="C1315" t="str">
        <f>SUBSTITUTE(Table1[[#This Row],[Fuel]],", ",",")</f>
        <v>bioenergy: wood &amp; other biomass (solids)</v>
      </c>
      <c r="D1315" t="s">
        <v>25</v>
      </c>
      <c r="G1315">
        <v>45</v>
      </c>
      <c r="H1315" t="s">
        <v>27</v>
      </c>
      <c r="I1315">
        <v>2020</v>
      </c>
      <c r="J1315" t="s">
        <v>21</v>
      </c>
      <c r="K1315">
        <v>60.993200000000002</v>
      </c>
      <c r="L1315">
        <v>25.7193</v>
      </c>
      <c r="M1315" t="s">
        <v>28</v>
      </c>
      <c r="N1315" s="2">
        <f>Table1[[#This Row],[Capacity (MW)]]*8760*0.72*10^-6</f>
        <v>0.28382399999999997</v>
      </c>
      <c r="O1315" s="2" cm="1">
        <f t="array" ref="O1315">AVERAGE(VLOOKUP(_xlfn.TEXTSPLIT(Table1[[#This Row],[Fuel (no space after comma)]], ","), FuelList_Final_EF!$A$2:$B$32, 2, FALSE))</f>
        <v>93.8</v>
      </c>
      <c r="P1315" s="2">
        <f>(16112*Table1[[#This Row],[Generation (TWh)]]*10^9)/10^6</f>
        <v>4572972.2879999988</v>
      </c>
      <c r="Q1315" s="2">
        <f>Table1[[#This Row],[Emission Factor (kg CO2/ mmBtu)]]*Table1[[#This Row],[Fuel Consumption (mmBtu)]]*10^3</f>
        <v>428944800614.39984</v>
      </c>
      <c r="R1315" s="2">
        <f>(Table1[[#This Row],[CO2 Emissions (g CO2)]])/(Table1[[#This Row],[Generation (TWh)]]*10^9)</f>
        <v>1511.3055999999997</v>
      </c>
    </row>
    <row r="1316" spans="1:18" hidden="1">
      <c r="A1316" t="s">
        <v>831</v>
      </c>
      <c r="B1316" t="s">
        <v>322</v>
      </c>
      <c r="C1316" t="str">
        <f>SUBSTITUTE(Table1[[#This Row],[Fuel]],", ",",")</f>
        <v>bioenergy: refuse (syngas)</v>
      </c>
      <c r="D1316" t="s">
        <v>322</v>
      </c>
      <c r="G1316">
        <v>50</v>
      </c>
      <c r="H1316" t="s">
        <v>27</v>
      </c>
      <c r="I1316">
        <v>2012</v>
      </c>
      <c r="J1316" t="s">
        <v>21</v>
      </c>
      <c r="K1316">
        <v>60.993200000000002</v>
      </c>
      <c r="L1316">
        <v>25.7193</v>
      </c>
      <c r="M1316" t="s">
        <v>28</v>
      </c>
      <c r="N1316" s="2">
        <f>Table1[[#This Row],[Capacity (MW)]]*8760*0.72*10^-6</f>
        <v>0.31535999999999997</v>
      </c>
      <c r="O1316" s="2" cm="1">
        <f t="array" ref="O1316">AVERAGE(VLOOKUP(_xlfn.TEXTSPLIT(Table1[[#This Row],[Fuel (no space after comma)]], ","), FuelList_Final_EF!$A$2:$B$32, 2, FALSE))</f>
        <v>46.81075382182393</v>
      </c>
      <c r="P1316" s="2">
        <f>(16112*Table1[[#This Row],[Generation (TWh)]]*10^9)/10^6</f>
        <v>5081080.32</v>
      </c>
      <c r="Q1316" s="2">
        <f>Table1[[#This Row],[Emission Factor (kg CO2/ mmBtu)]]*Table1[[#This Row],[Fuel Consumption (mmBtu)]]*10^3</f>
        <v>237849200008.43439</v>
      </c>
      <c r="R1316" s="2">
        <f>(Table1[[#This Row],[CO2 Emissions (g CO2)]])/(Table1[[#This Row],[Generation (TWh)]]*10^9)</f>
        <v>754.21486557722721</v>
      </c>
    </row>
    <row r="1317" spans="1:18" hidden="1">
      <c r="A1317" t="s">
        <v>831</v>
      </c>
      <c r="B1317" t="s">
        <v>134</v>
      </c>
      <c r="C1317" t="str">
        <f>SUBSTITUTE(Table1[[#This Row],[Fuel]],", ",",")</f>
        <v>bioenergy: unknown,fossil gas: natural gas</v>
      </c>
      <c r="D1317" t="s">
        <v>96</v>
      </c>
      <c r="E1317" t="s">
        <v>69</v>
      </c>
      <c r="G1317">
        <v>76</v>
      </c>
      <c r="H1317" t="s">
        <v>27</v>
      </c>
      <c r="I1317">
        <v>2012</v>
      </c>
      <c r="J1317" t="s">
        <v>21</v>
      </c>
      <c r="K1317">
        <v>60.993200000000002</v>
      </c>
      <c r="L1317">
        <v>25.7193</v>
      </c>
      <c r="M1317" t="s">
        <v>28</v>
      </c>
      <c r="N1317" s="2">
        <f>Table1[[#This Row],[Capacity (MW)]]*8760*0.72*10^-6</f>
        <v>0.47934719999999992</v>
      </c>
      <c r="O1317" s="2" cm="1">
        <f t="array" ref="O1317">AVERAGE(VLOOKUP(_xlfn.TEXTSPLIT(Table1[[#This Row],[Fuel (no space after comma)]], ","), FuelList_Final_EF!$A$2:$B$32, 2, FALSE))</f>
        <v>62.922803008799328</v>
      </c>
      <c r="P1317" s="2">
        <f>(16112*Table1[[#This Row],[Generation (TWh)]]*10^9)/10^6</f>
        <v>7723242.0863999994</v>
      </c>
      <c r="Q1317" s="2">
        <f>Table1[[#This Row],[Emission Factor (kg CO2/ mmBtu)]]*Table1[[#This Row],[Fuel Consumption (mmBtu)]]*10^3</f>
        <v>485968040391.81549</v>
      </c>
      <c r="R1317" s="2">
        <f>(Table1[[#This Row],[CO2 Emissions (g CO2)]])/(Table1[[#This Row],[Generation (TWh)]]*10^9)</f>
        <v>1013.8122020777748</v>
      </c>
    </row>
    <row r="1318" spans="1:18" hidden="1">
      <c r="A1318" t="s">
        <v>832</v>
      </c>
      <c r="B1318" t="s">
        <v>46</v>
      </c>
      <c r="C1318" t="str">
        <f>SUBSTITUTE(Table1[[#This Row],[Fuel]],", ",",")</f>
        <v>bioenergy: agricultural waste (solids)</v>
      </c>
      <c r="D1318" t="s">
        <v>46</v>
      </c>
      <c r="G1318">
        <v>30</v>
      </c>
      <c r="H1318" t="s">
        <v>53</v>
      </c>
      <c r="I1318">
        <v>2025</v>
      </c>
      <c r="J1318" t="s">
        <v>21</v>
      </c>
      <c r="K1318">
        <v>-26.817299999999999</v>
      </c>
      <c r="L1318">
        <v>-65.0852</v>
      </c>
      <c r="M1318" t="s">
        <v>397</v>
      </c>
      <c r="N1318" s="2">
        <f>Table1[[#This Row],[Capacity (MW)]]*8760*0.72*10^-6</f>
        <v>0.189216</v>
      </c>
      <c r="O1318" s="2" cm="1">
        <f t="array" ref="O1318">AVERAGE(VLOOKUP(_xlfn.TEXTSPLIT(Table1[[#This Row],[Fuel (no space after comma)]], ","), FuelList_Final_EF!$A$2:$B$32, 2, FALSE))</f>
        <v>118.17</v>
      </c>
      <c r="P1318" s="2">
        <f>(16112*Table1[[#This Row],[Generation (TWh)]]*10^9)/10^6</f>
        <v>3048648.1919999998</v>
      </c>
      <c r="Q1318" s="2">
        <f>Table1[[#This Row],[Emission Factor (kg CO2/ mmBtu)]]*Table1[[#This Row],[Fuel Consumption (mmBtu)]]*10^3</f>
        <v>360258756848.63995</v>
      </c>
      <c r="R1318" s="2">
        <f>(Table1[[#This Row],[CO2 Emissions (g CO2)]])/(Table1[[#This Row],[Generation (TWh)]]*10^9)</f>
        <v>1903.9550399999998</v>
      </c>
    </row>
    <row r="1319" spans="1:18" hidden="1">
      <c r="A1319" t="s">
        <v>832</v>
      </c>
      <c r="B1319" t="s">
        <v>46</v>
      </c>
      <c r="C1319" t="str">
        <f>SUBSTITUTE(Table1[[#This Row],[Fuel]],", ",",")</f>
        <v>bioenergy: agricultural waste (solids)</v>
      </c>
      <c r="D1319" t="s">
        <v>46</v>
      </c>
      <c r="G1319">
        <v>32</v>
      </c>
      <c r="H1319" t="s">
        <v>53</v>
      </c>
      <c r="I1319">
        <v>2025</v>
      </c>
      <c r="J1319" t="s">
        <v>21</v>
      </c>
      <c r="K1319">
        <v>-26.817299999999999</v>
      </c>
      <c r="L1319">
        <v>-65.0852</v>
      </c>
      <c r="M1319" t="s">
        <v>397</v>
      </c>
      <c r="N1319" s="2">
        <f>Table1[[#This Row],[Capacity (MW)]]*8760*0.72*10^-6</f>
        <v>0.20183039999999999</v>
      </c>
      <c r="O1319" s="2" cm="1">
        <f t="array" ref="O1319">AVERAGE(VLOOKUP(_xlfn.TEXTSPLIT(Table1[[#This Row],[Fuel (no space after comma)]], ","), FuelList_Final_EF!$A$2:$B$32, 2, FALSE))</f>
        <v>118.17</v>
      </c>
      <c r="P1319" s="2">
        <f>(16112*Table1[[#This Row],[Generation (TWh)]]*10^9)/10^6</f>
        <v>3251891.4047999997</v>
      </c>
      <c r="Q1319" s="2">
        <f>Table1[[#This Row],[Emission Factor (kg CO2/ mmBtu)]]*Table1[[#This Row],[Fuel Consumption (mmBtu)]]*10^3</f>
        <v>384276007305.21594</v>
      </c>
      <c r="R1319" s="2">
        <f>(Table1[[#This Row],[CO2 Emissions (g CO2)]])/(Table1[[#This Row],[Generation (TWh)]]*10^9)</f>
        <v>1903.9550399999998</v>
      </c>
    </row>
    <row r="1320" spans="1:18" hidden="1">
      <c r="A1320" t="s">
        <v>833</v>
      </c>
      <c r="B1320" t="s">
        <v>251</v>
      </c>
      <c r="C1320" t="str">
        <f>SUBSTITUTE(Table1[[#This Row],[Fuel]],", ",",")</f>
        <v>bioenergy: wood &amp; other biomass (solids),bioenergy: refuse (municipal and industrial wastes)</v>
      </c>
      <c r="D1320" t="s">
        <v>25</v>
      </c>
      <c r="E1320" t="s">
        <v>19</v>
      </c>
      <c r="G1320">
        <v>50</v>
      </c>
      <c r="H1320" t="s">
        <v>53</v>
      </c>
      <c r="I1320">
        <v>2024</v>
      </c>
      <c r="J1320" t="s">
        <v>21</v>
      </c>
      <c r="K1320">
        <v>43.272651400000001</v>
      </c>
      <c r="L1320">
        <v>-5.8081509740000001</v>
      </c>
      <c r="M1320" t="s">
        <v>328</v>
      </c>
      <c r="N1320" s="2">
        <f>Table1[[#This Row],[Capacity (MW)]]*8760*0.72*10^-6</f>
        <v>0.31535999999999997</v>
      </c>
      <c r="O1320" s="2" cm="1">
        <f t="array" ref="O1320">AVERAGE(VLOOKUP(_xlfn.TEXTSPLIT(Table1[[#This Row],[Fuel (no space after comma)]], ","), FuelList_Final_EF!$A$2:$B$32, 2, FALSE))</f>
        <v>99.61481286241434</v>
      </c>
      <c r="P1320" s="2">
        <f>(16112*Table1[[#This Row],[Generation (TWh)]]*10^9)/10^6</f>
        <v>5081080.32</v>
      </c>
      <c r="Q1320" s="2">
        <f>Table1[[#This Row],[Emission Factor (kg CO2/ mmBtu)]]*Table1[[#This Row],[Fuel Consumption (mmBtu)]]*10^3</f>
        <v>506150865215.69641</v>
      </c>
      <c r="R1320" s="2">
        <f>(Table1[[#This Row],[CO2 Emissions (g CO2)]])/(Table1[[#This Row],[Generation (TWh)]]*10^9)</f>
        <v>1604.9938648392199</v>
      </c>
    </row>
    <row r="1321" spans="1:18">
      <c r="A1321" t="s">
        <v>329</v>
      </c>
      <c r="B1321" t="s">
        <v>25</v>
      </c>
      <c r="C1321" t="str">
        <f>SUBSTITUTE(Table1[[#This Row],[Fuel]],", ",",")</f>
        <v>bioenergy: wood &amp; other biomass (solids)</v>
      </c>
      <c r="D1321" t="s">
        <v>25</v>
      </c>
      <c r="G1321">
        <v>50</v>
      </c>
      <c r="H1321" t="s">
        <v>71</v>
      </c>
      <c r="I1321" t="s">
        <v>21</v>
      </c>
      <c r="J1321" t="s">
        <v>21</v>
      </c>
      <c r="K1321">
        <v>43.509900000000002</v>
      </c>
      <c r="L1321">
        <v>-5.7735000000000003</v>
      </c>
      <c r="M1321" t="s">
        <v>328</v>
      </c>
      <c r="N1321" s="2">
        <f>Table1[[#This Row],[Capacity (MW)]]*8760*0.72*10^-6</f>
        <v>0.31535999999999997</v>
      </c>
      <c r="O1321" s="2" cm="1">
        <f t="array" ref="O1321">AVERAGE(VLOOKUP(_xlfn.TEXTSPLIT(Table1[[#This Row],[Fuel (no space after comma)]], ","), FuelList_Final_EF!$A$2:$B$32, 2, FALSE))</f>
        <v>93.8</v>
      </c>
      <c r="P1321" s="2">
        <f>(16112*Table1[[#This Row],[Generation (TWh)]]*10^9)/10^6</f>
        <v>5081080.32</v>
      </c>
      <c r="Q1321" s="2">
        <f>Table1[[#This Row],[Emission Factor (kg CO2/ mmBtu)]]*Table1[[#This Row],[Fuel Consumption (mmBtu)]]*10^3</f>
        <v>476605334016.00006</v>
      </c>
      <c r="R1321" s="2">
        <f>(Table1[[#This Row],[CO2 Emissions (g CO2)]])/(Table1[[#This Row],[Generation (TWh)]]*10^9)</f>
        <v>1511.3056000000001</v>
      </c>
    </row>
    <row r="1322" spans="1:18" hidden="1">
      <c r="A1322" t="s">
        <v>834</v>
      </c>
      <c r="B1322" t="s">
        <v>835</v>
      </c>
      <c r="C1322" t="str">
        <f>SUBSTITUTE(Table1[[#This Row],[Fuel]],", ",",")</f>
        <v>bioenergy: wood &amp; other biomass (solids),bioenergy: refuse (municipal and industrial wastes),other: other</v>
      </c>
      <c r="D1322" t="s">
        <v>25</v>
      </c>
      <c r="E1322" t="s">
        <v>19</v>
      </c>
      <c r="F1322" t="s">
        <v>216</v>
      </c>
      <c r="G1322">
        <v>70</v>
      </c>
      <c r="H1322" t="s">
        <v>27</v>
      </c>
      <c r="I1322">
        <v>2020</v>
      </c>
      <c r="J1322" t="s">
        <v>21</v>
      </c>
      <c r="K1322">
        <v>65.035399999999996</v>
      </c>
      <c r="L1322">
        <v>25.516400000000001</v>
      </c>
      <c r="M1322" t="s">
        <v>28</v>
      </c>
      <c r="N1322" s="2">
        <f>Table1[[#This Row],[Capacity (MW)]]*8760*0.72*10^-6</f>
        <v>0.44150400000000001</v>
      </c>
      <c r="O1322" s="2" cm="1">
        <f t="array" ref="O1322">AVERAGE(VLOOKUP(_xlfn.TEXTSPLIT(Table1[[#This Row],[Fuel (no space after comma)]], ","), FuelList_Final_EF!$A$2:$B$32, 2, FALSE))</f>
        <v>95.066541908276236</v>
      </c>
      <c r="P1322" s="2">
        <f>(16112*Table1[[#This Row],[Generation (TWh)]]*10^9)/10^6</f>
        <v>7113512.4479999999</v>
      </c>
      <c r="Q1322" s="2">
        <f>Table1[[#This Row],[Emission Factor (kg CO2/ mmBtu)]]*Table1[[#This Row],[Fuel Consumption (mmBtu)]]*10^3</f>
        <v>676257029252.83667</v>
      </c>
      <c r="R1322" s="2">
        <f>(Table1[[#This Row],[CO2 Emissions (g CO2)]])/(Table1[[#This Row],[Generation (TWh)]]*10^9)</f>
        <v>1531.7121232261468</v>
      </c>
    </row>
    <row r="1323" spans="1:18">
      <c r="A1323" t="s">
        <v>836</v>
      </c>
      <c r="B1323" t="s">
        <v>46</v>
      </c>
      <c r="C1323" t="str">
        <f>SUBSTITUTE(Table1[[#This Row],[Fuel]],", ",",")</f>
        <v>bioenergy: agricultural waste (solids)</v>
      </c>
      <c r="D1323" t="s">
        <v>46</v>
      </c>
      <c r="G1323">
        <v>30</v>
      </c>
      <c r="H1323" t="s">
        <v>138</v>
      </c>
      <c r="I1323" t="s">
        <v>21</v>
      </c>
      <c r="J1323" t="s">
        <v>21</v>
      </c>
      <c r="K1323">
        <v>-22.4541</v>
      </c>
      <c r="L1323">
        <v>-53.304699999999997</v>
      </c>
      <c r="M1323" t="s">
        <v>49</v>
      </c>
      <c r="N1323" s="2">
        <f>Table1[[#This Row],[Capacity (MW)]]*8760*0.72*10^-6</f>
        <v>0.189216</v>
      </c>
      <c r="O1323" s="2" cm="1">
        <f t="array" ref="O1323">AVERAGE(VLOOKUP(_xlfn.TEXTSPLIT(Table1[[#This Row],[Fuel (no space after comma)]], ","), FuelList_Final_EF!$A$2:$B$32, 2, FALSE))</f>
        <v>118.17</v>
      </c>
      <c r="P1323" s="2">
        <f>(16112*Table1[[#This Row],[Generation (TWh)]]*10^9)/10^6</f>
        <v>3048648.1919999998</v>
      </c>
      <c r="Q1323" s="2">
        <f>Table1[[#This Row],[Emission Factor (kg CO2/ mmBtu)]]*Table1[[#This Row],[Fuel Consumption (mmBtu)]]*10^3</f>
        <v>360258756848.63995</v>
      </c>
      <c r="R1323" s="2">
        <f>(Table1[[#This Row],[CO2 Emissions (g CO2)]])/(Table1[[#This Row],[Generation (TWh)]]*10^9)</f>
        <v>1903.9550399999998</v>
      </c>
    </row>
    <row r="1324" spans="1:18" hidden="1">
      <c r="A1324" t="s">
        <v>836</v>
      </c>
      <c r="B1324" t="s">
        <v>46</v>
      </c>
      <c r="C1324" t="str">
        <f>SUBSTITUTE(Table1[[#This Row],[Fuel]],", ",",")</f>
        <v>bioenergy: agricultural waste (solids)</v>
      </c>
      <c r="D1324" t="s">
        <v>46</v>
      </c>
      <c r="G1324">
        <v>35</v>
      </c>
      <c r="H1324" t="s">
        <v>27</v>
      </c>
      <c r="I1324">
        <v>2011</v>
      </c>
      <c r="J1324" t="s">
        <v>21</v>
      </c>
      <c r="K1324">
        <v>-22.4541</v>
      </c>
      <c r="L1324">
        <v>-53.304699999999997</v>
      </c>
      <c r="M1324" t="s">
        <v>49</v>
      </c>
      <c r="N1324" s="2">
        <f>Table1[[#This Row],[Capacity (MW)]]*8760*0.72*10^-6</f>
        <v>0.220752</v>
      </c>
      <c r="O1324" s="2" cm="1">
        <f t="array" ref="O1324">AVERAGE(VLOOKUP(_xlfn.TEXTSPLIT(Table1[[#This Row],[Fuel (no space after comma)]], ","), FuelList_Final_EF!$A$2:$B$32, 2, FALSE))</f>
        <v>118.17</v>
      </c>
      <c r="P1324" s="2">
        <f>(16112*Table1[[#This Row],[Generation (TWh)]]*10^9)/10^6</f>
        <v>3556756.2239999999</v>
      </c>
      <c r="Q1324" s="2">
        <f>Table1[[#This Row],[Emission Factor (kg CO2/ mmBtu)]]*Table1[[#This Row],[Fuel Consumption (mmBtu)]]*10^3</f>
        <v>420301882990.08002</v>
      </c>
      <c r="R1324" s="2">
        <f>(Table1[[#This Row],[CO2 Emissions (g CO2)]])/(Table1[[#This Row],[Generation (TWh)]]*10^9)</f>
        <v>1903.9550400000001</v>
      </c>
    </row>
    <row r="1325" spans="1:18" hidden="1">
      <c r="A1325" t="s">
        <v>837</v>
      </c>
      <c r="B1325" t="s">
        <v>19</v>
      </c>
      <c r="C1325" t="str">
        <f>SUBSTITUTE(Table1[[#This Row],[Fuel]],", ",",")</f>
        <v>bioenergy: refuse (municipal and industrial wastes)</v>
      </c>
      <c r="D1325" t="s">
        <v>19</v>
      </c>
      <c r="G1325">
        <v>40</v>
      </c>
      <c r="H1325" t="s">
        <v>97</v>
      </c>
      <c r="I1325">
        <v>2027</v>
      </c>
      <c r="J1325" t="s">
        <v>21</v>
      </c>
      <c r="K1325">
        <v>31.627700000000001</v>
      </c>
      <c r="L1325">
        <v>74.418599999999998</v>
      </c>
      <c r="M1325" t="s">
        <v>160</v>
      </c>
      <c r="N1325" s="2">
        <f>Table1[[#This Row],[Capacity (MW)]]*8760*0.72*10^-6</f>
        <v>0.25228800000000001</v>
      </c>
      <c r="O1325" s="2" cm="1">
        <f t="array" ref="O1325">AVERAGE(VLOOKUP(_xlfn.TEXTSPLIT(Table1[[#This Row],[Fuel (no space after comma)]], ","), FuelList_Final_EF!$A$2:$B$32, 2, FALSE))</f>
        <v>105.42962572482868</v>
      </c>
      <c r="P1325" s="2">
        <f>(16112*Table1[[#This Row],[Generation (TWh)]]*10^9)/10^6</f>
        <v>4064864.2560000005</v>
      </c>
      <c r="Q1325" s="2">
        <f>Table1[[#This Row],[Emission Factor (kg CO2/ mmBtu)]]*Table1[[#This Row],[Fuel Consumption (mmBtu)]]*10^3</f>
        <v>428557117132.31427</v>
      </c>
      <c r="R1325" s="2">
        <f>(Table1[[#This Row],[CO2 Emissions (g CO2)]])/(Table1[[#This Row],[Generation (TWh)]]*10^9)</f>
        <v>1698.6821296784401</v>
      </c>
    </row>
    <row r="1326" spans="1:18" hidden="1">
      <c r="A1326" t="s">
        <v>54</v>
      </c>
      <c r="B1326" t="s">
        <v>19</v>
      </c>
      <c r="C1326" t="str">
        <f>SUBSTITUTE(Table1[[#This Row],[Fuel]],", ",",")</f>
        <v>bioenergy: refuse (municipal and industrial wastes)</v>
      </c>
      <c r="D1326" t="s">
        <v>19</v>
      </c>
      <c r="G1326">
        <v>37</v>
      </c>
      <c r="H1326" t="s">
        <v>27</v>
      </c>
      <c r="I1326">
        <v>2010</v>
      </c>
      <c r="J1326" t="s">
        <v>21</v>
      </c>
      <c r="K1326">
        <v>51.4861</v>
      </c>
      <c r="L1326">
        <v>-0.50570000000000004</v>
      </c>
      <c r="M1326" t="s">
        <v>22</v>
      </c>
      <c r="N1326" s="2">
        <f>Table1[[#This Row],[Capacity (MW)]]*8760*0.72*10^-6</f>
        <v>0.23336639999999997</v>
      </c>
      <c r="O1326" s="2" cm="1">
        <f t="array" ref="O1326">AVERAGE(VLOOKUP(_xlfn.TEXTSPLIT(Table1[[#This Row],[Fuel (no space after comma)]], ","), FuelList_Final_EF!$A$2:$B$32, 2, FALSE))</f>
        <v>105.42962572482868</v>
      </c>
      <c r="P1326" s="2">
        <f>(16112*Table1[[#This Row],[Generation (TWh)]]*10^9)/10^6</f>
        <v>3759999.4367999998</v>
      </c>
      <c r="Q1326" s="2">
        <f>Table1[[#This Row],[Emission Factor (kg CO2/ mmBtu)]]*Table1[[#This Row],[Fuel Consumption (mmBtu)]]*10^3</f>
        <v>396415333347.39056</v>
      </c>
      <c r="R1326" s="2">
        <f>(Table1[[#This Row],[CO2 Emissions (g CO2)]])/(Table1[[#This Row],[Generation (TWh)]]*10^9)</f>
        <v>1698.6821296784397</v>
      </c>
    </row>
    <row r="1327" spans="1:18" hidden="1">
      <c r="A1327" t="s">
        <v>838</v>
      </c>
      <c r="B1327" t="s">
        <v>19</v>
      </c>
      <c r="C1327" t="str">
        <f>SUBSTITUTE(Table1[[#This Row],[Fuel]],", ",",")</f>
        <v>bioenergy: refuse (municipal and industrial wastes)</v>
      </c>
      <c r="D1327" t="s">
        <v>19</v>
      </c>
      <c r="G1327">
        <v>36</v>
      </c>
      <c r="H1327" t="s">
        <v>27</v>
      </c>
      <c r="I1327">
        <v>1990</v>
      </c>
      <c r="J1327" t="s">
        <v>21</v>
      </c>
      <c r="K1327">
        <v>40.071100000000001</v>
      </c>
      <c r="L1327">
        <v>-76.643600000000006</v>
      </c>
      <c r="M1327" t="s">
        <v>62</v>
      </c>
      <c r="N1327" s="2">
        <f>Table1[[#This Row],[Capacity (MW)]]*8760*0.72*10^-6</f>
        <v>0.22705919999999996</v>
      </c>
      <c r="O1327" s="2" cm="1">
        <f t="array" ref="O1327">AVERAGE(VLOOKUP(_xlfn.TEXTSPLIT(Table1[[#This Row],[Fuel (no space after comma)]], ","), FuelList_Final_EF!$A$2:$B$32, 2, FALSE))</f>
        <v>105.42962572482868</v>
      </c>
      <c r="P1327" s="2">
        <f>(16112*Table1[[#This Row],[Generation (TWh)]]*10^9)/10^6</f>
        <v>3658377.8303999994</v>
      </c>
      <c r="Q1327" s="2">
        <f>Table1[[#This Row],[Emission Factor (kg CO2/ mmBtu)]]*Table1[[#This Row],[Fuel Consumption (mmBtu)]]*10^3</f>
        <v>385701405419.0827</v>
      </c>
      <c r="R1327" s="2">
        <f>(Table1[[#This Row],[CO2 Emissions (g CO2)]])/(Table1[[#This Row],[Generation (TWh)]]*10^9)</f>
        <v>1698.6821296784397</v>
      </c>
    </row>
    <row r="1328" spans="1:18">
      <c r="A1328" t="s">
        <v>741</v>
      </c>
      <c r="B1328" t="s">
        <v>231</v>
      </c>
      <c r="C1328" t="str">
        <f>SUBSTITUTE(Table1[[#This Row],[Fuel]],", ",",")</f>
        <v>bioenergy: paper mill wastes,fossil gas: natural gas</v>
      </c>
      <c r="D1328" t="s">
        <v>61</v>
      </c>
      <c r="E1328" t="s">
        <v>69</v>
      </c>
      <c r="G1328">
        <v>67</v>
      </c>
      <c r="H1328" t="s">
        <v>27</v>
      </c>
      <c r="I1328" t="s">
        <v>21</v>
      </c>
      <c r="J1328" t="s">
        <v>21</v>
      </c>
      <c r="K1328">
        <v>61.065899999999999</v>
      </c>
      <c r="L1328">
        <v>28.247</v>
      </c>
      <c r="M1328" t="s">
        <v>28</v>
      </c>
      <c r="N1328" s="2">
        <f>Table1[[#This Row],[Capacity (MW)]]*8760*0.72*10^-6</f>
        <v>0.42258239999999997</v>
      </c>
      <c r="O1328" s="2" cm="1">
        <f t="array" ref="O1328">AVERAGE(VLOOKUP(_xlfn.TEXTSPLIT(Table1[[#This Row],[Fuel (no space after comma)]], ","), FuelList_Final_EF!$A$2:$B$32, 2, FALSE))</f>
        <v>76.767216657880866</v>
      </c>
      <c r="P1328" s="2">
        <f>(16112*Table1[[#This Row],[Generation (TWh)]]*10^9)/10^6</f>
        <v>6808647.6287999991</v>
      </c>
      <c r="Q1328" s="2">
        <f>Table1[[#This Row],[Emission Factor (kg CO2/ mmBtu)]]*Table1[[#This Row],[Fuel Consumption (mmBtu)]]*10^3</f>
        <v>522680927667.25635</v>
      </c>
      <c r="R1328" s="2">
        <f>(Table1[[#This Row],[CO2 Emissions (g CO2)]])/(Table1[[#This Row],[Generation (TWh)]]*10^9)</f>
        <v>1236.8733947917765</v>
      </c>
    </row>
    <row r="1329" spans="1:18" hidden="1">
      <c r="A1329" t="s">
        <v>839</v>
      </c>
      <c r="B1329" t="s">
        <v>36</v>
      </c>
      <c r="C1329" t="str">
        <f>SUBSTITUTE(Table1[[#This Row],[Fuel]],", ",",")</f>
        <v>bioenergy: biodiesel</v>
      </c>
      <c r="D1329" t="s">
        <v>36</v>
      </c>
      <c r="G1329">
        <v>120</v>
      </c>
      <c r="H1329" t="s">
        <v>53</v>
      </c>
      <c r="I1329">
        <v>2026</v>
      </c>
      <c r="J1329" t="s">
        <v>21</v>
      </c>
      <c r="K1329">
        <v>4.8951517999999998</v>
      </c>
      <c r="L1329">
        <v>-52.354790299999998</v>
      </c>
      <c r="M1329" t="s">
        <v>840</v>
      </c>
      <c r="N1329" s="2">
        <f>Table1[[#This Row],[Capacity (MW)]]*8760*0.72*10^-6</f>
        <v>0.75686399999999998</v>
      </c>
      <c r="O1329" s="2" cm="1">
        <f t="array" ref="O1329">AVERAGE(VLOOKUP(_xlfn.TEXTSPLIT(Table1[[#This Row],[Fuel (no space after comma)]], ","), FuelList_Final_EF!$A$2:$B$32, 2, FALSE))</f>
        <v>73.84</v>
      </c>
      <c r="P1329" s="2">
        <f>(16112*Table1[[#This Row],[Generation (TWh)]]*10^9)/10^6</f>
        <v>12194592.767999999</v>
      </c>
      <c r="Q1329" s="2">
        <f>Table1[[#This Row],[Emission Factor (kg CO2/ mmBtu)]]*Table1[[#This Row],[Fuel Consumption (mmBtu)]]*10^3</f>
        <v>900448729989.12</v>
      </c>
      <c r="R1329" s="2">
        <f>(Table1[[#This Row],[CO2 Emissions (g CO2)]])/(Table1[[#This Row],[Generation (TWh)]]*10^9)</f>
        <v>1189.7100800000001</v>
      </c>
    </row>
    <row r="1330" spans="1:18" hidden="1">
      <c r="A1330" t="s">
        <v>841</v>
      </c>
      <c r="B1330" t="s">
        <v>46</v>
      </c>
      <c r="C1330" t="str">
        <f>SUBSTITUTE(Table1[[#This Row],[Fuel]],", ",",")</f>
        <v>bioenergy: agricultural waste (solids)</v>
      </c>
      <c r="D1330" t="s">
        <v>46</v>
      </c>
      <c r="G1330">
        <v>41</v>
      </c>
      <c r="H1330" t="s">
        <v>27</v>
      </c>
      <c r="I1330">
        <v>2017</v>
      </c>
      <c r="J1330" t="s">
        <v>21</v>
      </c>
      <c r="K1330">
        <v>30.9861</v>
      </c>
      <c r="L1330">
        <v>70.949700000000007</v>
      </c>
      <c r="M1330" t="s">
        <v>160</v>
      </c>
      <c r="N1330" s="2">
        <f>Table1[[#This Row],[Capacity (MW)]]*8760*0.72*10^-6</f>
        <v>0.25859519999999997</v>
      </c>
      <c r="O1330" s="2" cm="1">
        <f t="array" ref="O1330">AVERAGE(VLOOKUP(_xlfn.TEXTSPLIT(Table1[[#This Row],[Fuel (no space after comma)]], ","), FuelList_Final_EF!$A$2:$B$32, 2, FALSE))</f>
        <v>118.17</v>
      </c>
      <c r="P1330" s="2">
        <f>(16112*Table1[[#This Row],[Generation (TWh)]]*10^9)/10^6</f>
        <v>4166485.8624</v>
      </c>
      <c r="Q1330" s="2">
        <f>Table1[[#This Row],[Emission Factor (kg CO2/ mmBtu)]]*Table1[[#This Row],[Fuel Consumption (mmBtu)]]*10^3</f>
        <v>492353634359.80804</v>
      </c>
      <c r="R1330" s="2">
        <f>(Table1[[#This Row],[CO2 Emissions (g CO2)]])/(Table1[[#This Row],[Generation (TWh)]]*10^9)</f>
        <v>1903.9550400000003</v>
      </c>
    </row>
    <row r="1331" spans="1:18" hidden="1">
      <c r="A1331" t="s">
        <v>842</v>
      </c>
      <c r="B1331" t="s">
        <v>61</v>
      </c>
      <c r="C1331" t="str">
        <f>SUBSTITUTE(Table1[[#This Row],[Fuel]],", ",",")</f>
        <v>bioenergy: paper mill wastes</v>
      </c>
      <c r="D1331" t="s">
        <v>61</v>
      </c>
      <c r="G1331">
        <v>203</v>
      </c>
      <c r="H1331" t="s">
        <v>27</v>
      </c>
      <c r="I1331">
        <v>2022</v>
      </c>
      <c r="J1331" t="s">
        <v>21</v>
      </c>
      <c r="K1331">
        <v>-18.837</v>
      </c>
      <c r="L1331">
        <v>-47.918199999999999</v>
      </c>
      <c r="M1331" t="s">
        <v>49</v>
      </c>
      <c r="N1331" s="2">
        <f>Table1[[#This Row],[Capacity (MW)]]*8760*0.72*10^-6</f>
        <v>1.2803615999999998</v>
      </c>
      <c r="O1331" s="2" cm="1">
        <f t="array" ref="O1331">AVERAGE(VLOOKUP(_xlfn.TEXTSPLIT(Table1[[#This Row],[Fuel (no space after comma)]], ","), FuelList_Final_EF!$A$2:$B$32, 2, FALSE))</f>
        <v>100.47443331576173</v>
      </c>
      <c r="P1331" s="2">
        <f>(16112*Table1[[#This Row],[Generation (TWh)]]*10^9)/10^6</f>
        <v>20629186.099199995</v>
      </c>
      <c r="Q1331" s="2">
        <f>Table1[[#This Row],[Emission Factor (kg CO2/ mmBtu)]]*Table1[[#This Row],[Fuel Consumption (mmBtu)]]*10^3</f>
        <v>2072705783082.5088</v>
      </c>
      <c r="R1331" s="2">
        <f>(Table1[[#This Row],[CO2 Emissions (g CO2)]])/(Table1[[#This Row],[Generation (TWh)]]*10^9)</f>
        <v>1618.8440695835529</v>
      </c>
    </row>
    <row r="1332" spans="1:18" hidden="1">
      <c r="A1332" t="s">
        <v>843</v>
      </c>
      <c r="B1332" t="s">
        <v>46</v>
      </c>
      <c r="C1332" t="str">
        <f>SUBSTITUTE(Table1[[#This Row],[Fuel]],", ",",")</f>
        <v>bioenergy: agricultural waste (solids)</v>
      </c>
      <c r="D1332" t="s">
        <v>46</v>
      </c>
      <c r="G1332">
        <v>40</v>
      </c>
      <c r="H1332" t="s">
        <v>27</v>
      </c>
      <c r="I1332">
        <v>2009</v>
      </c>
      <c r="J1332" t="s">
        <v>21</v>
      </c>
      <c r="K1332">
        <v>-20.070900000000002</v>
      </c>
      <c r="L1332">
        <v>-45.542900000000003</v>
      </c>
      <c r="M1332" t="s">
        <v>49</v>
      </c>
      <c r="N1332" s="2">
        <f>Table1[[#This Row],[Capacity (MW)]]*8760*0.72*10^-6</f>
        <v>0.25228800000000001</v>
      </c>
      <c r="O1332" s="2" cm="1">
        <f t="array" ref="O1332">AVERAGE(VLOOKUP(_xlfn.TEXTSPLIT(Table1[[#This Row],[Fuel (no space after comma)]], ","), FuelList_Final_EF!$A$2:$B$32, 2, FALSE))</f>
        <v>118.17</v>
      </c>
      <c r="P1332" s="2">
        <f>(16112*Table1[[#This Row],[Generation (TWh)]]*10^9)/10^6</f>
        <v>4064864.2560000005</v>
      </c>
      <c r="Q1332" s="2">
        <f>Table1[[#This Row],[Emission Factor (kg CO2/ mmBtu)]]*Table1[[#This Row],[Fuel Consumption (mmBtu)]]*10^3</f>
        <v>480345009131.52008</v>
      </c>
      <c r="R1332" s="2">
        <f>(Table1[[#This Row],[CO2 Emissions (g CO2)]])/(Table1[[#This Row],[Generation (TWh)]]*10^9)</f>
        <v>1903.9550400000003</v>
      </c>
    </row>
    <row r="1333" spans="1:18" hidden="1">
      <c r="A1333" t="s">
        <v>843</v>
      </c>
      <c r="B1333" t="s">
        <v>46</v>
      </c>
      <c r="C1333" t="str">
        <f>SUBSTITUTE(Table1[[#This Row],[Fuel]],", ",",")</f>
        <v>bioenergy: agricultural waste (solids)</v>
      </c>
      <c r="D1333" t="s">
        <v>46</v>
      </c>
      <c r="G1333">
        <v>45</v>
      </c>
      <c r="H1333" t="s">
        <v>27</v>
      </c>
      <c r="I1333">
        <v>2012</v>
      </c>
      <c r="J1333" t="s">
        <v>21</v>
      </c>
      <c r="K1333">
        <v>-20.070900000000002</v>
      </c>
      <c r="L1333">
        <v>-45.542900000000003</v>
      </c>
      <c r="M1333" t="s">
        <v>49</v>
      </c>
      <c r="N1333" s="2">
        <f>Table1[[#This Row],[Capacity (MW)]]*8760*0.72*10^-6</f>
        <v>0.28382399999999997</v>
      </c>
      <c r="O1333" s="2" cm="1">
        <f t="array" ref="O1333">AVERAGE(VLOOKUP(_xlfn.TEXTSPLIT(Table1[[#This Row],[Fuel (no space after comma)]], ","), FuelList_Final_EF!$A$2:$B$32, 2, FALSE))</f>
        <v>118.17</v>
      </c>
      <c r="P1333" s="2">
        <f>(16112*Table1[[#This Row],[Generation (TWh)]]*10^9)/10^6</f>
        <v>4572972.2879999988</v>
      </c>
      <c r="Q1333" s="2">
        <f>Table1[[#This Row],[Emission Factor (kg CO2/ mmBtu)]]*Table1[[#This Row],[Fuel Consumption (mmBtu)]]*10^3</f>
        <v>540388135272.95984</v>
      </c>
      <c r="R1333" s="2">
        <f>(Table1[[#This Row],[CO2 Emissions (g CO2)]])/(Table1[[#This Row],[Generation (TWh)]]*10^9)</f>
        <v>1903.9550399999998</v>
      </c>
    </row>
    <row r="1334" spans="1:18" hidden="1">
      <c r="A1334" t="s">
        <v>843</v>
      </c>
      <c r="B1334" t="s">
        <v>46</v>
      </c>
      <c r="C1334" t="str">
        <f>SUBSTITUTE(Table1[[#This Row],[Fuel]],", ",",")</f>
        <v>bioenergy: agricultural waste (solids)</v>
      </c>
      <c r="D1334" t="s">
        <v>46</v>
      </c>
      <c r="G1334">
        <v>40</v>
      </c>
      <c r="H1334" t="s">
        <v>27</v>
      </c>
      <c r="I1334">
        <v>1986</v>
      </c>
      <c r="J1334" t="s">
        <v>21</v>
      </c>
      <c r="K1334">
        <v>-22.1722</v>
      </c>
      <c r="L1334">
        <v>-47.337600000000002</v>
      </c>
      <c r="M1334" t="s">
        <v>49</v>
      </c>
      <c r="N1334" s="2">
        <f>Table1[[#This Row],[Capacity (MW)]]*8760*0.72*10^-6</f>
        <v>0.25228800000000001</v>
      </c>
      <c r="O1334" s="2" cm="1">
        <f t="array" ref="O1334">AVERAGE(VLOOKUP(_xlfn.TEXTSPLIT(Table1[[#This Row],[Fuel (no space after comma)]], ","), FuelList_Final_EF!$A$2:$B$32, 2, FALSE))</f>
        <v>118.17</v>
      </c>
      <c r="P1334" s="2">
        <f>(16112*Table1[[#This Row],[Generation (TWh)]]*10^9)/10^6</f>
        <v>4064864.2560000005</v>
      </c>
      <c r="Q1334" s="2">
        <f>Table1[[#This Row],[Emission Factor (kg CO2/ mmBtu)]]*Table1[[#This Row],[Fuel Consumption (mmBtu)]]*10^3</f>
        <v>480345009131.52008</v>
      </c>
      <c r="R1334" s="2">
        <f>(Table1[[#This Row],[CO2 Emissions (g CO2)]])/(Table1[[#This Row],[Generation (TWh)]]*10^9)</f>
        <v>1903.9550400000003</v>
      </c>
    </row>
    <row r="1335" spans="1:18" hidden="1">
      <c r="A1335" t="s">
        <v>843</v>
      </c>
      <c r="B1335" t="s">
        <v>46</v>
      </c>
      <c r="C1335" t="str">
        <f>SUBSTITUTE(Table1[[#This Row],[Fuel]],", ",",")</f>
        <v>bioenergy: agricultural waste (solids)</v>
      </c>
      <c r="D1335" t="s">
        <v>46</v>
      </c>
      <c r="G1335">
        <v>40</v>
      </c>
      <c r="H1335" t="s">
        <v>27</v>
      </c>
      <c r="I1335">
        <v>2008</v>
      </c>
      <c r="J1335" t="s">
        <v>21</v>
      </c>
      <c r="K1335">
        <v>-21.5139</v>
      </c>
      <c r="L1335">
        <v>-54.701799999999999</v>
      </c>
      <c r="M1335" t="s">
        <v>49</v>
      </c>
      <c r="N1335" s="2">
        <f>Table1[[#This Row],[Capacity (MW)]]*8760*0.72*10^-6</f>
        <v>0.25228800000000001</v>
      </c>
      <c r="O1335" s="2" cm="1">
        <f t="array" ref="O1335">AVERAGE(VLOOKUP(_xlfn.TEXTSPLIT(Table1[[#This Row],[Fuel (no space after comma)]], ","), FuelList_Final_EF!$A$2:$B$32, 2, FALSE))</f>
        <v>118.17</v>
      </c>
      <c r="P1335" s="2">
        <f>(16112*Table1[[#This Row],[Generation (TWh)]]*10^9)/10^6</f>
        <v>4064864.2560000005</v>
      </c>
      <c r="Q1335" s="2">
        <f>Table1[[#This Row],[Emission Factor (kg CO2/ mmBtu)]]*Table1[[#This Row],[Fuel Consumption (mmBtu)]]*10^3</f>
        <v>480345009131.52008</v>
      </c>
      <c r="R1335" s="2">
        <f>(Table1[[#This Row],[CO2 Emissions (g CO2)]])/(Table1[[#This Row],[Generation (TWh)]]*10^9)</f>
        <v>1903.9550400000003</v>
      </c>
    </row>
    <row r="1336" spans="1:18" hidden="1">
      <c r="A1336" t="s">
        <v>843</v>
      </c>
      <c r="B1336" t="s">
        <v>46</v>
      </c>
      <c r="C1336" t="str">
        <f>SUBSTITUTE(Table1[[#This Row],[Fuel]],", ",",")</f>
        <v>bioenergy: agricultural waste (solids)</v>
      </c>
      <c r="D1336" t="s">
        <v>46</v>
      </c>
      <c r="G1336">
        <v>50</v>
      </c>
      <c r="H1336" t="s">
        <v>27</v>
      </c>
      <c r="I1336">
        <v>2009</v>
      </c>
      <c r="J1336" t="s">
        <v>21</v>
      </c>
      <c r="K1336">
        <v>-21.5139</v>
      </c>
      <c r="L1336">
        <v>-54.701799999999999</v>
      </c>
      <c r="M1336" t="s">
        <v>49</v>
      </c>
      <c r="N1336" s="2">
        <f>Table1[[#This Row],[Capacity (MW)]]*8760*0.72*10^-6</f>
        <v>0.31535999999999997</v>
      </c>
      <c r="O1336" s="2" cm="1">
        <f t="array" ref="O1336">AVERAGE(VLOOKUP(_xlfn.TEXTSPLIT(Table1[[#This Row],[Fuel (no space after comma)]], ","), FuelList_Final_EF!$A$2:$B$32, 2, FALSE))</f>
        <v>118.17</v>
      </c>
      <c r="P1336" s="2">
        <f>(16112*Table1[[#This Row],[Generation (TWh)]]*10^9)/10^6</f>
        <v>5081080.32</v>
      </c>
      <c r="Q1336" s="2">
        <f>Table1[[#This Row],[Emission Factor (kg CO2/ mmBtu)]]*Table1[[#This Row],[Fuel Consumption (mmBtu)]]*10^3</f>
        <v>600431261414.40015</v>
      </c>
      <c r="R1336" s="2">
        <f>(Table1[[#This Row],[CO2 Emissions (g CO2)]])/(Table1[[#This Row],[Generation (TWh)]]*10^9)</f>
        <v>1903.9550400000005</v>
      </c>
    </row>
    <row r="1337" spans="1:18" hidden="1">
      <c r="A1337" t="s">
        <v>227</v>
      </c>
      <c r="B1337" t="s">
        <v>105</v>
      </c>
      <c r="C1337" t="str">
        <f>SUBSTITUTE(Table1[[#This Row],[Fuel]],", ",",")</f>
        <v>bioenergy: agricultural waste (solids),bioenergy: wood &amp; other biomass (solids)</v>
      </c>
      <c r="D1337" t="s">
        <v>46</v>
      </c>
      <c r="E1337" t="s">
        <v>25</v>
      </c>
      <c r="G1337">
        <v>32</v>
      </c>
      <c r="H1337" t="s">
        <v>53</v>
      </c>
      <c r="I1337">
        <v>2024</v>
      </c>
      <c r="J1337" t="s">
        <v>21</v>
      </c>
      <c r="K1337">
        <v>-21.278860999999999</v>
      </c>
      <c r="L1337">
        <v>55.398007999999997</v>
      </c>
      <c r="M1337" t="s">
        <v>228</v>
      </c>
      <c r="N1337" s="2">
        <f>Table1[[#This Row],[Capacity (MW)]]*8760*0.72*10^-6</f>
        <v>0.20183039999999999</v>
      </c>
      <c r="O1337" s="2" cm="1">
        <f t="array" ref="O1337">AVERAGE(VLOOKUP(_xlfn.TEXTSPLIT(Table1[[#This Row],[Fuel (no space after comma)]], ","), FuelList_Final_EF!$A$2:$B$32, 2, FALSE))</f>
        <v>105.985</v>
      </c>
      <c r="P1337" s="2">
        <f>(16112*Table1[[#This Row],[Generation (TWh)]]*10^9)/10^6</f>
        <v>3251891.4047999997</v>
      </c>
      <c r="Q1337" s="2">
        <f>Table1[[#This Row],[Emission Factor (kg CO2/ mmBtu)]]*Table1[[#This Row],[Fuel Consumption (mmBtu)]]*10^3</f>
        <v>344651710537.72797</v>
      </c>
      <c r="R1337" s="2">
        <f>(Table1[[#This Row],[CO2 Emissions (g CO2)]])/(Table1[[#This Row],[Generation (TWh)]]*10^9)</f>
        <v>1707.6303199999998</v>
      </c>
    </row>
    <row r="1338" spans="1:18" hidden="1">
      <c r="A1338" t="s">
        <v>227</v>
      </c>
      <c r="B1338" t="s">
        <v>105</v>
      </c>
      <c r="C1338" t="str">
        <f>SUBSTITUTE(Table1[[#This Row],[Fuel]],", ",",")</f>
        <v>bioenergy: agricultural waste (solids),bioenergy: wood &amp; other biomass (solids)</v>
      </c>
      <c r="D1338" t="s">
        <v>46</v>
      </c>
      <c r="E1338" t="s">
        <v>25</v>
      </c>
      <c r="G1338">
        <v>32</v>
      </c>
      <c r="H1338" t="s">
        <v>53</v>
      </c>
      <c r="I1338">
        <v>2024</v>
      </c>
      <c r="J1338" t="s">
        <v>21</v>
      </c>
      <c r="K1338">
        <v>-21.278860999999999</v>
      </c>
      <c r="L1338">
        <v>55.398007999999997</v>
      </c>
      <c r="M1338" t="s">
        <v>228</v>
      </c>
      <c r="N1338" s="2">
        <f>Table1[[#This Row],[Capacity (MW)]]*8760*0.72*10^-6</f>
        <v>0.20183039999999999</v>
      </c>
      <c r="O1338" s="2" cm="1">
        <f t="array" ref="O1338">AVERAGE(VLOOKUP(_xlfn.TEXTSPLIT(Table1[[#This Row],[Fuel (no space after comma)]], ","), FuelList_Final_EF!$A$2:$B$32, 2, FALSE))</f>
        <v>105.985</v>
      </c>
      <c r="P1338" s="2">
        <f>(16112*Table1[[#This Row],[Generation (TWh)]]*10^9)/10^6</f>
        <v>3251891.4047999997</v>
      </c>
      <c r="Q1338" s="2">
        <f>Table1[[#This Row],[Emission Factor (kg CO2/ mmBtu)]]*Table1[[#This Row],[Fuel Consumption (mmBtu)]]*10^3</f>
        <v>344651710537.72797</v>
      </c>
      <c r="R1338" s="2">
        <f>(Table1[[#This Row],[CO2 Emissions (g CO2)]])/(Table1[[#This Row],[Generation (TWh)]]*10^9)</f>
        <v>1707.6303199999998</v>
      </c>
    </row>
    <row r="1339" spans="1:18" hidden="1">
      <c r="A1339" t="s">
        <v>227</v>
      </c>
      <c r="B1339" t="s">
        <v>46</v>
      </c>
      <c r="C1339" t="str">
        <f>SUBSTITUTE(Table1[[#This Row],[Fuel]],", ",",")</f>
        <v>bioenergy: agricultural waste (solids)</v>
      </c>
      <c r="D1339" t="s">
        <v>46</v>
      </c>
      <c r="G1339">
        <v>38</v>
      </c>
      <c r="H1339" t="s">
        <v>27</v>
      </c>
      <c r="I1339">
        <v>2011</v>
      </c>
      <c r="J1339" t="s">
        <v>21</v>
      </c>
      <c r="K1339">
        <v>16.304873000000001</v>
      </c>
      <c r="L1339">
        <v>-61.326222999999999</v>
      </c>
      <c r="M1339" t="s">
        <v>844</v>
      </c>
      <c r="N1339" s="2">
        <f>Table1[[#This Row],[Capacity (MW)]]*8760*0.72*10^-6</f>
        <v>0.23967359999999996</v>
      </c>
      <c r="O1339" s="2" cm="1">
        <f t="array" ref="O1339">AVERAGE(VLOOKUP(_xlfn.TEXTSPLIT(Table1[[#This Row],[Fuel (no space after comma)]], ","), FuelList_Final_EF!$A$2:$B$32, 2, FALSE))</f>
        <v>118.17</v>
      </c>
      <c r="P1339" s="2">
        <f>(16112*Table1[[#This Row],[Generation (TWh)]]*10^9)/10^6</f>
        <v>3861621.0431999997</v>
      </c>
      <c r="Q1339" s="2">
        <f>Table1[[#This Row],[Emission Factor (kg CO2/ mmBtu)]]*Table1[[#This Row],[Fuel Consumption (mmBtu)]]*10^3</f>
        <v>456327758674.94397</v>
      </c>
      <c r="R1339" s="2">
        <f>(Table1[[#This Row],[CO2 Emissions (g CO2)]])/(Table1[[#This Row],[Generation (TWh)]]*10^9)</f>
        <v>1903.9550400000001</v>
      </c>
    </row>
    <row r="1340" spans="1:18" hidden="1">
      <c r="A1340" t="s">
        <v>845</v>
      </c>
      <c r="B1340" t="s">
        <v>19</v>
      </c>
      <c r="C1340" t="str">
        <f>SUBSTITUTE(Table1[[#This Row],[Fuel]],", ",",")</f>
        <v>bioenergy: refuse (municipal and industrial wastes)</v>
      </c>
      <c r="D1340" t="s">
        <v>19</v>
      </c>
      <c r="G1340">
        <v>39</v>
      </c>
      <c r="H1340" t="s">
        <v>27</v>
      </c>
      <c r="I1340">
        <v>1994</v>
      </c>
      <c r="J1340" t="s">
        <v>21</v>
      </c>
      <c r="K1340">
        <v>26.631499999999999</v>
      </c>
      <c r="L1340">
        <v>-81.7607</v>
      </c>
      <c r="M1340" t="s">
        <v>62</v>
      </c>
      <c r="N1340" s="2">
        <f>Table1[[#This Row],[Capacity (MW)]]*8760*0.72*10^-6</f>
        <v>0.24598079999999997</v>
      </c>
      <c r="O1340" s="2" cm="1">
        <f t="array" ref="O1340">AVERAGE(VLOOKUP(_xlfn.TEXTSPLIT(Table1[[#This Row],[Fuel (no space after comma)]], ","), FuelList_Final_EF!$A$2:$B$32, 2, FALSE))</f>
        <v>105.42962572482868</v>
      </c>
      <c r="P1340" s="2">
        <f>(16112*Table1[[#This Row],[Generation (TWh)]]*10^9)/10^6</f>
        <v>3963242.6495999997</v>
      </c>
      <c r="Q1340" s="2">
        <f>Table1[[#This Row],[Emission Factor (kg CO2/ mmBtu)]]*Table1[[#This Row],[Fuel Consumption (mmBtu)]]*10^3</f>
        <v>417843189204.00629</v>
      </c>
      <c r="R1340" s="2">
        <f>(Table1[[#This Row],[CO2 Emissions (g CO2)]])/(Table1[[#This Row],[Generation (TWh)]]*10^9)</f>
        <v>1698.6821296784397</v>
      </c>
    </row>
    <row r="1341" spans="1:18" hidden="1">
      <c r="A1341" t="s">
        <v>846</v>
      </c>
      <c r="B1341" t="s">
        <v>105</v>
      </c>
      <c r="C1341" t="str">
        <f>SUBSTITUTE(Table1[[#This Row],[Fuel]],", ",",")</f>
        <v>bioenergy: agricultural waste (solids),bioenergy: wood &amp; other biomass (solids)</v>
      </c>
      <c r="D1341" t="s">
        <v>46</v>
      </c>
      <c r="E1341" t="s">
        <v>25</v>
      </c>
      <c r="G1341">
        <v>45</v>
      </c>
      <c r="H1341" t="s">
        <v>27</v>
      </c>
      <c r="I1341">
        <v>2022</v>
      </c>
      <c r="J1341" t="s">
        <v>21</v>
      </c>
      <c r="K1341">
        <v>26.459482000000001</v>
      </c>
      <c r="L1341">
        <v>112.86810699999999</v>
      </c>
      <c r="M1341" t="s">
        <v>102</v>
      </c>
      <c r="N1341" s="2">
        <f>Table1[[#This Row],[Capacity (MW)]]*8760*0.72*10^-6</f>
        <v>0.28382399999999997</v>
      </c>
      <c r="O1341" s="2" cm="1">
        <f t="array" ref="O1341">AVERAGE(VLOOKUP(_xlfn.TEXTSPLIT(Table1[[#This Row],[Fuel (no space after comma)]], ","), FuelList_Final_EF!$A$2:$B$32, 2, FALSE))</f>
        <v>105.985</v>
      </c>
      <c r="P1341" s="2">
        <f>(16112*Table1[[#This Row],[Generation (TWh)]]*10^9)/10^6</f>
        <v>4572972.2879999988</v>
      </c>
      <c r="Q1341" s="2">
        <f>Table1[[#This Row],[Emission Factor (kg CO2/ mmBtu)]]*Table1[[#This Row],[Fuel Consumption (mmBtu)]]*10^3</f>
        <v>484666467943.67987</v>
      </c>
      <c r="R1341" s="2">
        <f>(Table1[[#This Row],[CO2 Emissions (g CO2)]])/(Table1[[#This Row],[Generation (TWh)]]*10^9)</f>
        <v>1707.63032</v>
      </c>
    </row>
    <row r="1342" spans="1:18" hidden="1">
      <c r="A1342" t="s">
        <v>847</v>
      </c>
      <c r="B1342" t="s">
        <v>134</v>
      </c>
      <c r="C1342" t="str">
        <f>SUBSTITUTE(Table1[[#This Row],[Fuel]],", ",",")</f>
        <v>bioenergy: unknown,fossil gas: natural gas</v>
      </c>
      <c r="D1342" t="s">
        <v>96</v>
      </c>
      <c r="E1342" t="s">
        <v>69</v>
      </c>
      <c r="G1342">
        <v>70</v>
      </c>
      <c r="H1342" t="s">
        <v>27</v>
      </c>
      <c r="I1342">
        <v>1999</v>
      </c>
      <c r="J1342" t="s">
        <v>21</v>
      </c>
      <c r="K1342">
        <v>47.976709999999997</v>
      </c>
      <c r="L1342">
        <v>13.6195</v>
      </c>
      <c r="M1342" t="s">
        <v>848</v>
      </c>
      <c r="N1342" s="2">
        <f>Table1[[#This Row],[Capacity (MW)]]*8760*0.72*10^-6</f>
        <v>0.44150400000000001</v>
      </c>
      <c r="O1342" s="2" cm="1">
        <f t="array" ref="O1342">AVERAGE(VLOOKUP(_xlfn.TEXTSPLIT(Table1[[#This Row],[Fuel (no space after comma)]], ","), FuelList_Final_EF!$A$2:$B$32, 2, FALSE))</f>
        <v>62.922803008799328</v>
      </c>
      <c r="P1342" s="2">
        <f>(16112*Table1[[#This Row],[Generation (TWh)]]*10^9)/10^6</f>
        <v>7113512.4479999999</v>
      </c>
      <c r="Q1342" s="2">
        <f>Table1[[#This Row],[Emission Factor (kg CO2/ mmBtu)]]*Table1[[#This Row],[Fuel Consumption (mmBtu)]]*10^3</f>
        <v>447602142466.14587</v>
      </c>
      <c r="R1342" s="2">
        <f>(Table1[[#This Row],[CO2 Emissions (g CO2)]])/(Table1[[#This Row],[Generation (TWh)]]*10^9)</f>
        <v>1013.8122020777748</v>
      </c>
    </row>
    <row r="1343" spans="1:18" hidden="1">
      <c r="A1343" t="s">
        <v>849</v>
      </c>
      <c r="B1343" t="s">
        <v>145</v>
      </c>
      <c r="C1343" t="str">
        <f>SUBSTITUTE(Table1[[#This Row],[Fuel]],", ",",")</f>
        <v>bioenergy: paper mill wastes,bioenergy: wood &amp; other biomass (solids),fossil gas: natural gas</v>
      </c>
      <c r="D1343" t="s">
        <v>61</v>
      </c>
      <c r="E1343" t="s">
        <v>25</v>
      </c>
      <c r="F1343" t="s">
        <v>69</v>
      </c>
      <c r="G1343">
        <v>65</v>
      </c>
      <c r="H1343" t="s">
        <v>27</v>
      </c>
      <c r="I1343">
        <v>1991</v>
      </c>
      <c r="J1343" t="s">
        <v>21</v>
      </c>
      <c r="K1343">
        <v>46.423099999999998</v>
      </c>
      <c r="L1343">
        <v>-116.9764</v>
      </c>
      <c r="M1343" t="s">
        <v>62</v>
      </c>
      <c r="N1343" s="2">
        <f>Table1[[#This Row],[Capacity (MW)]]*8760*0.72*10^-6</f>
        <v>0.409968</v>
      </c>
      <c r="O1343" s="2" cm="1">
        <f t="array" ref="O1343">AVERAGE(VLOOKUP(_xlfn.TEXTSPLIT(Table1[[#This Row],[Fuel (no space after comma)]], ","), FuelList_Final_EF!$A$2:$B$32, 2, FALSE))</f>
        <v>82.444811105253905</v>
      </c>
      <c r="P1343" s="2">
        <f>(16112*Table1[[#This Row],[Generation (TWh)]]*10^9)/10^6</f>
        <v>6605404.4160000002</v>
      </c>
      <c r="Q1343" s="2">
        <f>Table1[[#This Row],[Emission Factor (kg CO2/ mmBtu)]]*Table1[[#This Row],[Fuel Consumption (mmBtu)]]*10^3</f>
        <v>544581319350.92999</v>
      </c>
      <c r="R1343" s="2">
        <f>(Table1[[#This Row],[CO2 Emissions (g CO2)]])/(Table1[[#This Row],[Generation (TWh)]]*10^9)</f>
        <v>1328.3507965278509</v>
      </c>
    </row>
    <row r="1344" spans="1:18">
      <c r="A1344" t="s">
        <v>850</v>
      </c>
      <c r="B1344" t="s">
        <v>105</v>
      </c>
      <c r="C1344" t="str">
        <f>SUBSTITUTE(Table1[[#This Row],[Fuel]],", ",",")</f>
        <v>bioenergy: agricultural waste (solids),bioenergy: wood &amp; other biomass (solids)</v>
      </c>
      <c r="D1344" t="s">
        <v>46</v>
      </c>
      <c r="E1344" t="s">
        <v>25</v>
      </c>
      <c r="G1344">
        <v>30</v>
      </c>
      <c r="H1344" t="s">
        <v>27</v>
      </c>
      <c r="I1344" t="s">
        <v>21</v>
      </c>
      <c r="J1344" t="s">
        <v>21</v>
      </c>
      <c r="K1344">
        <v>41.808199999999999</v>
      </c>
      <c r="L1344">
        <v>120.7441</v>
      </c>
      <c r="M1344" t="s">
        <v>102</v>
      </c>
      <c r="N1344" s="2">
        <f>Table1[[#This Row],[Capacity (MW)]]*8760*0.72*10^-6</f>
        <v>0.189216</v>
      </c>
      <c r="O1344" s="2" cm="1">
        <f t="array" ref="O1344">AVERAGE(VLOOKUP(_xlfn.TEXTSPLIT(Table1[[#This Row],[Fuel (no space after comma)]], ","), FuelList_Final_EF!$A$2:$B$32, 2, FALSE))</f>
        <v>105.985</v>
      </c>
      <c r="P1344" s="2">
        <f>(16112*Table1[[#This Row],[Generation (TWh)]]*10^9)/10^6</f>
        <v>3048648.1919999998</v>
      </c>
      <c r="Q1344" s="2">
        <f>Table1[[#This Row],[Emission Factor (kg CO2/ mmBtu)]]*Table1[[#This Row],[Fuel Consumption (mmBtu)]]*10^3</f>
        <v>323110978629.12</v>
      </c>
      <c r="R1344" s="2">
        <f>(Table1[[#This Row],[CO2 Emissions (g CO2)]])/(Table1[[#This Row],[Generation (TWh)]]*10^9)</f>
        <v>1707.63032</v>
      </c>
    </row>
    <row r="1345" spans="1:18" hidden="1">
      <c r="A1345" t="s">
        <v>108</v>
      </c>
      <c r="B1345" t="s">
        <v>46</v>
      </c>
      <c r="C1345" t="str">
        <f>SUBSTITUTE(Table1[[#This Row],[Fuel]],", ",",")</f>
        <v>bioenergy: agricultural waste (solids)</v>
      </c>
      <c r="D1345" t="s">
        <v>46</v>
      </c>
      <c r="G1345">
        <v>7</v>
      </c>
      <c r="H1345" t="s">
        <v>27</v>
      </c>
      <c r="I1345">
        <v>2022</v>
      </c>
      <c r="J1345" t="s">
        <v>21</v>
      </c>
      <c r="K1345">
        <v>41.305</v>
      </c>
      <c r="L1345">
        <v>124.11960000000001</v>
      </c>
      <c r="M1345" t="s">
        <v>102</v>
      </c>
      <c r="N1345" s="2">
        <f>Table1[[#This Row],[Capacity (MW)]]*8760*0.72*10^-6</f>
        <v>4.4150399999999999E-2</v>
      </c>
      <c r="O1345" s="2" cm="1">
        <f t="array" ref="O1345">AVERAGE(VLOOKUP(_xlfn.TEXTSPLIT(Table1[[#This Row],[Fuel (no space after comma)]], ","), FuelList_Final_EF!$A$2:$B$32, 2, FALSE))</f>
        <v>118.17</v>
      </c>
      <c r="P1345" s="2">
        <f>(16112*Table1[[#This Row],[Generation (TWh)]]*10^9)/10^6</f>
        <v>711351.24479999999</v>
      </c>
      <c r="Q1345" s="2">
        <f>Table1[[#This Row],[Emission Factor (kg CO2/ mmBtu)]]*Table1[[#This Row],[Fuel Consumption (mmBtu)]]*10^3</f>
        <v>84060376598.015991</v>
      </c>
      <c r="R1345" s="2">
        <f>(Table1[[#This Row],[CO2 Emissions (g CO2)]])/(Table1[[#This Row],[Generation (TWh)]]*10^9)</f>
        <v>1903.9550399999998</v>
      </c>
    </row>
    <row r="1346" spans="1:18" hidden="1">
      <c r="A1346" t="s">
        <v>851</v>
      </c>
      <c r="B1346" t="s">
        <v>46</v>
      </c>
      <c r="C1346" t="str">
        <f>SUBSTITUTE(Table1[[#This Row],[Fuel]],", ",",")</f>
        <v>bioenergy: agricultural waste (solids)</v>
      </c>
      <c r="D1346" t="s">
        <v>46</v>
      </c>
      <c r="G1346">
        <v>26.25</v>
      </c>
      <c r="H1346" t="s">
        <v>27</v>
      </c>
      <c r="I1346">
        <v>2022</v>
      </c>
      <c r="J1346" t="s">
        <v>21</v>
      </c>
      <c r="K1346">
        <v>41.305</v>
      </c>
      <c r="L1346">
        <v>124.11960000000001</v>
      </c>
      <c r="M1346" t="s">
        <v>102</v>
      </c>
      <c r="N1346" s="2">
        <f>Table1[[#This Row],[Capacity (MW)]]*8760*0.72*10^-6</f>
        <v>0.16556399999999999</v>
      </c>
      <c r="O1346" s="2" cm="1">
        <f t="array" ref="O1346">AVERAGE(VLOOKUP(_xlfn.TEXTSPLIT(Table1[[#This Row],[Fuel (no space after comma)]], ","), FuelList_Final_EF!$A$2:$B$32, 2, FALSE))</f>
        <v>118.17</v>
      </c>
      <c r="P1346" s="2">
        <f>(16112*Table1[[#This Row],[Generation (TWh)]]*10^9)/10^6</f>
        <v>2667567.1680000001</v>
      </c>
      <c r="Q1346" s="2">
        <f>Table1[[#This Row],[Emission Factor (kg CO2/ mmBtu)]]*Table1[[#This Row],[Fuel Consumption (mmBtu)]]*10^3</f>
        <v>315226412242.56006</v>
      </c>
      <c r="R1346" s="2">
        <f>(Table1[[#This Row],[CO2 Emissions (g CO2)]])/(Table1[[#This Row],[Generation (TWh)]]*10^9)</f>
        <v>1903.9550400000003</v>
      </c>
    </row>
    <row r="1347" spans="1:18" hidden="1">
      <c r="A1347" t="s">
        <v>54</v>
      </c>
      <c r="B1347" t="s">
        <v>46</v>
      </c>
      <c r="C1347" t="str">
        <f>SUBSTITUTE(Table1[[#This Row],[Fuel]],", ",",")</f>
        <v>bioenergy: agricultural waste (solids)</v>
      </c>
      <c r="D1347" t="s">
        <v>46</v>
      </c>
      <c r="G1347">
        <v>1.75</v>
      </c>
      <c r="H1347" t="s">
        <v>27</v>
      </c>
      <c r="I1347">
        <v>2022</v>
      </c>
      <c r="J1347" t="s">
        <v>21</v>
      </c>
      <c r="K1347">
        <v>41.305</v>
      </c>
      <c r="L1347">
        <v>124.11960000000001</v>
      </c>
      <c r="M1347" t="s">
        <v>102</v>
      </c>
      <c r="N1347" s="2">
        <f>Table1[[#This Row],[Capacity (MW)]]*8760*0.72*10^-6</f>
        <v>1.10376E-2</v>
      </c>
      <c r="O1347" s="2" cm="1">
        <f t="array" ref="O1347">AVERAGE(VLOOKUP(_xlfn.TEXTSPLIT(Table1[[#This Row],[Fuel (no space after comma)]], ","), FuelList_Final_EF!$A$2:$B$32, 2, FALSE))</f>
        <v>118.17</v>
      </c>
      <c r="P1347" s="2">
        <f>(16112*Table1[[#This Row],[Generation (TWh)]]*10^9)/10^6</f>
        <v>177837.8112</v>
      </c>
      <c r="Q1347" s="2">
        <f>Table1[[#This Row],[Emission Factor (kg CO2/ mmBtu)]]*Table1[[#This Row],[Fuel Consumption (mmBtu)]]*10^3</f>
        <v>21015094149.503998</v>
      </c>
      <c r="R1347" s="2">
        <f>(Table1[[#This Row],[CO2 Emissions (g CO2)]])/(Table1[[#This Row],[Generation (TWh)]]*10^9)</f>
        <v>1903.9550399999998</v>
      </c>
    </row>
    <row r="1348" spans="1:18" hidden="1">
      <c r="A1348" t="s">
        <v>108</v>
      </c>
      <c r="B1348" t="s">
        <v>46</v>
      </c>
      <c r="C1348" t="str">
        <f>SUBSTITUTE(Table1[[#This Row],[Fuel]],", ",",")</f>
        <v>bioenergy: agricultural waste (solids)</v>
      </c>
      <c r="D1348" t="s">
        <v>46</v>
      </c>
      <c r="G1348">
        <v>7</v>
      </c>
      <c r="H1348" t="s">
        <v>27</v>
      </c>
      <c r="I1348">
        <v>2022</v>
      </c>
      <c r="J1348" t="s">
        <v>21</v>
      </c>
      <c r="K1348">
        <v>41.305</v>
      </c>
      <c r="L1348">
        <v>124.11960000000001</v>
      </c>
      <c r="M1348" t="s">
        <v>102</v>
      </c>
      <c r="N1348" s="2">
        <f>Table1[[#This Row],[Capacity (MW)]]*8760*0.72*10^-6</f>
        <v>4.4150399999999999E-2</v>
      </c>
      <c r="O1348" s="2" cm="1">
        <f t="array" ref="O1348">AVERAGE(VLOOKUP(_xlfn.TEXTSPLIT(Table1[[#This Row],[Fuel (no space after comma)]], ","), FuelList_Final_EF!$A$2:$B$32, 2, FALSE))</f>
        <v>118.17</v>
      </c>
      <c r="P1348" s="2">
        <f>(16112*Table1[[#This Row],[Generation (TWh)]]*10^9)/10^6</f>
        <v>711351.24479999999</v>
      </c>
      <c r="Q1348" s="2">
        <f>Table1[[#This Row],[Emission Factor (kg CO2/ mmBtu)]]*Table1[[#This Row],[Fuel Consumption (mmBtu)]]*10^3</f>
        <v>84060376598.015991</v>
      </c>
      <c r="R1348" s="2">
        <f>(Table1[[#This Row],[CO2 Emissions (g CO2)]])/(Table1[[#This Row],[Generation (TWh)]]*10^9)</f>
        <v>1903.9550399999998</v>
      </c>
    </row>
    <row r="1349" spans="1:18" hidden="1">
      <c r="A1349" t="s">
        <v>851</v>
      </c>
      <c r="B1349" t="s">
        <v>46</v>
      </c>
      <c r="C1349" t="str">
        <f>SUBSTITUTE(Table1[[#This Row],[Fuel]],", ",",")</f>
        <v>bioenergy: agricultural waste (solids)</v>
      </c>
      <c r="D1349" t="s">
        <v>46</v>
      </c>
      <c r="G1349">
        <v>26.25</v>
      </c>
      <c r="H1349" t="s">
        <v>27</v>
      </c>
      <c r="I1349">
        <v>2022</v>
      </c>
      <c r="J1349" t="s">
        <v>21</v>
      </c>
      <c r="K1349">
        <v>41.305</v>
      </c>
      <c r="L1349">
        <v>124.11960000000001</v>
      </c>
      <c r="M1349" t="s">
        <v>102</v>
      </c>
      <c r="N1349" s="2">
        <f>Table1[[#This Row],[Capacity (MW)]]*8760*0.72*10^-6</f>
        <v>0.16556399999999999</v>
      </c>
      <c r="O1349" s="2" cm="1">
        <f t="array" ref="O1349">AVERAGE(VLOOKUP(_xlfn.TEXTSPLIT(Table1[[#This Row],[Fuel (no space after comma)]], ","), FuelList_Final_EF!$A$2:$B$32, 2, FALSE))</f>
        <v>118.17</v>
      </c>
      <c r="P1349" s="2">
        <f>(16112*Table1[[#This Row],[Generation (TWh)]]*10^9)/10^6</f>
        <v>2667567.1680000001</v>
      </c>
      <c r="Q1349" s="2">
        <f>Table1[[#This Row],[Emission Factor (kg CO2/ mmBtu)]]*Table1[[#This Row],[Fuel Consumption (mmBtu)]]*10^3</f>
        <v>315226412242.56006</v>
      </c>
      <c r="R1349" s="2">
        <f>(Table1[[#This Row],[CO2 Emissions (g CO2)]])/(Table1[[#This Row],[Generation (TWh)]]*10^9)</f>
        <v>1903.9550400000003</v>
      </c>
    </row>
    <row r="1350" spans="1:18" hidden="1">
      <c r="A1350" t="s">
        <v>54</v>
      </c>
      <c r="B1350" t="s">
        <v>46</v>
      </c>
      <c r="C1350" t="str">
        <f>SUBSTITUTE(Table1[[#This Row],[Fuel]],", ",",")</f>
        <v>bioenergy: agricultural waste (solids)</v>
      </c>
      <c r="D1350" t="s">
        <v>46</v>
      </c>
      <c r="G1350">
        <v>1.75</v>
      </c>
      <c r="H1350" t="s">
        <v>27</v>
      </c>
      <c r="I1350">
        <v>2022</v>
      </c>
      <c r="J1350" t="s">
        <v>21</v>
      </c>
      <c r="K1350">
        <v>41.305</v>
      </c>
      <c r="L1350">
        <v>124.11960000000001</v>
      </c>
      <c r="M1350" t="s">
        <v>102</v>
      </c>
      <c r="N1350" s="2">
        <f>Table1[[#This Row],[Capacity (MW)]]*8760*0.72*10^-6</f>
        <v>1.10376E-2</v>
      </c>
      <c r="O1350" s="2" cm="1">
        <f t="array" ref="O1350">AVERAGE(VLOOKUP(_xlfn.TEXTSPLIT(Table1[[#This Row],[Fuel (no space after comma)]], ","), FuelList_Final_EF!$A$2:$B$32, 2, FALSE))</f>
        <v>118.17</v>
      </c>
      <c r="P1350" s="2">
        <f>(16112*Table1[[#This Row],[Generation (TWh)]]*10^9)/10^6</f>
        <v>177837.8112</v>
      </c>
      <c r="Q1350" s="2">
        <f>Table1[[#This Row],[Emission Factor (kg CO2/ mmBtu)]]*Table1[[#This Row],[Fuel Consumption (mmBtu)]]*10^3</f>
        <v>21015094149.503998</v>
      </c>
      <c r="R1350" s="2">
        <f>(Table1[[#This Row],[CO2 Emissions (g CO2)]])/(Table1[[#This Row],[Generation (TWh)]]*10^9)</f>
        <v>1903.9550399999998</v>
      </c>
    </row>
    <row r="1351" spans="1:18" hidden="1">
      <c r="A1351" t="s">
        <v>117</v>
      </c>
      <c r="B1351" t="s">
        <v>46</v>
      </c>
      <c r="C1351" t="str">
        <f>SUBSTITUTE(Table1[[#This Row],[Fuel]],", ",",")</f>
        <v>bioenergy: agricultural waste (solids)</v>
      </c>
      <c r="D1351" t="s">
        <v>46</v>
      </c>
      <c r="G1351">
        <v>35</v>
      </c>
      <c r="H1351" t="s">
        <v>27</v>
      </c>
      <c r="I1351">
        <v>2021</v>
      </c>
      <c r="J1351" t="s">
        <v>21</v>
      </c>
      <c r="K1351">
        <v>42.832900000000002</v>
      </c>
      <c r="L1351">
        <v>124.1294</v>
      </c>
      <c r="M1351" t="s">
        <v>102</v>
      </c>
      <c r="N1351" s="2">
        <f>Table1[[#This Row],[Capacity (MW)]]*8760*0.72*10^-6</f>
        <v>0.220752</v>
      </c>
      <c r="O1351" s="2" cm="1">
        <f t="array" ref="O1351">AVERAGE(VLOOKUP(_xlfn.TEXTSPLIT(Table1[[#This Row],[Fuel (no space after comma)]], ","), FuelList_Final_EF!$A$2:$B$32, 2, FALSE))</f>
        <v>118.17</v>
      </c>
      <c r="P1351" s="2">
        <f>(16112*Table1[[#This Row],[Generation (TWh)]]*10^9)/10^6</f>
        <v>3556756.2239999999</v>
      </c>
      <c r="Q1351" s="2">
        <f>Table1[[#This Row],[Emission Factor (kg CO2/ mmBtu)]]*Table1[[#This Row],[Fuel Consumption (mmBtu)]]*10^3</f>
        <v>420301882990.08002</v>
      </c>
      <c r="R1351" s="2">
        <f>(Table1[[#This Row],[CO2 Emissions (g CO2)]])/(Table1[[#This Row],[Generation (TWh)]]*10^9)</f>
        <v>1903.9550400000001</v>
      </c>
    </row>
    <row r="1352" spans="1:18" hidden="1">
      <c r="A1352" t="s">
        <v>852</v>
      </c>
      <c r="B1352" t="s">
        <v>46</v>
      </c>
      <c r="C1352" t="str">
        <f>SUBSTITUTE(Table1[[#This Row],[Fuel]],", ",",")</f>
        <v>bioenergy: agricultural waste (solids)</v>
      </c>
      <c r="D1352" t="s">
        <v>46</v>
      </c>
      <c r="G1352">
        <v>30</v>
      </c>
      <c r="H1352" t="s">
        <v>27</v>
      </c>
      <c r="I1352">
        <v>2021</v>
      </c>
      <c r="J1352" t="s">
        <v>21</v>
      </c>
      <c r="K1352">
        <v>41.285400000000003</v>
      </c>
      <c r="L1352">
        <v>120.56870000000001</v>
      </c>
      <c r="M1352" t="s">
        <v>102</v>
      </c>
      <c r="N1352" s="2">
        <f>Table1[[#This Row],[Capacity (MW)]]*8760*0.72*10^-6</f>
        <v>0.189216</v>
      </c>
      <c r="O1352" s="2" cm="1">
        <f t="array" ref="O1352">AVERAGE(VLOOKUP(_xlfn.TEXTSPLIT(Table1[[#This Row],[Fuel (no space after comma)]], ","), FuelList_Final_EF!$A$2:$B$32, 2, FALSE))</f>
        <v>118.17</v>
      </c>
      <c r="P1352" s="2">
        <f>(16112*Table1[[#This Row],[Generation (TWh)]]*10^9)/10^6</f>
        <v>3048648.1919999998</v>
      </c>
      <c r="Q1352" s="2">
        <f>Table1[[#This Row],[Emission Factor (kg CO2/ mmBtu)]]*Table1[[#This Row],[Fuel Consumption (mmBtu)]]*10^3</f>
        <v>360258756848.63995</v>
      </c>
      <c r="R1352" s="2">
        <f>(Table1[[#This Row],[CO2 Emissions (g CO2)]])/(Table1[[#This Row],[Generation (TWh)]]*10^9)</f>
        <v>1903.9550399999998</v>
      </c>
    </row>
    <row r="1353" spans="1:18" hidden="1">
      <c r="A1353" t="s">
        <v>21</v>
      </c>
      <c r="B1353" t="s">
        <v>19</v>
      </c>
      <c r="C1353" t="str">
        <f>SUBSTITUTE(Table1[[#This Row],[Fuel]],", ",",")</f>
        <v>bioenergy: refuse (municipal and industrial wastes)</v>
      </c>
      <c r="D1353" t="s">
        <v>19</v>
      </c>
      <c r="G1353">
        <v>60</v>
      </c>
      <c r="H1353" t="s">
        <v>27</v>
      </c>
      <c r="I1353">
        <v>2021</v>
      </c>
      <c r="J1353" t="s">
        <v>21</v>
      </c>
      <c r="K1353">
        <v>39.0672</v>
      </c>
      <c r="L1353">
        <v>121.59910000000001</v>
      </c>
      <c r="M1353" t="s">
        <v>102</v>
      </c>
      <c r="N1353" s="2">
        <f>Table1[[#This Row],[Capacity (MW)]]*8760*0.72*10^-6</f>
        <v>0.37843199999999999</v>
      </c>
      <c r="O1353" s="2" cm="1">
        <f t="array" ref="O1353">AVERAGE(VLOOKUP(_xlfn.TEXTSPLIT(Table1[[#This Row],[Fuel (no space after comma)]], ","), FuelList_Final_EF!$A$2:$B$32, 2, FALSE))</f>
        <v>105.42962572482868</v>
      </c>
      <c r="P1353" s="2">
        <f>(16112*Table1[[#This Row],[Generation (TWh)]]*10^9)/10^6</f>
        <v>6097296.3839999996</v>
      </c>
      <c r="Q1353" s="2">
        <f>Table1[[#This Row],[Emission Factor (kg CO2/ mmBtu)]]*Table1[[#This Row],[Fuel Consumption (mmBtu)]]*10^3</f>
        <v>642835675698.47131</v>
      </c>
      <c r="R1353" s="2">
        <f>(Table1[[#This Row],[CO2 Emissions (g CO2)]])/(Table1[[#This Row],[Generation (TWh)]]*10^9)</f>
        <v>1698.6821296784397</v>
      </c>
    </row>
    <row r="1354" spans="1:18">
      <c r="A1354" t="s">
        <v>793</v>
      </c>
      <c r="B1354" t="s">
        <v>46</v>
      </c>
      <c r="C1354" t="str">
        <f>SUBSTITUTE(Table1[[#This Row],[Fuel]],", ",",")</f>
        <v>bioenergy: agricultural waste (solids)</v>
      </c>
      <c r="D1354" t="s">
        <v>46</v>
      </c>
      <c r="G1354">
        <v>30</v>
      </c>
      <c r="H1354" t="s">
        <v>97</v>
      </c>
      <c r="I1354" t="s">
        <v>21</v>
      </c>
      <c r="J1354" t="s">
        <v>21</v>
      </c>
      <c r="K1354">
        <v>40.686300000000003</v>
      </c>
      <c r="L1354">
        <v>124.66119999999999</v>
      </c>
      <c r="M1354" t="s">
        <v>102</v>
      </c>
      <c r="N1354" s="2">
        <f>Table1[[#This Row],[Capacity (MW)]]*8760*0.72*10^-6</f>
        <v>0.189216</v>
      </c>
      <c r="O1354" s="2" cm="1">
        <f t="array" ref="O1354">AVERAGE(VLOOKUP(_xlfn.TEXTSPLIT(Table1[[#This Row],[Fuel (no space after comma)]], ","), FuelList_Final_EF!$A$2:$B$32, 2, FALSE))</f>
        <v>118.17</v>
      </c>
      <c r="P1354" s="2">
        <f>(16112*Table1[[#This Row],[Generation (TWh)]]*10^9)/10^6</f>
        <v>3048648.1919999998</v>
      </c>
      <c r="Q1354" s="2">
        <f>Table1[[#This Row],[Emission Factor (kg CO2/ mmBtu)]]*Table1[[#This Row],[Fuel Consumption (mmBtu)]]*10^3</f>
        <v>360258756848.63995</v>
      </c>
      <c r="R1354" s="2">
        <f>(Table1[[#This Row],[CO2 Emissions (g CO2)]])/(Table1[[#This Row],[Generation (TWh)]]*10^9)</f>
        <v>1903.9550399999998</v>
      </c>
    </row>
    <row r="1355" spans="1:18">
      <c r="A1355" t="s">
        <v>284</v>
      </c>
      <c r="B1355" t="s">
        <v>105</v>
      </c>
      <c r="C1355" t="str">
        <f>SUBSTITUTE(Table1[[#This Row],[Fuel]],", ",",")</f>
        <v>bioenergy: agricultural waste (solids),bioenergy: wood &amp; other biomass (solids)</v>
      </c>
      <c r="D1355" t="s">
        <v>46</v>
      </c>
      <c r="E1355" t="s">
        <v>25</v>
      </c>
      <c r="G1355">
        <v>35</v>
      </c>
      <c r="H1355" t="s">
        <v>138</v>
      </c>
      <c r="I1355" t="s">
        <v>21</v>
      </c>
      <c r="J1355" t="s">
        <v>21</v>
      </c>
      <c r="K1355">
        <v>41.4285</v>
      </c>
      <c r="L1355">
        <v>123.3429</v>
      </c>
      <c r="M1355" t="s">
        <v>102</v>
      </c>
      <c r="N1355" s="2">
        <f>Table1[[#This Row],[Capacity (MW)]]*8760*0.72*10^-6</f>
        <v>0.220752</v>
      </c>
      <c r="O1355" s="2" cm="1">
        <f t="array" ref="O1355">AVERAGE(VLOOKUP(_xlfn.TEXTSPLIT(Table1[[#This Row],[Fuel (no space after comma)]], ","), FuelList_Final_EF!$A$2:$B$32, 2, FALSE))</f>
        <v>105.985</v>
      </c>
      <c r="P1355" s="2">
        <f>(16112*Table1[[#This Row],[Generation (TWh)]]*10^9)/10^6</f>
        <v>3556756.2239999999</v>
      </c>
      <c r="Q1355" s="2">
        <f>Table1[[#This Row],[Emission Factor (kg CO2/ mmBtu)]]*Table1[[#This Row],[Fuel Consumption (mmBtu)]]*10^3</f>
        <v>376962808400.64001</v>
      </c>
      <c r="R1355" s="2">
        <f>(Table1[[#This Row],[CO2 Emissions (g CO2)]])/(Table1[[#This Row],[Generation (TWh)]]*10^9)</f>
        <v>1707.63032</v>
      </c>
    </row>
    <row r="1356" spans="1:18" hidden="1">
      <c r="A1356" t="s">
        <v>853</v>
      </c>
      <c r="B1356" t="s">
        <v>46</v>
      </c>
      <c r="C1356" t="str">
        <f>SUBSTITUTE(Table1[[#This Row],[Fuel]],", ",",")</f>
        <v>bioenergy: agricultural waste (solids)</v>
      </c>
      <c r="D1356" t="s">
        <v>46</v>
      </c>
      <c r="G1356">
        <v>3.6</v>
      </c>
      <c r="H1356" t="s">
        <v>27</v>
      </c>
      <c r="I1356">
        <v>2023</v>
      </c>
      <c r="J1356" t="s">
        <v>21</v>
      </c>
      <c r="K1356">
        <v>39.9482</v>
      </c>
      <c r="L1356">
        <v>124.18259999999999</v>
      </c>
      <c r="M1356" t="s">
        <v>102</v>
      </c>
      <c r="N1356" s="2">
        <f>Table1[[#This Row],[Capacity (MW)]]*8760*0.72*10^-6</f>
        <v>2.2705919999999997E-2</v>
      </c>
      <c r="O1356" s="2" cm="1">
        <f t="array" ref="O1356">AVERAGE(VLOOKUP(_xlfn.TEXTSPLIT(Table1[[#This Row],[Fuel (no space after comma)]], ","), FuelList_Final_EF!$A$2:$B$32, 2, FALSE))</f>
        <v>118.17</v>
      </c>
      <c r="P1356" s="2">
        <f>(16112*Table1[[#This Row],[Generation (TWh)]]*10^9)/10^6</f>
        <v>365837.78304000001</v>
      </c>
      <c r="Q1356" s="2">
        <f>Table1[[#This Row],[Emission Factor (kg CO2/ mmBtu)]]*Table1[[#This Row],[Fuel Consumption (mmBtu)]]*10^3</f>
        <v>43231050821.8368</v>
      </c>
      <c r="R1356" s="2">
        <f>(Table1[[#This Row],[CO2 Emissions (g CO2)]])/(Table1[[#This Row],[Generation (TWh)]]*10^9)</f>
        <v>1903.9550400000003</v>
      </c>
    </row>
    <row r="1357" spans="1:18" hidden="1">
      <c r="A1357" t="s">
        <v>854</v>
      </c>
      <c r="B1357" t="s">
        <v>46</v>
      </c>
      <c r="C1357" t="str">
        <f>SUBSTITUTE(Table1[[#This Row],[Fuel]],", ",",")</f>
        <v>bioenergy: agricultural waste (solids)</v>
      </c>
      <c r="D1357" t="s">
        <v>46</v>
      </c>
      <c r="G1357">
        <v>14.4</v>
      </c>
      <c r="H1357" t="s">
        <v>27</v>
      </c>
      <c r="I1357">
        <v>2023</v>
      </c>
      <c r="J1357" t="s">
        <v>21</v>
      </c>
      <c r="K1357">
        <v>39.9482</v>
      </c>
      <c r="L1357">
        <v>124.18259999999999</v>
      </c>
      <c r="M1357" t="s">
        <v>102</v>
      </c>
      <c r="N1357" s="2">
        <f>Table1[[#This Row],[Capacity (MW)]]*8760*0.72*10^-6</f>
        <v>9.082367999999999E-2</v>
      </c>
      <c r="O1357" s="2" cm="1">
        <f t="array" ref="O1357">AVERAGE(VLOOKUP(_xlfn.TEXTSPLIT(Table1[[#This Row],[Fuel (no space after comma)]], ","), FuelList_Final_EF!$A$2:$B$32, 2, FALSE))</f>
        <v>118.17</v>
      </c>
      <c r="P1357" s="2">
        <f>(16112*Table1[[#This Row],[Generation (TWh)]]*10^9)/10^6</f>
        <v>1463351.13216</v>
      </c>
      <c r="Q1357" s="2">
        <f>Table1[[#This Row],[Emission Factor (kg CO2/ mmBtu)]]*Table1[[#This Row],[Fuel Consumption (mmBtu)]]*10^3</f>
        <v>172924203287.3472</v>
      </c>
      <c r="R1357" s="2">
        <f>(Table1[[#This Row],[CO2 Emissions (g CO2)]])/(Table1[[#This Row],[Generation (TWh)]]*10^9)</f>
        <v>1903.9550400000003</v>
      </c>
    </row>
    <row r="1358" spans="1:18" hidden="1">
      <c r="A1358" t="s">
        <v>54</v>
      </c>
      <c r="B1358" t="s">
        <v>46</v>
      </c>
      <c r="C1358" t="str">
        <f>SUBSTITUTE(Table1[[#This Row],[Fuel]],", ",",")</f>
        <v>bioenergy: agricultural waste (solids)</v>
      </c>
      <c r="D1358" t="s">
        <v>46</v>
      </c>
      <c r="G1358">
        <v>12</v>
      </c>
      <c r="H1358" t="s">
        <v>27</v>
      </c>
      <c r="I1358">
        <v>2023</v>
      </c>
      <c r="J1358" t="s">
        <v>21</v>
      </c>
      <c r="K1358">
        <v>39.9482</v>
      </c>
      <c r="L1358">
        <v>124.18259999999999</v>
      </c>
      <c r="M1358" t="s">
        <v>102</v>
      </c>
      <c r="N1358" s="2">
        <f>Table1[[#This Row],[Capacity (MW)]]*8760*0.72*10^-6</f>
        <v>7.5686399999999987E-2</v>
      </c>
      <c r="O1358" s="2" cm="1">
        <f t="array" ref="O1358">AVERAGE(VLOOKUP(_xlfn.TEXTSPLIT(Table1[[#This Row],[Fuel (no space after comma)]], ","), FuelList_Final_EF!$A$2:$B$32, 2, FALSE))</f>
        <v>118.17</v>
      </c>
      <c r="P1358" s="2">
        <f>(16112*Table1[[#This Row],[Generation (TWh)]]*10^9)/10^6</f>
        <v>1219459.2767999996</v>
      </c>
      <c r="Q1358" s="2">
        <f>Table1[[#This Row],[Emission Factor (kg CO2/ mmBtu)]]*Table1[[#This Row],[Fuel Consumption (mmBtu)]]*10^3</f>
        <v>144103502739.45596</v>
      </c>
      <c r="R1358" s="2">
        <f>(Table1[[#This Row],[CO2 Emissions (g CO2)]])/(Table1[[#This Row],[Generation (TWh)]]*10^9)</f>
        <v>1903.9550399999998</v>
      </c>
    </row>
    <row r="1359" spans="1:18" hidden="1">
      <c r="A1359" t="s">
        <v>855</v>
      </c>
      <c r="B1359" t="s">
        <v>46</v>
      </c>
      <c r="C1359" t="str">
        <f>SUBSTITUTE(Table1[[#This Row],[Fuel]],", ",",")</f>
        <v>bioenergy: agricultural waste (solids)</v>
      </c>
      <c r="D1359" t="s">
        <v>46</v>
      </c>
      <c r="G1359">
        <v>24</v>
      </c>
      <c r="H1359" t="s">
        <v>27</v>
      </c>
      <c r="I1359">
        <v>2017</v>
      </c>
      <c r="J1359" t="s">
        <v>21</v>
      </c>
      <c r="K1359">
        <v>41.896900000000002</v>
      </c>
      <c r="L1359">
        <v>121.5487</v>
      </c>
      <c r="M1359" t="s">
        <v>102</v>
      </c>
      <c r="N1359" s="2">
        <f>Table1[[#This Row],[Capacity (MW)]]*8760*0.72*10^-6</f>
        <v>0.15137279999999997</v>
      </c>
      <c r="O1359" s="2" cm="1">
        <f t="array" ref="O1359">AVERAGE(VLOOKUP(_xlfn.TEXTSPLIT(Table1[[#This Row],[Fuel (no space after comma)]], ","), FuelList_Final_EF!$A$2:$B$32, 2, FALSE))</f>
        <v>118.17</v>
      </c>
      <c r="P1359" s="2">
        <f>(16112*Table1[[#This Row],[Generation (TWh)]]*10^9)/10^6</f>
        <v>2438918.5535999993</v>
      </c>
      <c r="Q1359" s="2">
        <f>Table1[[#This Row],[Emission Factor (kg CO2/ mmBtu)]]*Table1[[#This Row],[Fuel Consumption (mmBtu)]]*10^3</f>
        <v>288207005478.91193</v>
      </c>
      <c r="R1359" s="2">
        <f>(Table1[[#This Row],[CO2 Emissions (g CO2)]])/(Table1[[#This Row],[Generation (TWh)]]*10^9)</f>
        <v>1903.9550399999998</v>
      </c>
    </row>
    <row r="1360" spans="1:18" hidden="1">
      <c r="A1360" t="s">
        <v>108</v>
      </c>
      <c r="B1360" t="s">
        <v>46</v>
      </c>
      <c r="C1360" t="str">
        <f>SUBSTITUTE(Table1[[#This Row],[Fuel]],", ",",")</f>
        <v>bioenergy: agricultural waste (solids)</v>
      </c>
      <c r="D1360" t="s">
        <v>46</v>
      </c>
      <c r="G1360">
        <v>6</v>
      </c>
      <c r="H1360" t="s">
        <v>27</v>
      </c>
      <c r="I1360">
        <v>2017</v>
      </c>
      <c r="J1360" t="s">
        <v>21</v>
      </c>
      <c r="K1360">
        <v>41.896900000000002</v>
      </c>
      <c r="L1360">
        <v>121.5487</v>
      </c>
      <c r="M1360" t="s">
        <v>102</v>
      </c>
      <c r="N1360" s="2">
        <f>Table1[[#This Row],[Capacity (MW)]]*8760*0.72*10^-6</f>
        <v>3.7843199999999994E-2</v>
      </c>
      <c r="O1360" s="2" cm="1">
        <f t="array" ref="O1360">AVERAGE(VLOOKUP(_xlfn.TEXTSPLIT(Table1[[#This Row],[Fuel (no space after comma)]], ","), FuelList_Final_EF!$A$2:$B$32, 2, FALSE))</f>
        <v>118.17</v>
      </c>
      <c r="P1360" s="2">
        <f>(16112*Table1[[#This Row],[Generation (TWh)]]*10^9)/10^6</f>
        <v>609729.63839999982</v>
      </c>
      <c r="Q1360" s="2">
        <f>Table1[[#This Row],[Emission Factor (kg CO2/ mmBtu)]]*Table1[[#This Row],[Fuel Consumption (mmBtu)]]*10^3</f>
        <v>72051751369.727982</v>
      </c>
      <c r="R1360" s="2">
        <f>(Table1[[#This Row],[CO2 Emissions (g CO2)]])/(Table1[[#This Row],[Generation (TWh)]]*10^9)</f>
        <v>1903.9550399999998</v>
      </c>
    </row>
    <row r="1361" spans="1:18" hidden="1">
      <c r="A1361" t="s">
        <v>282</v>
      </c>
      <c r="B1361" t="s">
        <v>19</v>
      </c>
      <c r="C1361" t="str">
        <f>SUBSTITUTE(Table1[[#This Row],[Fuel]],", ",",")</f>
        <v>bioenergy: refuse (municipal and industrial wastes)</v>
      </c>
      <c r="D1361" t="s">
        <v>19</v>
      </c>
      <c r="G1361">
        <v>30</v>
      </c>
      <c r="H1361" t="s">
        <v>27</v>
      </c>
      <c r="I1361">
        <v>2020</v>
      </c>
      <c r="J1361" t="s">
        <v>21</v>
      </c>
      <c r="K1361">
        <v>41.080500000000001</v>
      </c>
      <c r="L1361">
        <v>122.791</v>
      </c>
      <c r="M1361" t="s">
        <v>102</v>
      </c>
      <c r="N1361" s="2">
        <f>Table1[[#This Row],[Capacity (MW)]]*8760*0.72*10^-6</f>
        <v>0.189216</v>
      </c>
      <c r="O1361" s="2" cm="1">
        <f t="array" ref="O1361">AVERAGE(VLOOKUP(_xlfn.TEXTSPLIT(Table1[[#This Row],[Fuel (no space after comma)]], ","), FuelList_Final_EF!$A$2:$B$32, 2, FALSE))</f>
        <v>105.42962572482868</v>
      </c>
      <c r="P1361" s="2">
        <f>(16112*Table1[[#This Row],[Generation (TWh)]]*10^9)/10^6</f>
        <v>3048648.1919999998</v>
      </c>
      <c r="Q1361" s="2">
        <f>Table1[[#This Row],[Emission Factor (kg CO2/ mmBtu)]]*Table1[[#This Row],[Fuel Consumption (mmBtu)]]*10^3</f>
        <v>321417837849.23566</v>
      </c>
      <c r="R1361" s="2">
        <f>(Table1[[#This Row],[CO2 Emissions (g CO2)]])/(Table1[[#This Row],[Generation (TWh)]]*10^9)</f>
        <v>1698.6821296784397</v>
      </c>
    </row>
    <row r="1362" spans="1:18" hidden="1">
      <c r="A1362" t="s">
        <v>854</v>
      </c>
      <c r="B1362" t="s">
        <v>105</v>
      </c>
      <c r="C1362" t="str">
        <f>SUBSTITUTE(Table1[[#This Row],[Fuel]],", ",",")</f>
        <v>bioenergy: agricultural waste (solids),bioenergy: wood &amp; other biomass (solids)</v>
      </c>
      <c r="D1362" t="s">
        <v>46</v>
      </c>
      <c r="E1362" t="s">
        <v>25</v>
      </c>
      <c r="G1362">
        <v>21</v>
      </c>
      <c r="H1362" t="s">
        <v>27</v>
      </c>
      <c r="I1362">
        <v>2021</v>
      </c>
      <c r="J1362" t="s">
        <v>21</v>
      </c>
      <c r="K1362">
        <v>40.893099999999997</v>
      </c>
      <c r="L1362">
        <v>122.6897</v>
      </c>
      <c r="M1362" t="s">
        <v>102</v>
      </c>
      <c r="N1362" s="2">
        <f>Table1[[#This Row],[Capacity (MW)]]*8760*0.72*10^-6</f>
        <v>0.13245119999999996</v>
      </c>
      <c r="O1362" s="2" cm="1">
        <f t="array" ref="O1362">AVERAGE(VLOOKUP(_xlfn.TEXTSPLIT(Table1[[#This Row],[Fuel (no space after comma)]], ","), FuelList_Final_EF!$A$2:$B$32, 2, FALSE))</f>
        <v>105.985</v>
      </c>
      <c r="P1362" s="2">
        <f>(16112*Table1[[#This Row],[Generation (TWh)]]*10^9)/10^6</f>
        <v>2134053.7343999995</v>
      </c>
      <c r="Q1362" s="2">
        <f>Table1[[#This Row],[Emission Factor (kg CO2/ mmBtu)]]*Table1[[#This Row],[Fuel Consumption (mmBtu)]]*10^3</f>
        <v>226177685040.38394</v>
      </c>
      <c r="R1362" s="2">
        <f>(Table1[[#This Row],[CO2 Emissions (g CO2)]])/(Table1[[#This Row],[Generation (TWh)]]*10^9)</f>
        <v>1707.63032</v>
      </c>
    </row>
    <row r="1363" spans="1:18" hidden="1">
      <c r="A1363" t="s">
        <v>856</v>
      </c>
      <c r="B1363" t="s">
        <v>105</v>
      </c>
      <c r="C1363" t="str">
        <f>SUBSTITUTE(Table1[[#This Row],[Fuel]],", ",",")</f>
        <v>bioenergy: agricultural waste (solids),bioenergy: wood &amp; other biomass (solids)</v>
      </c>
      <c r="D1363" t="s">
        <v>46</v>
      </c>
      <c r="E1363" t="s">
        <v>25</v>
      </c>
      <c r="G1363">
        <v>14</v>
      </c>
      <c r="H1363" t="s">
        <v>27</v>
      </c>
      <c r="I1363">
        <v>2021</v>
      </c>
      <c r="J1363" t="s">
        <v>21</v>
      </c>
      <c r="K1363">
        <v>40.893099999999997</v>
      </c>
      <c r="L1363">
        <v>122.6897</v>
      </c>
      <c r="M1363" t="s">
        <v>102</v>
      </c>
      <c r="N1363" s="2">
        <f>Table1[[#This Row],[Capacity (MW)]]*8760*0.72*10^-6</f>
        <v>8.8300799999999999E-2</v>
      </c>
      <c r="O1363" s="2" cm="1">
        <f t="array" ref="O1363">AVERAGE(VLOOKUP(_xlfn.TEXTSPLIT(Table1[[#This Row],[Fuel (no space after comma)]], ","), FuelList_Final_EF!$A$2:$B$32, 2, FALSE))</f>
        <v>105.985</v>
      </c>
      <c r="P1363" s="2">
        <f>(16112*Table1[[#This Row],[Generation (TWh)]]*10^9)/10^6</f>
        <v>1422702.4896</v>
      </c>
      <c r="Q1363" s="2">
        <f>Table1[[#This Row],[Emission Factor (kg CO2/ mmBtu)]]*Table1[[#This Row],[Fuel Consumption (mmBtu)]]*10^3</f>
        <v>150785123360.25598</v>
      </c>
      <c r="R1363" s="2">
        <f>(Table1[[#This Row],[CO2 Emissions (g CO2)]])/(Table1[[#This Row],[Generation (TWh)]]*10^9)</f>
        <v>1707.6303199999998</v>
      </c>
    </row>
    <row r="1364" spans="1:18">
      <c r="A1364" t="s">
        <v>21</v>
      </c>
      <c r="B1364" t="s">
        <v>46</v>
      </c>
      <c r="C1364" t="str">
        <f>SUBSTITUTE(Table1[[#This Row],[Fuel]],", ",",")</f>
        <v>bioenergy: agricultural waste (solids)</v>
      </c>
      <c r="D1364" t="s">
        <v>46</v>
      </c>
      <c r="G1364">
        <v>35</v>
      </c>
      <c r="H1364" t="s">
        <v>138</v>
      </c>
      <c r="I1364" t="s">
        <v>21</v>
      </c>
      <c r="J1364" t="s">
        <v>21</v>
      </c>
      <c r="K1364">
        <v>42.000132000000001</v>
      </c>
      <c r="L1364">
        <v>122.187213</v>
      </c>
      <c r="M1364" t="s">
        <v>102</v>
      </c>
      <c r="N1364" s="2">
        <f>Table1[[#This Row],[Capacity (MW)]]*8760*0.72*10^-6</f>
        <v>0.220752</v>
      </c>
      <c r="O1364" s="2" cm="1">
        <f t="array" ref="O1364">AVERAGE(VLOOKUP(_xlfn.TEXTSPLIT(Table1[[#This Row],[Fuel (no space after comma)]], ","), FuelList_Final_EF!$A$2:$B$32, 2, FALSE))</f>
        <v>118.17</v>
      </c>
      <c r="P1364" s="2">
        <f>(16112*Table1[[#This Row],[Generation (TWh)]]*10^9)/10^6</f>
        <v>3556756.2239999999</v>
      </c>
      <c r="Q1364" s="2">
        <f>Table1[[#This Row],[Emission Factor (kg CO2/ mmBtu)]]*Table1[[#This Row],[Fuel Consumption (mmBtu)]]*10^3</f>
        <v>420301882990.08002</v>
      </c>
      <c r="R1364" s="2">
        <f>(Table1[[#This Row],[CO2 Emissions (g CO2)]])/(Table1[[#This Row],[Generation (TWh)]]*10^9)</f>
        <v>1903.9550400000001</v>
      </c>
    </row>
    <row r="1365" spans="1:18">
      <c r="A1365" t="s">
        <v>21</v>
      </c>
      <c r="B1365" t="s">
        <v>46</v>
      </c>
      <c r="C1365" t="str">
        <f>SUBSTITUTE(Table1[[#This Row],[Fuel]],", ",",")</f>
        <v>bioenergy: agricultural waste (solids)</v>
      </c>
      <c r="D1365" t="s">
        <v>46</v>
      </c>
      <c r="G1365">
        <v>35</v>
      </c>
      <c r="H1365" t="s">
        <v>138</v>
      </c>
      <c r="I1365" t="s">
        <v>21</v>
      </c>
      <c r="J1365" t="s">
        <v>21</v>
      </c>
      <c r="K1365">
        <v>42.000132000000001</v>
      </c>
      <c r="L1365">
        <v>122.187213</v>
      </c>
      <c r="M1365" t="s">
        <v>102</v>
      </c>
      <c r="N1365" s="2">
        <f>Table1[[#This Row],[Capacity (MW)]]*8760*0.72*10^-6</f>
        <v>0.220752</v>
      </c>
      <c r="O1365" s="2" cm="1">
        <f t="array" ref="O1365">AVERAGE(VLOOKUP(_xlfn.TEXTSPLIT(Table1[[#This Row],[Fuel (no space after comma)]], ","), FuelList_Final_EF!$A$2:$B$32, 2, FALSE))</f>
        <v>118.17</v>
      </c>
      <c r="P1365" s="2">
        <f>(16112*Table1[[#This Row],[Generation (TWh)]]*10^9)/10^6</f>
        <v>3556756.2239999999</v>
      </c>
      <c r="Q1365" s="2">
        <f>Table1[[#This Row],[Emission Factor (kg CO2/ mmBtu)]]*Table1[[#This Row],[Fuel Consumption (mmBtu)]]*10^3</f>
        <v>420301882990.08002</v>
      </c>
      <c r="R1365" s="2">
        <f>(Table1[[#This Row],[CO2 Emissions (g CO2)]])/(Table1[[#This Row],[Generation (TWh)]]*10^9)</f>
        <v>1903.9550400000001</v>
      </c>
    </row>
    <row r="1366" spans="1:18">
      <c r="A1366" t="s">
        <v>117</v>
      </c>
      <c r="B1366" t="s">
        <v>46</v>
      </c>
      <c r="C1366" t="str">
        <f>SUBSTITUTE(Table1[[#This Row],[Fuel]],", ",",")</f>
        <v>bioenergy: agricultural waste (solids)</v>
      </c>
      <c r="D1366" t="s">
        <v>46</v>
      </c>
      <c r="G1366">
        <v>35</v>
      </c>
      <c r="H1366" t="s">
        <v>97</v>
      </c>
      <c r="I1366" t="s">
        <v>21</v>
      </c>
      <c r="J1366" t="s">
        <v>21</v>
      </c>
      <c r="K1366">
        <v>41.658499999999997</v>
      </c>
      <c r="L1366">
        <v>122.1168</v>
      </c>
      <c r="M1366" t="s">
        <v>102</v>
      </c>
      <c r="N1366" s="2">
        <f>Table1[[#This Row],[Capacity (MW)]]*8760*0.72*10^-6</f>
        <v>0.220752</v>
      </c>
      <c r="O1366" s="2" cm="1">
        <f t="array" ref="O1366">AVERAGE(VLOOKUP(_xlfn.TEXTSPLIT(Table1[[#This Row],[Fuel (no space after comma)]], ","), FuelList_Final_EF!$A$2:$B$32, 2, FALSE))</f>
        <v>118.17</v>
      </c>
      <c r="P1366" s="2">
        <f>(16112*Table1[[#This Row],[Generation (TWh)]]*10^9)/10^6</f>
        <v>3556756.2239999999</v>
      </c>
      <c r="Q1366" s="2">
        <f>Table1[[#This Row],[Emission Factor (kg CO2/ mmBtu)]]*Table1[[#This Row],[Fuel Consumption (mmBtu)]]*10^3</f>
        <v>420301882990.08002</v>
      </c>
      <c r="R1366" s="2">
        <f>(Table1[[#This Row],[CO2 Emissions (g CO2)]])/(Table1[[#This Row],[Generation (TWh)]]*10^9)</f>
        <v>1903.9550400000001</v>
      </c>
    </row>
    <row r="1367" spans="1:18">
      <c r="A1367" t="s">
        <v>21</v>
      </c>
      <c r="B1367" t="s">
        <v>105</v>
      </c>
      <c r="C1367" t="str">
        <f>SUBSTITUTE(Table1[[#This Row],[Fuel]],", ",",")</f>
        <v>bioenergy: agricultural waste (solids),bioenergy: wood &amp; other biomass (solids)</v>
      </c>
      <c r="D1367" t="s">
        <v>46</v>
      </c>
      <c r="E1367" t="s">
        <v>25</v>
      </c>
      <c r="G1367">
        <v>35</v>
      </c>
      <c r="H1367" t="s">
        <v>138</v>
      </c>
      <c r="I1367" t="s">
        <v>21</v>
      </c>
      <c r="J1367" t="s">
        <v>21</v>
      </c>
      <c r="K1367">
        <v>41.037300000000002</v>
      </c>
      <c r="L1367">
        <v>121.9727</v>
      </c>
      <c r="M1367" t="s">
        <v>102</v>
      </c>
      <c r="N1367" s="2">
        <f>Table1[[#This Row],[Capacity (MW)]]*8760*0.72*10^-6</f>
        <v>0.220752</v>
      </c>
      <c r="O1367" s="2" cm="1">
        <f t="array" ref="O1367">AVERAGE(VLOOKUP(_xlfn.TEXTSPLIT(Table1[[#This Row],[Fuel (no space after comma)]], ","), FuelList_Final_EF!$A$2:$B$32, 2, FALSE))</f>
        <v>105.985</v>
      </c>
      <c r="P1367" s="2">
        <f>(16112*Table1[[#This Row],[Generation (TWh)]]*10^9)/10^6</f>
        <v>3556756.2239999999</v>
      </c>
      <c r="Q1367" s="2">
        <f>Table1[[#This Row],[Emission Factor (kg CO2/ mmBtu)]]*Table1[[#This Row],[Fuel Consumption (mmBtu)]]*10^3</f>
        <v>376962808400.64001</v>
      </c>
      <c r="R1367" s="2">
        <f>(Table1[[#This Row],[CO2 Emissions (g CO2)]])/(Table1[[#This Row],[Generation (TWh)]]*10^9)</f>
        <v>1707.63032</v>
      </c>
    </row>
    <row r="1368" spans="1:18" hidden="1">
      <c r="A1368" t="s">
        <v>857</v>
      </c>
      <c r="B1368" t="s">
        <v>105</v>
      </c>
      <c r="C1368" t="str">
        <f>SUBSTITUTE(Table1[[#This Row],[Fuel]],", ",",")</f>
        <v>bioenergy: agricultural waste (solids),bioenergy: wood &amp; other biomass (solids)</v>
      </c>
      <c r="D1368" t="s">
        <v>46</v>
      </c>
      <c r="E1368" t="s">
        <v>25</v>
      </c>
      <c r="G1368">
        <v>60</v>
      </c>
      <c r="H1368" t="s">
        <v>27</v>
      </c>
      <c r="I1368">
        <v>2016</v>
      </c>
      <c r="J1368" t="s">
        <v>21</v>
      </c>
      <c r="K1368">
        <v>40.746000000000002</v>
      </c>
      <c r="L1368">
        <v>122.0617</v>
      </c>
      <c r="M1368" t="s">
        <v>102</v>
      </c>
      <c r="N1368" s="2">
        <f>Table1[[#This Row],[Capacity (MW)]]*8760*0.72*10^-6</f>
        <v>0.37843199999999999</v>
      </c>
      <c r="O1368" s="2" cm="1">
        <f t="array" ref="O1368">AVERAGE(VLOOKUP(_xlfn.TEXTSPLIT(Table1[[#This Row],[Fuel (no space after comma)]], ","), FuelList_Final_EF!$A$2:$B$32, 2, FALSE))</f>
        <v>105.985</v>
      </c>
      <c r="P1368" s="2">
        <f>(16112*Table1[[#This Row],[Generation (TWh)]]*10^9)/10^6</f>
        <v>6097296.3839999996</v>
      </c>
      <c r="Q1368" s="2">
        <f>Table1[[#This Row],[Emission Factor (kg CO2/ mmBtu)]]*Table1[[#This Row],[Fuel Consumption (mmBtu)]]*10^3</f>
        <v>646221957258.23999</v>
      </c>
      <c r="R1368" s="2">
        <f>(Table1[[#This Row],[CO2 Emissions (g CO2)]])/(Table1[[#This Row],[Generation (TWh)]]*10^9)</f>
        <v>1707.63032</v>
      </c>
    </row>
    <row r="1369" spans="1:18" hidden="1">
      <c r="A1369" t="s">
        <v>499</v>
      </c>
      <c r="B1369" t="s">
        <v>105</v>
      </c>
      <c r="C1369" t="str">
        <f>SUBSTITUTE(Table1[[#This Row],[Fuel]],", ",",")</f>
        <v>bioenergy: agricultural waste (solids),bioenergy: wood &amp; other biomass (solids)</v>
      </c>
      <c r="D1369" t="s">
        <v>46</v>
      </c>
      <c r="E1369" t="s">
        <v>25</v>
      </c>
      <c r="G1369">
        <v>40</v>
      </c>
      <c r="H1369" t="s">
        <v>27</v>
      </c>
      <c r="I1369">
        <v>2021</v>
      </c>
      <c r="J1369" t="s">
        <v>21</v>
      </c>
      <c r="K1369">
        <v>41.991799999999998</v>
      </c>
      <c r="L1369">
        <v>124.4894</v>
      </c>
      <c r="M1369" t="s">
        <v>102</v>
      </c>
      <c r="N1369" s="2">
        <f>Table1[[#This Row],[Capacity (MW)]]*8760*0.72*10^-6</f>
        <v>0.25228800000000001</v>
      </c>
      <c r="O1369" s="2" cm="1">
        <f t="array" ref="O1369">AVERAGE(VLOOKUP(_xlfn.TEXTSPLIT(Table1[[#This Row],[Fuel (no space after comma)]], ","), FuelList_Final_EF!$A$2:$B$32, 2, FALSE))</f>
        <v>105.985</v>
      </c>
      <c r="P1369" s="2">
        <f>(16112*Table1[[#This Row],[Generation (TWh)]]*10^9)/10^6</f>
        <v>4064864.2560000005</v>
      </c>
      <c r="Q1369" s="2">
        <f>Table1[[#This Row],[Emission Factor (kg CO2/ mmBtu)]]*Table1[[#This Row],[Fuel Consumption (mmBtu)]]*10^3</f>
        <v>430814638172.16003</v>
      </c>
      <c r="R1369" s="2">
        <f>(Table1[[#This Row],[CO2 Emissions (g CO2)]])/(Table1[[#This Row],[Generation (TWh)]]*10^9)</f>
        <v>1707.6303200000002</v>
      </c>
    </row>
    <row r="1370" spans="1:18" hidden="1">
      <c r="A1370" t="s">
        <v>858</v>
      </c>
      <c r="B1370" t="s">
        <v>210</v>
      </c>
      <c r="C1370" t="str">
        <f>SUBSTITUTE(Table1[[#This Row],[Fuel]],", ",",")</f>
        <v>bioenergy: wood &amp; other biomass (solids),bioenergy: agricultural waste (solids)</v>
      </c>
      <c r="D1370" t="s">
        <v>25</v>
      </c>
      <c r="E1370" t="s">
        <v>46</v>
      </c>
      <c r="G1370">
        <v>12.25</v>
      </c>
      <c r="H1370" t="s">
        <v>27</v>
      </c>
      <c r="I1370">
        <v>2021</v>
      </c>
      <c r="J1370" t="s">
        <v>21</v>
      </c>
      <c r="K1370">
        <v>42.029499999999999</v>
      </c>
      <c r="L1370">
        <v>123.5925</v>
      </c>
      <c r="M1370" t="s">
        <v>102</v>
      </c>
      <c r="N1370" s="2">
        <f>Table1[[#This Row],[Capacity (MW)]]*8760*0.72*10^-6</f>
        <v>7.726319999999999E-2</v>
      </c>
      <c r="O1370" s="2" cm="1">
        <f t="array" ref="O1370">AVERAGE(VLOOKUP(_xlfn.TEXTSPLIT(Table1[[#This Row],[Fuel (no space after comma)]], ","), FuelList_Final_EF!$A$2:$B$32, 2, FALSE))</f>
        <v>105.985</v>
      </c>
      <c r="P1370" s="2">
        <f>(16112*Table1[[#This Row],[Generation (TWh)]]*10^9)/10^6</f>
        <v>1244864.6783999999</v>
      </c>
      <c r="Q1370" s="2">
        <f>Table1[[#This Row],[Emission Factor (kg CO2/ mmBtu)]]*Table1[[#This Row],[Fuel Consumption (mmBtu)]]*10^3</f>
        <v>131936982940.22398</v>
      </c>
      <c r="R1370" s="2">
        <f>(Table1[[#This Row],[CO2 Emissions (g CO2)]])/(Table1[[#This Row],[Generation (TWh)]]*10^9)</f>
        <v>1707.6303200000002</v>
      </c>
    </row>
    <row r="1371" spans="1:18" hidden="1">
      <c r="A1371" t="s">
        <v>859</v>
      </c>
      <c r="B1371" t="s">
        <v>210</v>
      </c>
      <c r="C1371" t="str">
        <f>SUBSTITUTE(Table1[[#This Row],[Fuel]],", ",",")</f>
        <v>bioenergy: wood &amp; other biomass (solids),bioenergy: agricultural waste (solids)</v>
      </c>
      <c r="D1371" t="s">
        <v>25</v>
      </c>
      <c r="E1371" t="s">
        <v>46</v>
      </c>
      <c r="G1371">
        <v>2.4500000000000002</v>
      </c>
      <c r="H1371" t="s">
        <v>27</v>
      </c>
      <c r="I1371">
        <v>2021</v>
      </c>
      <c r="J1371" t="s">
        <v>21</v>
      </c>
      <c r="K1371">
        <v>42.029499999999999</v>
      </c>
      <c r="L1371">
        <v>123.5925</v>
      </c>
      <c r="M1371" t="s">
        <v>102</v>
      </c>
      <c r="N1371" s="2">
        <f>Table1[[#This Row],[Capacity (MW)]]*8760*0.72*10^-6</f>
        <v>1.5452639999999998E-2</v>
      </c>
      <c r="O1371" s="2" cm="1">
        <f t="array" ref="O1371">AVERAGE(VLOOKUP(_xlfn.TEXTSPLIT(Table1[[#This Row],[Fuel (no space after comma)]], ","), FuelList_Final_EF!$A$2:$B$32, 2, FALSE))</f>
        <v>105.985</v>
      </c>
      <c r="P1371" s="2">
        <f>(16112*Table1[[#This Row],[Generation (TWh)]]*10^9)/10^6</f>
        <v>248972.93567999997</v>
      </c>
      <c r="Q1371" s="2">
        <f>Table1[[#This Row],[Emission Factor (kg CO2/ mmBtu)]]*Table1[[#This Row],[Fuel Consumption (mmBtu)]]*10^3</f>
        <v>26387396588.044796</v>
      </c>
      <c r="R1371" s="2">
        <f>(Table1[[#This Row],[CO2 Emissions (g CO2)]])/(Table1[[#This Row],[Generation (TWh)]]*10^9)</f>
        <v>1707.63032</v>
      </c>
    </row>
    <row r="1372" spans="1:18" hidden="1">
      <c r="A1372" t="s">
        <v>860</v>
      </c>
      <c r="B1372" t="s">
        <v>210</v>
      </c>
      <c r="C1372" t="str">
        <f>SUBSTITUTE(Table1[[#This Row],[Fuel]],", ",",")</f>
        <v>bioenergy: wood &amp; other biomass (solids),bioenergy: agricultural waste (solids)</v>
      </c>
      <c r="D1372" t="s">
        <v>25</v>
      </c>
      <c r="E1372" t="s">
        <v>46</v>
      </c>
      <c r="G1372">
        <v>1.75</v>
      </c>
      <c r="H1372" t="s">
        <v>27</v>
      </c>
      <c r="I1372">
        <v>2021</v>
      </c>
      <c r="J1372" t="s">
        <v>21</v>
      </c>
      <c r="K1372">
        <v>42.029499999999999</v>
      </c>
      <c r="L1372">
        <v>123.5925</v>
      </c>
      <c r="M1372" t="s">
        <v>102</v>
      </c>
      <c r="N1372" s="2">
        <f>Table1[[#This Row],[Capacity (MW)]]*8760*0.72*10^-6</f>
        <v>1.10376E-2</v>
      </c>
      <c r="O1372" s="2" cm="1">
        <f t="array" ref="O1372">AVERAGE(VLOOKUP(_xlfn.TEXTSPLIT(Table1[[#This Row],[Fuel (no space after comma)]], ","), FuelList_Final_EF!$A$2:$B$32, 2, FALSE))</f>
        <v>105.985</v>
      </c>
      <c r="P1372" s="2">
        <f>(16112*Table1[[#This Row],[Generation (TWh)]]*10^9)/10^6</f>
        <v>177837.8112</v>
      </c>
      <c r="Q1372" s="2">
        <f>Table1[[#This Row],[Emission Factor (kg CO2/ mmBtu)]]*Table1[[#This Row],[Fuel Consumption (mmBtu)]]*10^3</f>
        <v>18848140420.031998</v>
      </c>
      <c r="R1372" s="2">
        <f>(Table1[[#This Row],[CO2 Emissions (g CO2)]])/(Table1[[#This Row],[Generation (TWh)]]*10^9)</f>
        <v>1707.6303199999998</v>
      </c>
    </row>
    <row r="1373" spans="1:18" hidden="1">
      <c r="A1373" t="s">
        <v>861</v>
      </c>
      <c r="B1373" t="s">
        <v>210</v>
      </c>
      <c r="C1373" t="str">
        <f>SUBSTITUTE(Table1[[#This Row],[Fuel]],", ",",")</f>
        <v>bioenergy: wood &amp; other biomass (solids),bioenergy: agricultural waste (solids)</v>
      </c>
      <c r="D1373" t="s">
        <v>25</v>
      </c>
      <c r="E1373" t="s">
        <v>46</v>
      </c>
      <c r="G1373">
        <v>5.6000000000000014</v>
      </c>
      <c r="H1373" t="s">
        <v>27</v>
      </c>
      <c r="I1373">
        <v>2021</v>
      </c>
      <c r="J1373" t="s">
        <v>21</v>
      </c>
      <c r="K1373">
        <v>42.029499999999999</v>
      </c>
      <c r="L1373">
        <v>123.5925</v>
      </c>
      <c r="M1373" t="s">
        <v>102</v>
      </c>
      <c r="N1373" s="2">
        <f>Table1[[#This Row],[Capacity (MW)]]*8760*0.72*10^-6</f>
        <v>3.5320320000000002E-2</v>
      </c>
      <c r="O1373" s="2" cm="1">
        <f t="array" ref="O1373">AVERAGE(VLOOKUP(_xlfn.TEXTSPLIT(Table1[[#This Row],[Fuel (no space after comma)]], ","), FuelList_Final_EF!$A$2:$B$32, 2, FALSE))</f>
        <v>105.985</v>
      </c>
      <c r="P1373" s="2">
        <f>(16112*Table1[[#This Row],[Generation (TWh)]]*10^9)/10^6</f>
        <v>569080.99583999999</v>
      </c>
      <c r="Q1373" s="2">
        <f>Table1[[#This Row],[Emission Factor (kg CO2/ mmBtu)]]*Table1[[#This Row],[Fuel Consumption (mmBtu)]]*10^3</f>
        <v>60314049344.102394</v>
      </c>
      <c r="R1373" s="2">
        <f>(Table1[[#This Row],[CO2 Emissions (g CO2)]])/(Table1[[#This Row],[Generation (TWh)]]*10^9)</f>
        <v>1707.6303199999998</v>
      </c>
    </row>
    <row r="1374" spans="1:18" hidden="1">
      <c r="A1374" t="s">
        <v>862</v>
      </c>
      <c r="B1374" t="s">
        <v>210</v>
      </c>
      <c r="C1374" t="str">
        <f>SUBSTITUTE(Table1[[#This Row],[Fuel]],", ",",")</f>
        <v>bioenergy: wood &amp; other biomass (solids),bioenergy: agricultural waste (solids)</v>
      </c>
      <c r="D1374" t="s">
        <v>25</v>
      </c>
      <c r="E1374" t="s">
        <v>46</v>
      </c>
      <c r="G1374">
        <v>9.4500000000000011</v>
      </c>
      <c r="H1374" t="s">
        <v>27</v>
      </c>
      <c r="I1374">
        <v>2021</v>
      </c>
      <c r="J1374" t="s">
        <v>21</v>
      </c>
      <c r="K1374">
        <v>42.029499999999999</v>
      </c>
      <c r="L1374">
        <v>123.5925</v>
      </c>
      <c r="M1374" t="s">
        <v>102</v>
      </c>
      <c r="N1374" s="2">
        <f>Table1[[#This Row],[Capacity (MW)]]*8760*0.72*10^-6</f>
        <v>5.9603040000000003E-2</v>
      </c>
      <c r="O1374" s="2" cm="1">
        <f t="array" ref="O1374">AVERAGE(VLOOKUP(_xlfn.TEXTSPLIT(Table1[[#This Row],[Fuel (no space after comma)]], ","), FuelList_Final_EF!$A$2:$B$32, 2, FALSE))</f>
        <v>105.985</v>
      </c>
      <c r="P1374" s="2">
        <f>(16112*Table1[[#This Row],[Generation (TWh)]]*10^9)/10^6</f>
        <v>960324.18047999998</v>
      </c>
      <c r="Q1374" s="2">
        <f>Table1[[#This Row],[Emission Factor (kg CO2/ mmBtu)]]*Table1[[#This Row],[Fuel Consumption (mmBtu)]]*10^3</f>
        <v>101779958268.17281</v>
      </c>
      <c r="R1374" s="2">
        <f>(Table1[[#This Row],[CO2 Emissions (g CO2)]])/(Table1[[#This Row],[Generation (TWh)]]*10^9)</f>
        <v>1707.6303200000002</v>
      </c>
    </row>
    <row r="1375" spans="1:18" hidden="1">
      <c r="A1375" t="s">
        <v>863</v>
      </c>
      <c r="B1375" t="s">
        <v>210</v>
      </c>
      <c r="C1375" t="str">
        <f>SUBSTITUTE(Table1[[#This Row],[Fuel]],", ",",")</f>
        <v>bioenergy: wood &amp; other biomass (solids),bioenergy: agricultural waste (solids)</v>
      </c>
      <c r="D1375" t="s">
        <v>25</v>
      </c>
      <c r="E1375" t="s">
        <v>46</v>
      </c>
      <c r="G1375">
        <v>3.5</v>
      </c>
      <c r="H1375" t="s">
        <v>27</v>
      </c>
      <c r="I1375">
        <v>2021</v>
      </c>
      <c r="J1375" t="s">
        <v>21</v>
      </c>
      <c r="K1375">
        <v>42.029499999999999</v>
      </c>
      <c r="L1375">
        <v>123.5925</v>
      </c>
      <c r="M1375" t="s">
        <v>102</v>
      </c>
      <c r="N1375" s="2">
        <f>Table1[[#This Row],[Capacity (MW)]]*8760*0.72*10^-6</f>
        <v>2.20752E-2</v>
      </c>
      <c r="O1375" s="2" cm="1">
        <f t="array" ref="O1375">AVERAGE(VLOOKUP(_xlfn.TEXTSPLIT(Table1[[#This Row],[Fuel (no space after comma)]], ","), FuelList_Final_EF!$A$2:$B$32, 2, FALSE))</f>
        <v>105.985</v>
      </c>
      <c r="P1375" s="2">
        <f>(16112*Table1[[#This Row],[Generation (TWh)]]*10^9)/10^6</f>
        <v>355675.62239999999</v>
      </c>
      <c r="Q1375" s="2">
        <f>Table1[[#This Row],[Emission Factor (kg CO2/ mmBtu)]]*Table1[[#This Row],[Fuel Consumption (mmBtu)]]*10^3</f>
        <v>37696280840.063995</v>
      </c>
      <c r="R1375" s="2">
        <f>(Table1[[#This Row],[CO2 Emissions (g CO2)]])/(Table1[[#This Row],[Generation (TWh)]]*10^9)</f>
        <v>1707.6303199999998</v>
      </c>
    </row>
    <row r="1376" spans="1:18" hidden="1">
      <c r="A1376" t="s">
        <v>862</v>
      </c>
      <c r="B1376" t="s">
        <v>210</v>
      </c>
      <c r="C1376" t="str">
        <f>SUBSTITUTE(Table1[[#This Row],[Fuel]],", ",",")</f>
        <v>bioenergy: wood &amp; other biomass (solids),bioenergy: agricultural waste (solids)</v>
      </c>
      <c r="D1376" t="s">
        <v>25</v>
      </c>
      <c r="E1376" t="s">
        <v>46</v>
      </c>
      <c r="G1376">
        <v>9.4500000000000011</v>
      </c>
      <c r="H1376" t="s">
        <v>27</v>
      </c>
      <c r="I1376">
        <v>2021</v>
      </c>
      <c r="J1376" t="s">
        <v>21</v>
      </c>
      <c r="K1376">
        <v>42.029499999999999</v>
      </c>
      <c r="L1376">
        <v>123.5925</v>
      </c>
      <c r="M1376" t="s">
        <v>102</v>
      </c>
      <c r="N1376" s="2">
        <f>Table1[[#This Row],[Capacity (MW)]]*8760*0.72*10^-6</f>
        <v>5.9603040000000003E-2</v>
      </c>
      <c r="O1376" s="2" cm="1">
        <f t="array" ref="O1376">AVERAGE(VLOOKUP(_xlfn.TEXTSPLIT(Table1[[#This Row],[Fuel (no space after comma)]], ","), FuelList_Final_EF!$A$2:$B$32, 2, FALSE))</f>
        <v>105.985</v>
      </c>
      <c r="P1376" s="2">
        <f>(16112*Table1[[#This Row],[Generation (TWh)]]*10^9)/10^6</f>
        <v>960324.18047999998</v>
      </c>
      <c r="Q1376" s="2">
        <f>Table1[[#This Row],[Emission Factor (kg CO2/ mmBtu)]]*Table1[[#This Row],[Fuel Consumption (mmBtu)]]*10^3</f>
        <v>101779958268.17281</v>
      </c>
      <c r="R1376" s="2">
        <f>(Table1[[#This Row],[CO2 Emissions (g CO2)]])/(Table1[[#This Row],[Generation (TWh)]]*10^9)</f>
        <v>1707.6303200000002</v>
      </c>
    </row>
    <row r="1377" spans="1:18" hidden="1">
      <c r="A1377" t="s">
        <v>859</v>
      </c>
      <c r="B1377" t="s">
        <v>210</v>
      </c>
      <c r="C1377" t="str">
        <f>SUBSTITUTE(Table1[[#This Row],[Fuel]],", ",",")</f>
        <v>bioenergy: wood &amp; other biomass (solids),bioenergy: agricultural waste (solids)</v>
      </c>
      <c r="D1377" t="s">
        <v>25</v>
      </c>
      <c r="E1377" t="s">
        <v>46</v>
      </c>
      <c r="G1377">
        <v>2.4500000000000002</v>
      </c>
      <c r="H1377" t="s">
        <v>27</v>
      </c>
      <c r="I1377">
        <v>2021</v>
      </c>
      <c r="J1377" t="s">
        <v>21</v>
      </c>
      <c r="K1377">
        <v>42.029499999999999</v>
      </c>
      <c r="L1377">
        <v>123.5925</v>
      </c>
      <c r="M1377" t="s">
        <v>102</v>
      </c>
      <c r="N1377" s="2">
        <f>Table1[[#This Row],[Capacity (MW)]]*8760*0.72*10^-6</f>
        <v>1.5452639999999998E-2</v>
      </c>
      <c r="O1377" s="2" cm="1">
        <f t="array" ref="O1377">AVERAGE(VLOOKUP(_xlfn.TEXTSPLIT(Table1[[#This Row],[Fuel (no space after comma)]], ","), FuelList_Final_EF!$A$2:$B$32, 2, FALSE))</f>
        <v>105.985</v>
      </c>
      <c r="P1377" s="2">
        <f>(16112*Table1[[#This Row],[Generation (TWh)]]*10^9)/10^6</f>
        <v>248972.93567999997</v>
      </c>
      <c r="Q1377" s="2">
        <f>Table1[[#This Row],[Emission Factor (kg CO2/ mmBtu)]]*Table1[[#This Row],[Fuel Consumption (mmBtu)]]*10^3</f>
        <v>26387396588.044796</v>
      </c>
      <c r="R1377" s="2">
        <f>(Table1[[#This Row],[CO2 Emissions (g CO2)]])/(Table1[[#This Row],[Generation (TWh)]]*10^9)</f>
        <v>1707.63032</v>
      </c>
    </row>
    <row r="1378" spans="1:18" hidden="1">
      <c r="A1378" t="s">
        <v>863</v>
      </c>
      <c r="B1378" t="s">
        <v>210</v>
      </c>
      <c r="C1378" t="str">
        <f>SUBSTITUTE(Table1[[#This Row],[Fuel]],", ",",")</f>
        <v>bioenergy: wood &amp; other biomass (solids),bioenergy: agricultural waste (solids)</v>
      </c>
      <c r="D1378" t="s">
        <v>25</v>
      </c>
      <c r="E1378" t="s">
        <v>46</v>
      </c>
      <c r="G1378">
        <v>3.5</v>
      </c>
      <c r="H1378" t="s">
        <v>27</v>
      </c>
      <c r="I1378">
        <v>2021</v>
      </c>
      <c r="J1378" t="s">
        <v>21</v>
      </c>
      <c r="K1378">
        <v>42.029499999999999</v>
      </c>
      <c r="L1378">
        <v>123.5925</v>
      </c>
      <c r="M1378" t="s">
        <v>102</v>
      </c>
      <c r="N1378" s="2">
        <f>Table1[[#This Row],[Capacity (MW)]]*8760*0.72*10^-6</f>
        <v>2.20752E-2</v>
      </c>
      <c r="O1378" s="2" cm="1">
        <f t="array" ref="O1378">AVERAGE(VLOOKUP(_xlfn.TEXTSPLIT(Table1[[#This Row],[Fuel (no space after comma)]], ","), FuelList_Final_EF!$A$2:$B$32, 2, FALSE))</f>
        <v>105.985</v>
      </c>
      <c r="P1378" s="2">
        <f>(16112*Table1[[#This Row],[Generation (TWh)]]*10^9)/10^6</f>
        <v>355675.62239999999</v>
      </c>
      <c r="Q1378" s="2">
        <f>Table1[[#This Row],[Emission Factor (kg CO2/ mmBtu)]]*Table1[[#This Row],[Fuel Consumption (mmBtu)]]*10^3</f>
        <v>37696280840.063995</v>
      </c>
      <c r="R1378" s="2">
        <f>(Table1[[#This Row],[CO2 Emissions (g CO2)]])/(Table1[[#This Row],[Generation (TWh)]]*10^9)</f>
        <v>1707.6303199999998</v>
      </c>
    </row>
    <row r="1379" spans="1:18" hidden="1">
      <c r="A1379" t="s">
        <v>858</v>
      </c>
      <c r="B1379" t="s">
        <v>210</v>
      </c>
      <c r="C1379" t="str">
        <f>SUBSTITUTE(Table1[[#This Row],[Fuel]],", ",",")</f>
        <v>bioenergy: wood &amp; other biomass (solids),bioenergy: agricultural waste (solids)</v>
      </c>
      <c r="D1379" t="s">
        <v>25</v>
      </c>
      <c r="E1379" t="s">
        <v>46</v>
      </c>
      <c r="G1379">
        <v>12.25</v>
      </c>
      <c r="H1379" t="s">
        <v>27</v>
      </c>
      <c r="I1379">
        <v>2021</v>
      </c>
      <c r="J1379" t="s">
        <v>21</v>
      </c>
      <c r="K1379">
        <v>42.029499999999999</v>
      </c>
      <c r="L1379">
        <v>123.5925</v>
      </c>
      <c r="M1379" t="s">
        <v>102</v>
      </c>
      <c r="N1379" s="2">
        <f>Table1[[#This Row],[Capacity (MW)]]*8760*0.72*10^-6</f>
        <v>7.726319999999999E-2</v>
      </c>
      <c r="O1379" s="2" cm="1">
        <f t="array" ref="O1379">AVERAGE(VLOOKUP(_xlfn.TEXTSPLIT(Table1[[#This Row],[Fuel (no space after comma)]], ","), FuelList_Final_EF!$A$2:$B$32, 2, FALSE))</f>
        <v>105.985</v>
      </c>
      <c r="P1379" s="2">
        <f>(16112*Table1[[#This Row],[Generation (TWh)]]*10^9)/10^6</f>
        <v>1244864.6783999999</v>
      </c>
      <c r="Q1379" s="2">
        <f>Table1[[#This Row],[Emission Factor (kg CO2/ mmBtu)]]*Table1[[#This Row],[Fuel Consumption (mmBtu)]]*10^3</f>
        <v>131936982940.22398</v>
      </c>
      <c r="R1379" s="2">
        <f>(Table1[[#This Row],[CO2 Emissions (g CO2)]])/(Table1[[#This Row],[Generation (TWh)]]*10^9)</f>
        <v>1707.6303200000002</v>
      </c>
    </row>
    <row r="1380" spans="1:18" hidden="1">
      <c r="A1380" t="s">
        <v>860</v>
      </c>
      <c r="B1380" t="s">
        <v>210</v>
      </c>
      <c r="C1380" t="str">
        <f>SUBSTITUTE(Table1[[#This Row],[Fuel]],", ",",")</f>
        <v>bioenergy: wood &amp; other biomass (solids),bioenergy: agricultural waste (solids)</v>
      </c>
      <c r="D1380" t="s">
        <v>25</v>
      </c>
      <c r="E1380" t="s">
        <v>46</v>
      </c>
      <c r="G1380">
        <v>1.75</v>
      </c>
      <c r="H1380" t="s">
        <v>27</v>
      </c>
      <c r="I1380">
        <v>2021</v>
      </c>
      <c r="J1380" t="s">
        <v>21</v>
      </c>
      <c r="K1380">
        <v>42.029499999999999</v>
      </c>
      <c r="L1380">
        <v>123.5925</v>
      </c>
      <c r="M1380" t="s">
        <v>102</v>
      </c>
      <c r="N1380" s="2">
        <f>Table1[[#This Row],[Capacity (MW)]]*8760*0.72*10^-6</f>
        <v>1.10376E-2</v>
      </c>
      <c r="O1380" s="2" cm="1">
        <f t="array" ref="O1380">AVERAGE(VLOOKUP(_xlfn.TEXTSPLIT(Table1[[#This Row],[Fuel (no space after comma)]], ","), FuelList_Final_EF!$A$2:$B$32, 2, FALSE))</f>
        <v>105.985</v>
      </c>
      <c r="P1380" s="2">
        <f>(16112*Table1[[#This Row],[Generation (TWh)]]*10^9)/10^6</f>
        <v>177837.8112</v>
      </c>
      <c r="Q1380" s="2">
        <f>Table1[[#This Row],[Emission Factor (kg CO2/ mmBtu)]]*Table1[[#This Row],[Fuel Consumption (mmBtu)]]*10^3</f>
        <v>18848140420.031998</v>
      </c>
      <c r="R1380" s="2">
        <f>(Table1[[#This Row],[CO2 Emissions (g CO2)]])/(Table1[[#This Row],[Generation (TWh)]]*10^9)</f>
        <v>1707.6303199999998</v>
      </c>
    </row>
    <row r="1381" spans="1:18" hidden="1">
      <c r="A1381" t="s">
        <v>861</v>
      </c>
      <c r="B1381" t="s">
        <v>210</v>
      </c>
      <c r="C1381" t="str">
        <f>SUBSTITUTE(Table1[[#This Row],[Fuel]],", ",",")</f>
        <v>bioenergy: wood &amp; other biomass (solids),bioenergy: agricultural waste (solids)</v>
      </c>
      <c r="D1381" t="s">
        <v>25</v>
      </c>
      <c r="E1381" t="s">
        <v>46</v>
      </c>
      <c r="G1381">
        <v>5.6000000000000014</v>
      </c>
      <c r="H1381" t="s">
        <v>27</v>
      </c>
      <c r="I1381">
        <v>2021</v>
      </c>
      <c r="J1381" t="s">
        <v>21</v>
      </c>
      <c r="K1381">
        <v>42.029499999999999</v>
      </c>
      <c r="L1381">
        <v>123.5925</v>
      </c>
      <c r="M1381" t="s">
        <v>102</v>
      </c>
      <c r="N1381" s="2">
        <f>Table1[[#This Row],[Capacity (MW)]]*8760*0.72*10^-6</f>
        <v>3.5320320000000002E-2</v>
      </c>
      <c r="O1381" s="2" cm="1">
        <f t="array" ref="O1381">AVERAGE(VLOOKUP(_xlfn.TEXTSPLIT(Table1[[#This Row],[Fuel (no space after comma)]], ","), FuelList_Final_EF!$A$2:$B$32, 2, FALSE))</f>
        <v>105.985</v>
      </c>
      <c r="P1381" s="2">
        <f>(16112*Table1[[#This Row],[Generation (TWh)]]*10^9)/10^6</f>
        <v>569080.99583999999</v>
      </c>
      <c r="Q1381" s="2">
        <f>Table1[[#This Row],[Emission Factor (kg CO2/ mmBtu)]]*Table1[[#This Row],[Fuel Consumption (mmBtu)]]*10^3</f>
        <v>60314049344.102394</v>
      </c>
      <c r="R1381" s="2">
        <f>(Table1[[#This Row],[CO2 Emissions (g CO2)]])/(Table1[[#This Row],[Generation (TWh)]]*10^9)</f>
        <v>1707.6303199999998</v>
      </c>
    </row>
    <row r="1382" spans="1:18" hidden="1">
      <c r="A1382" t="s">
        <v>514</v>
      </c>
      <c r="B1382" t="s">
        <v>19</v>
      </c>
      <c r="C1382" t="str">
        <f>SUBSTITUTE(Table1[[#This Row],[Fuel]],", ",",")</f>
        <v>bioenergy: refuse (municipal and industrial wastes)</v>
      </c>
      <c r="D1382" t="s">
        <v>19</v>
      </c>
      <c r="G1382">
        <v>23.1</v>
      </c>
      <c r="H1382" t="s">
        <v>27</v>
      </c>
      <c r="I1382">
        <v>2019</v>
      </c>
      <c r="J1382" t="s">
        <v>21</v>
      </c>
      <c r="K1382">
        <v>42.002299999999998</v>
      </c>
      <c r="L1382">
        <v>123.4243</v>
      </c>
      <c r="M1382" t="s">
        <v>102</v>
      </c>
      <c r="N1382" s="2">
        <f>Table1[[#This Row],[Capacity (MW)]]*8760*0.72*10^-6</f>
        <v>0.14569631999999999</v>
      </c>
      <c r="O1382" s="2" cm="1">
        <f t="array" ref="O1382">AVERAGE(VLOOKUP(_xlfn.TEXTSPLIT(Table1[[#This Row],[Fuel (no space after comma)]], ","), FuelList_Final_EF!$A$2:$B$32, 2, FALSE))</f>
        <v>105.42962572482868</v>
      </c>
      <c r="P1382" s="2">
        <f>(16112*Table1[[#This Row],[Generation (TWh)]]*10^9)/10^6</f>
        <v>2347459.1078400002</v>
      </c>
      <c r="Q1382" s="2">
        <f>Table1[[#This Row],[Emission Factor (kg CO2/ mmBtu)]]*Table1[[#This Row],[Fuel Consumption (mmBtu)]]*10^3</f>
        <v>247491735143.91147</v>
      </c>
      <c r="R1382" s="2">
        <f>(Table1[[#This Row],[CO2 Emissions (g CO2)]])/(Table1[[#This Row],[Generation (TWh)]]*10^9)</f>
        <v>1698.6821296784399</v>
      </c>
    </row>
    <row r="1383" spans="1:18" hidden="1">
      <c r="A1383" t="s">
        <v>460</v>
      </c>
      <c r="B1383" t="s">
        <v>19</v>
      </c>
      <c r="C1383" t="str">
        <f>SUBSTITUTE(Table1[[#This Row],[Fuel]],", ",",")</f>
        <v>bioenergy: refuse (municipal and industrial wastes)</v>
      </c>
      <c r="D1383" t="s">
        <v>19</v>
      </c>
      <c r="G1383">
        <v>11.9</v>
      </c>
      <c r="H1383" t="s">
        <v>27</v>
      </c>
      <c r="I1383">
        <v>2019</v>
      </c>
      <c r="J1383" t="s">
        <v>21</v>
      </c>
      <c r="K1383">
        <v>42.002299999999998</v>
      </c>
      <c r="L1383">
        <v>123.4243</v>
      </c>
      <c r="M1383" t="s">
        <v>102</v>
      </c>
      <c r="N1383" s="2">
        <f>Table1[[#This Row],[Capacity (MW)]]*8760*0.72*10^-6</f>
        <v>7.5055679999999986E-2</v>
      </c>
      <c r="O1383" s="2" cm="1">
        <f t="array" ref="O1383">AVERAGE(VLOOKUP(_xlfn.TEXTSPLIT(Table1[[#This Row],[Fuel (no space after comma)]], ","), FuelList_Final_EF!$A$2:$B$32, 2, FALSE))</f>
        <v>105.42962572482868</v>
      </c>
      <c r="P1383" s="2">
        <f>(16112*Table1[[#This Row],[Generation (TWh)]]*10^9)/10^6</f>
        <v>1209297.1161599997</v>
      </c>
      <c r="Q1383" s="2">
        <f>Table1[[#This Row],[Emission Factor (kg CO2/ mmBtu)]]*Table1[[#This Row],[Fuel Consumption (mmBtu)]]*10^3</f>
        <v>127495742346.86345</v>
      </c>
      <c r="R1383" s="2">
        <f>(Table1[[#This Row],[CO2 Emissions (g CO2)]])/(Table1[[#This Row],[Generation (TWh)]]*10^9)</f>
        <v>1698.6821296784397</v>
      </c>
    </row>
    <row r="1384" spans="1:18" hidden="1">
      <c r="A1384" t="s">
        <v>514</v>
      </c>
      <c r="B1384" t="s">
        <v>19</v>
      </c>
      <c r="C1384" t="str">
        <f>SUBSTITUTE(Table1[[#This Row],[Fuel]],", ",",")</f>
        <v>bioenergy: refuse (municipal and industrial wastes)</v>
      </c>
      <c r="D1384" t="s">
        <v>19</v>
      </c>
      <c r="G1384">
        <v>23.1</v>
      </c>
      <c r="H1384" t="s">
        <v>27</v>
      </c>
      <c r="I1384">
        <v>2019</v>
      </c>
      <c r="J1384" t="s">
        <v>21</v>
      </c>
      <c r="K1384">
        <v>42.002299999999998</v>
      </c>
      <c r="L1384">
        <v>123.4243</v>
      </c>
      <c r="M1384" t="s">
        <v>102</v>
      </c>
      <c r="N1384" s="2">
        <f>Table1[[#This Row],[Capacity (MW)]]*8760*0.72*10^-6</f>
        <v>0.14569631999999999</v>
      </c>
      <c r="O1384" s="2" cm="1">
        <f t="array" ref="O1384">AVERAGE(VLOOKUP(_xlfn.TEXTSPLIT(Table1[[#This Row],[Fuel (no space after comma)]], ","), FuelList_Final_EF!$A$2:$B$32, 2, FALSE))</f>
        <v>105.42962572482868</v>
      </c>
      <c r="P1384" s="2">
        <f>(16112*Table1[[#This Row],[Generation (TWh)]]*10^9)/10^6</f>
        <v>2347459.1078400002</v>
      </c>
      <c r="Q1384" s="2">
        <f>Table1[[#This Row],[Emission Factor (kg CO2/ mmBtu)]]*Table1[[#This Row],[Fuel Consumption (mmBtu)]]*10^3</f>
        <v>247491735143.91147</v>
      </c>
      <c r="R1384" s="2">
        <f>(Table1[[#This Row],[CO2 Emissions (g CO2)]])/(Table1[[#This Row],[Generation (TWh)]]*10^9)</f>
        <v>1698.6821296784399</v>
      </c>
    </row>
    <row r="1385" spans="1:18" hidden="1">
      <c r="A1385" t="s">
        <v>460</v>
      </c>
      <c r="B1385" t="s">
        <v>19</v>
      </c>
      <c r="C1385" t="str">
        <f>SUBSTITUTE(Table1[[#This Row],[Fuel]],", ",",")</f>
        <v>bioenergy: refuse (municipal and industrial wastes)</v>
      </c>
      <c r="D1385" t="s">
        <v>19</v>
      </c>
      <c r="G1385">
        <v>11.9</v>
      </c>
      <c r="H1385" t="s">
        <v>27</v>
      </c>
      <c r="I1385">
        <v>2019</v>
      </c>
      <c r="J1385" t="s">
        <v>21</v>
      </c>
      <c r="K1385">
        <v>42.002299999999998</v>
      </c>
      <c r="L1385">
        <v>123.4243</v>
      </c>
      <c r="M1385" t="s">
        <v>102</v>
      </c>
      <c r="N1385" s="2">
        <f>Table1[[#This Row],[Capacity (MW)]]*8760*0.72*10^-6</f>
        <v>7.5055679999999986E-2</v>
      </c>
      <c r="O1385" s="2" cm="1">
        <f t="array" ref="O1385">AVERAGE(VLOOKUP(_xlfn.TEXTSPLIT(Table1[[#This Row],[Fuel (no space after comma)]], ","), FuelList_Final_EF!$A$2:$B$32, 2, FALSE))</f>
        <v>105.42962572482868</v>
      </c>
      <c r="P1385" s="2">
        <f>(16112*Table1[[#This Row],[Generation (TWh)]]*10^9)/10^6</f>
        <v>1209297.1161599997</v>
      </c>
      <c r="Q1385" s="2">
        <f>Table1[[#This Row],[Emission Factor (kg CO2/ mmBtu)]]*Table1[[#This Row],[Fuel Consumption (mmBtu)]]*10^3</f>
        <v>127495742346.86345</v>
      </c>
      <c r="R1385" s="2">
        <f>(Table1[[#This Row],[CO2 Emissions (g CO2)]])/(Table1[[#This Row],[Generation (TWh)]]*10^9)</f>
        <v>1698.6821296784397</v>
      </c>
    </row>
    <row r="1386" spans="1:18" hidden="1">
      <c r="A1386" t="s">
        <v>864</v>
      </c>
      <c r="B1386" t="s">
        <v>19</v>
      </c>
      <c r="C1386" t="str">
        <f>SUBSTITUTE(Table1[[#This Row],[Fuel]],", ",",")</f>
        <v>bioenergy: refuse (municipal and industrial wastes)</v>
      </c>
      <c r="D1386" t="s">
        <v>19</v>
      </c>
      <c r="G1386">
        <v>22.2</v>
      </c>
      <c r="H1386" t="s">
        <v>27</v>
      </c>
      <c r="I1386">
        <v>2020</v>
      </c>
      <c r="J1386" t="s">
        <v>21</v>
      </c>
      <c r="K1386">
        <v>41.573</v>
      </c>
      <c r="L1386">
        <v>123.5667</v>
      </c>
      <c r="M1386" t="s">
        <v>102</v>
      </c>
      <c r="N1386" s="2">
        <f>Table1[[#This Row],[Capacity (MW)]]*8760*0.72*10^-6</f>
        <v>0.14001983999999998</v>
      </c>
      <c r="O1386" s="2" cm="1">
        <f t="array" ref="O1386">AVERAGE(VLOOKUP(_xlfn.TEXTSPLIT(Table1[[#This Row],[Fuel (no space after comma)]], ","), FuelList_Final_EF!$A$2:$B$32, 2, FALSE))</f>
        <v>105.42962572482868</v>
      </c>
      <c r="P1386" s="2">
        <f>(16112*Table1[[#This Row],[Generation (TWh)]]*10^9)/10^6</f>
        <v>2255999.6620800002</v>
      </c>
      <c r="Q1386" s="2">
        <f>Table1[[#This Row],[Emission Factor (kg CO2/ mmBtu)]]*Table1[[#This Row],[Fuel Consumption (mmBtu)]]*10^3</f>
        <v>237849200008.43439</v>
      </c>
      <c r="R1386" s="2">
        <f>(Table1[[#This Row],[CO2 Emissions (g CO2)]])/(Table1[[#This Row],[Generation (TWh)]]*10^9)</f>
        <v>1698.6821296784401</v>
      </c>
    </row>
    <row r="1387" spans="1:18" hidden="1">
      <c r="A1387" t="s">
        <v>865</v>
      </c>
      <c r="B1387" t="s">
        <v>19</v>
      </c>
      <c r="C1387" t="str">
        <f>SUBSTITUTE(Table1[[#This Row],[Fuel]],", ",",")</f>
        <v>bioenergy: refuse (municipal and industrial wastes)</v>
      </c>
      <c r="D1387" t="s">
        <v>19</v>
      </c>
      <c r="G1387">
        <v>7.8000000000000007</v>
      </c>
      <c r="H1387" t="s">
        <v>27</v>
      </c>
      <c r="I1387">
        <v>2020</v>
      </c>
      <c r="J1387" t="s">
        <v>21</v>
      </c>
      <c r="K1387">
        <v>41.573</v>
      </c>
      <c r="L1387">
        <v>123.5667</v>
      </c>
      <c r="M1387" t="s">
        <v>102</v>
      </c>
      <c r="N1387" s="2">
        <f>Table1[[#This Row],[Capacity (MW)]]*8760*0.72*10^-6</f>
        <v>4.9196159999999996E-2</v>
      </c>
      <c r="O1387" s="2" cm="1">
        <f t="array" ref="O1387">AVERAGE(VLOOKUP(_xlfn.TEXTSPLIT(Table1[[#This Row],[Fuel (no space after comma)]], ","), FuelList_Final_EF!$A$2:$B$32, 2, FALSE))</f>
        <v>105.42962572482868</v>
      </c>
      <c r="P1387" s="2">
        <f>(16112*Table1[[#This Row],[Generation (TWh)]]*10^9)/10^6</f>
        <v>792648.52992</v>
      </c>
      <c r="Q1387" s="2">
        <f>Table1[[#This Row],[Emission Factor (kg CO2/ mmBtu)]]*Table1[[#This Row],[Fuel Consumption (mmBtu)]]*10^3</f>
        <v>83568637840.80127</v>
      </c>
      <c r="R1387" s="2">
        <f>(Table1[[#This Row],[CO2 Emissions (g CO2)]])/(Table1[[#This Row],[Generation (TWh)]]*10^9)</f>
        <v>1698.6821296784399</v>
      </c>
    </row>
    <row r="1388" spans="1:18" hidden="1">
      <c r="A1388" t="s">
        <v>864</v>
      </c>
      <c r="B1388" t="s">
        <v>19</v>
      </c>
      <c r="C1388" t="str">
        <f>SUBSTITUTE(Table1[[#This Row],[Fuel]],", ",",")</f>
        <v>bioenergy: refuse (municipal and industrial wastes)</v>
      </c>
      <c r="D1388" t="s">
        <v>19</v>
      </c>
      <c r="G1388">
        <v>22.2</v>
      </c>
      <c r="H1388" t="s">
        <v>27</v>
      </c>
      <c r="I1388">
        <v>2020</v>
      </c>
      <c r="J1388" t="s">
        <v>21</v>
      </c>
      <c r="K1388">
        <v>41.573</v>
      </c>
      <c r="L1388">
        <v>123.5667</v>
      </c>
      <c r="M1388" t="s">
        <v>102</v>
      </c>
      <c r="N1388" s="2">
        <f>Table1[[#This Row],[Capacity (MW)]]*8760*0.72*10^-6</f>
        <v>0.14001983999999998</v>
      </c>
      <c r="O1388" s="2" cm="1">
        <f t="array" ref="O1388">AVERAGE(VLOOKUP(_xlfn.TEXTSPLIT(Table1[[#This Row],[Fuel (no space after comma)]], ","), FuelList_Final_EF!$A$2:$B$32, 2, FALSE))</f>
        <v>105.42962572482868</v>
      </c>
      <c r="P1388" s="2">
        <f>(16112*Table1[[#This Row],[Generation (TWh)]]*10^9)/10^6</f>
        <v>2255999.6620800002</v>
      </c>
      <c r="Q1388" s="2">
        <f>Table1[[#This Row],[Emission Factor (kg CO2/ mmBtu)]]*Table1[[#This Row],[Fuel Consumption (mmBtu)]]*10^3</f>
        <v>237849200008.43439</v>
      </c>
      <c r="R1388" s="2">
        <f>(Table1[[#This Row],[CO2 Emissions (g CO2)]])/(Table1[[#This Row],[Generation (TWh)]]*10^9)</f>
        <v>1698.6821296784401</v>
      </c>
    </row>
    <row r="1389" spans="1:18" hidden="1">
      <c r="A1389" t="s">
        <v>865</v>
      </c>
      <c r="B1389" t="s">
        <v>19</v>
      </c>
      <c r="C1389" t="str">
        <f>SUBSTITUTE(Table1[[#This Row],[Fuel]],", ",",")</f>
        <v>bioenergy: refuse (municipal and industrial wastes)</v>
      </c>
      <c r="D1389" t="s">
        <v>19</v>
      </c>
      <c r="G1389">
        <v>7.8000000000000007</v>
      </c>
      <c r="H1389" t="s">
        <v>27</v>
      </c>
      <c r="I1389">
        <v>2020</v>
      </c>
      <c r="J1389" t="s">
        <v>21</v>
      </c>
      <c r="K1389">
        <v>41.573</v>
      </c>
      <c r="L1389">
        <v>123.5667</v>
      </c>
      <c r="M1389" t="s">
        <v>102</v>
      </c>
      <c r="N1389" s="2">
        <f>Table1[[#This Row],[Capacity (MW)]]*8760*0.72*10^-6</f>
        <v>4.9196159999999996E-2</v>
      </c>
      <c r="O1389" s="2" cm="1">
        <f t="array" ref="O1389">AVERAGE(VLOOKUP(_xlfn.TEXTSPLIT(Table1[[#This Row],[Fuel (no space after comma)]], ","), FuelList_Final_EF!$A$2:$B$32, 2, FALSE))</f>
        <v>105.42962572482868</v>
      </c>
      <c r="P1389" s="2">
        <f>(16112*Table1[[#This Row],[Generation (TWh)]]*10^9)/10^6</f>
        <v>792648.52992</v>
      </c>
      <c r="Q1389" s="2">
        <f>Table1[[#This Row],[Emission Factor (kg CO2/ mmBtu)]]*Table1[[#This Row],[Fuel Consumption (mmBtu)]]*10^3</f>
        <v>83568637840.80127</v>
      </c>
      <c r="R1389" s="2">
        <f>(Table1[[#This Row],[CO2 Emissions (g CO2)]])/(Table1[[#This Row],[Generation (TWh)]]*10^9)</f>
        <v>1698.6821296784399</v>
      </c>
    </row>
    <row r="1390" spans="1:18">
      <c r="A1390" t="s">
        <v>624</v>
      </c>
      <c r="B1390" t="s">
        <v>105</v>
      </c>
      <c r="C1390" t="str">
        <f>SUBSTITUTE(Table1[[#This Row],[Fuel]],", ",",")</f>
        <v>bioenergy: agricultural waste (solids),bioenergy: wood &amp; other biomass (solids)</v>
      </c>
      <c r="D1390" t="s">
        <v>46</v>
      </c>
      <c r="E1390" t="s">
        <v>25</v>
      </c>
      <c r="G1390">
        <v>30</v>
      </c>
      <c r="H1390" t="s">
        <v>138</v>
      </c>
      <c r="I1390" t="s">
        <v>21</v>
      </c>
      <c r="J1390" t="s">
        <v>21</v>
      </c>
      <c r="K1390">
        <v>41.516100000000002</v>
      </c>
      <c r="L1390">
        <v>122.76220000000001</v>
      </c>
      <c r="M1390" t="s">
        <v>102</v>
      </c>
      <c r="N1390" s="2">
        <f>Table1[[#This Row],[Capacity (MW)]]*8760*0.72*10^-6</f>
        <v>0.189216</v>
      </c>
      <c r="O1390" s="2" cm="1">
        <f t="array" ref="O1390">AVERAGE(VLOOKUP(_xlfn.TEXTSPLIT(Table1[[#This Row],[Fuel (no space after comma)]], ","), FuelList_Final_EF!$A$2:$B$32, 2, FALSE))</f>
        <v>105.985</v>
      </c>
      <c r="P1390" s="2">
        <f>(16112*Table1[[#This Row],[Generation (TWh)]]*10^9)/10^6</f>
        <v>3048648.1919999998</v>
      </c>
      <c r="Q1390" s="2">
        <f>Table1[[#This Row],[Emission Factor (kg CO2/ mmBtu)]]*Table1[[#This Row],[Fuel Consumption (mmBtu)]]*10^3</f>
        <v>323110978629.12</v>
      </c>
      <c r="R1390" s="2">
        <f>(Table1[[#This Row],[CO2 Emissions (g CO2)]])/(Table1[[#This Row],[Generation (TWh)]]*10^9)</f>
        <v>1707.63032</v>
      </c>
    </row>
    <row r="1391" spans="1:18" hidden="1">
      <c r="A1391" t="s">
        <v>284</v>
      </c>
      <c r="B1391" t="s">
        <v>105</v>
      </c>
      <c r="C1391" t="str">
        <f>SUBSTITUTE(Table1[[#This Row],[Fuel]],", ",",")</f>
        <v>bioenergy: agricultural waste (solids),bioenergy: wood &amp; other biomass (solids)</v>
      </c>
      <c r="D1391" t="s">
        <v>46</v>
      </c>
      <c r="E1391" t="s">
        <v>25</v>
      </c>
      <c r="G1391">
        <v>30</v>
      </c>
      <c r="H1391" t="s">
        <v>27</v>
      </c>
      <c r="I1391">
        <v>2020</v>
      </c>
      <c r="J1391" t="s">
        <v>21</v>
      </c>
      <c r="K1391">
        <v>42.232199999999999</v>
      </c>
      <c r="L1391">
        <v>123.75149999999999</v>
      </c>
      <c r="M1391" t="s">
        <v>102</v>
      </c>
      <c r="N1391" s="2">
        <f>Table1[[#This Row],[Capacity (MW)]]*8760*0.72*10^-6</f>
        <v>0.189216</v>
      </c>
      <c r="O1391" s="2" cm="1">
        <f t="array" ref="O1391">AVERAGE(VLOOKUP(_xlfn.TEXTSPLIT(Table1[[#This Row],[Fuel (no space after comma)]], ","), FuelList_Final_EF!$A$2:$B$32, 2, FALSE))</f>
        <v>105.985</v>
      </c>
      <c r="P1391" s="2">
        <f>(16112*Table1[[#This Row],[Generation (TWh)]]*10^9)/10^6</f>
        <v>3048648.1919999998</v>
      </c>
      <c r="Q1391" s="2">
        <f>Table1[[#This Row],[Emission Factor (kg CO2/ mmBtu)]]*Table1[[#This Row],[Fuel Consumption (mmBtu)]]*10^3</f>
        <v>323110978629.12</v>
      </c>
      <c r="R1391" s="2">
        <f>(Table1[[#This Row],[CO2 Emissions (g CO2)]])/(Table1[[#This Row],[Generation (TWh)]]*10^9)</f>
        <v>1707.63032</v>
      </c>
    </row>
    <row r="1392" spans="1:18" hidden="1">
      <c r="A1392" t="s">
        <v>609</v>
      </c>
      <c r="B1392" t="s">
        <v>46</v>
      </c>
      <c r="C1392" t="str">
        <f>SUBSTITUTE(Table1[[#This Row],[Fuel]],", ",",")</f>
        <v>bioenergy: agricultural waste (solids)</v>
      </c>
      <c r="D1392" t="s">
        <v>46</v>
      </c>
      <c r="G1392">
        <v>30</v>
      </c>
      <c r="H1392" t="s">
        <v>27</v>
      </c>
      <c r="I1392">
        <v>2020</v>
      </c>
      <c r="J1392" t="s">
        <v>21</v>
      </c>
      <c r="K1392">
        <v>42.718800000000002</v>
      </c>
      <c r="L1392">
        <v>124.3314</v>
      </c>
      <c r="M1392" t="s">
        <v>102</v>
      </c>
      <c r="N1392" s="2">
        <f>Table1[[#This Row],[Capacity (MW)]]*8760*0.72*10^-6</f>
        <v>0.189216</v>
      </c>
      <c r="O1392" s="2" cm="1">
        <f t="array" ref="O1392">AVERAGE(VLOOKUP(_xlfn.TEXTSPLIT(Table1[[#This Row],[Fuel (no space after comma)]], ","), FuelList_Final_EF!$A$2:$B$32, 2, FALSE))</f>
        <v>118.17</v>
      </c>
      <c r="P1392" s="2">
        <f>(16112*Table1[[#This Row],[Generation (TWh)]]*10^9)/10^6</f>
        <v>3048648.1919999998</v>
      </c>
      <c r="Q1392" s="2">
        <f>Table1[[#This Row],[Emission Factor (kg CO2/ mmBtu)]]*Table1[[#This Row],[Fuel Consumption (mmBtu)]]*10^3</f>
        <v>360258756848.63995</v>
      </c>
      <c r="R1392" s="2">
        <f>(Table1[[#This Row],[CO2 Emissions (g CO2)]])/(Table1[[#This Row],[Generation (TWh)]]*10^9)</f>
        <v>1903.9550399999998</v>
      </c>
    </row>
    <row r="1393" spans="1:18">
      <c r="A1393" t="s">
        <v>624</v>
      </c>
      <c r="B1393" t="s">
        <v>105</v>
      </c>
      <c r="C1393" t="str">
        <f>SUBSTITUTE(Table1[[#This Row],[Fuel]],", ",",")</f>
        <v>bioenergy: agricultural waste (solids),bioenergy: wood &amp; other biomass (solids)</v>
      </c>
      <c r="D1393" t="s">
        <v>46</v>
      </c>
      <c r="E1393" t="s">
        <v>25</v>
      </c>
      <c r="G1393">
        <v>30</v>
      </c>
      <c r="H1393" t="s">
        <v>138</v>
      </c>
      <c r="I1393" t="s">
        <v>21</v>
      </c>
      <c r="J1393" t="s">
        <v>21</v>
      </c>
      <c r="K1393">
        <v>40.291600000000003</v>
      </c>
      <c r="L1393">
        <v>123.2829</v>
      </c>
      <c r="M1393" t="s">
        <v>102</v>
      </c>
      <c r="N1393" s="2">
        <f>Table1[[#This Row],[Capacity (MW)]]*8760*0.72*10^-6</f>
        <v>0.189216</v>
      </c>
      <c r="O1393" s="2" cm="1">
        <f t="array" ref="O1393">AVERAGE(VLOOKUP(_xlfn.TEXTSPLIT(Table1[[#This Row],[Fuel (no space after comma)]], ","), FuelList_Final_EF!$A$2:$B$32, 2, FALSE))</f>
        <v>105.985</v>
      </c>
      <c r="P1393" s="2">
        <f>(16112*Table1[[#This Row],[Generation (TWh)]]*10^9)/10^6</f>
        <v>3048648.1919999998</v>
      </c>
      <c r="Q1393" s="2">
        <f>Table1[[#This Row],[Emission Factor (kg CO2/ mmBtu)]]*Table1[[#This Row],[Fuel Consumption (mmBtu)]]*10^3</f>
        <v>323110978629.12</v>
      </c>
      <c r="R1393" s="2">
        <f>(Table1[[#This Row],[CO2 Emissions (g CO2)]])/(Table1[[#This Row],[Generation (TWh)]]*10^9)</f>
        <v>1707.63032</v>
      </c>
    </row>
    <row r="1394" spans="1:18">
      <c r="A1394" t="s">
        <v>624</v>
      </c>
      <c r="B1394" t="s">
        <v>105</v>
      </c>
      <c r="C1394" t="str">
        <f>SUBSTITUTE(Table1[[#This Row],[Fuel]],", ",",")</f>
        <v>bioenergy: agricultural waste (solids),bioenergy: wood &amp; other biomass (solids)</v>
      </c>
      <c r="D1394" t="s">
        <v>46</v>
      </c>
      <c r="E1394" t="s">
        <v>25</v>
      </c>
      <c r="G1394">
        <v>30</v>
      </c>
      <c r="H1394" t="s">
        <v>138</v>
      </c>
      <c r="I1394" t="s">
        <v>21</v>
      </c>
      <c r="J1394" t="s">
        <v>21</v>
      </c>
      <c r="K1394">
        <v>40.291600000000003</v>
      </c>
      <c r="L1394">
        <v>123.2829</v>
      </c>
      <c r="M1394" t="s">
        <v>102</v>
      </c>
      <c r="N1394" s="2">
        <f>Table1[[#This Row],[Capacity (MW)]]*8760*0.72*10^-6</f>
        <v>0.189216</v>
      </c>
      <c r="O1394" s="2" cm="1">
        <f t="array" ref="O1394">AVERAGE(VLOOKUP(_xlfn.TEXTSPLIT(Table1[[#This Row],[Fuel (no space after comma)]], ","), FuelList_Final_EF!$A$2:$B$32, 2, FALSE))</f>
        <v>105.985</v>
      </c>
      <c r="P1394" s="2">
        <f>(16112*Table1[[#This Row],[Generation (TWh)]]*10^9)/10^6</f>
        <v>3048648.1919999998</v>
      </c>
      <c r="Q1394" s="2">
        <f>Table1[[#This Row],[Emission Factor (kg CO2/ mmBtu)]]*Table1[[#This Row],[Fuel Consumption (mmBtu)]]*10^3</f>
        <v>323110978629.12</v>
      </c>
      <c r="R1394" s="2">
        <f>(Table1[[#This Row],[CO2 Emissions (g CO2)]])/(Table1[[#This Row],[Generation (TWh)]]*10^9)</f>
        <v>1707.63032</v>
      </c>
    </row>
    <row r="1395" spans="1:18" hidden="1">
      <c r="A1395" t="s">
        <v>866</v>
      </c>
      <c r="B1395" t="s">
        <v>105</v>
      </c>
      <c r="C1395" t="str">
        <f>SUBSTITUTE(Table1[[#This Row],[Fuel]],", ",",")</f>
        <v>bioenergy: agricultural waste (solids),bioenergy: wood &amp; other biomass (solids)</v>
      </c>
      <c r="D1395" t="s">
        <v>46</v>
      </c>
      <c r="E1395" t="s">
        <v>25</v>
      </c>
      <c r="G1395">
        <v>37</v>
      </c>
      <c r="H1395" t="s">
        <v>27</v>
      </c>
      <c r="I1395">
        <v>2017</v>
      </c>
      <c r="J1395" t="s">
        <v>21</v>
      </c>
      <c r="K1395">
        <v>56.228200000000001</v>
      </c>
      <c r="L1395">
        <v>10.1577</v>
      </c>
      <c r="M1395" t="s">
        <v>83</v>
      </c>
      <c r="N1395" s="2">
        <f>Table1[[#This Row],[Capacity (MW)]]*8760*0.72*10^-6</f>
        <v>0.23336639999999997</v>
      </c>
      <c r="O1395" s="2" cm="1">
        <f t="array" ref="O1395">AVERAGE(VLOOKUP(_xlfn.TEXTSPLIT(Table1[[#This Row],[Fuel (no space after comma)]], ","), FuelList_Final_EF!$A$2:$B$32, 2, FALSE))</f>
        <v>105.985</v>
      </c>
      <c r="P1395" s="2">
        <f>(16112*Table1[[#This Row],[Generation (TWh)]]*10^9)/10^6</f>
        <v>3759999.4367999998</v>
      </c>
      <c r="Q1395" s="2">
        <f>Table1[[#This Row],[Emission Factor (kg CO2/ mmBtu)]]*Table1[[#This Row],[Fuel Consumption (mmBtu)]]*10^3</f>
        <v>398503540309.24799</v>
      </c>
      <c r="R1395" s="2">
        <f>(Table1[[#This Row],[CO2 Emissions (g CO2)]])/(Table1[[#This Row],[Generation (TWh)]]*10^9)</f>
        <v>1707.6303200000002</v>
      </c>
    </row>
    <row r="1396" spans="1:18" hidden="1">
      <c r="A1396" t="s">
        <v>867</v>
      </c>
      <c r="B1396" t="s">
        <v>309</v>
      </c>
      <c r="C1396" t="str">
        <f>SUBSTITUTE(Table1[[#This Row],[Fuel]],", ",",")</f>
        <v>bioenergy: refuse (municipal and industrial wastes),fossil gas: natural gas</v>
      </c>
      <c r="D1396" t="s">
        <v>19</v>
      </c>
      <c r="E1396" t="s">
        <v>69</v>
      </c>
      <c r="G1396">
        <v>240</v>
      </c>
      <c r="H1396" t="s">
        <v>20</v>
      </c>
      <c r="I1396">
        <v>2026</v>
      </c>
      <c r="J1396" t="s">
        <v>21</v>
      </c>
      <c r="K1396">
        <v>51.745640000000002</v>
      </c>
      <c r="L1396">
        <v>19.539629999999999</v>
      </c>
      <c r="M1396" t="s">
        <v>196</v>
      </c>
      <c r="N1396" s="2">
        <f>Table1[[#This Row],[Capacity (MW)]]*8760*0.72*10^-6</f>
        <v>1.513728</v>
      </c>
      <c r="O1396" s="2" cm="1">
        <f t="array" ref="O1396">AVERAGE(VLOOKUP(_xlfn.TEXTSPLIT(Table1[[#This Row],[Fuel (no space after comma)]], ","), FuelList_Final_EF!$A$2:$B$32, 2, FALSE))</f>
        <v>79.244812862414335</v>
      </c>
      <c r="P1396" s="2">
        <f>(16112*Table1[[#This Row],[Generation (TWh)]]*10^9)/10^6</f>
        <v>24389185.535999998</v>
      </c>
      <c r="Q1396" s="2">
        <f>Table1[[#This Row],[Emission Factor (kg CO2/ mmBtu)]]*Table1[[#This Row],[Fuel Consumption (mmBtu)]]*10^3</f>
        <v>1932716443667.0222</v>
      </c>
      <c r="R1396" s="2">
        <f>(Table1[[#This Row],[CO2 Emissions (g CO2)]])/(Table1[[#This Row],[Generation (TWh)]]*10^9)</f>
        <v>1276.7924248392196</v>
      </c>
    </row>
    <row r="1397" spans="1:18" hidden="1">
      <c r="A1397" t="s">
        <v>829</v>
      </c>
      <c r="B1397" t="s">
        <v>25</v>
      </c>
      <c r="C1397" t="str">
        <f>SUBSTITUTE(Table1[[#This Row],[Fuel]],", ",",")</f>
        <v>bioenergy: wood &amp; other biomass (solids)</v>
      </c>
      <c r="D1397" t="s">
        <v>25</v>
      </c>
      <c r="G1397">
        <v>50</v>
      </c>
      <c r="H1397" t="s">
        <v>53</v>
      </c>
      <c r="I1397">
        <v>2025</v>
      </c>
      <c r="J1397" t="s">
        <v>21</v>
      </c>
      <c r="K1397">
        <v>39.335599999999999</v>
      </c>
      <c r="L1397">
        <v>-5.4968000000000004</v>
      </c>
      <c r="M1397" t="s">
        <v>328</v>
      </c>
      <c r="N1397" s="2">
        <f>Table1[[#This Row],[Capacity (MW)]]*8760*0.72*10^-6</f>
        <v>0.31535999999999997</v>
      </c>
      <c r="O1397" s="2" cm="1">
        <f t="array" ref="O1397">AVERAGE(VLOOKUP(_xlfn.TEXTSPLIT(Table1[[#This Row],[Fuel (no space after comma)]], ","), FuelList_Final_EF!$A$2:$B$32, 2, FALSE))</f>
        <v>93.8</v>
      </c>
      <c r="P1397" s="2">
        <f>(16112*Table1[[#This Row],[Generation (TWh)]]*10^9)/10^6</f>
        <v>5081080.32</v>
      </c>
      <c r="Q1397" s="2">
        <f>Table1[[#This Row],[Emission Factor (kg CO2/ mmBtu)]]*Table1[[#This Row],[Fuel Consumption (mmBtu)]]*10^3</f>
        <v>476605334016.00006</v>
      </c>
      <c r="R1397" s="2">
        <f>(Table1[[#This Row],[CO2 Emissions (g CO2)]])/(Table1[[#This Row],[Generation (TWh)]]*10^9)</f>
        <v>1511.3056000000001</v>
      </c>
    </row>
    <row r="1398" spans="1:18" hidden="1">
      <c r="A1398" t="s">
        <v>868</v>
      </c>
      <c r="B1398" t="s">
        <v>46</v>
      </c>
      <c r="C1398" t="str">
        <f>SUBSTITUTE(Table1[[#This Row],[Fuel]],", ",",")</f>
        <v>bioenergy: agricultural waste (solids)</v>
      </c>
      <c r="D1398" t="s">
        <v>46</v>
      </c>
      <c r="G1398">
        <v>32</v>
      </c>
      <c r="H1398" t="s">
        <v>27</v>
      </c>
      <c r="I1398">
        <v>2012</v>
      </c>
      <c r="J1398" t="s">
        <v>21</v>
      </c>
      <c r="K1398">
        <v>17.447399999999998</v>
      </c>
      <c r="L1398">
        <v>75.716099999999997</v>
      </c>
      <c r="M1398" t="s">
        <v>66</v>
      </c>
      <c r="N1398" s="2">
        <f>Table1[[#This Row],[Capacity (MW)]]*8760*0.72*10^-6</f>
        <v>0.20183039999999999</v>
      </c>
      <c r="O1398" s="2" cm="1">
        <f t="array" ref="O1398">AVERAGE(VLOOKUP(_xlfn.TEXTSPLIT(Table1[[#This Row],[Fuel (no space after comma)]], ","), FuelList_Final_EF!$A$2:$B$32, 2, FALSE))</f>
        <v>118.17</v>
      </c>
      <c r="P1398" s="2">
        <f>(16112*Table1[[#This Row],[Generation (TWh)]]*10^9)/10^6</f>
        <v>3251891.4047999997</v>
      </c>
      <c r="Q1398" s="2">
        <f>Table1[[#This Row],[Emission Factor (kg CO2/ mmBtu)]]*Table1[[#This Row],[Fuel Consumption (mmBtu)]]*10^3</f>
        <v>384276007305.21594</v>
      </c>
      <c r="R1398" s="2">
        <f>(Table1[[#This Row],[CO2 Emissions (g CO2)]])/(Table1[[#This Row],[Generation (TWh)]]*10^9)</f>
        <v>1903.9550399999998</v>
      </c>
    </row>
    <row r="1399" spans="1:18">
      <c r="A1399" t="s">
        <v>869</v>
      </c>
      <c r="B1399" t="s">
        <v>19</v>
      </c>
      <c r="C1399" t="str">
        <f>SUBSTITUTE(Table1[[#This Row],[Fuel]],", ",",")</f>
        <v>bioenergy: refuse (municipal and industrial wastes)</v>
      </c>
      <c r="D1399" t="s">
        <v>19</v>
      </c>
      <c r="G1399">
        <v>42</v>
      </c>
      <c r="H1399" t="s">
        <v>307</v>
      </c>
      <c r="I1399" t="s">
        <v>21</v>
      </c>
      <c r="J1399" t="s">
        <v>21</v>
      </c>
      <c r="K1399">
        <v>53.784999999999997</v>
      </c>
      <c r="L1399">
        <v>-2.6375000000000002</v>
      </c>
      <c r="M1399" t="s">
        <v>22</v>
      </c>
      <c r="N1399" s="2">
        <f>Table1[[#This Row],[Capacity (MW)]]*8760*0.72*10^-6</f>
        <v>0.26490239999999993</v>
      </c>
      <c r="O1399" s="2" cm="1">
        <f t="array" ref="O1399">AVERAGE(VLOOKUP(_xlfn.TEXTSPLIT(Table1[[#This Row],[Fuel (no space after comma)]], ","), FuelList_Final_EF!$A$2:$B$32, 2, FALSE))</f>
        <v>105.42962572482868</v>
      </c>
      <c r="P1399" s="2">
        <f>(16112*Table1[[#This Row],[Generation (TWh)]]*10^9)/10^6</f>
        <v>4268107.468799999</v>
      </c>
      <c r="Q1399" s="2">
        <f>Table1[[#This Row],[Emission Factor (kg CO2/ mmBtu)]]*Table1[[#This Row],[Fuel Consumption (mmBtu)]]*10^3</f>
        <v>449984972988.92981</v>
      </c>
      <c r="R1399" s="2">
        <f>(Table1[[#This Row],[CO2 Emissions (g CO2)]])/(Table1[[#This Row],[Generation (TWh)]]*10^9)</f>
        <v>1698.6821296784397</v>
      </c>
    </row>
    <row r="1400" spans="1:18" hidden="1">
      <c r="A1400" t="s">
        <v>77</v>
      </c>
      <c r="B1400" t="s">
        <v>19</v>
      </c>
      <c r="C1400" t="str">
        <f>SUBSTITUTE(Table1[[#This Row],[Fuel]],", ",",")</f>
        <v>bioenergy: refuse (municipal and industrial wastes)</v>
      </c>
      <c r="D1400" t="s">
        <v>19</v>
      </c>
      <c r="G1400">
        <v>28</v>
      </c>
      <c r="H1400" t="s">
        <v>53</v>
      </c>
      <c r="I1400">
        <v>2025</v>
      </c>
      <c r="J1400" t="s">
        <v>21</v>
      </c>
      <c r="K1400">
        <v>53.264600000000002</v>
      </c>
      <c r="L1400">
        <v>-2.4759000000000002</v>
      </c>
      <c r="M1400" t="s">
        <v>22</v>
      </c>
      <c r="N1400" s="2">
        <f>Table1[[#This Row],[Capacity (MW)]]*8760*0.72*10^-6</f>
        <v>0.1766016</v>
      </c>
      <c r="O1400" s="2" cm="1">
        <f t="array" ref="O1400">AVERAGE(VLOOKUP(_xlfn.TEXTSPLIT(Table1[[#This Row],[Fuel (no space after comma)]], ","), FuelList_Final_EF!$A$2:$B$32, 2, FALSE))</f>
        <v>105.42962572482868</v>
      </c>
      <c r="P1400" s="2">
        <f>(16112*Table1[[#This Row],[Generation (TWh)]]*10^9)/10^6</f>
        <v>2845404.9791999999</v>
      </c>
      <c r="Q1400" s="2">
        <f>Table1[[#This Row],[Emission Factor (kg CO2/ mmBtu)]]*Table1[[#This Row],[Fuel Consumption (mmBtu)]]*10^3</f>
        <v>299989981992.61993</v>
      </c>
      <c r="R1400" s="2">
        <f>(Table1[[#This Row],[CO2 Emissions (g CO2)]])/(Table1[[#This Row],[Generation (TWh)]]*10^9)</f>
        <v>1698.6821296784397</v>
      </c>
    </row>
    <row r="1401" spans="1:18" hidden="1">
      <c r="A1401" t="s">
        <v>870</v>
      </c>
      <c r="B1401" t="s">
        <v>19</v>
      </c>
      <c r="C1401" t="str">
        <f>SUBSTITUTE(Table1[[#This Row],[Fuel]],", ",",")</f>
        <v>bioenergy: refuse (municipal and industrial wastes)</v>
      </c>
      <c r="D1401" t="s">
        <v>19</v>
      </c>
      <c r="G1401">
        <v>42</v>
      </c>
      <c r="H1401" t="s">
        <v>53</v>
      </c>
      <c r="I1401">
        <v>2025</v>
      </c>
      <c r="J1401" t="s">
        <v>21</v>
      </c>
      <c r="K1401">
        <v>53.264600000000002</v>
      </c>
      <c r="L1401">
        <v>-2.4759000000000002</v>
      </c>
      <c r="M1401" t="s">
        <v>22</v>
      </c>
      <c r="N1401" s="2">
        <f>Table1[[#This Row],[Capacity (MW)]]*8760*0.72*10^-6</f>
        <v>0.26490239999999993</v>
      </c>
      <c r="O1401" s="2" cm="1">
        <f t="array" ref="O1401">AVERAGE(VLOOKUP(_xlfn.TEXTSPLIT(Table1[[#This Row],[Fuel (no space after comma)]], ","), FuelList_Final_EF!$A$2:$B$32, 2, FALSE))</f>
        <v>105.42962572482868</v>
      </c>
      <c r="P1401" s="2">
        <f>(16112*Table1[[#This Row],[Generation (TWh)]]*10^9)/10^6</f>
        <v>4268107.468799999</v>
      </c>
      <c r="Q1401" s="2">
        <f>Table1[[#This Row],[Emission Factor (kg CO2/ mmBtu)]]*Table1[[#This Row],[Fuel Consumption (mmBtu)]]*10^3</f>
        <v>449984972988.92981</v>
      </c>
      <c r="R1401" s="2">
        <f>(Table1[[#This Row],[CO2 Emissions (g CO2)]])/(Table1[[#This Row],[Generation (TWh)]]*10^9)</f>
        <v>1698.6821296784397</v>
      </c>
    </row>
    <row r="1402" spans="1:18">
      <c r="A1402" t="s">
        <v>233</v>
      </c>
      <c r="B1402" t="s">
        <v>871</v>
      </c>
      <c r="C1402" t="str">
        <f>SUBSTITUTE(Table1[[#This Row],[Fuel]],", ",",")</f>
        <v>bioenergy: wood &amp; other biomass (solids),bioenergy: refuse (municipal and industrial wastes),bioenergy: biodiesel</v>
      </c>
      <c r="D1402" t="s">
        <v>25</v>
      </c>
      <c r="E1402" t="s">
        <v>19</v>
      </c>
      <c r="F1402" t="s">
        <v>36</v>
      </c>
      <c r="G1402">
        <v>620</v>
      </c>
      <c r="H1402" t="s">
        <v>20</v>
      </c>
      <c r="I1402" t="s">
        <v>21</v>
      </c>
      <c r="J1402" t="s">
        <v>21</v>
      </c>
      <c r="K1402">
        <v>59.385199999999998</v>
      </c>
      <c r="L1402">
        <v>17.785900000000002</v>
      </c>
      <c r="M1402" t="s">
        <v>34</v>
      </c>
      <c r="N1402" s="2">
        <f>Table1[[#This Row],[Capacity (MW)]]*8760*0.72*10^-6</f>
        <v>3.9104639999999997</v>
      </c>
      <c r="O1402" s="2" cm="1">
        <f t="array" ref="O1402">AVERAGE(VLOOKUP(_xlfn.TEXTSPLIT(Table1[[#This Row],[Fuel (no space after comma)]], ","), FuelList_Final_EF!$A$2:$B$32, 2, FALSE))</f>
        <v>91.023208574942899</v>
      </c>
      <c r="P1402" s="2">
        <f>(16112*Table1[[#This Row],[Generation (TWh)]]*10^9)/10^6</f>
        <v>63005395.968000002</v>
      </c>
      <c r="Q1402" s="2">
        <f>Table1[[#This Row],[Emission Factor (kg CO2/ mmBtu)]]*Table1[[#This Row],[Fuel Consumption (mmBtu)]]*10^3</f>
        <v>5734953298542.1309</v>
      </c>
      <c r="R1402" s="2">
        <f>(Table1[[#This Row],[CO2 Emissions (g CO2)]])/(Table1[[#This Row],[Generation (TWh)]]*10^9)</f>
        <v>1466.5659365594804</v>
      </c>
    </row>
    <row r="1403" spans="1:18">
      <c r="A1403" t="s">
        <v>21</v>
      </c>
      <c r="B1403" t="s">
        <v>19</v>
      </c>
      <c r="C1403" t="str">
        <f>SUBSTITUTE(Table1[[#This Row],[Fuel]],", ",",")</f>
        <v>bioenergy: refuse (municipal and industrial wastes)</v>
      </c>
      <c r="D1403" t="s">
        <v>19</v>
      </c>
      <c r="G1403">
        <v>30</v>
      </c>
      <c r="H1403" t="s">
        <v>138</v>
      </c>
      <c r="I1403" t="s">
        <v>21</v>
      </c>
      <c r="J1403" t="s">
        <v>21</v>
      </c>
      <c r="K1403">
        <v>-8.8437000000000001</v>
      </c>
      <c r="L1403">
        <v>13.3064</v>
      </c>
      <c r="M1403" t="s">
        <v>200</v>
      </c>
      <c r="N1403" s="2">
        <f>Table1[[#This Row],[Capacity (MW)]]*8760*0.72*10^-6</f>
        <v>0.189216</v>
      </c>
      <c r="O1403" s="2" cm="1">
        <f t="array" ref="O1403">AVERAGE(VLOOKUP(_xlfn.TEXTSPLIT(Table1[[#This Row],[Fuel (no space after comma)]], ","), FuelList_Final_EF!$A$2:$B$32, 2, FALSE))</f>
        <v>105.42962572482868</v>
      </c>
      <c r="P1403" s="2">
        <f>(16112*Table1[[#This Row],[Generation (TWh)]]*10^9)/10^6</f>
        <v>3048648.1919999998</v>
      </c>
      <c r="Q1403" s="2">
        <f>Table1[[#This Row],[Emission Factor (kg CO2/ mmBtu)]]*Table1[[#This Row],[Fuel Consumption (mmBtu)]]*10^3</f>
        <v>321417837849.23566</v>
      </c>
      <c r="R1403" s="2">
        <f>(Table1[[#This Row],[CO2 Emissions (g CO2)]])/(Table1[[#This Row],[Generation (TWh)]]*10^9)</f>
        <v>1698.6821296784397</v>
      </c>
    </row>
    <row r="1404" spans="1:18">
      <c r="A1404" t="s">
        <v>872</v>
      </c>
      <c r="B1404" t="s">
        <v>25</v>
      </c>
      <c r="C1404" t="str">
        <f>SUBSTITUTE(Table1[[#This Row],[Fuel]],", ",",")</f>
        <v>bioenergy: wood &amp; other biomass (solids)</v>
      </c>
      <c r="D1404" t="s">
        <v>25</v>
      </c>
      <c r="G1404">
        <v>40</v>
      </c>
      <c r="H1404" t="s">
        <v>138</v>
      </c>
      <c r="I1404" t="s">
        <v>21</v>
      </c>
      <c r="J1404" t="s">
        <v>21</v>
      </c>
      <c r="K1404">
        <v>51.250599999999999</v>
      </c>
      <c r="L1404">
        <v>22.57</v>
      </c>
      <c r="M1404" t="s">
        <v>196</v>
      </c>
      <c r="N1404" s="2">
        <f>Table1[[#This Row],[Capacity (MW)]]*8760*0.72*10^-6</f>
        <v>0.25228800000000001</v>
      </c>
      <c r="O1404" s="2" cm="1">
        <f t="array" ref="O1404">AVERAGE(VLOOKUP(_xlfn.TEXTSPLIT(Table1[[#This Row],[Fuel (no space after comma)]], ","), FuelList_Final_EF!$A$2:$B$32, 2, FALSE))</f>
        <v>93.8</v>
      </c>
      <c r="P1404" s="2">
        <f>(16112*Table1[[#This Row],[Generation (TWh)]]*10^9)/10^6</f>
        <v>4064864.2560000005</v>
      </c>
      <c r="Q1404" s="2">
        <f>Table1[[#This Row],[Emission Factor (kg CO2/ mmBtu)]]*Table1[[#This Row],[Fuel Consumption (mmBtu)]]*10^3</f>
        <v>381284267212.80005</v>
      </c>
      <c r="R1404" s="2">
        <f>(Table1[[#This Row],[CO2 Emissions (g CO2)]])/(Table1[[#This Row],[Generation (TWh)]]*10^9)</f>
        <v>1511.3056000000001</v>
      </c>
    </row>
    <row r="1405" spans="1:18" hidden="1">
      <c r="A1405" t="s">
        <v>398</v>
      </c>
      <c r="B1405" t="s">
        <v>25</v>
      </c>
      <c r="C1405" t="str">
        <f>SUBSTITUTE(Table1[[#This Row],[Fuel]],", ",",")</f>
        <v>bioenergy: wood &amp; other biomass (solids)</v>
      </c>
      <c r="D1405" t="s">
        <v>25</v>
      </c>
      <c r="G1405">
        <v>30</v>
      </c>
      <c r="H1405" t="s">
        <v>27</v>
      </c>
      <c r="I1405">
        <v>2017</v>
      </c>
      <c r="J1405" t="s">
        <v>21</v>
      </c>
      <c r="K1405">
        <v>-13.0015</v>
      </c>
      <c r="L1405">
        <v>-55.946199999999997</v>
      </c>
      <c r="M1405" t="s">
        <v>49</v>
      </c>
      <c r="N1405" s="2">
        <f>Table1[[#This Row],[Capacity (MW)]]*8760*0.72*10^-6</f>
        <v>0.189216</v>
      </c>
      <c r="O1405" s="2" cm="1">
        <f t="array" ref="O1405">AVERAGE(VLOOKUP(_xlfn.TEXTSPLIT(Table1[[#This Row],[Fuel (no space after comma)]], ","), FuelList_Final_EF!$A$2:$B$32, 2, FALSE))</f>
        <v>93.8</v>
      </c>
      <c r="P1405" s="2">
        <f>(16112*Table1[[#This Row],[Generation (TWh)]]*10^9)/10^6</f>
        <v>3048648.1919999998</v>
      </c>
      <c r="Q1405" s="2">
        <f>Table1[[#This Row],[Emission Factor (kg CO2/ mmBtu)]]*Table1[[#This Row],[Fuel Consumption (mmBtu)]]*10^3</f>
        <v>285963200409.59998</v>
      </c>
      <c r="R1405" s="2">
        <f>(Table1[[#This Row],[CO2 Emissions (g CO2)]])/(Table1[[#This Row],[Generation (TWh)]]*10^9)</f>
        <v>1511.3055999999999</v>
      </c>
    </row>
    <row r="1406" spans="1:18" hidden="1">
      <c r="A1406" t="s">
        <v>873</v>
      </c>
      <c r="B1406" t="s">
        <v>210</v>
      </c>
      <c r="C1406" t="str">
        <f>SUBSTITUTE(Table1[[#This Row],[Fuel]],", ",",")</f>
        <v>bioenergy: wood &amp; other biomass (solids),bioenergy: agricultural waste (solids)</v>
      </c>
      <c r="D1406" t="s">
        <v>25</v>
      </c>
      <c r="E1406" t="s">
        <v>46</v>
      </c>
      <c r="G1406">
        <v>35</v>
      </c>
      <c r="H1406" t="s">
        <v>27</v>
      </c>
      <c r="I1406">
        <v>1985</v>
      </c>
      <c r="J1406" t="s">
        <v>21</v>
      </c>
      <c r="K1406">
        <v>34.590221</v>
      </c>
      <c r="L1406">
        <v>-78.996542000000005</v>
      </c>
      <c r="M1406" t="s">
        <v>62</v>
      </c>
      <c r="N1406" s="2">
        <f>Table1[[#This Row],[Capacity (MW)]]*8760*0.72*10^-6</f>
        <v>0.220752</v>
      </c>
      <c r="O1406" s="2" cm="1">
        <f t="array" ref="O1406">AVERAGE(VLOOKUP(_xlfn.TEXTSPLIT(Table1[[#This Row],[Fuel (no space after comma)]], ","), FuelList_Final_EF!$A$2:$B$32, 2, FALSE))</f>
        <v>105.985</v>
      </c>
      <c r="P1406" s="2">
        <f>(16112*Table1[[#This Row],[Generation (TWh)]]*10^9)/10^6</f>
        <v>3556756.2239999999</v>
      </c>
      <c r="Q1406" s="2">
        <f>Table1[[#This Row],[Emission Factor (kg CO2/ mmBtu)]]*Table1[[#This Row],[Fuel Consumption (mmBtu)]]*10^3</f>
        <v>376962808400.64001</v>
      </c>
      <c r="R1406" s="2">
        <f>(Table1[[#This Row],[CO2 Emissions (g CO2)]])/(Table1[[#This Row],[Generation (TWh)]]*10^9)</f>
        <v>1707.63032</v>
      </c>
    </row>
    <row r="1407" spans="1:18" hidden="1">
      <c r="A1407" t="s">
        <v>161</v>
      </c>
      <c r="B1407" t="s">
        <v>61</v>
      </c>
      <c r="C1407" t="str">
        <f>SUBSTITUTE(Table1[[#This Row],[Fuel]],", ",",")</f>
        <v>bioenergy: paper mill wastes</v>
      </c>
      <c r="D1407" t="s">
        <v>61</v>
      </c>
      <c r="G1407">
        <v>36</v>
      </c>
      <c r="H1407" t="s">
        <v>27</v>
      </c>
      <c r="I1407">
        <v>1987</v>
      </c>
      <c r="J1407" t="s">
        <v>21</v>
      </c>
      <c r="K1407">
        <v>-22.5442</v>
      </c>
      <c r="L1407">
        <v>-48.808900000000001</v>
      </c>
      <c r="M1407" t="s">
        <v>49</v>
      </c>
      <c r="N1407" s="2">
        <f>Table1[[#This Row],[Capacity (MW)]]*8760*0.72*10^-6</f>
        <v>0.22705919999999996</v>
      </c>
      <c r="O1407" s="2" cm="1">
        <f t="array" ref="O1407">AVERAGE(VLOOKUP(_xlfn.TEXTSPLIT(Table1[[#This Row],[Fuel (no space after comma)]], ","), FuelList_Final_EF!$A$2:$B$32, 2, FALSE))</f>
        <v>100.47443331576173</v>
      </c>
      <c r="P1407" s="2">
        <f>(16112*Table1[[#This Row],[Generation (TWh)]]*10^9)/10^6</f>
        <v>3658377.8303999994</v>
      </c>
      <c r="Q1407" s="2">
        <f>Table1[[#This Row],[Emission Factor (kg CO2/ mmBtu)]]*Table1[[#This Row],[Fuel Consumption (mmBtu)]]*10^3</f>
        <v>367573439364.3858</v>
      </c>
      <c r="R1407" s="2">
        <f>(Table1[[#This Row],[CO2 Emissions (g CO2)]])/(Table1[[#This Row],[Generation (TWh)]]*10^9)</f>
        <v>1618.8440695835529</v>
      </c>
    </row>
    <row r="1408" spans="1:18" hidden="1">
      <c r="A1408" t="s">
        <v>874</v>
      </c>
      <c r="B1408" t="s">
        <v>25</v>
      </c>
      <c r="C1408" t="str">
        <f>SUBSTITUTE(Table1[[#This Row],[Fuel]],", ",",")</f>
        <v>bioenergy: wood &amp; other biomass (solids)</v>
      </c>
      <c r="D1408" t="s">
        <v>25</v>
      </c>
      <c r="G1408">
        <v>140</v>
      </c>
      <c r="H1408" t="s">
        <v>27</v>
      </c>
      <c r="I1408">
        <v>2015</v>
      </c>
      <c r="J1408" t="s">
        <v>21</v>
      </c>
      <c r="K1408">
        <v>55.204749999999997</v>
      </c>
      <c r="L1408">
        <v>-1.520356</v>
      </c>
      <c r="M1408" t="s">
        <v>22</v>
      </c>
      <c r="N1408" s="2">
        <f>Table1[[#This Row],[Capacity (MW)]]*8760*0.72*10^-6</f>
        <v>0.88300800000000002</v>
      </c>
      <c r="O1408" s="2" cm="1">
        <f t="array" ref="O1408">AVERAGE(VLOOKUP(_xlfn.TEXTSPLIT(Table1[[#This Row],[Fuel (no space after comma)]], ","), FuelList_Final_EF!$A$2:$B$32, 2, FALSE))</f>
        <v>93.8</v>
      </c>
      <c r="P1408" s="2">
        <f>(16112*Table1[[#This Row],[Generation (TWh)]]*10^9)/10^6</f>
        <v>14227024.896</v>
      </c>
      <c r="Q1408" s="2">
        <f>Table1[[#This Row],[Emission Factor (kg CO2/ mmBtu)]]*Table1[[#This Row],[Fuel Consumption (mmBtu)]]*10^3</f>
        <v>1334494935244.7998</v>
      </c>
      <c r="R1408" s="2">
        <f>(Table1[[#This Row],[CO2 Emissions (g CO2)]])/(Table1[[#This Row],[Generation (TWh)]]*10^9)</f>
        <v>1511.3055999999997</v>
      </c>
    </row>
    <row r="1409" spans="1:18" hidden="1">
      <c r="A1409" t="s">
        <v>875</v>
      </c>
      <c r="B1409" t="s">
        <v>19</v>
      </c>
      <c r="C1409" t="str">
        <f>SUBSTITUTE(Table1[[#This Row],[Fuel]],", ",",")</f>
        <v>bioenergy: refuse (municipal and industrial wastes)</v>
      </c>
      <c r="D1409" t="s">
        <v>19</v>
      </c>
      <c r="G1409">
        <v>30</v>
      </c>
      <c r="H1409" t="s">
        <v>53</v>
      </c>
      <c r="I1409">
        <v>2024</v>
      </c>
      <c r="J1409" t="s">
        <v>21</v>
      </c>
      <c r="K1409">
        <v>22.160851000000001</v>
      </c>
      <c r="L1409">
        <v>113.572076</v>
      </c>
      <c r="M1409" t="s">
        <v>876</v>
      </c>
      <c r="N1409" s="2">
        <f>Table1[[#This Row],[Capacity (MW)]]*8760*0.72*10^-6</f>
        <v>0.189216</v>
      </c>
      <c r="O1409" s="2" cm="1">
        <f t="array" ref="O1409">AVERAGE(VLOOKUP(_xlfn.TEXTSPLIT(Table1[[#This Row],[Fuel (no space after comma)]], ","), FuelList_Final_EF!$A$2:$B$32, 2, FALSE))</f>
        <v>105.42962572482868</v>
      </c>
      <c r="P1409" s="2">
        <f>(16112*Table1[[#This Row],[Generation (TWh)]]*10^9)/10^6</f>
        <v>3048648.1919999998</v>
      </c>
      <c r="Q1409" s="2">
        <f>Table1[[#This Row],[Emission Factor (kg CO2/ mmBtu)]]*Table1[[#This Row],[Fuel Consumption (mmBtu)]]*10^3</f>
        <v>321417837849.23566</v>
      </c>
      <c r="R1409" s="2">
        <f>(Table1[[#This Row],[CO2 Emissions (g CO2)]])/(Table1[[#This Row],[Generation (TWh)]]*10^9)</f>
        <v>1698.6821296784397</v>
      </c>
    </row>
    <row r="1410" spans="1:18" hidden="1">
      <c r="A1410" t="s">
        <v>877</v>
      </c>
      <c r="B1410" t="s">
        <v>25</v>
      </c>
      <c r="C1410" t="str">
        <f>SUBSTITUTE(Table1[[#This Row],[Fuel]],", ",",")</f>
        <v>bioenergy: wood &amp; other biomass (solids)</v>
      </c>
      <c r="D1410" t="s">
        <v>25</v>
      </c>
      <c r="G1410">
        <v>36</v>
      </c>
      <c r="H1410" t="s">
        <v>27</v>
      </c>
      <c r="I1410">
        <v>2015</v>
      </c>
      <c r="J1410" t="s">
        <v>21</v>
      </c>
      <c r="K1410">
        <v>55.337000000000003</v>
      </c>
      <c r="L1410">
        <v>-123.1823</v>
      </c>
      <c r="M1410" t="s">
        <v>79</v>
      </c>
      <c r="N1410" s="2">
        <f>Table1[[#This Row],[Capacity (MW)]]*8760*0.72*10^-6</f>
        <v>0.22705919999999996</v>
      </c>
      <c r="O1410" s="2" cm="1">
        <f t="array" ref="O1410">AVERAGE(VLOOKUP(_xlfn.TEXTSPLIT(Table1[[#This Row],[Fuel (no space after comma)]], ","), FuelList_Final_EF!$A$2:$B$32, 2, FALSE))</f>
        <v>93.8</v>
      </c>
      <c r="P1410" s="2">
        <f>(16112*Table1[[#This Row],[Generation (TWh)]]*10^9)/10^6</f>
        <v>3658377.8303999994</v>
      </c>
      <c r="Q1410" s="2">
        <f>Table1[[#This Row],[Emission Factor (kg CO2/ mmBtu)]]*Table1[[#This Row],[Fuel Consumption (mmBtu)]]*10^3</f>
        <v>343155840491.5199</v>
      </c>
      <c r="R1410" s="2">
        <f>(Table1[[#This Row],[CO2 Emissions (g CO2)]])/(Table1[[#This Row],[Generation (TWh)]]*10^9)</f>
        <v>1511.3055999999997</v>
      </c>
    </row>
    <row r="1411" spans="1:18" hidden="1">
      <c r="A1411" t="s">
        <v>878</v>
      </c>
      <c r="B1411" t="s">
        <v>707</v>
      </c>
      <c r="C1411" t="str">
        <f>SUBSTITUTE(Table1[[#This Row],[Fuel]],", ",",")</f>
        <v>bioenergy: agricultural waste (solids),coal: unknown,fossil liquids: fuel oil</v>
      </c>
      <c r="D1411" t="s">
        <v>46</v>
      </c>
      <c r="E1411" t="s">
        <v>65</v>
      </c>
      <c r="F1411" t="s">
        <v>606</v>
      </c>
      <c r="G1411">
        <v>37</v>
      </c>
      <c r="H1411" t="s">
        <v>27</v>
      </c>
      <c r="I1411">
        <v>1997</v>
      </c>
      <c r="J1411" t="s">
        <v>21</v>
      </c>
      <c r="K1411">
        <v>14.346</v>
      </c>
      <c r="L1411">
        <v>-91.064599999999999</v>
      </c>
      <c r="M1411" t="s">
        <v>708</v>
      </c>
      <c r="N1411" s="2">
        <f>Table1[[#This Row],[Capacity (MW)]]*8760*0.72*10^-6</f>
        <v>0.23336639999999997</v>
      </c>
      <c r="O1411" s="2" cm="1">
        <f t="array" ref="O1411">AVERAGE(VLOOKUP(_xlfn.TEXTSPLIT(Table1[[#This Row],[Fuel (no space after comma)]], ","), FuelList_Final_EF!$A$2:$B$32, 2, FALSE))</f>
        <v>99.127897789294423</v>
      </c>
      <c r="P1411" s="2">
        <f>(16112*Table1[[#This Row],[Generation (TWh)]]*10^9)/10^6</f>
        <v>3759999.4367999998</v>
      </c>
      <c r="Q1411" s="2">
        <f>Table1[[#This Row],[Emission Factor (kg CO2/ mmBtu)]]*Table1[[#This Row],[Fuel Consumption (mmBtu)]]*10^3</f>
        <v>372720839858.91498</v>
      </c>
      <c r="R1411" s="2">
        <f>(Table1[[#This Row],[CO2 Emissions (g CO2)]])/(Table1[[#This Row],[Generation (TWh)]]*10^9)</f>
        <v>1597.1486891811119</v>
      </c>
    </row>
    <row r="1412" spans="1:18" hidden="1">
      <c r="A1412" t="s">
        <v>879</v>
      </c>
      <c r="B1412" t="s">
        <v>46</v>
      </c>
      <c r="C1412" t="str">
        <f>SUBSTITUTE(Table1[[#This Row],[Fuel]],", ",",")</f>
        <v>bioenergy: agricultural waste (solids)</v>
      </c>
      <c r="D1412" t="s">
        <v>46</v>
      </c>
      <c r="G1412">
        <v>75</v>
      </c>
      <c r="H1412" t="s">
        <v>27</v>
      </c>
      <c r="I1412">
        <v>2020</v>
      </c>
      <c r="J1412" t="s">
        <v>21</v>
      </c>
      <c r="K1412">
        <v>39.067999999999998</v>
      </c>
      <c r="L1412">
        <v>141.725222</v>
      </c>
      <c r="M1412" t="s">
        <v>51</v>
      </c>
      <c r="N1412" s="2">
        <f>Table1[[#This Row],[Capacity (MW)]]*8760*0.72*10^-6</f>
        <v>0.47303999999999996</v>
      </c>
      <c r="O1412" s="2" cm="1">
        <f t="array" ref="O1412">AVERAGE(VLOOKUP(_xlfn.TEXTSPLIT(Table1[[#This Row],[Fuel (no space after comma)]], ","), FuelList_Final_EF!$A$2:$B$32, 2, FALSE))</f>
        <v>118.17</v>
      </c>
      <c r="P1412" s="2">
        <f>(16112*Table1[[#This Row],[Generation (TWh)]]*10^9)/10^6</f>
        <v>7621620.4800000004</v>
      </c>
      <c r="Q1412" s="2">
        <f>Table1[[#This Row],[Emission Factor (kg CO2/ mmBtu)]]*Table1[[#This Row],[Fuel Consumption (mmBtu)]]*10^3</f>
        <v>900646892121.59998</v>
      </c>
      <c r="R1412" s="2">
        <f>(Table1[[#This Row],[CO2 Emissions (g CO2)]])/(Table1[[#This Row],[Generation (TWh)]]*10^9)</f>
        <v>1903.9550400000003</v>
      </c>
    </row>
    <row r="1413" spans="1:18" hidden="1">
      <c r="A1413" t="s">
        <v>880</v>
      </c>
      <c r="B1413" t="s">
        <v>881</v>
      </c>
      <c r="C1413" t="str">
        <f>SUBSTITUTE(Table1[[#This Row],[Fuel]],", ",",")</f>
        <v>bioenergy: agricultural waste (solids),fossil liquids: fuel oil</v>
      </c>
      <c r="D1413" t="s">
        <v>46</v>
      </c>
      <c r="E1413" t="s">
        <v>606</v>
      </c>
      <c r="G1413">
        <v>45</v>
      </c>
      <c r="H1413" t="s">
        <v>27</v>
      </c>
      <c r="I1413">
        <v>2008</v>
      </c>
      <c r="J1413" t="s">
        <v>21</v>
      </c>
      <c r="K1413">
        <v>14.121600000000001</v>
      </c>
      <c r="L1413">
        <v>-90.927199999999999</v>
      </c>
      <c r="M1413" t="s">
        <v>708</v>
      </c>
      <c r="N1413" s="2">
        <f>Table1[[#This Row],[Capacity (MW)]]*8760*0.72*10^-6</f>
        <v>0.28382399999999997</v>
      </c>
      <c r="O1413" s="2" cm="1">
        <f t="array" ref="O1413">AVERAGE(VLOOKUP(_xlfn.TEXTSPLIT(Table1[[#This Row],[Fuel (no space after comma)]], ","), FuelList_Final_EF!$A$2:$B$32, 2, FALSE))</f>
        <v>98.138341148886283</v>
      </c>
      <c r="P1413" s="2">
        <f>(16112*Table1[[#This Row],[Generation (TWh)]]*10^9)/10^6</f>
        <v>4572972.2879999988</v>
      </c>
      <c r="Q1413" s="2">
        <f>Table1[[#This Row],[Emission Factor (kg CO2/ mmBtu)]]*Table1[[#This Row],[Fuel Consumption (mmBtu)]]*10^3</f>
        <v>448783914464.14691</v>
      </c>
      <c r="R1413" s="2">
        <f>(Table1[[#This Row],[CO2 Emissions (g CO2)]])/(Table1[[#This Row],[Generation (TWh)]]*10^9)</f>
        <v>1581.2049525908556</v>
      </c>
    </row>
    <row r="1414" spans="1:18" hidden="1">
      <c r="A1414" t="s">
        <v>880</v>
      </c>
      <c r="B1414" t="s">
        <v>707</v>
      </c>
      <c r="C1414" t="str">
        <f>SUBSTITUTE(Table1[[#This Row],[Fuel]],", ",",")</f>
        <v>bioenergy: agricultural waste (solids),coal: unknown,fossil liquids: fuel oil</v>
      </c>
      <c r="D1414" t="s">
        <v>46</v>
      </c>
      <c r="E1414" t="s">
        <v>65</v>
      </c>
      <c r="F1414" t="s">
        <v>606</v>
      </c>
      <c r="G1414">
        <v>62</v>
      </c>
      <c r="H1414" t="s">
        <v>27</v>
      </c>
      <c r="I1414">
        <v>2012</v>
      </c>
      <c r="J1414" t="s">
        <v>21</v>
      </c>
      <c r="K1414">
        <v>14.121600000000001</v>
      </c>
      <c r="L1414">
        <v>-90.927199999999999</v>
      </c>
      <c r="M1414" t="s">
        <v>708</v>
      </c>
      <c r="N1414" s="2">
        <f>Table1[[#This Row],[Capacity (MW)]]*8760*0.72*10^-6</f>
        <v>0.39104639999999996</v>
      </c>
      <c r="O1414" s="2" cm="1">
        <f t="array" ref="O1414">AVERAGE(VLOOKUP(_xlfn.TEXTSPLIT(Table1[[#This Row],[Fuel (no space after comma)]], ","), FuelList_Final_EF!$A$2:$B$32, 2, FALSE))</f>
        <v>99.127897789294423</v>
      </c>
      <c r="P1414" s="2">
        <f>(16112*Table1[[#This Row],[Generation (TWh)]]*10^9)/10^6</f>
        <v>6300539.5967999995</v>
      </c>
      <c r="Q1414" s="2">
        <f>Table1[[#This Row],[Emission Factor (kg CO2/ mmBtu)]]*Table1[[#This Row],[Fuel Consumption (mmBtu)]]*10^3</f>
        <v>624559245168.99268</v>
      </c>
      <c r="R1414" s="2">
        <f>(Table1[[#This Row],[CO2 Emissions (g CO2)]])/(Table1[[#This Row],[Generation (TWh)]]*10^9)</f>
        <v>1597.1486891811119</v>
      </c>
    </row>
    <row r="1415" spans="1:18" hidden="1">
      <c r="A1415" t="s">
        <v>880</v>
      </c>
      <c r="B1415" t="s">
        <v>707</v>
      </c>
      <c r="C1415" t="str">
        <f>SUBSTITUTE(Table1[[#This Row],[Fuel]],", ",",")</f>
        <v>bioenergy: agricultural waste (solids),coal: unknown,fossil liquids: fuel oil</v>
      </c>
      <c r="D1415" t="s">
        <v>46</v>
      </c>
      <c r="E1415" t="s">
        <v>65</v>
      </c>
      <c r="F1415" t="s">
        <v>606</v>
      </c>
      <c r="G1415">
        <v>62</v>
      </c>
      <c r="H1415" t="s">
        <v>27</v>
      </c>
      <c r="I1415">
        <v>2014</v>
      </c>
      <c r="J1415" t="s">
        <v>21</v>
      </c>
      <c r="K1415">
        <v>14.121600000000001</v>
      </c>
      <c r="L1415">
        <v>-90.927199999999999</v>
      </c>
      <c r="M1415" t="s">
        <v>708</v>
      </c>
      <c r="N1415" s="2">
        <f>Table1[[#This Row],[Capacity (MW)]]*8760*0.72*10^-6</f>
        <v>0.39104639999999996</v>
      </c>
      <c r="O1415" s="2" cm="1">
        <f t="array" ref="O1415">AVERAGE(VLOOKUP(_xlfn.TEXTSPLIT(Table1[[#This Row],[Fuel (no space after comma)]], ","), FuelList_Final_EF!$A$2:$B$32, 2, FALSE))</f>
        <v>99.127897789294423</v>
      </c>
      <c r="P1415" s="2">
        <f>(16112*Table1[[#This Row],[Generation (TWh)]]*10^9)/10^6</f>
        <v>6300539.5967999995</v>
      </c>
      <c r="Q1415" s="2">
        <f>Table1[[#This Row],[Emission Factor (kg CO2/ mmBtu)]]*Table1[[#This Row],[Fuel Consumption (mmBtu)]]*10^3</f>
        <v>624559245168.99268</v>
      </c>
      <c r="R1415" s="2">
        <f>(Table1[[#This Row],[CO2 Emissions (g CO2)]])/(Table1[[#This Row],[Generation (TWh)]]*10^9)</f>
        <v>1597.1486891811119</v>
      </c>
    </row>
    <row r="1416" spans="1:18" hidden="1">
      <c r="A1416" t="s">
        <v>880</v>
      </c>
      <c r="B1416" t="s">
        <v>46</v>
      </c>
      <c r="C1416" t="str">
        <f>SUBSTITUTE(Table1[[#This Row],[Fuel]],", ",",")</f>
        <v>bioenergy: agricultural waste (solids)</v>
      </c>
      <c r="D1416" t="s">
        <v>46</v>
      </c>
      <c r="G1416">
        <v>72</v>
      </c>
      <c r="H1416" t="s">
        <v>27</v>
      </c>
      <c r="I1416">
        <v>2004</v>
      </c>
      <c r="J1416" t="s">
        <v>21</v>
      </c>
      <c r="K1416">
        <v>14.121600000000001</v>
      </c>
      <c r="L1416">
        <v>-90.927199999999999</v>
      </c>
      <c r="M1416" t="s">
        <v>708</v>
      </c>
      <c r="N1416" s="2">
        <f>Table1[[#This Row],[Capacity (MW)]]*8760*0.72*10^-6</f>
        <v>0.45411839999999992</v>
      </c>
      <c r="O1416" s="2" cm="1">
        <f t="array" ref="O1416">AVERAGE(VLOOKUP(_xlfn.TEXTSPLIT(Table1[[#This Row],[Fuel (no space after comma)]], ","), FuelList_Final_EF!$A$2:$B$32, 2, FALSE))</f>
        <v>118.17</v>
      </c>
      <c r="P1416" s="2">
        <f>(16112*Table1[[#This Row],[Generation (TWh)]]*10^9)/10^6</f>
        <v>7316755.6607999988</v>
      </c>
      <c r="Q1416" s="2">
        <f>Table1[[#This Row],[Emission Factor (kg CO2/ mmBtu)]]*Table1[[#This Row],[Fuel Consumption (mmBtu)]]*10^3</f>
        <v>864621016436.73584</v>
      </c>
      <c r="R1416" s="2">
        <f>(Table1[[#This Row],[CO2 Emissions (g CO2)]])/(Table1[[#This Row],[Generation (TWh)]]*10^9)</f>
        <v>1903.9550399999998</v>
      </c>
    </row>
    <row r="1417" spans="1:18" hidden="1">
      <c r="A1417" t="s">
        <v>21</v>
      </c>
      <c r="B1417" t="s">
        <v>19</v>
      </c>
      <c r="C1417" t="str">
        <f>SUBSTITUTE(Table1[[#This Row],[Fuel]],", ",",")</f>
        <v>bioenergy: refuse (municipal and industrial wastes)</v>
      </c>
      <c r="D1417" t="s">
        <v>19</v>
      </c>
      <c r="G1417">
        <v>32</v>
      </c>
      <c r="H1417" t="s">
        <v>27</v>
      </c>
      <c r="I1417">
        <v>2001</v>
      </c>
      <c r="J1417" t="s">
        <v>21</v>
      </c>
      <c r="K1417">
        <v>34.665599999999998</v>
      </c>
      <c r="L1417">
        <v>135.4066</v>
      </c>
      <c r="M1417" t="s">
        <v>51</v>
      </c>
      <c r="N1417" s="2">
        <f>Table1[[#This Row],[Capacity (MW)]]*8760*0.72*10^-6</f>
        <v>0.20183039999999999</v>
      </c>
      <c r="O1417" s="2" cm="1">
        <f t="array" ref="O1417">AVERAGE(VLOOKUP(_xlfn.TEXTSPLIT(Table1[[#This Row],[Fuel (no space after comma)]], ","), FuelList_Final_EF!$A$2:$B$32, 2, FALSE))</f>
        <v>105.42962572482868</v>
      </c>
      <c r="P1417" s="2">
        <f>(16112*Table1[[#This Row],[Generation (TWh)]]*10^9)/10^6</f>
        <v>3251891.4047999997</v>
      </c>
      <c r="Q1417" s="2">
        <f>Table1[[#This Row],[Emission Factor (kg CO2/ mmBtu)]]*Table1[[#This Row],[Fuel Consumption (mmBtu)]]*10^3</f>
        <v>342845693705.85132</v>
      </c>
      <c r="R1417" s="2">
        <f>(Table1[[#This Row],[CO2 Emissions (g CO2)]])/(Table1[[#This Row],[Generation (TWh)]]*10^9)</f>
        <v>1698.6821296784394</v>
      </c>
    </row>
    <row r="1418" spans="1:18">
      <c r="A1418" t="s">
        <v>21</v>
      </c>
      <c r="B1418" t="s">
        <v>43</v>
      </c>
      <c r="C1418" t="str">
        <f>SUBSTITUTE(Table1[[#This Row],[Fuel]],", ",",")</f>
        <v>bioenergy: agricultural waste (biogas)</v>
      </c>
      <c r="D1418" t="s">
        <v>43</v>
      </c>
      <c r="G1418">
        <v>60</v>
      </c>
      <c r="H1418" t="s">
        <v>20</v>
      </c>
      <c r="I1418" t="s">
        <v>21</v>
      </c>
      <c r="J1418" t="s">
        <v>21</v>
      </c>
      <c r="K1418">
        <v>-1.7566999999999999</v>
      </c>
      <c r="L1418">
        <v>29.018599999999999</v>
      </c>
      <c r="M1418" t="s">
        <v>882</v>
      </c>
      <c r="N1418" s="2">
        <f>Table1[[#This Row],[Capacity (MW)]]*8760*0.72*10^-6</f>
        <v>0.37843199999999999</v>
      </c>
      <c r="O1418" s="2" cm="1">
        <f t="array" ref="O1418">AVERAGE(VLOOKUP(_xlfn.TEXTSPLIT(Table1[[#This Row],[Fuel (no space after comma)]], ","), FuelList_Final_EF!$A$2:$B$32, 2, FALSE))</f>
        <v>52.07</v>
      </c>
      <c r="P1418" s="2">
        <f>(16112*Table1[[#This Row],[Generation (TWh)]]*10^9)/10^6</f>
        <v>6097296.3839999996</v>
      </c>
      <c r="Q1418" s="2">
        <f>Table1[[#This Row],[Emission Factor (kg CO2/ mmBtu)]]*Table1[[#This Row],[Fuel Consumption (mmBtu)]]*10^3</f>
        <v>317486222714.88</v>
      </c>
      <c r="R1418" s="2">
        <f>(Table1[[#This Row],[CO2 Emissions (g CO2)]])/(Table1[[#This Row],[Generation (TWh)]]*10^9)</f>
        <v>838.95184000000006</v>
      </c>
    </row>
    <row r="1419" spans="1:18" hidden="1">
      <c r="A1419" t="s">
        <v>883</v>
      </c>
      <c r="B1419" t="s">
        <v>46</v>
      </c>
      <c r="C1419" t="str">
        <f>SUBSTITUTE(Table1[[#This Row],[Fuel]],", ",",")</f>
        <v>bioenergy: agricultural waste (solids)</v>
      </c>
      <c r="D1419" t="s">
        <v>46</v>
      </c>
      <c r="G1419">
        <v>32</v>
      </c>
      <c r="H1419" t="s">
        <v>27</v>
      </c>
      <c r="I1419">
        <v>2014</v>
      </c>
      <c r="J1419" t="s">
        <v>21</v>
      </c>
      <c r="K1419">
        <v>8.7123000000000008</v>
      </c>
      <c r="L1419">
        <v>-12.235900000000001</v>
      </c>
      <c r="M1419" t="s">
        <v>884</v>
      </c>
      <c r="N1419" s="2">
        <f>Table1[[#This Row],[Capacity (MW)]]*8760*0.72*10^-6</f>
        <v>0.20183039999999999</v>
      </c>
      <c r="O1419" s="2" cm="1">
        <f t="array" ref="O1419">AVERAGE(VLOOKUP(_xlfn.TEXTSPLIT(Table1[[#This Row],[Fuel (no space after comma)]], ","), FuelList_Final_EF!$A$2:$B$32, 2, FALSE))</f>
        <v>118.17</v>
      </c>
      <c r="P1419" s="2">
        <f>(16112*Table1[[#This Row],[Generation (TWh)]]*10^9)/10^6</f>
        <v>3251891.4047999997</v>
      </c>
      <c r="Q1419" s="2">
        <f>Table1[[#This Row],[Emission Factor (kg CO2/ mmBtu)]]*Table1[[#This Row],[Fuel Consumption (mmBtu)]]*10^3</f>
        <v>384276007305.21594</v>
      </c>
      <c r="R1419" s="2">
        <f>(Table1[[#This Row],[CO2 Emissions (g CO2)]])/(Table1[[#This Row],[Generation (TWh)]]*10^9)</f>
        <v>1903.9550399999998</v>
      </c>
    </row>
    <row r="1420" spans="1:18" hidden="1">
      <c r="A1420" t="s">
        <v>502</v>
      </c>
      <c r="B1420" t="s">
        <v>46</v>
      </c>
      <c r="C1420" t="str">
        <f>SUBSTITUTE(Table1[[#This Row],[Fuel]],", ",",")</f>
        <v>bioenergy: agricultural waste (solids)</v>
      </c>
      <c r="D1420" t="s">
        <v>46</v>
      </c>
      <c r="G1420">
        <v>90</v>
      </c>
      <c r="H1420" t="s">
        <v>27</v>
      </c>
      <c r="I1420">
        <v>2006</v>
      </c>
      <c r="J1420" t="s">
        <v>21</v>
      </c>
      <c r="K1420">
        <v>-20.478999999999999</v>
      </c>
      <c r="L1420">
        <v>-48.401499999999999</v>
      </c>
      <c r="M1420" t="s">
        <v>49</v>
      </c>
      <c r="N1420" s="2">
        <f>Table1[[#This Row],[Capacity (MW)]]*8760*0.72*10^-6</f>
        <v>0.56764799999999993</v>
      </c>
      <c r="O1420" s="2" cm="1">
        <f t="array" ref="O1420">AVERAGE(VLOOKUP(_xlfn.TEXTSPLIT(Table1[[#This Row],[Fuel (no space after comma)]], ","), FuelList_Final_EF!$A$2:$B$32, 2, FALSE))</f>
        <v>118.17</v>
      </c>
      <c r="P1420" s="2">
        <f>(16112*Table1[[#This Row],[Generation (TWh)]]*10^9)/10^6</f>
        <v>9145944.5759999976</v>
      </c>
      <c r="Q1420" s="2">
        <f>Table1[[#This Row],[Emission Factor (kg CO2/ mmBtu)]]*Table1[[#This Row],[Fuel Consumption (mmBtu)]]*10^3</f>
        <v>1080776270545.9197</v>
      </c>
      <c r="R1420" s="2">
        <f>(Table1[[#This Row],[CO2 Emissions (g CO2)]])/(Table1[[#This Row],[Generation (TWh)]]*10^9)</f>
        <v>1903.9550399999998</v>
      </c>
    </row>
    <row r="1421" spans="1:18" hidden="1">
      <c r="A1421" t="s">
        <v>885</v>
      </c>
      <c r="B1421" t="s">
        <v>886</v>
      </c>
      <c r="C1421" t="str">
        <f>SUBSTITUTE(Table1[[#This Row],[Fuel]],", ",",")</f>
        <v>bioenergy: wood &amp; other biomass (solids),fossil liquids: petroleum coke,coal: bituminous</v>
      </c>
      <c r="D1421" t="s">
        <v>25</v>
      </c>
      <c r="E1421" t="s">
        <v>298</v>
      </c>
      <c r="F1421" t="s">
        <v>90</v>
      </c>
      <c r="G1421">
        <v>32</v>
      </c>
      <c r="H1421" t="s">
        <v>27</v>
      </c>
      <c r="I1421">
        <v>1962</v>
      </c>
      <c r="J1421" t="s">
        <v>21</v>
      </c>
      <c r="K1421">
        <v>44.082000000000001</v>
      </c>
      <c r="L1421">
        <v>-87.655799999999999</v>
      </c>
      <c r="M1421" t="s">
        <v>62</v>
      </c>
      <c r="N1421" s="2">
        <f>Table1[[#This Row],[Capacity (MW)]]*8760*0.72*10^-6</f>
        <v>0.20183039999999999</v>
      </c>
      <c r="O1421" s="2" cm="1">
        <f t="array" ref="O1421">AVERAGE(VLOOKUP(_xlfn.TEXTSPLIT(Table1[[#This Row],[Fuel (no space after comma)]], ","), FuelList_Final_EF!$A$2:$B$32, 2, FALSE))</f>
        <v>98.648808645229295</v>
      </c>
      <c r="P1421" s="2">
        <f>(16112*Table1[[#This Row],[Generation (TWh)]]*10^9)/10^6</f>
        <v>3251891.4047999997</v>
      </c>
      <c r="Q1421" s="2">
        <f>Table1[[#This Row],[Emission Factor (kg CO2/ mmBtu)]]*Table1[[#This Row],[Fuel Consumption (mmBtu)]]*10^3</f>
        <v>320795212927.18109</v>
      </c>
      <c r="R1421" s="2">
        <f>(Table1[[#This Row],[CO2 Emissions (g CO2)]])/(Table1[[#This Row],[Generation (TWh)]]*10^9)</f>
        <v>1589.4296048919346</v>
      </c>
    </row>
    <row r="1422" spans="1:18" hidden="1">
      <c r="A1422" t="s">
        <v>887</v>
      </c>
      <c r="B1422" t="s">
        <v>145</v>
      </c>
      <c r="C1422" t="str">
        <f>SUBSTITUTE(Table1[[#This Row],[Fuel]],", ",",")</f>
        <v>bioenergy: paper mill wastes,bioenergy: wood &amp; other biomass (solids),fossil gas: natural gas</v>
      </c>
      <c r="D1422" t="s">
        <v>61</v>
      </c>
      <c r="E1422" t="s">
        <v>25</v>
      </c>
      <c r="F1422" t="s">
        <v>69</v>
      </c>
      <c r="G1422">
        <v>30</v>
      </c>
      <c r="H1422" t="s">
        <v>27</v>
      </c>
      <c r="I1422">
        <v>1981</v>
      </c>
      <c r="J1422" t="s">
        <v>21</v>
      </c>
      <c r="K1422">
        <v>32.157499999999999</v>
      </c>
      <c r="L1422">
        <v>-93.556200000000004</v>
      </c>
      <c r="M1422" t="s">
        <v>62</v>
      </c>
      <c r="N1422" s="2">
        <f>Table1[[#This Row],[Capacity (MW)]]*8760*0.72*10^-6</f>
        <v>0.189216</v>
      </c>
      <c r="O1422" s="2" cm="1">
        <f t="array" ref="O1422">AVERAGE(VLOOKUP(_xlfn.TEXTSPLIT(Table1[[#This Row],[Fuel (no space after comma)]], ","), FuelList_Final_EF!$A$2:$B$32, 2, FALSE))</f>
        <v>82.444811105253905</v>
      </c>
      <c r="P1422" s="2">
        <f>(16112*Table1[[#This Row],[Generation (TWh)]]*10^9)/10^6</f>
        <v>3048648.1919999998</v>
      </c>
      <c r="Q1422" s="2">
        <f>Table1[[#This Row],[Emission Factor (kg CO2/ mmBtu)]]*Table1[[#This Row],[Fuel Consumption (mmBtu)]]*10^3</f>
        <v>251345224315.81381</v>
      </c>
      <c r="R1422" s="2">
        <f>(Table1[[#This Row],[CO2 Emissions (g CO2)]])/(Table1[[#This Row],[Generation (TWh)]]*10^9)</f>
        <v>1328.3507965278507</v>
      </c>
    </row>
    <row r="1423" spans="1:18" hidden="1">
      <c r="A1423" t="s">
        <v>887</v>
      </c>
      <c r="B1423" t="s">
        <v>145</v>
      </c>
      <c r="C1423" t="str">
        <f>SUBSTITUTE(Table1[[#This Row],[Fuel]],", ",",")</f>
        <v>bioenergy: paper mill wastes,bioenergy: wood &amp; other biomass (solids),fossil gas: natural gas</v>
      </c>
      <c r="D1423" t="s">
        <v>61</v>
      </c>
      <c r="E1423" t="s">
        <v>25</v>
      </c>
      <c r="F1423" t="s">
        <v>69</v>
      </c>
      <c r="G1423">
        <v>40</v>
      </c>
      <c r="H1423" t="s">
        <v>27</v>
      </c>
      <c r="I1423">
        <v>1981</v>
      </c>
      <c r="J1423" t="s">
        <v>21</v>
      </c>
      <c r="K1423">
        <v>32.157499999999999</v>
      </c>
      <c r="L1423">
        <v>-93.556200000000004</v>
      </c>
      <c r="M1423" t="s">
        <v>62</v>
      </c>
      <c r="N1423" s="2">
        <f>Table1[[#This Row],[Capacity (MW)]]*8760*0.72*10^-6</f>
        <v>0.25228800000000001</v>
      </c>
      <c r="O1423" s="2" cm="1">
        <f t="array" ref="O1423">AVERAGE(VLOOKUP(_xlfn.TEXTSPLIT(Table1[[#This Row],[Fuel (no space after comma)]], ","), FuelList_Final_EF!$A$2:$B$32, 2, FALSE))</f>
        <v>82.444811105253905</v>
      </c>
      <c r="P1423" s="2">
        <f>(16112*Table1[[#This Row],[Generation (TWh)]]*10^9)/10^6</f>
        <v>4064864.2560000005</v>
      </c>
      <c r="Q1423" s="2">
        <f>Table1[[#This Row],[Emission Factor (kg CO2/ mmBtu)]]*Table1[[#This Row],[Fuel Consumption (mmBtu)]]*10^3</f>
        <v>335126965754.41852</v>
      </c>
      <c r="R1423" s="2">
        <f>(Table1[[#This Row],[CO2 Emissions (g CO2)]])/(Table1[[#This Row],[Generation (TWh)]]*10^9)</f>
        <v>1328.3507965278511</v>
      </c>
    </row>
    <row r="1424" spans="1:18" hidden="1">
      <c r="A1424" t="s">
        <v>887</v>
      </c>
      <c r="B1424" t="s">
        <v>145</v>
      </c>
      <c r="C1424" t="str">
        <f>SUBSTITUTE(Table1[[#This Row],[Fuel]],", ",",")</f>
        <v>bioenergy: paper mill wastes,bioenergy: wood &amp; other biomass (solids),fossil gas: natural gas</v>
      </c>
      <c r="D1424" t="s">
        <v>61</v>
      </c>
      <c r="E1424" t="s">
        <v>25</v>
      </c>
      <c r="F1424" t="s">
        <v>69</v>
      </c>
      <c r="G1424">
        <v>40</v>
      </c>
      <c r="H1424" t="s">
        <v>27</v>
      </c>
      <c r="I1424">
        <v>1981</v>
      </c>
      <c r="J1424" t="s">
        <v>21</v>
      </c>
      <c r="K1424">
        <v>32.157499999999999</v>
      </c>
      <c r="L1424">
        <v>-93.556200000000004</v>
      </c>
      <c r="M1424" t="s">
        <v>62</v>
      </c>
      <c r="N1424" s="2">
        <f>Table1[[#This Row],[Capacity (MW)]]*8760*0.72*10^-6</f>
        <v>0.25228800000000001</v>
      </c>
      <c r="O1424" s="2" cm="1">
        <f t="array" ref="O1424">AVERAGE(VLOOKUP(_xlfn.TEXTSPLIT(Table1[[#This Row],[Fuel (no space after comma)]], ","), FuelList_Final_EF!$A$2:$B$32, 2, FALSE))</f>
        <v>82.444811105253905</v>
      </c>
      <c r="P1424" s="2">
        <f>(16112*Table1[[#This Row],[Generation (TWh)]]*10^9)/10^6</f>
        <v>4064864.2560000005</v>
      </c>
      <c r="Q1424" s="2">
        <f>Table1[[#This Row],[Emission Factor (kg CO2/ mmBtu)]]*Table1[[#This Row],[Fuel Consumption (mmBtu)]]*10^3</f>
        <v>335126965754.41852</v>
      </c>
      <c r="R1424" s="2">
        <f>(Table1[[#This Row],[CO2 Emissions (g CO2)]])/(Table1[[#This Row],[Generation (TWh)]]*10^9)</f>
        <v>1328.3507965278511</v>
      </c>
    </row>
    <row r="1425" spans="1:18">
      <c r="A1425" t="s">
        <v>888</v>
      </c>
      <c r="B1425" t="s">
        <v>46</v>
      </c>
      <c r="C1425" t="str">
        <f>SUBSTITUTE(Table1[[#This Row],[Fuel]],", ",",")</f>
        <v>bioenergy: agricultural waste (solids)</v>
      </c>
      <c r="D1425" t="s">
        <v>46</v>
      </c>
      <c r="G1425">
        <v>30</v>
      </c>
      <c r="H1425" t="s">
        <v>138</v>
      </c>
      <c r="I1425" t="s">
        <v>21</v>
      </c>
      <c r="J1425" t="s">
        <v>21</v>
      </c>
      <c r="K1425">
        <v>12.0817</v>
      </c>
      <c r="L1425">
        <v>-15.3201</v>
      </c>
      <c r="M1425" t="s">
        <v>889</v>
      </c>
      <c r="N1425" s="2">
        <f>Table1[[#This Row],[Capacity (MW)]]*8760*0.72*10^-6</f>
        <v>0.189216</v>
      </c>
      <c r="O1425" s="2" cm="1">
        <f t="array" ref="O1425">AVERAGE(VLOOKUP(_xlfn.TEXTSPLIT(Table1[[#This Row],[Fuel (no space after comma)]], ","), FuelList_Final_EF!$A$2:$B$32, 2, FALSE))</f>
        <v>118.17</v>
      </c>
      <c r="P1425" s="2">
        <f>(16112*Table1[[#This Row],[Generation (TWh)]]*10^9)/10^6</f>
        <v>3048648.1919999998</v>
      </c>
      <c r="Q1425" s="2">
        <f>Table1[[#This Row],[Emission Factor (kg CO2/ mmBtu)]]*Table1[[#This Row],[Fuel Consumption (mmBtu)]]*10^3</f>
        <v>360258756848.63995</v>
      </c>
      <c r="R1425" s="2">
        <f>(Table1[[#This Row],[CO2 Emissions (g CO2)]])/(Table1[[#This Row],[Generation (TWh)]]*10^9)</f>
        <v>1903.9550399999998</v>
      </c>
    </row>
    <row r="1426" spans="1:18" hidden="1">
      <c r="A1426" t="s">
        <v>136</v>
      </c>
      <c r="B1426" t="s">
        <v>60</v>
      </c>
      <c r="C1426" t="str">
        <f>SUBSTITUTE(Table1[[#This Row],[Fuel]],", ",",")</f>
        <v>bioenergy: paper mill wastes,bioenergy: wood &amp; other biomass (solids)</v>
      </c>
      <c r="D1426" t="s">
        <v>61</v>
      </c>
      <c r="E1426" t="s">
        <v>25</v>
      </c>
      <c r="G1426">
        <v>166</v>
      </c>
      <c r="H1426" t="s">
        <v>27</v>
      </c>
      <c r="I1426">
        <v>2023</v>
      </c>
      <c r="J1426" t="s">
        <v>21</v>
      </c>
      <c r="K1426">
        <v>-37.2117</v>
      </c>
      <c r="L1426">
        <v>-73.226399999999998</v>
      </c>
      <c r="M1426" t="s">
        <v>98</v>
      </c>
      <c r="N1426" s="2">
        <f>Table1[[#This Row],[Capacity (MW)]]*8760*0.72*10^-6</f>
        <v>1.0469952</v>
      </c>
      <c r="O1426" s="2" cm="1">
        <f t="array" ref="O1426">AVERAGE(VLOOKUP(_xlfn.TEXTSPLIT(Table1[[#This Row],[Fuel (no space after comma)]], ","), FuelList_Final_EF!$A$2:$B$32, 2, FALSE))</f>
        <v>97.137216657880856</v>
      </c>
      <c r="P1426" s="2">
        <f>(16112*Table1[[#This Row],[Generation (TWh)]]*10^9)/10^6</f>
        <v>16869186.6624</v>
      </c>
      <c r="Q1426" s="2">
        <f>Table1[[#This Row],[Emission Factor (kg CO2/ mmBtu)]]*Table1[[#This Row],[Fuel Consumption (mmBtu)]]*10^3</f>
        <v>1638625839667.7827</v>
      </c>
      <c r="R1426" s="2">
        <f>(Table1[[#This Row],[CO2 Emissions (g CO2)]])/(Table1[[#This Row],[Generation (TWh)]]*10^9)</f>
        <v>1565.0748347917763</v>
      </c>
    </row>
    <row r="1427" spans="1:18" hidden="1">
      <c r="A1427" t="s">
        <v>890</v>
      </c>
      <c r="B1427" t="s">
        <v>46</v>
      </c>
      <c r="C1427" t="str">
        <f>SUBSTITUTE(Table1[[#This Row],[Fuel]],", ",",")</f>
        <v>bioenergy: agricultural waste (solids)</v>
      </c>
      <c r="D1427" t="s">
        <v>46</v>
      </c>
      <c r="G1427">
        <v>47</v>
      </c>
      <c r="H1427" t="s">
        <v>27</v>
      </c>
      <c r="I1427">
        <v>2000</v>
      </c>
      <c r="J1427" t="s">
        <v>21</v>
      </c>
      <c r="K1427">
        <v>-22.571100000000001</v>
      </c>
      <c r="L1427">
        <v>-50.644199999999998</v>
      </c>
      <c r="M1427" t="s">
        <v>49</v>
      </c>
      <c r="N1427" s="2">
        <f>Table1[[#This Row],[Capacity (MW)]]*8760*0.72*10^-6</f>
        <v>0.29643839999999994</v>
      </c>
      <c r="O1427" s="2" cm="1">
        <f t="array" ref="O1427">AVERAGE(VLOOKUP(_xlfn.TEXTSPLIT(Table1[[#This Row],[Fuel (no space after comma)]], ","), FuelList_Final_EF!$A$2:$B$32, 2, FALSE))</f>
        <v>118.17</v>
      </c>
      <c r="P1427" s="2">
        <f>(16112*Table1[[#This Row],[Generation (TWh)]]*10^9)/10^6</f>
        <v>4776215.5007999986</v>
      </c>
      <c r="Q1427" s="2">
        <f>Table1[[#This Row],[Emission Factor (kg CO2/ mmBtu)]]*Table1[[#This Row],[Fuel Consumption (mmBtu)]]*10^3</f>
        <v>564405385729.53577</v>
      </c>
      <c r="R1427" s="2">
        <f>(Table1[[#This Row],[CO2 Emissions (g CO2)]])/(Table1[[#This Row],[Generation (TWh)]]*10^9)</f>
        <v>1903.9550399999996</v>
      </c>
    </row>
    <row r="1428" spans="1:18" hidden="1">
      <c r="A1428" t="s">
        <v>891</v>
      </c>
      <c r="B1428" t="s">
        <v>46</v>
      </c>
      <c r="C1428" t="str">
        <f>SUBSTITUTE(Table1[[#This Row],[Fuel]],", ",",")</f>
        <v>bioenergy: agricultural waste (solids)</v>
      </c>
      <c r="D1428" t="s">
        <v>46</v>
      </c>
      <c r="G1428">
        <v>49</v>
      </c>
      <c r="H1428" t="s">
        <v>27</v>
      </c>
      <c r="I1428">
        <v>2010</v>
      </c>
      <c r="J1428" t="s">
        <v>21</v>
      </c>
      <c r="K1428">
        <v>7.7127999999999997</v>
      </c>
      <c r="L1428">
        <v>125.0187</v>
      </c>
      <c r="M1428" t="s">
        <v>72</v>
      </c>
      <c r="N1428" s="2">
        <f>Table1[[#This Row],[Capacity (MW)]]*8760*0.72*10^-6</f>
        <v>0.30905279999999996</v>
      </c>
      <c r="O1428" s="2" cm="1">
        <f t="array" ref="O1428">AVERAGE(VLOOKUP(_xlfn.TEXTSPLIT(Table1[[#This Row],[Fuel (no space after comma)]], ","), FuelList_Final_EF!$A$2:$B$32, 2, FALSE))</f>
        <v>118.17</v>
      </c>
      <c r="P1428" s="2">
        <f>(16112*Table1[[#This Row],[Generation (TWh)]]*10^9)/10^6</f>
        <v>4979458.7135999994</v>
      </c>
      <c r="Q1428" s="2">
        <f>Table1[[#This Row],[Emission Factor (kg CO2/ mmBtu)]]*Table1[[#This Row],[Fuel Consumption (mmBtu)]]*10^3</f>
        <v>588422636186.11194</v>
      </c>
      <c r="R1428" s="2">
        <f>(Table1[[#This Row],[CO2 Emissions (g CO2)]])/(Table1[[#This Row],[Generation (TWh)]]*10^9)</f>
        <v>1903.9550400000003</v>
      </c>
    </row>
    <row r="1429" spans="1:18" hidden="1">
      <c r="A1429" t="s">
        <v>892</v>
      </c>
      <c r="B1429" t="s">
        <v>19</v>
      </c>
      <c r="C1429" t="str">
        <f>SUBSTITUTE(Table1[[#This Row],[Fuel]],", ",",")</f>
        <v>bioenergy: refuse (municipal and industrial wastes)</v>
      </c>
      <c r="D1429" t="s">
        <v>19</v>
      </c>
      <c r="G1429">
        <v>40</v>
      </c>
      <c r="H1429" t="s">
        <v>27</v>
      </c>
      <c r="I1429">
        <v>2019</v>
      </c>
      <c r="J1429" t="s">
        <v>21</v>
      </c>
      <c r="K1429">
        <v>51.563200000000002</v>
      </c>
      <c r="L1429">
        <v>-3.7467999999999999</v>
      </c>
      <c r="M1429" t="s">
        <v>22</v>
      </c>
      <c r="N1429" s="2">
        <f>Table1[[#This Row],[Capacity (MW)]]*8760*0.72*10^-6</f>
        <v>0.25228800000000001</v>
      </c>
      <c r="O1429" s="2" cm="1">
        <f t="array" ref="O1429">AVERAGE(VLOOKUP(_xlfn.TEXTSPLIT(Table1[[#This Row],[Fuel (no space after comma)]], ","), FuelList_Final_EF!$A$2:$B$32, 2, FALSE))</f>
        <v>105.42962572482868</v>
      </c>
      <c r="P1429" s="2">
        <f>(16112*Table1[[#This Row],[Generation (TWh)]]*10^9)/10^6</f>
        <v>4064864.2560000005</v>
      </c>
      <c r="Q1429" s="2">
        <f>Table1[[#This Row],[Emission Factor (kg CO2/ mmBtu)]]*Table1[[#This Row],[Fuel Consumption (mmBtu)]]*10^3</f>
        <v>428557117132.31427</v>
      </c>
      <c r="R1429" s="2">
        <f>(Table1[[#This Row],[CO2 Emissions (g CO2)]])/(Table1[[#This Row],[Generation (TWh)]]*10^9)</f>
        <v>1698.6821296784401</v>
      </c>
    </row>
    <row r="1430" spans="1:18" hidden="1">
      <c r="A1430" t="s">
        <v>88</v>
      </c>
      <c r="B1430" t="s">
        <v>25</v>
      </c>
      <c r="C1430" t="str">
        <f>SUBSTITUTE(Table1[[#This Row],[Fuel]],", ",",")</f>
        <v>bioenergy: wood &amp; other biomass (solids)</v>
      </c>
      <c r="D1430" t="s">
        <v>25</v>
      </c>
      <c r="G1430">
        <v>55</v>
      </c>
      <c r="H1430" t="s">
        <v>27</v>
      </c>
      <c r="I1430">
        <v>2015</v>
      </c>
      <c r="J1430" t="s">
        <v>21</v>
      </c>
      <c r="K1430">
        <v>56.201799999999999</v>
      </c>
      <c r="L1430">
        <v>-3.1597</v>
      </c>
      <c r="M1430" t="s">
        <v>22</v>
      </c>
      <c r="N1430" s="2">
        <f>Table1[[#This Row],[Capacity (MW)]]*8760*0.72*10^-6</f>
        <v>0.34689599999999998</v>
      </c>
      <c r="O1430" s="2" cm="1">
        <f t="array" ref="O1430">AVERAGE(VLOOKUP(_xlfn.TEXTSPLIT(Table1[[#This Row],[Fuel (no space after comma)]], ","), FuelList_Final_EF!$A$2:$B$32, 2, FALSE))</f>
        <v>93.8</v>
      </c>
      <c r="P1430" s="2">
        <f>(16112*Table1[[#This Row],[Generation (TWh)]]*10^9)/10^6</f>
        <v>5589188.352</v>
      </c>
      <c r="Q1430" s="2">
        <f>Table1[[#This Row],[Emission Factor (kg CO2/ mmBtu)]]*Table1[[#This Row],[Fuel Consumption (mmBtu)]]*10^3</f>
        <v>524265867417.59998</v>
      </c>
      <c r="R1430" s="2">
        <f>(Table1[[#This Row],[CO2 Emissions (g CO2)]])/(Table1[[#This Row],[Generation (TWh)]]*10^9)</f>
        <v>1511.3055999999999</v>
      </c>
    </row>
    <row r="1431" spans="1:18" hidden="1">
      <c r="A1431" t="s">
        <v>893</v>
      </c>
      <c r="B1431" t="s">
        <v>60</v>
      </c>
      <c r="C1431" t="str">
        <f>SUBSTITUTE(Table1[[#This Row],[Fuel]],", ",",")</f>
        <v>bioenergy: paper mill wastes,bioenergy: wood &amp; other biomass (solids)</v>
      </c>
      <c r="D1431" t="s">
        <v>61</v>
      </c>
      <c r="E1431" t="s">
        <v>25</v>
      </c>
      <c r="G1431">
        <v>51</v>
      </c>
      <c r="H1431" t="s">
        <v>27</v>
      </c>
      <c r="I1431">
        <v>2010</v>
      </c>
      <c r="J1431" t="s">
        <v>21</v>
      </c>
      <c r="K1431">
        <v>34.604999999999997</v>
      </c>
      <c r="L1431">
        <v>-79.784999999999997</v>
      </c>
      <c r="M1431" t="s">
        <v>62</v>
      </c>
      <c r="N1431" s="2">
        <f>Table1[[#This Row],[Capacity (MW)]]*8760*0.72*10^-6</f>
        <v>0.32166719999999999</v>
      </c>
      <c r="O1431" s="2" cm="1">
        <f t="array" ref="O1431">AVERAGE(VLOOKUP(_xlfn.TEXTSPLIT(Table1[[#This Row],[Fuel (no space after comma)]], ","), FuelList_Final_EF!$A$2:$B$32, 2, FALSE))</f>
        <v>97.137216657880856</v>
      </c>
      <c r="P1431" s="2">
        <f>(16112*Table1[[#This Row],[Generation (TWh)]]*10^9)/10^6</f>
        <v>5182701.9264000002</v>
      </c>
      <c r="Q1431" s="2">
        <f>Table1[[#This Row],[Emission Factor (kg CO2/ mmBtu)]]*Table1[[#This Row],[Fuel Consumption (mmBtu)]]*10^3</f>
        <v>503433239897.93329</v>
      </c>
      <c r="R1431" s="2">
        <f>(Table1[[#This Row],[CO2 Emissions (g CO2)]])/(Table1[[#This Row],[Generation (TWh)]]*10^9)</f>
        <v>1565.0748347917763</v>
      </c>
    </row>
    <row r="1432" spans="1:18">
      <c r="A1432" t="s">
        <v>21</v>
      </c>
      <c r="B1432" t="s">
        <v>96</v>
      </c>
      <c r="C1432" t="str">
        <f>SUBSTITUTE(Table1[[#This Row],[Fuel]],", ",",")</f>
        <v>bioenergy: unknown</v>
      </c>
      <c r="D1432" t="s">
        <v>96</v>
      </c>
      <c r="G1432">
        <v>50</v>
      </c>
      <c r="H1432" t="s">
        <v>97</v>
      </c>
      <c r="I1432" t="s">
        <v>21</v>
      </c>
      <c r="J1432" t="s">
        <v>21</v>
      </c>
      <c r="K1432">
        <v>35.546700000000001</v>
      </c>
      <c r="L1432">
        <v>135.15790000000001</v>
      </c>
      <c r="M1432" t="s">
        <v>51</v>
      </c>
      <c r="N1432" s="2">
        <f>Table1[[#This Row],[Capacity (MW)]]*8760*0.72*10^-6</f>
        <v>0.31535999999999997</v>
      </c>
      <c r="O1432" s="2" cm="1">
        <f t="array" ref="O1432">AVERAGE(VLOOKUP(_xlfn.TEXTSPLIT(Table1[[#This Row],[Fuel (no space after comma)]], ","), FuelList_Final_EF!$A$2:$B$32, 2, FALSE))</f>
        <v>72.785606017598653</v>
      </c>
      <c r="P1432" s="2">
        <f>(16112*Table1[[#This Row],[Generation (TWh)]]*10^9)/10^6</f>
        <v>5081080.32</v>
      </c>
      <c r="Q1432" s="2">
        <f>Table1[[#This Row],[Emission Factor (kg CO2/ mmBtu)]]*Table1[[#This Row],[Fuel Consumption (mmBtu)]]*10^3</f>
        <v>369829510315.29407</v>
      </c>
      <c r="R1432" s="2">
        <f>(Table1[[#This Row],[CO2 Emissions (g CO2)]])/(Table1[[#This Row],[Generation (TWh)]]*10^9)</f>
        <v>1172.7216841555494</v>
      </c>
    </row>
    <row r="1433" spans="1:18" hidden="1">
      <c r="A1433" t="s">
        <v>894</v>
      </c>
      <c r="B1433" t="s">
        <v>61</v>
      </c>
      <c r="C1433" t="str">
        <f>SUBSTITUTE(Table1[[#This Row],[Fuel]],", ",",")</f>
        <v>bioenergy: paper mill wastes</v>
      </c>
      <c r="D1433" t="s">
        <v>61</v>
      </c>
      <c r="G1433">
        <v>35</v>
      </c>
      <c r="H1433" t="s">
        <v>27</v>
      </c>
      <c r="I1433">
        <v>2013</v>
      </c>
      <c r="J1433" t="s">
        <v>21</v>
      </c>
      <c r="K1433">
        <v>34.008364</v>
      </c>
      <c r="L1433">
        <v>133.554393</v>
      </c>
      <c r="M1433" t="s">
        <v>51</v>
      </c>
      <c r="N1433" s="2">
        <f>Table1[[#This Row],[Capacity (MW)]]*8760*0.72*10^-6</f>
        <v>0.220752</v>
      </c>
      <c r="O1433" s="2" cm="1">
        <f t="array" ref="O1433">AVERAGE(VLOOKUP(_xlfn.TEXTSPLIT(Table1[[#This Row],[Fuel (no space after comma)]], ","), FuelList_Final_EF!$A$2:$B$32, 2, FALSE))</f>
        <v>100.47443331576173</v>
      </c>
      <c r="P1433" s="2">
        <f>(16112*Table1[[#This Row],[Generation (TWh)]]*10^9)/10^6</f>
        <v>3556756.2239999999</v>
      </c>
      <c r="Q1433" s="2">
        <f>Table1[[#This Row],[Emission Factor (kg CO2/ mmBtu)]]*Table1[[#This Row],[Fuel Consumption (mmBtu)]]*10^3</f>
        <v>357363066048.7085</v>
      </c>
      <c r="R1433" s="2">
        <f>(Table1[[#This Row],[CO2 Emissions (g CO2)]])/(Table1[[#This Row],[Generation (TWh)]]*10^9)</f>
        <v>1618.8440695835529</v>
      </c>
    </row>
    <row r="1434" spans="1:18">
      <c r="A1434" t="s">
        <v>894</v>
      </c>
      <c r="B1434" t="s">
        <v>61</v>
      </c>
      <c r="C1434" t="str">
        <f>SUBSTITUTE(Table1[[#This Row],[Fuel]],", ",",")</f>
        <v>bioenergy: paper mill wastes</v>
      </c>
      <c r="D1434" t="s">
        <v>61</v>
      </c>
      <c r="G1434">
        <v>51</v>
      </c>
      <c r="H1434" t="s">
        <v>97</v>
      </c>
      <c r="I1434" t="s">
        <v>21</v>
      </c>
      <c r="J1434" t="s">
        <v>21</v>
      </c>
      <c r="K1434">
        <v>34.008364</v>
      </c>
      <c r="L1434">
        <v>133.554393</v>
      </c>
      <c r="M1434" t="s">
        <v>51</v>
      </c>
      <c r="N1434" s="2">
        <f>Table1[[#This Row],[Capacity (MW)]]*8760*0.72*10^-6</f>
        <v>0.32166719999999999</v>
      </c>
      <c r="O1434" s="2" cm="1">
        <f t="array" ref="O1434">AVERAGE(VLOOKUP(_xlfn.TEXTSPLIT(Table1[[#This Row],[Fuel (no space after comma)]], ","), FuelList_Final_EF!$A$2:$B$32, 2, FALSE))</f>
        <v>100.47443331576173</v>
      </c>
      <c r="P1434" s="2">
        <f>(16112*Table1[[#This Row],[Generation (TWh)]]*10^9)/10^6</f>
        <v>5182701.9264000002</v>
      </c>
      <c r="Q1434" s="2">
        <f>Table1[[#This Row],[Emission Factor (kg CO2/ mmBtu)]]*Table1[[#This Row],[Fuel Consumption (mmBtu)]]*10^3</f>
        <v>520729039099.54669</v>
      </c>
      <c r="R1434" s="2">
        <f>(Table1[[#This Row],[CO2 Emissions (g CO2)]])/(Table1[[#This Row],[Generation (TWh)]]*10^9)</f>
        <v>1618.8440695835532</v>
      </c>
    </row>
    <row r="1435" spans="1:18" hidden="1">
      <c r="A1435" t="s">
        <v>54</v>
      </c>
      <c r="B1435" t="s">
        <v>19</v>
      </c>
      <c r="C1435" t="str">
        <f>SUBSTITUTE(Table1[[#This Row],[Fuel]],", ",",")</f>
        <v>bioenergy: refuse (municipal and industrial wastes)</v>
      </c>
      <c r="D1435" t="s">
        <v>19</v>
      </c>
      <c r="G1435">
        <v>70</v>
      </c>
      <c r="H1435" t="s">
        <v>20</v>
      </c>
      <c r="I1435">
        <v>2025</v>
      </c>
      <c r="J1435" t="s">
        <v>21</v>
      </c>
      <c r="K1435">
        <v>-38.1845</v>
      </c>
      <c r="L1435">
        <v>146.4477</v>
      </c>
      <c r="M1435" t="s">
        <v>235</v>
      </c>
      <c r="N1435" s="2">
        <f>Table1[[#This Row],[Capacity (MW)]]*8760*0.72*10^-6</f>
        <v>0.44150400000000001</v>
      </c>
      <c r="O1435" s="2" cm="1">
        <f t="array" ref="O1435">AVERAGE(VLOOKUP(_xlfn.TEXTSPLIT(Table1[[#This Row],[Fuel (no space after comma)]], ","), FuelList_Final_EF!$A$2:$B$32, 2, FALSE))</f>
        <v>105.42962572482868</v>
      </c>
      <c r="P1435" s="2">
        <f>(16112*Table1[[#This Row],[Generation (TWh)]]*10^9)/10^6</f>
        <v>7113512.4479999999</v>
      </c>
      <c r="Q1435" s="2">
        <f>Table1[[#This Row],[Emission Factor (kg CO2/ mmBtu)]]*Table1[[#This Row],[Fuel Consumption (mmBtu)]]*10^3</f>
        <v>749974954981.5498</v>
      </c>
      <c r="R1435" s="2">
        <f>(Table1[[#This Row],[CO2 Emissions (g CO2)]])/(Table1[[#This Row],[Generation (TWh)]]*10^9)</f>
        <v>1698.6821296784397</v>
      </c>
    </row>
    <row r="1436" spans="1:18" hidden="1">
      <c r="A1436" t="s">
        <v>895</v>
      </c>
      <c r="B1436" t="s">
        <v>896</v>
      </c>
      <c r="C1436" t="str">
        <f>SUBSTITUTE(Table1[[#This Row],[Fuel]],", ",",")</f>
        <v>bioenergy: agricultural waste (syngas)</v>
      </c>
      <c r="D1436" t="s">
        <v>896</v>
      </c>
      <c r="G1436">
        <v>35</v>
      </c>
      <c r="H1436" t="s">
        <v>27</v>
      </c>
      <c r="I1436">
        <v>2021</v>
      </c>
      <c r="J1436" t="s">
        <v>21</v>
      </c>
      <c r="K1436">
        <v>40.405000000000001</v>
      </c>
      <c r="L1436">
        <v>30.7881</v>
      </c>
      <c r="M1436" t="s">
        <v>383</v>
      </c>
      <c r="N1436" s="2">
        <f>Table1[[#This Row],[Capacity (MW)]]*8760*0.72*10^-6</f>
        <v>0.220752</v>
      </c>
      <c r="O1436" s="2" cm="1">
        <f t="array" ref="O1436">AVERAGE(VLOOKUP(_xlfn.TEXTSPLIT(Table1[[#This Row],[Fuel (no space after comma)]], ","), FuelList_Final_EF!$A$2:$B$32, 2, FALSE))</f>
        <v>46.81075382182393</v>
      </c>
      <c r="P1436" s="2">
        <f>(16112*Table1[[#This Row],[Generation (TWh)]]*10^9)/10^6</f>
        <v>3556756.2239999999</v>
      </c>
      <c r="Q1436" s="2">
        <f>Table1[[#This Row],[Emission Factor (kg CO2/ mmBtu)]]*Table1[[#This Row],[Fuel Consumption (mmBtu)]]*10^3</f>
        <v>166494440005.90405</v>
      </c>
      <c r="R1436" s="2">
        <f>(Table1[[#This Row],[CO2 Emissions (g CO2)]])/(Table1[[#This Row],[Generation (TWh)]]*10^9)</f>
        <v>754.21486557722721</v>
      </c>
    </row>
    <row r="1437" spans="1:18" hidden="1">
      <c r="A1437" t="s">
        <v>897</v>
      </c>
      <c r="B1437" t="s">
        <v>898</v>
      </c>
      <c r="C1437" t="str">
        <f>SUBSTITUTE(Table1[[#This Row],[Fuel]],", ",",")</f>
        <v>bioenergy: wood &amp; other biomass (solids),bioenergy: refuse (municipal and industrial wastes),coal: anthracite</v>
      </c>
      <c r="D1437" t="s">
        <v>25</v>
      </c>
      <c r="E1437" t="s">
        <v>19</v>
      </c>
      <c r="F1437" t="s">
        <v>899</v>
      </c>
      <c r="G1437">
        <v>41</v>
      </c>
      <c r="H1437" t="s">
        <v>27</v>
      </c>
      <c r="I1437">
        <v>2010</v>
      </c>
      <c r="J1437" t="s">
        <v>21</v>
      </c>
      <c r="K1437">
        <v>49.041899999999998</v>
      </c>
      <c r="L1437">
        <v>8.3133999999999997</v>
      </c>
      <c r="M1437" t="s">
        <v>154</v>
      </c>
      <c r="N1437" s="2">
        <f>Table1[[#This Row],[Capacity (MW)]]*8760*0.72*10^-6</f>
        <v>0.25859519999999997</v>
      </c>
      <c r="O1437" s="2" cm="1">
        <f t="array" ref="O1437">AVERAGE(VLOOKUP(_xlfn.TEXTSPLIT(Table1[[#This Row],[Fuel (no space after comma)]], ","), FuelList_Final_EF!$A$2:$B$32, 2, FALSE))</f>
        <v>100.95564927077844</v>
      </c>
      <c r="P1437" s="2">
        <f>(16112*Table1[[#This Row],[Generation (TWh)]]*10^9)/10^6</f>
        <v>4166485.8624</v>
      </c>
      <c r="Q1437" s="2">
        <f>Table1[[#This Row],[Emission Factor (kg CO2/ mmBtu)]]*Table1[[#This Row],[Fuel Consumption (mmBtu)]]*10^3</f>
        <v>420630285416.11121</v>
      </c>
      <c r="R1437" s="2">
        <f>(Table1[[#This Row],[CO2 Emissions (g CO2)]])/(Table1[[#This Row],[Generation (TWh)]]*10^9)</f>
        <v>1626.5974210507823</v>
      </c>
    </row>
    <row r="1438" spans="1:18">
      <c r="A1438" t="s">
        <v>900</v>
      </c>
      <c r="B1438" t="s">
        <v>901</v>
      </c>
      <c r="C1438" t="str">
        <f>SUBSTITUTE(Table1[[#This Row],[Fuel]],", ",",")</f>
        <v>bioenergy: wood &amp; other biomass (biocoal)</v>
      </c>
      <c r="D1438" t="s">
        <v>901</v>
      </c>
      <c r="G1438">
        <v>150</v>
      </c>
      <c r="H1438" t="s">
        <v>97</v>
      </c>
      <c r="I1438" t="s">
        <v>21</v>
      </c>
      <c r="J1438" t="s">
        <v>21</v>
      </c>
      <c r="K1438">
        <v>-8.9147128000000002</v>
      </c>
      <c r="L1438">
        <v>33.4548536</v>
      </c>
      <c r="M1438" t="s">
        <v>902</v>
      </c>
      <c r="N1438" s="2">
        <f>Table1[[#This Row],[Capacity (MW)]]*8760*0.72*10^-6</f>
        <v>0.94607999999999992</v>
      </c>
      <c r="O1438" s="2" cm="1">
        <f t="array" ref="O1438">AVERAGE(VLOOKUP(_xlfn.TEXTSPLIT(Table1[[#This Row],[Fuel (no space after comma)]], ","), FuelList_Final_EF!$A$2:$B$32, 2, FALSE))</f>
        <v>83.92198207696363</v>
      </c>
      <c r="P1438" s="2">
        <f>(16112*Table1[[#This Row],[Generation (TWh)]]*10^9)/10^6</f>
        <v>15243240.960000001</v>
      </c>
      <c r="Q1438" s="2">
        <f>Table1[[#This Row],[Emission Factor (kg CO2/ mmBtu)]]*Table1[[#This Row],[Fuel Consumption (mmBtu)]]*10^3</f>
        <v>1279242994639.958</v>
      </c>
      <c r="R1438" s="2">
        <f>(Table1[[#This Row],[CO2 Emissions (g CO2)]])/(Table1[[#This Row],[Generation (TWh)]]*10^9)</f>
        <v>1352.1509752240383</v>
      </c>
    </row>
    <row r="1439" spans="1:18">
      <c r="A1439" t="s">
        <v>900</v>
      </c>
      <c r="B1439" t="s">
        <v>901</v>
      </c>
      <c r="C1439" t="str">
        <f>SUBSTITUTE(Table1[[#This Row],[Fuel]],", ",",")</f>
        <v>bioenergy: wood &amp; other biomass (biocoal)</v>
      </c>
      <c r="D1439" t="s">
        <v>901</v>
      </c>
      <c r="G1439">
        <v>150</v>
      </c>
      <c r="H1439" t="s">
        <v>97</v>
      </c>
      <c r="I1439" t="s">
        <v>21</v>
      </c>
      <c r="J1439" t="s">
        <v>21</v>
      </c>
      <c r="K1439">
        <v>-8.9147128000000002</v>
      </c>
      <c r="L1439">
        <v>33.4548536</v>
      </c>
      <c r="M1439" t="s">
        <v>902</v>
      </c>
      <c r="N1439" s="2">
        <f>Table1[[#This Row],[Capacity (MW)]]*8760*0.72*10^-6</f>
        <v>0.94607999999999992</v>
      </c>
      <c r="O1439" s="2" cm="1">
        <f t="array" ref="O1439">AVERAGE(VLOOKUP(_xlfn.TEXTSPLIT(Table1[[#This Row],[Fuel (no space after comma)]], ","), FuelList_Final_EF!$A$2:$B$32, 2, FALSE))</f>
        <v>83.92198207696363</v>
      </c>
      <c r="P1439" s="2">
        <f>(16112*Table1[[#This Row],[Generation (TWh)]]*10^9)/10^6</f>
        <v>15243240.960000001</v>
      </c>
      <c r="Q1439" s="2">
        <f>Table1[[#This Row],[Emission Factor (kg CO2/ mmBtu)]]*Table1[[#This Row],[Fuel Consumption (mmBtu)]]*10^3</f>
        <v>1279242994639.958</v>
      </c>
      <c r="R1439" s="2">
        <f>(Table1[[#This Row],[CO2 Emissions (g CO2)]])/(Table1[[#This Row],[Generation (TWh)]]*10^9)</f>
        <v>1352.1509752240383</v>
      </c>
    </row>
    <row r="1440" spans="1:18">
      <c r="A1440" t="s">
        <v>903</v>
      </c>
      <c r="B1440" t="s">
        <v>46</v>
      </c>
      <c r="C1440" t="str">
        <f>SUBSTITUTE(Table1[[#This Row],[Fuel]],", ",",")</f>
        <v>bioenergy: agricultural waste (solids)</v>
      </c>
      <c r="D1440" t="s">
        <v>46</v>
      </c>
      <c r="G1440">
        <v>30</v>
      </c>
      <c r="H1440" t="s">
        <v>20</v>
      </c>
      <c r="I1440" t="s">
        <v>21</v>
      </c>
      <c r="J1440" t="s">
        <v>21</v>
      </c>
      <c r="K1440">
        <v>-21.152000000000001</v>
      </c>
      <c r="L1440">
        <v>-49.611899999999999</v>
      </c>
      <c r="M1440" t="s">
        <v>49</v>
      </c>
      <c r="N1440" s="2">
        <f>Table1[[#This Row],[Capacity (MW)]]*8760*0.72*10^-6</f>
        <v>0.189216</v>
      </c>
      <c r="O1440" s="2" cm="1">
        <f t="array" ref="O1440">AVERAGE(VLOOKUP(_xlfn.TEXTSPLIT(Table1[[#This Row],[Fuel (no space after comma)]], ","), FuelList_Final_EF!$A$2:$B$32, 2, FALSE))</f>
        <v>118.17</v>
      </c>
      <c r="P1440" s="2">
        <f>(16112*Table1[[#This Row],[Generation (TWh)]]*10^9)/10^6</f>
        <v>3048648.1919999998</v>
      </c>
      <c r="Q1440" s="2">
        <f>Table1[[#This Row],[Emission Factor (kg CO2/ mmBtu)]]*Table1[[#This Row],[Fuel Consumption (mmBtu)]]*10^3</f>
        <v>360258756848.63995</v>
      </c>
      <c r="R1440" s="2">
        <f>(Table1[[#This Row],[CO2 Emissions (g CO2)]])/(Table1[[#This Row],[Generation (TWh)]]*10^9)</f>
        <v>1903.9550399999998</v>
      </c>
    </row>
    <row r="1441" spans="1:18" hidden="1">
      <c r="A1441" t="s">
        <v>904</v>
      </c>
      <c r="B1441" t="s">
        <v>25</v>
      </c>
      <c r="C1441" t="str">
        <f>SUBSTITUTE(Table1[[#This Row],[Fuel]],", ",",")</f>
        <v>bioenergy: wood &amp; other biomass (solids)</v>
      </c>
      <c r="D1441" t="s">
        <v>25</v>
      </c>
      <c r="G1441">
        <v>41</v>
      </c>
      <c r="H1441" t="s">
        <v>27</v>
      </c>
      <c r="I1441">
        <v>1965</v>
      </c>
      <c r="J1441" t="s">
        <v>21</v>
      </c>
      <c r="K1441">
        <v>39.951599999999999</v>
      </c>
      <c r="L1441">
        <v>15.9697</v>
      </c>
      <c r="M1441" t="s">
        <v>37</v>
      </c>
      <c r="N1441" s="2">
        <f>Table1[[#This Row],[Capacity (MW)]]*8760*0.72*10^-6</f>
        <v>0.25859519999999997</v>
      </c>
      <c r="O1441" s="2" cm="1">
        <f t="array" ref="O1441">AVERAGE(VLOOKUP(_xlfn.TEXTSPLIT(Table1[[#This Row],[Fuel (no space after comma)]], ","), FuelList_Final_EF!$A$2:$B$32, 2, FALSE))</f>
        <v>93.8</v>
      </c>
      <c r="P1441" s="2">
        <f>(16112*Table1[[#This Row],[Generation (TWh)]]*10^9)/10^6</f>
        <v>4166485.8624</v>
      </c>
      <c r="Q1441" s="2">
        <f>Table1[[#This Row],[Emission Factor (kg CO2/ mmBtu)]]*Table1[[#This Row],[Fuel Consumption (mmBtu)]]*10^3</f>
        <v>390816373893.12</v>
      </c>
      <c r="R1441" s="2">
        <f>(Table1[[#This Row],[CO2 Emissions (g CO2)]])/(Table1[[#This Row],[Generation (TWh)]]*10^9)</f>
        <v>1511.3056000000001</v>
      </c>
    </row>
    <row r="1442" spans="1:18" hidden="1">
      <c r="A1442" t="s">
        <v>262</v>
      </c>
      <c r="B1442" t="s">
        <v>46</v>
      </c>
      <c r="C1442" t="str">
        <f>SUBSTITUTE(Table1[[#This Row],[Fuel]],", ",",")</f>
        <v>bioenergy: agricultural waste (solids)</v>
      </c>
      <c r="D1442" t="s">
        <v>46</v>
      </c>
      <c r="G1442">
        <v>60</v>
      </c>
      <c r="H1442" t="s">
        <v>27</v>
      </c>
      <c r="I1442">
        <v>2012</v>
      </c>
      <c r="J1442" t="s">
        <v>21</v>
      </c>
      <c r="K1442">
        <v>-20.354099999999999</v>
      </c>
      <c r="L1442">
        <v>-50.181800000000003</v>
      </c>
      <c r="M1442" t="s">
        <v>49</v>
      </c>
      <c r="N1442" s="2">
        <f>Table1[[#This Row],[Capacity (MW)]]*8760*0.72*10^-6</f>
        <v>0.37843199999999999</v>
      </c>
      <c r="O1442" s="2" cm="1">
        <f t="array" ref="O1442">AVERAGE(VLOOKUP(_xlfn.TEXTSPLIT(Table1[[#This Row],[Fuel (no space after comma)]], ","), FuelList_Final_EF!$A$2:$B$32, 2, FALSE))</f>
        <v>118.17</v>
      </c>
      <c r="P1442" s="2">
        <f>(16112*Table1[[#This Row],[Generation (TWh)]]*10^9)/10^6</f>
        <v>6097296.3839999996</v>
      </c>
      <c r="Q1442" s="2">
        <f>Table1[[#This Row],[Emission Factor (kg CO2/ mmBtu)]]*Table1[[#This Row],[Fuel Consumption (mmBtu)]]*10^3</f>
        <v>720517513697.27991</v>
      </c>
      <c r="R1442" s="2">
        <f>(Table1[[#This Row],[CO2 Emissions (g CO2)]])/(Table1[[#This Row],[Generation (TWh)]]*10^9)</f>
        <v>1903.9550399999998</v>
      </c>
    </row>
    <row r="1443" spans="1:18" hidden="1">
      <c r="A1443" t="s">
        <v>262</v>
      </c>
      <c r="B1443" t="s">
        <v>46</v>
      </c>
      <c r="C1443" t="str">
        <f>SUBSTITUTE(Table1[[#This Row],[Fuel]],", ",",")</f>
        <v>bioenergy: agricultural waste (solids)</v>
      </c>
      <c r="D1443" t="s">
        <v>46</v>
      </c>
      <c r="G1443">
        <v>30</v>
      </c>
      <c r="H1443" t="s">
        <v>27</v>
      </c>
      <c r="I1443">
        <v>2012</v>
      </c>
      <c r="J1443" t="s">
        <v>21</v>
      </c>
      <c r="K1443">
        <v>-20.354099999999999</v>
      </c>
      <c r="L1443">
        <v>-50.181800000000003</v>
      </c>
      <c r="M1443" t="s">
        <v>49</v>
      </c>
      <c r="N1443" s="2">
        <f>Table1[[#This Row],[Capacity (MW)]]*8760*0.72*10^-6</f>
        <v>0.189216</v>
      </c>
      <c r="O1443" s="2" cm="1">
        <f t="array" ref="O1443">AVERAGE(VLOOKUP(_xlfn.TEXTSPLIT(Table1[[#This Row],[Fuel (no space after comma)]], ","), FuelList_Final_EF!$A$2:$B$32, 2, FALSE))</f>
        <v>118.17</v>
      </c>
      <c r="P1443" s="2">
        <f>(16112*Table1[[#This Row],[Generation (TWh)]]*10^9)/10^6</f>
        <v>3048648.1919999998</v>
      </c>
      <c r="Q1443" s="2">
        <f>Table1[[#This Row],[Emission Factor (kg CO2/ mmBtu)]]*Table1[[#This Row],[Fuel Consumption (mmBtu)]]*10^3</f>
        <v>360258756848.63995</v>
      </c>
      <c r="R1443" s="2">
        <f>(Table1[[#This Row],[CO2 Emissions (g CO2)]])/(Table1[[#This Row],[Generation (TWh)]]*10^9)</f>
        <v>1903.9550399999998</v>
      </c>
    </row>
    <row r="1444" spans="1:18" hidden="1">
      <c r="A1444" t="s">
        <v>21</v>
      </c>
      <c r="B1444" t="s">
        <v>25</v>
      </c>
      <c r="C1444" t="str">
        <f>SUBSTITUTE(Table1[[#This Row],[Fuel]],", ",",")</f>
        <v>bioenergy: wood &amp; other biomass (solids)</v>
      </c>
      <c r="D1444" t="s">
        <v>25</v>
      </c>
      <c r="G1444">
        <v>40</v>
      </c>
      <c r="H1444" t="s">
        <v>27</v>
      </c>
      <c r="I1444">
        <v>2018</v>
      </c>
      <c r="J1444" t="s">
        <v>21</v>
      </c>
      <c r="K1444">
        <v>50.097900000000003</v>
      </c>
      <c r="L1444">
        <v>-120.79600000000001</v>
      </c>
      <c r="M1444" t="s">
        <v>79</v>
      </c>
      <c r="N1444" s="2">
        <f>Table1[[#This Row],[Capacity (MW)]]*8760*0.72*10^-6</f>
        <v>0.25228800000000001</v>
      </c>
      <c r="O1444" s="2" cm="1">
        <f t="array" ref="O1444">AVERAGE(VLOOKUP(_xlfn.TEXTSPLIT(Table1[[#This Row],[Fuel (no space after comma)]], ","), FuelList_Final_EF!$A$2:$B$32, 2, FALSE))</f>
        <v>93.8</v>
      </c>
      <c r="P1444" s="2">
        <f>(16112*Table1[[#This Row],[Generation (TWh)]]*10^9)/10^6</f>
        <v>4064864.2560000005</v>
      </c>
      <c r="Q1444" s="2">
        <f>Table1[[#This Row],[Emission Factor (kg CO2/ mmBtu)]]*Table1[[#This Row],[Fuel Consumption (mmBtu)]]*10^3</f>
        <v>381284267212.80005</v>
      </c>
      <c r="R1444" s="2">
        <f>(Table1[[#This Row],[CO2 Emissions (g CO2)]])/(Table1[[#This Row],[Generation (TWh)]]*10^9)</f>
        <v>1511.3056000000001</v>
      </c>
    </row>
    <row r="1445" spans="1:18" hidden="1">
      <c r="A1445" t="s">
        <v>905</v>
      </c>
      <c r="B1445" t="s">
        <v>61</v>
      </c>
      <c r="C1445" t="str">
        <f>SUBSTITUTE(Table1[[#This Row],[Fuel]],", ",",")</f>
        <v>bioenergy: paper mill wastes</v>
      </c>
      <c r="D1445" t="s">
        <v>61</v>
      </c>
      <c r="G1445">
        <v>130</v>
      </c>
      <c r="H1445" t="s">
        <v>27</v>
      </c>
      <c r="I1445">
        <v>2022</v>
      </c>
      <c r="J1445" t="s">
        <v>21</v>
      </c>
      <c r="K1445">
        <v>63.328000000000003</v>
      </c>
      <c r="L1445">
        <v>19.161300000000001</v>
      </c>
      <c r="M1445" t="s">
        <v>34</v>
      </c>
      <c r="N1445" s="2">
        <f>Table1[[#This Row],[Capacity (MW)]]*8760*0.72*10^-6</f>
        <v>0.819936</v>
      </c>
      <c r="O1445" s="2" cm="1">
        <f t="array" ref="O1445">AVERAGE(VLOOKUP(_xlfn.TEXTSPLIT(Table1[[#This Row],[Fuel (no space after comma)]], ","), FuelList_Final_EF!$A$2:$B$32, 2, FALSE))</f>
        <v>100.47443331576173</v>
      </c>
      <c r="P1445" s="2">
        <f>(16112*Table1[[#This Row],[Generation (TWh)]]*10^9)/10^6</f>
        <v>13210808.832</v>
      </c>
      <c r="Q1445" s="2">
        <f>Table1[[#This Row],[Emission Factor (kg CO2/ mmBtu)]]*Table1[[#This Row],[Fuel Consumption (mmBtu)]]*10^3</f>
        <v>1327348531038.0603</v>
      </c>
      <c r="R1445" s="2">
        <f>(Table1[[#This Row],[CO2 Emissions (g CO2)]])/(Table1[[#This Row],[Generation (TWh)]]*10^9)</f>
        <v>1618.8440695835532</v>
      </c>
    </row>
    <row r="1446" spans="1:18" hidden="1">
      <c r="A1446" t="s">
        <v>23</v>
      </c>
      <c r="B1446" t="s">
        <v>61</v>
      </c>
      <c r="C1446" t="str">
        <f>SUBSTITUTE(Table1[[#This Row],[Fuel]],", ",",")</f>
        <v>bioenergy: paper mill wastes</v>
      </c>
      <c r="D1446" t="s">
        <v>61</v>
      </c>
      <c r="G1446">
        <v>75</v>
      </c>
      <c r="H1446" t="s">
        <v>27</v>
      </c>
      <c r="I1446">
        <v>1996</v>
      </c>
      <c r="J1446" t="s">
        <v>21</v>
      </c>
      <c r="K1446">
        <v>61.1113</v>
      </c>
      <c r="L1446">
        <v>21.4648</v>
      </c>
      <c r="M1446" t="s">
        <v>28</v>
      </c>
      <c r="N1446" s="2">
        <f>Table1[[#This Row],[Capacity (MW)]]*8760*0.72*10^-6</f>
        <v>0.47303999999999996</v>
      </c>
      <c r="O1446" s="2" cm="1">
        <f t="array" ref="O1446">AVERAGE(VLOOKUP(_xlfn.TEXTSPLIT(Table1[[#This Row],[Fuel (no space after comma)]], ","), FuelList_Final_EF!$A$2:$B$32, 2, FALSE))</f>
        <v>100.47443331576173</v>
      </c>
      <c r="P1446" s="2">
        <f>(16112*Table1[[#This Row],[Generation (TWh)]]*10^9)/10^6</f>
        <v>7621620.4800000004</v>
      </c>
      <c r="Q1446" s="2">
        <f>Table1[[#This Row],[Emission Factor (kg CO2/ mmBtu)]]*Table1[[#This Row],[Fuel Consumption (mmBtu)]]*10^3</f>
        <v>765777998675.80396</v>
      </c>
      <c r="R1446" s="2">
        <f>(Table1[[#This Row],[CO2 Emissions (g CO2)]])/(Table1[[#This Row],[Generation (TWh)]]*10^9)</f>
        <v>1618.8440695835534</v>
      </c>
    </row>
    <row r="1447" spans="1:18" hidden="1">
      <c r="A1447" t="s">
        <v>906</v>
      </c>
      <c r="B1447" t="s">
        <v>25</v>
      </c>
      <c r="C1447" t="str">
        <f>SUBSTITUTE(Table1[[#This Row],[Fuel]],", ",",")</f>
        <v>bioenergy: wood &amp; other biomass (solids)</v>
      </c>
      <c r="D1447" t="s">
        <v>25</v>
      </c>
      <c r="G1447">
        <v>50</v>
      </c>
      <c r="H1447" t="s">
        <v>27</v>
      </c>
      <c r="I1447">
        <v>2017</v>
      </c>
      <c r="J1447" t="s">
        <v>21</v>
      </c>
      <c r="K1447">
        <v>33.019858999999997</v>
      </c>
      <c r="L1447">
        <v>130.42264499999999</v>
      </c>
      <c r="M1447" t="s">
        <v>51</v>
      </c>
      <c r="N1447" s="2">
        <f>Table1[[#This Row],[Capacity (MW)]]*8760*0.72*10^-6</f>
        <v>0.31535999999999997</v>
      </c>
      <c r="O1447" s="2" cm="1">
        <f t="array" ref="O1447">AVERAGE(VLOOKUP(_xlfn.TEXTSPLIT(Table1[[#This Row],[Fuel (no space after comma)]], ","), FuelList_Final_EF!$A$2:$B$32, 2, FALSE))</f>
        <v>93.8</v>
      </c>
      <c r="P1447" s="2">
        <f>(16112*Table1[[#This Row],[Generation (TWh)]]*10^9)/10^6</f>
        <v>5081080.32</v>
      </c>
      <c r="Q1447" s="2">
        <f>Table1[[#This Row],[Emission Factor (kg CO2/ mmBtu)]]*Table1[[#This Row],[Fuel Consumption (mmBtu)]]*10^3</f>
        <v>476605334016.00006</v>
      </c>
      <c r="R1447" s="2">
        <f>(Table1[[#This Row],[CO2 Emissions (g CO2)]])/(Table1[[#This Row],[Generation (TWh)]]*10^9)</f>
        <v>1511.3056000000001</v>
      </c>
    </row>
    <row r="1448" spans="1:18" hidden="1">
      <c r="A1448" t="s">
        <v>907</v>
      </c>
      <c r="B1448" t="s">
        <v>46</v>
      </c>
      <c r="C1448" t="str">
        <f>SUBSTITUTE(Table1[[#This Row],[Fuel]],", ",",")</f>
        <v>bioenergy: agricultural waste (solids)</v>
      </c>
      <c r="D1448" t="s">
        <v>46</v>
      </c>
      <c r="G1448">
        <v>103</v>
      </c>
      <c r="H1448" t="s">
        <v>27</v>
      </c>
      <c r="I1448">
        <v>2004</v>
      </c>
      <c r="J1448" t="s">
        <v>21</v>
      </c>
      <c r="K1448">
        <v>16.482199999999999</v>
      </c>
      <c r="L1448">
        <v>102.12009999999999</v>
      </c>
      <c r="M1448" t="s">
        <v>819</v>
      </c>
      <c r="N1448" s="2">
        <f>Table1[[#This Row],[Capacity (MW)]]*8760*0.72*10^-6</f>
        <v>0.64964159999999993</v>
      </c>
      <c r="O1448" s="2" cm="1">
        <f t="array" ref="O1448">AVERAGE(VLOOKUP(_xlfn.TEXTSPLIT(Table1[[#This Row],[Fuel (no space after comma)]], ","), FuelList_Final_EF!$A$2:$B$32, 2, FALSE))</f>
        <v>118.17</v>
      </c>
      <c r="P1448" s="2">
        <f>(16112*Table1[[#This Row],[Generation (TWh)]]*10^9)/10^6</f>
        <v>10467025.459199999</v>
      </c>
      <c r="Q1448" s="2">
        <f>Table1[[#This Row],[Emission Factor (kg CO2/ mmBtu)]]*Table1[[#This Row],[Fuel Consumption (mmBtu)]]*10^3</f>
        <v>1236888398513.6638</v>
      </c>
      <c r="R1448" s="2">
        <f>(Table1[[#This Row],[CO2 Emissions (g CO2)]])/(Table1[[#This Row],[Generation (TWh)]]*10^9)</f>
        <v>1903.9550400000001</v>
      </c>
    </row>
    <row r="1449" spans="1:18" hidden="1">
      <c r="A1449" t="s">
        <v>908</v>
      </c>
      <c r="B1449" t="s">
        <v>46</v>
      </c>
      <c r="C1449" t="str">
        <f>SUBSTITUTE(Table1[[#This Row],[Fuel]],", ",",")</f>
        <v>bioenergy: agricultural waste (solids)</v>
      </c>
      <c r="D1449" t="s">
        <v>46</v>
      </c>
      <c r="G1449">
        <v>32</v>
      </c>
      <c r="H1449" t="s">
        <v>27</v>
      </c>
      <c r="I1449">
        <v>2012</v>
      </c>
      <c r="J1449" t="s">
        <v>21</v>
      </c>
      <c r="K1449">
        <v>14.8399</v>
      </c>
      <c r="L1449">
        <v>99.7624</v>
      </c>
      <c r="M1449" t="s">
        <v>819</v>
      </c>
      <c r="N1449" s="2">
        <f>Table1[[#This Row],[Capacity (MW)]]*8760*0.72*10^-6</f>
        <v>0.20183039999999999</v>
      </c>
      <c r="O1449" s="2" cm="1">
        <f t="array" ref="O1449">AVERAGE(VLOOKUP(_xlfn.TEXTSPLIT(Table1[[#This Row],[Fuel (no space after comma)]], ","), FuelList_Final_EF!$A$2:$B$32, 2, FALSE))</f>
        <v>118.17</v>
      </c>
      <c r="P1449" s="2">
        <f>(16112*Table1[[#This Row],[Generation (TWh)]]*10^9)/10^6</f>
        <v>3251891.4047999997</v>
      </c>
      <c r="Q1449" s="2">
        <f>Table1[[#This Row],[Emission Factor (kg CO2/ mmBtu)]]*Table1[[#This Row],[Fuel Consumption (mmBtu)]]*10^3</f>
        <v>384276007305.21594</v>
      </c>
      <c r="R1449" s="2">
        <f>(Table1[[#This Row],[CO2 Emissions (g CO2)]])/(Table1[[#This Row],[Generation (TWh)]]*10^9)</f>
        <v>1903.9550399999998</v>
      </c>
    </row>
    <row r="1450" spans="1:18" hidden="1">
      <c r="A1450" t="s">
        <v>908</v>
      </c>
      <c r="B1450" t="s">
        <v>46</v>
      </c>
      <c r="C1450" t="str">
        <f>SUBSTITUTE(Table1[[#This Row],[Fuel]],", ",",")</f>
        <v>bioenergy: agricultural waste (solids)</v>
      </c>
      <c r="D1450" t="s">
        <v>46</v>
      </c>
      <c r="G1450">
        <v>41</v>
      </c>
      <c r="H1450" t="s">
        <v>27</v>
      </c>
      <c r="I1450">
        <v>2004</v>
      </c>
      <c r="J1450" t="s">
        <v>21</v>
      </c>
      <c r="K1450">
        <v>14.8399</v>
      </c>
      <c r="L1450">
        <v>99.7624</v>
      </c>
      <c r="M1450" t="s">
        <v>819</v>
      </c>
      <c r="N1450" s="2">
        <f>Table1[[#This Row],[Capacity (MW)]]*8760*0.72*10^-6</f>
        <v>0.25859519999999997</v>
      </c>
      <c r="O1450" s="2" cm="1">
        <f t="array" ref="O1450">AVERAGE(VLOOKUP(_xlfn.TEXTSPLIT(Table1[[#This Row],[Fuel (no space after comma)]], ","), FuelList_Final_EF!$A$2:$B$32, 2, FALSE))</f>
        <v>118.17</v>
      </c>
      <c r="P1450" s="2">
        <f>(16112*Table1[[#This Row],[Generation (TWh)]]*10^9)/10^6</f>
        <v>4166485.8624</v>
      </c>
      <c r="Q1450" s="2">
        <f>Table1[[#This Row],[Emission Factor (kg CO2/ mmBtu)]]*Table1[[#This Row],[Fuel Consumption (mmBtu)]]*10^3</f>
        <v>492353634359.80804</v>
      </c>
      <c r="R1450" s="2">
        <f>(Table1[[#This Row],[CO2 Emissions (g CO2)]])/(Table1[[#This Row],[Generation (TWh)]]*10^9)</f>
        <v>1903.9550400000003</v>
      </c>
    </row>
    <row r="1451" spans="1:18" hidden="1">
      <c r="A1451" t="s">
        <v>909</v>
      </c>
      <c r="B1451" t="s">
        <v>46</v>
      </c>
      <c r="C1451" t="str">
        <f>SUBSTITUTE(Table1[[#This Row],[Fuel]],", ",",")</f>
        <v>bioenergy: agricultural waste (solids)</v>
      </c>
      <c r="D1451" t="s">
        <v>46</v>
      </c>
      <c r="G1451">
        <v>41</v>
      </c>
      <c r="H1451" t="s">
        <v>27</v>
      </c>
      <c r="I1451">
        <v>2014</v>
      </c>
      <c r="J1451" t="s">
        <v>21</v>
      </c>
      <c r="K1451">
        <v>17.191500000000001</v>
      </c>
      <c r="L1451">
        <v>101.8215</v>
      </c>
      <c r="M1451" t="s">
        <v>819</v>
      </c>
      <c r="N1451" s="2">
        <f>Table1[[#This Row],[Capacity (MW)]]*8760*0.72*10^-6</f>
        <v>0.25859519999999997</v>
      </c>
      <c r="O1451" s="2" cm="1">
        <f t="array" ref="O1451">AVERAGE(VLOOKUP(_xlfn.TEXTSPLIT(Table1[[#This Row],[Fuel (no space after comma)]], ","), FuelList_Final_EF!$A$2:$B$32, 2, FALSE))</f>
        <v>118.17</v>
      </c>
      <c r="P1451" s="2">
        <f>(16112*Table1[[#This Row],[Generation (TWh)]]*10^9)/10^6</f>
        <v>4166485.8624</v>
      </c>
      <c r="Q1451" s="2">
        <f>Table1[[#This Row],[Emission Factor (kg CO2/ mmBtu)]]*Table1[[#This Row],[Fuel Consumption (mmBtu)]]*10^3</f>
        <v>492353634359.80804</v>
      </c>
      <c r="R1451" s="2">
        <f>(Table1[[#This Row],[CO2 Emissions (g CO2)]])/(Table1[[#This Row],[Generation (TWh)]]*10^9)</f>
        <v>1903.9550400000003</v>
      </c>
    </row>
    <row r="1452" spans="1:18">
      <c r="A1452" t="s">
        <v>21</v>
      </c>
      <c r="B1452" t="s">
        <v>46</v>
      </c>
      <c r="C1452" t="str">
        <f>SUBSTITUTE(Table1[[#This Row],[Fuel]],", ",",")</f>
        <v>bioenergy: agricultural waste (solids)</v>
      </c>
      <c r="D1452" t="s">
        <v>46</v>
      </c>
      <c r="G1452">
        <v>68</v>
      </c>
      <c r="H1452" t="s">
        <v>27</v>
      </c>
      <c r="I1452" t="s">
        <v>21</v>
      </c>
      <c r="J1452" t="s">
        <v>21</v>
      </c>
      <c r="K1452">
        <v>16.465800000000002</v>
      </c>
      <c r="L1452">
        <v>104.0381</v>
      </c>
      <c r="M1452" t="s">
        <v>819</v>
      </c>
      <c r="N1452" s="2">
        <f>Table1[[#This Row],[Capacity (MW)]]*8760*0.72*10^-6</f>
        <v>0.42888959999999998</v>
      </c>
      <c r="O1452" s="2" cm="1">
        <f t="array" ref="O1452">AVERAGE(VLOOKUP(_xlfn.TEXTSPLIT(Table1[[#This Row],[Fuel (no space after comma)]], ","), FuelList_Final_EF!$A$2:$B$32, 2, FALSE))</f>
        <v>118.17</v>
      </c>
      <c r="P1452" s="2">
        <f>(16112*Table1[[#This Row],[Generation (TWh)]]*10^9)/10^6</f>
        <v>6910269.2351999991</v>
      </c>
      <c r="Q1452" s="2">
        <f>Table1[[#This Row],[Emission Factor (kg CO2/ mmBtu)]]*Table1[[#This Row],[Fuel Consumption (mmBtu)]]*10^3</f>
        <v>816586515523.58386</v>
      </c>
      <c r="R1452" s="2">
        <f>(Table1[[#This Row],[CO2 Emissions (g CO2)]])/(Table1[[#This Row],[Generation (TWh)]]*10^9)</f>
        <v>1903.9550399999996</v>
      </c>
    </row>
    <row r="1453" spans="1:18">
      <c r="A1453" t="s">
        <v>21</v>
      </c>
      <c r="B1453" t="s">
        <v>96</v>
      </c>
      <c r="C1453" t="str">
        <f>SUBSTITUTE(Table1[[#This Row],[Fuel]],", ",",")</f>
        <v>bioenergy: unknown</v>
      </c>
      <c r="D1453" t="s">
        <v>96</v>
      </c>
      <c r="G1453">
        <v>51</v>
      </c>
      <c r="H1453" t="s">
        <v>97</v>
      </c>
      <c r="I1453" t="s">
        <v>21</v>
      </c>
      <c r="J1453" t="s">
        <v>21</v>
      </c>
      <c r="K1453">
        <v>36.018700000000003</v>
      </c>
      <c r="L1453">
        <v>140.29509999999999</v>
      </c>
      <c r="M1453" t="s">
        <v>51</v>
      </c>
      <c r="N1453" s="2">
        <f>Table1[[#This Row],[Capacity (MW)]]*8760*0.72*10^-6</f>
        <v>0.32166719999999999</v>
      </c>
      <c r="O1453" s="2" cm="1">
        <f t="array" ref="O1453">AVERAGE(VLOOKUP(_xlfn.TEXTSPLIT(Table1[[#This Row],[Fuel (no space after comma)]], ","), FuelList_Final_EF!$A$2:$B$32, 2, FALSE))</f>
        <v>72.785606017598653</v>
      </c>
      <c r="P1453" s="2">
        <f>(16112*Table1[[#This Row],[Generation (TWh)]]*10^9)/10^6</f>
        <v>5182701.9264000002</v>
      </c>
      <c r="Q1453" s="2">
        <f>Table1[[#This Row],[Emission Factor (kg CO2/ mmBtu)]]*Table1[[#This Row],[Fuel Consumption (mmBtu)]]*10^3</f>
        <v>377226100521.60004</v>
      </c>
      <c r="R1453" s="2">
        <f>(Table1[[#This Row],[CO2 Emissions (g CO2)]])/(Table1[[#This Row],[Generation (TWh)]]*10^9)</f>
        <v>1172.7216841555496</v>
      </c>
    </row>
    <row r="1454" spans="1:18">
      <c r="A1454" t="s">
        <v>910</v>
      </c>
      <c r="B1454" t="s">
        <v>210</v>
      </c>
      <c r="C1454" t="str">
        <f>SUBSTITUTE(Table1[[#This Row],[Fuel]],", ",",")</f>
        <v>bioenergy: wood &amp; other biomass (solids),bioenergy: agricultural waste (solids)</v>
      </c>
      <c r="D1454" t="s">
        <v>25</v>
      </c>
      <c r="E1454" t="s">
        <v>46</v>
      </c>
      <c r="G1454">
        <v>50</v>
      </c>
      <c r="H1454" t="s">
        <v>138</v>
      </c>
      <c r="I1454" t="s">
        <v>21</v>
      </c>
      <c r="J1454" t="s">
        <v>21</v>
      </c>
      <c r="K1454">
        <v>35.557390210000001</v>
      </c>
      <c r="L1454">
        <v>135.151273</v>
      </c>
      <c r="M1454" t="s">
        <v>51</v>
      </c>
      <c r="N1454" s="2">
        <f>Table1[[#This Row],[Capacity (MW)]]*8760*0.72*10^-6</f>
        <v>0.31535999999999997</v>
      </c>
      <c r="O1454" s="2" cm="1">
        <f t="array" ref="O1454">AVERAGE(VLOOKUP(_xlfn.TEXTSPLIT(Table1[[#This Row],[Fuel (no space after comma)]], ","), FuelList_Final_EF!$A$2:$B$32, 2, FALSE))</f>
        <v>105.985</v>
      </c>
      <c r="P1454" s="2">
        <f>(16112*Table1[[#This Row],[Generation (TWh)]]*10^9)/10^6</f>
        <v>5081080.32</v>
      </c>
      <c r="Q1454" s="2">
        <f>Table1[[#This Row],[Emission Factor (kg CO2/ mmBtu)]]*Table1[[#This Row],[Fuel Consumption (mmBtu)]]*10^3</f>
        <v>538518297715.20007</v>
      </c>
      <c r="R1454" s="2">
        <f>(Table1[[#This Row],[CO2 Emissions (g CO2)]])/(Table1[[#This Row],[Generation (TWh)]]*10^9)</f>
        <v>1707.6303200000002</v>
      </c>
    </row>
    <row r="1455" spans="1:18">
      <c r="A1455" t="s">
        <v>911</v>
      </c>
      <c r="B1455" t="s">
        <v>912</v>
      </c>
      <c r="C1455" t="str">
        <f>SUBSTITUTE(Table1[[#This Row],[Fuel]],", ",",")</f>
        <v>bioenergy: wood &amp; other biomass (solids),coal: subbituminous,fossil gas: natural gas</v>
      </c>
      <c r="D1455" t="s">
        <v>25</v>
      </c>
      <c r="E1455" t="s">
        <v>165</v>
      </c>
      <c r="F1455" t="s">
        <v>69</v>
      </c>
      <c r="G1455">
        <v>35</v>
      </c>
      <c r="H1455" t="s">
        <v>27</v>
      </c>
      <c r="I1455">
        <v>1949</v>
      </c>
      <c r="J1455" t="s">
        <v>21</v>
      </c>
      <c r="K1455">
        <v>46.735300000000002</v>
      </c>
      <c r="L1455">
        <v>-92.151700000000005</v>
      </c>
      <c r="M1455" t="s">
        <v>62</v>
      </c>
      <c r="N1455" s="2">
        <f>Table1[[#This Row],[Capacity (MW)]]*8760*0.72*10^-6</f>
        <v>0.220752</v>
      </c>
      <c r="O1455" s="2" cm="1">
        <f t="array" ref="O1455">AVERAGE(VLOOKUP(_xlfn.TEXTSPLIT(Table1[[#This Row],[Fuel (no space after comma)]], ","), FuelList_Final_EF!$A$2:$B$32, 2, FALSE))</f>
        <v>82.725956773853454</v>
      </c>
      <c r="P1455" s="2">
        <f>(16112*Table1[[#This Row],[Generation (TWh)]]*10^9)/10^6</f>
        <v>3556756.2239999999</v>
      </c>
      <c r="Q1455" s="2">
        <f>Table1[[#This Row],[Emission Factor (kg CO2/ mmBtu)]]*Table1[[#This Row],[Fuel Consumption (mmBtu)]]*10^3</f>
        <v>294236061641.75818</v>
      </c>
      <c r="R1455" s="2">
        <f>(Table1[[#This Row],[CO2 Emissions (g CO2)]])/(Table1[[#This Row],[Generation (TWh)]]*10^9)</f>
        <v>1332.8806155403265</v>
      </c>
    </row>
    <row r="1456" spans="1:18">
      <c r="A1456" t="s">
        <v>911</v>
      </c>
      <c r="B1456" t="s">
        <v>912</v>
      </c>
      <c r="C1456" t="str">
        <f>SUBSTITUTE(Table1[[#This Row],[Fuel]],", ",",")</f>
        <v>bioenergy: wood &amp; other biomass (solids),coal: subbituminous,fossil gas: natural gas</v>
      </c>
      <c r="D1456" t="s">
        <v>25</v>
      </c>
      <c r="E1456" t="s">
        <v>165</v>
      </c>
      <c r="F1456" t="s">
        <v>69</v>
      </c>
      <c r="G1456">
        <v>38</v>
      </c>
      <c r="H1456" t="s">
        <v>27</v>
      </c>
      <c r="I1456">
        <v>1951</v>
      </c>
      <c r="J1456" t="s">
        <v>21</v>
      </c>
      <c r="K1456">
        <v>46.735300000000002</v>
      </c>
      <c r="L1456">
        <v>-92.151700000000005</v>
      </c>
      <c r="M1456" t="s">
        <v>62</v>
      </c>
      <c r="N1456" s="2">
        <f>Table1[[#This Row],[Capacity (MW)]]*8760*0.72*10^-6</f>
        <v>0.23967359999999996</v>
      </c>
      <c r="O1456" s="2" cm="1">
        <f t="array" ref="O1456">AVERAGE(VLOOKUP(_xlfn.TEXTSPLIT(Table1[[#This Row],[Fuel (no space after comma)]], ","), FuelList_Final_EF!$A$2:$B$32, 2, FALSE))</f>
        <v>82.725956773853454</v>
      </c>
      <c r="P1456" s="2">
        <f>(16112*Table1[[#This Row],[Generation (TWh)]]*10^9)/10^6</f>
        <v>3861621.0431999997</v>
      </c>
      <c r="Q1456" s="2">
        <f>Table1[[#This Row],[Emission Factor (kg CO2/ mmBtu)]]*Table1[[#This Row],[Fuel Consumption (mmBtu)]]*10^3</f>
        <v>319456295496.76605</v>
      </c>
      <c r="R1456" s="2">
        <f>(Table1[[#This Row],[CO2 Emissions (g CO2)]])/(Table1[[#This Row],[Generation (TWh)]]*10^9)</f>
        <v>1332.880615540327</v>
      </c>
    </row>
    <row r="1457" spans="1:18" hidden="1">
      <c r="A1457" t="s">
        <v>913</v>
      </c>
      <c r="B1457" t="s">
        <v>46</v>
      </c>
      <c r="C1457" t="str">
        <f>SUBSTITUTE(Table1[[#This Row],[Fuel]],", ",",")</f>
        <v>bioenergy: agricultural waste (solids)</v>
      </c>
      <c r="D1457" t="s">
        <v>46</v>
      </c>
      <c r="G1457">
        <v>89</v>
      </c>
      <c r="H1457" t="s">
        <v>27</v>
      </c>
      <c r="I1457">
        <v>1994</v>
      </c>
      <c r="J1457" t="s">
        <v>21</v>
      </c>
      <c r="K1457">
        <v>-20.201799999999999</v>
      </c>
      <c r="L1457">
        <v>-49.355600000000003</v>
      </c>
      <c r="M1457" t="s">
        <v>49</v>
      </c>
      <c r="N1457" s="2">
        <f>Table1[[#This Row],[Capacity (MW)]]*8760*0.72*10^-6</f>
        <v>0.56134079999999986</v>
      </c>
      <c r="O1457" s="2" cm="1">
        <f t="array" ref="O1457">AVERAGE(VLOOKUP(_xlfn.TEXTSPLIT(Table1[[#This Row],[Fuel (no space after comma)]], ","), FuelList_Final_EF!$A$2:$B$32, 2, FALSE))</f>
        <v>118.17</v>
      </c>
      <c r="P1457" s="2">
        <f>(16112*Table1[[#This Row],[Generation (TWh)]]*10^9)/10^6</f>
        <v>9044322.9695999976</v>
      </c>
      <c r="Q1457" s="2">
        <f>Table1[[#This Row],[Emission Factor (kg CO2/ mmBtu)]]*Table1[[#This Row],[Fuel Consumption (mmBtu)]]*10^3</f>
        <v>1068767645317.6317</v>
      </c>
      <c r="R1457" s="2">
        <f>(Table1[[#This Row],[CO2 Emissions (g CO2)]])/(Table1[[#This Row],[Generation (TWh)]]*10^9)</f>
        <v>1903.9550399999998</v>
      </c>
    </row>
    <row r="1458" spans="1:18" hidden="1">
      <c r="A1458" t="s">
        <v>80</v>
      </c>
      <c r="B1458" t="s">
        <v>46</v>
      </c>
      <c r="C1458" t="str">
        <f>SUBSTITUTE(Table1[[#This Row],[Fuel]],", ",",")</f>
        <v>bioenergy: agricultural waste (solids)</v>
      </c>
      <c r="D1458" t="s">
        <v>46</v>
      </c>
      <c r="G1458">
        <v>33</v>
      </c>
      <c r="H1458" t="s">
        <v>27</v>
      </c>
      <c r="I1458">
        <v>2012</v>
      </c>
      <c r="J1458" t="s">
        <v>21</v>
      </c>
      <c r="K1458">
        <v>-20.4724</v>
      </c>
      <c r="L1458">
        <v>-47.874899999999997</v>
      </c>
      <c r="M1458" t="s">
        <v>49</v>
      </c>
      <c r="N1458" s="2">
        <f>Table1[[#This Row],[Capacity (MW)]]*8760*0.72*10^-6</f>
        <v>0.20813760000000001</v>
      </c>
      <c r="O1458" s="2" cm="1">
        <f t="array" ref="O1458">AVERAGE(VLOOKUP(_xlfn.TEXTSPLIT(Table1[[#This Row],[Fuel (no space after comma)]], ","), FuelList_Final_EF!$A$2:$B$32, 2, FALSE))</f>
        <v>118.17</v>
      </c>
      <c r="P1458" s="2">
        <f>(16112*Table1[[#This Row],[Generation (TWh)]]*10^9)/10^6</f>
        <v>3353513.0112000001</v>
      </c>
      <c r="Q1458" s="2">
        <f>Table1[[#This Row],[Emission Factor (kg CO2/ mmBtu)]]*Table1[[#This Row],[Fuel Consumption (mmBtu)]]*10^3</f>
        <v>396284632533.50403</v>
      </c>
      <c r="R1458" s="2">
        <f>(Table1[[#This Row],[CO2 Emissions (g CO2)]])/(Table1[[#This Row],[Generation (TWh)]]*10^9)</f>
        <v>1903.9550400000001</v>
      </c>
    </row>
    <row r="1459" spans="1:18" hidden="1">
      <c r="A1459" t="s">
        <v>914</v>
      </c>
      <c r="B1459" t="s">
        <v>915</v>
      </c>
      <c r="C1459" t="str">
        <f>SUBSTITUTE(Table1[[#This Row],[Fuel]],", ",",")</f>
        <v>bioenergy: wood &amp; other biomass (solids),bioenergy: wood &amp; other biomass (solids),coal: unknown</v>
      </c>
      <c r="D1459" t="s">
        <v>25</v>
      </c>
      <c r="E1459" t="s">
        <v>25</v>
      </c>
      <c r="F1459" t="s">
        <v>65</v>
      </c>
      <c r="G1459">
        <v>24.5</v>
      </c>
      <c r="H1459" t="s">
        <v>27</v>
      </c>
      <c r="I1459">
        <v>2016</v>
      </c>
      <c r="J1459" t="s">
        <v>21</v>
      </c>
      <c r="K1459">
        <v>44.335599999999999</v>
      </c>
      <c r="L1459">
        <v>143.36760000000001</v>
      </c>
      <c r="M1459" t="s">
        <v>51</v>
      </c>
      <c r="N1459" s="2">
        <f>Table1[[#This Row],[Capacity (MW)]]*8760*0.72*10^-6</f>
        <v>0.15452639999999998</v>
      </c>
      <c r="O1459" s="2" cm="1">
        <f t="array" ref="O1459">AVERAGE(VLOOKUP(_xlfn.TEXTSPLIT(Table1[[#This Row],[Fuel (no space after comma)]], ","), FuelList_Final_EF!$A$2:$B$32, 2, FALSE))</f>
        <v>96.235670356703565</v>
      </c>
      <c r="P1459" s="2">
        <f>(16112*Table1[[#This Row],[Generation (TWh)]]*10^9)/10^6</f>
        <v>2489729.3567999997</v>
      </c>
      <c r="Q1459" s="2">
        <f>Table1[[#This Row],[Emission Factor (kg CO2/ mmBtu)]]*Table1[[#This Row],[Fuel Consumption (mmBtu)]]*10^3</f>
        <v>239600773658.41235</v>
      </c>
      <c r="R1459" s="2">
        <f>(Table1[[#This Row],[CO2 Emissions (g CO2)]])/(Table1[[#This Row],[Generation (TWh)]]*10^9)</f>
        <v>1550.5491207872078</v>
      </c>
    </row>
    <row r="1460" spans="1:18" hidden="1">
      <c r="A1460" t="s">
        <v>916</v>
      </c>
      <c r="B1460" t="s">
        <v>915</v>
      </c>
      <c r="C1460" t="str">
        <f>SUBSTITUTE(Table1[[#This Row],[Fuel]],", ",",")</f>
        <v>bioenergy: wood &amp; other biomass (solids),bioenergy: wood &amp; other biomass (solids),coal: unknown</v>
      </c>
      <c r="D1460" t="s">
        <v>25</v>
      </c>
      <c r="E1460" t="s">
        <v>25</v>
      </c>
      <c r="F1460" t="s">
        <v>65</v>
      </c>
      <c r="G1460">
        <v>25.5</v>
      </c>
      <c r="H1460" t="s">
        <v>27</v>
      </c>
      <c r="I1460">
        <v>2016</v>
      </c>
      <c r="J1460" t="s">
        <v>21</v>
      </c>
      <c r="K1460">
        <v>44.335599999999999</v>
      </c>
      <c r="L1460">
        <v>143.36760000000001</v>
      </c>
      <c r="M1460" t="s">
        <v>51</v>
      </c>
      <c r="N1460" s="2">
        <f>Table1[[#This Row],[Capacity (MW)]]*8760*0.72*10^-6</f>
        <v>0.16083359999999999</v>
      </c>
      <c r="O1460" s="2" cm="1">
        <f t="array" ref="O1460">AVERAGE(VLOOKUP(_xlfn.TEXTSPLIT(Table1[[#This Row],[Fuel (no space after comma)]], ","), FuelList_Final_EF!$A$2:$B$32, 2, FALSE))</f>
        <v>96.235670356703565</v>
      </c>
      <c r="P1460" s="2">
        <f>(16112*Table1[[#This Row],[Generation (TWh)]]*10^9)/10^6</f>
        <v>2591350.9632000001</v>
      </c>
      <c r="Q1460" s="2">
        <f>Table1[[#This Row],[Emission Factor (kg CO2/ mmBtu)]]*Table1[[#This Row],[Fuel Consumption (mmBtu)]]*10^3</f>
        <v>249380397073.04147</v>
      </c>
      <c r="R1460" s="2">
        <f>(Table1[[#This Row],[CO2 Emissions (g CO2)]])/(Table1[[#This Row],[Generation (TWh)]]*10^9)</f>
        <v>1550.5491207872078</v>
      </c>
    </row>
    <row r="1461" spans="1:18" hidden="1">
      <c r="A1461" t="s">
        <v>264</v>
      </c>
      <c r="B1461" t="s">
        <v>25</v>
      </c>
      <c r="C1461" t="str">
        <f>SUBSTITUTE(Table1[[#This Row],[Fuel]],", ",",")</f>
        <v>bioenergy: wood &amp; other biomass (solids)</v>
      </c>
      <c r="D1461" t="s">
        <v>25</v>
      </c>
      <c r="G1461">
        <v>35</v>
      </c>
      <c r="H1461" t="s">
        <v>27</v>
      </c>
      <c r="I1461">
        <v>2019</v>
      </c>
      <c r="J1461" t="s">
        <v>21</v>
      </c>
      <c r="K1461">
        <v>40.052700000000002</v>
      </c>
      <c r="L1461">
        <v>-8.8756000000000004</v>
      </c>
      <c r="M1461" t="s">
        <v>265</v>
      </c>
      <c r="N1461" s="2">
        <f>Table1[[#This Row],[Capacity (MW)]]*8760*0.72*10^-6</f>
        <v>0.220752</v>
      </c>
      <c r="O1461" s="2" cm="1">
        <f t="array" ref="O1461">AVERAGE(VLOOKUP(_xlfn.TEXTSPLIT(Table1[[#This Row],[Fuel (no space after comma)]], ","), FuelList_Final_EF!$A$2:$B$32, 2, FALSE))</f>
        <v>93.8</v>
      </c>
      <c r="P1461" s="2">
        <f>(16112*Table1[[#This Row],[Generation (TWh)]]*10^9)/10^6</f>
        <v>3556756.2239999999</v>
      </c>
      <c r="Q1461" s="2">
        <f>Table1[[#This Row],[Emission Factor (kg CO2/ mmBtu)]]*Table1[[#This Row],[Fuel Consumption (mmBtu)]]*10^3</f>
        <v>333623733811.19995</v>
      </c>
      <c r="R1461" s="2">
        <f>(Table1[[#This Row],[CO2 Emissions (g CO2)]])/(Table1[[#This Row],[Generation (TWh)]]*10^9)</f>
        <v>1511.3055999999997</v>
      </c>
    </row>
    <row r="1462" spans="1:18">
      <c r="A1462" t="s">
        <v>917</v>
      </c>
      <c r="B1462" t="s">
        <v>36</v>
      </c>
      <c r="C1462" t="str">
        <f>SUBSTITUTE(Table1[[#This Row],[Fuel]],", ",",")</f>
        <v>bioenergy: biodiesel</v>
      </c>
      <c r="D1462" t="s">
        <v>36</v>
      </c>
      <c r="G1462">
        <v>100</v>
      </c>
      <c r="H1462" t="s">
        <v>138</v>
      </c>
      <c r="I1462" t="s">
        <v>21</v>
      </c>
      <c r="J1462" t="s">
        <v>21</v>
      </c>
      <c r="K1462">
        <v>40.960099999999997</v>
      </c>
      <c r="L1462">
        <v>17.262799999999999</v>
      </c>
      <c r="M1462" t="s">
        <v>37</v>
      </c>
      <c r="N1462" s="2">
        <f>Table1[[#This Row],[Capacity (MW)]]*8760*0.72*10^-6</f>
        <v>0.63071999999999995</v>
      </c>
      <c r="O1462" s="2" cm="1">
        <f t="array" ref="O1462">AVERAGE(VLOOKUP(_xlfn.TEXTSPLIT(Table1[[#This Row],[Fuel (no space after comma)]], ","), FuelList_Final_EF!$A$2:$B$32, 2, FALSE))</f>
        <v>73.84</v>
      </c>
      <c r="P1462" s="2">
        <f>(16112*Table1[[#This Row],[Generation (TWh)]]*10^9)/10^6</f>
        <v>10162160.640000001</v>
      </c>
      <c r="Q1462" s="2">
        <f>Table1[[#This Row],[Emission Factor (kg CO2/ mmBtu)]]*Table1[[#This Row],[Fuel Consumption (mmBtu)]]*10^3</f>
        <v>750373941657.6001</v>
      </c>
      <c r="R1462" s="2">
        <f>(Table1[[#This Row],[CO2 Emissions (g CO2)]])/(Table1[[#This Row],[Generation (TWh)]]*10^9)</f>
        <v>1189.7100800000001</v>
      </c>
    </row>
    <row r="1463" spans="1:18" hidden="1">
      <c r="A1463" t="s">
        <v>918</v>
      </c>
      <c r="B1463" t="s">
        <v>61</v>
      </c>
      <c r="C1463" t="str">
        <f>SUBSTITUTE(Table1[[#This Row],[Fuel]],", ",",")</f>
        <v>bioenergy: paper mill wastes</v>
      </c>
      <c r="D1463" t="s">
        <v>61</v>
      </c>
      <c r="G1463">
        <v>90</v>
      </c>
      <c r="H1463" t="s">
        <v>27</v>
      </c>
      <c r="I1463">
        <v>2014</v>
      </c>
      <c r="J1463" t="s">
        <v>21</v>
      </c>
      <c r="K1463">
        <v>-34.224800000000002</v>
      </c>
      <c r="L1463">
        <v>-58.049700000000001</v>
      </c>
      <c r="M1463" t="s">
        <v>919</v>
      </c>
      <c r="N1463" s="2">
        <f>Table1[[#This Row],[Capacity (MW)]]*8760*0.72*10^-6</f>
        <v>0.56764799999999993</v>
      </c>
      <c r="O1463" s="2" cm="1">
        <f t="array" ref="O1463">AVERAGE(VLOOKUP(_xlfn.TEXTSPLIT(Table1[[#This Row],[Fuel (no space after comma)]], ","), FuelList_Final_EF!$A$2:$B$32, 2, FALSE))</f>
        <v>100.47443331576173</v>
      </c>
      <c r="P1463" s="2">
        <f>(16112*Table1[[#This Row],[Generation (TWh)]]*10^9)/10^6</f>
        <v>9145944.5759999976</v>
      </c>
      <c r="Q1463" s="2">
        <f>Table1[[#This Row],[Emission Factor (kg CO2/ mmBtu)]]*Table1[[#This Row],[Fuel Consumption (mmBtu)]]*10^3</f>
        <v>918933598410.96448</v>
      </c>
      <c r="R1463" s="2">
        <f>(Table1[[#This Row],[CO2 Emissions (g CO2)]])/(Table1[[#This Row],[Generation (TWh)]]*10^9)</f>
        <v>1618.8440695835529</v>
      </c>
    </row>
    <row r="1464" spans="1:18" hidden="1">
      <c r="A1464" t="s">
        <v>918</v>
      </c>
      <c r="B1464" t="s">
        <v>61</v>
      </c>
      <c r="C1464" t="str">
        <f>SUBSTITUTE(Table1[[#This Row],[Fuel]],", ",",")</f>
        <v>bioenergy: paper mill wastes</v>
      </c>
      <c r="D1464" t="s">
        <v>61</v>
      </c>
      <c r="G1464">
        <v>90</v>
      </c>
      <c r="H1464" t="s">
        <v>27</v>
      </c>
      <c r="I1464">
        <v>2014</v>
      </c>
      <c r="J1464" t="s">
        <v>21</v>
      </c>
      <c r="K1464">
        <v>-34.224800000000002</v>
      </c>
      <c r="L1464">
        <v>-58.049700000000001</v>
      </c>
      <c r="M1464" t="s">
        <v>919</v>
      </c>
      <c r="N1464" s="2">
        <f>Table1[[#This Row],[Capacity (MW)]]*8760*0.72*10^-6</f>
        <v>0.56764799999999993</v>
      </c>
      <c r="O1464" s="2" cm="1">
        <f t="array" ref="O1464">AVERAGE(VLOOKUP(_xlfn.TEXTSPLIT(Table1[[#This Row],[Fuel (no space after comma)]], ","), FuelList_Final_EF!$A$2:$B$32, 2, FALSE))</f>
        <v>100.47443331576173</v>
      </c>
      <c r="P1464" s="2">
        <f>(16112*Table1[[#This Row],[Generation (TWh)]]*10^9)/10^6</f>
        <v>9145944.5759999976</v>
      </c>
      <c r="Q1464" s="2">
        <f>Table1[[#This Row],[Emission Factor (kg CO2/ mmBtu)]]*Table1[[#This Row],[Fuel Consumption (mmBtu)]]*10^3</f>
        <v>918933598410.96448</v>
      </c>
      <c r="R1464" s="2">
        <f>(Table1[[#This Row],[CO2 Emissions (g CO2)]])/(Table1[[#This Row],[Generation (TWh)]]*10^9)</f>
        <v>1618.8440695835529</v>
      </c>
    </row>
    <row r="1465" spans="1:18" hidden="1">
      <c r="A1465" t="s">
        <v>920</v>
      </c>
      <c r="B1465" t="s">
        <v>19</v>
      </c>
      <c r="C1465" t="str">
        <f>SUBSTITUTE(Table1[[#This Row],[Fuel]],", ",",")</f>
        <v>bioenergy: refuse (municipal and industrial wastes)</v>
      </c>
      <c r="D1465" t="s">
        <v>19</v>
      </c>
      <c r="G1465">
        <v>68</v>
      </c>
      <c r="H1465" t="s">
        <v>27</v>
      </c>
      <c r="I1465">
        <v>1995</v>
      </c>
      <c r="J1465" t="s">
        <v>21</v>
      </c>
      <c r="K1465">
        <v>39.200600000000001</v>
      </c>
      <c r="L1465">
        <v>-77.455600000000004</v>
      </c>
      <c r="M1465" t="s">
        <v>62</v>
      </c>
      <c r="N1465" s="2">
        <f>Table1[[#This Row],[Capacity (MW)]]*8760*0.72*10^-6</f>
        <v>0.42888959999999998</v>
      </c>
      <c r="O1465" s="2" cm="1">
        <f t="array" ref="O1465">AVERAGE(VLOOKUP(_xlfn.TEXTSPLIT(Table1[[#This Row],[Fuel (no space after comma)]], ","), FuelList_Final_EF!$A$2:$B$32, 2, FALSE))</f>
        <v>105.42962572482868</v>
      </c>
      <c r="P1465" s="2">
        <f>(16112*Table1[[#This Row],[Generation (TWh)]]*10^9)/10^6</f>
        <v>6910269.2351999991</v>
      </c>
      <c r="Q1465" s="2">
        <f>Table1[[#This Row],[Emission Factor (kg CO2/ mmBtu)]]*Table1[[#This Row],[Fuel Consumption (mmBtu)]]*10^3</f>
        <v>728547099124.93408</v>
      </c>
      <c r="R1465" s="2">
        <f>(Table1[[#This Row],[CO2 Emissions (g CO2)]])/(Table1[[#This Row],[Generation (TWh)]]*10^9)</f>
        <v>1698.6821296784397</v>
      </c>
    </row>
    <row r="1466" spans="1:18" hidden="1">
      <c r="A1466" t="s">
        <v>230</v>
      </c>
      <c r="B1466" t="s">
        <v>921</v>
      </c>
      <c r="C1466" t="str">
        <f>SUBSTITUTE(Table1[[#This Row],[Fuel]],", ",",")</f>
        <v>bioenergy: paper mill wastes,bioenergy: wood &amp; other biomass (solids),fossil gas: lng</v>
      </c>
      <c r="D1466" t="s">
        <v>61</v>
      </c>
      <c r="E1466" t="s">
        <v>25</v>
      </c>
      <c r="F1466" t="s">
        <v>922</v>
      </c>
      <c r="G1466">
        <v>32</v>
      </c>
      <c r="H1466" t="s">
        <v>27</v>
      </c>
      <c r="I1466">
        <v>1968</v>
      </c>
      <c r="J1466" t="s">
        <v>21</v>
      </c>
      <c r="K1466">
        <v>31.6282</v>
      </c>
      <c r="L1466">
        <v>-90.081500000000005</v>
      </c>
      <c r="M1466" t="s">
        <v>62</v>
      </c>
      <c r="N1466" s="2">
        <f>Table1[[#This Row],[Capacity (MW)]]*8760*0.72*10^-6</f>
        <v>0.20183039999999999</v>
      </c>
      <c r="O1466" s="2" cm="1">
        <f t="array" ref="O1466">AVERAGE(VLOOKUP(_xlfn.TEXTSPLIT(Table1[[#This Row],[Fuel (no space after comma)]], ","), FuelList_Final_EF!$A$2:$B$32, 2, FALSE))</f>
        <v>87.320084343700572</v>
      </c>
      <c r="P1466" s="2">
        <f>(16112*Table1[[#This Row],[Generation (TWh)]]*10^9)/10^6</f>
        <v>3251891.4047999997</v>
      </c>
      <c r="Q1466" s="2">
        <f>Table1[[#This Row],[Emission Factor (kg CO2/ mmBtu)]]*Table1[[#This Row],[Fuel Consumption (mmBtu)]]*10^3</f>
        <v>283955431743.69092</v>
      </c>
      <c r="R1466" s="2">
        <f>(Table1[[#This Row],[CO2 Emissions (g CO2)]])/(Table1[[#This Row],[Generation (TWh)]]*10^9)</f>
        <v>1406.9011989457035</v>
      </c>
    </row>
    <row r="1467" spans="1:18" hidden="1">
      <c r="A1467" t="s">
        <v>230</v>
      </c>
      <c r="B1467" t="s">
        <v>921</v>
      </c>
      <c r="C1467" t="str">
        <f>SUBSTITUTE(Table1[[#This Row],[Fuel]],", ",",")</f>
        <v>bioenergy: paper mill wastes,bioenergy: wood &amp; other biomass (solids),fossil gas: lng</v>
      </c>
      <c r="D1467" t="s">
        <v>61</v>
      </c>
      <c r="E1467" t="s">
        <v>25</v>
      </c>
      <c r="F1467" t="s">
        <v>922</v>
      </c>
      <c r="G1467">
        <v>33</v>
      </c>
      <c r="H1467" t="s">
        <v>27</v>
      </c>
      <c r="I1467">
        <v>1968</v>
      </c>
      <c r="J1467" t="s">
        <v>21</v>
      </c>
      <c r="K1467">
        <v>31.6282</v>
      </c>
      <c r="L1467">
        <v>-90.081500000000005</v>
      </c>
      <c r="M1467" t="s">
        <v>62</v>
      </c>
      <c r="N1467" s="2">
        <f>Table1[[#This Row],[Capacity (MW)]]*8760*0.72*10^-6</f>
        <v>0.20813760000000001</v>
      </c>
      <c r="O1467" s="2" cm="1">
        <f t="array" ref="O1467">AVERAGE(VLOOKUP(_xlfn.TEXTSPLIT(Table1[[#This Row],[Fuel (no space after comma)]], ","), FuelList_Final_EF!$A$2:$B$32, 2, FALSE))</f>
        <v>87.320084343700572</v>
      </c>
      <c r="P1467" s="2">
        <f>(16112*Table1[[#This Row],[Generation (TWh)]]*10^9)/10^6</f>
        <v>3353513.0112000001</v>
      </c>
      <c r="Q1467" s="2">
        <f>Table1[[#This Row],[Emission Factor (kg CO2/ mmBtu)]]*Table1[[#This Row],[Fuel Consumption (mmBtu)]]*10^3</f>
        <v>292829038985.68127</v>
      </c>
      <c r="R1467" s="2">
        <f>(Table1[[#This Row],[CO2 Emissions (g CO2)]])/(Table1[[#This Row],[Generation (TWh)]]*10^9)</f>
        <v>1406.9011989457035</v>
      </c>
    </row>
    <row r="1468" spans="1:18" hidden="1">
      <c r="A1468" t="s">
        <v>923</v>
      </c>
      <c r="B1468" t="s">
        <v>25</v>
      </c>
      <c r="C1468" t="str">
        <f>SUBSTITUTE(Table1[[#This Row],[Fuel]],", ",",")</f>
        <v>bioenergy: wood &amp; other biomass (solids)</v>
      </c>
      <c r="D1468" t="s">
        <v>25</v>
      </c>
      <c r="G1468">
        <v>31</v>
      </c>
      <c r="H1468" t="s">
        <v>27</v>
      </c>
      <c r="I1468">
        <v>2009</v>
      </c>
      <c r="J1468" t="s">
        <v>21</v>
      </c>
      <c r="K1468">
        <v>56.692300000000003</v>
      </c>
      <c r="L1468">
        <v>16.183499999999999</v>
      </c>
      <c r="M1468" t="s">
        <v>34</v>
      </c>
      <c r="N1468" s="2">
        <f>Table1[[#This Row],[Capacity (MW)]]*8760*0.72*10^-6</f>
        <v>0.19552319999999998</v>
      </c>
      <c r="O1468" s="2" cm="1">
        <f t="array" ref="O1468">AVERAGE(VLOOKUP(_xlfn.TEXTSPLIT(Table1[[#This Row],[Fuel (no space after comma)]], ","), FuelList_Final_EF!$A$2:$B$32, 2, FALSE))</f>
        <v>93.8</v>
      </c>
      <c r="P1468" s="2">
        <f>(16112*Table1[[#This Row],[Generation (TWh)]]*10^9)/10^6</f>
        <v>3150269.7983999997</v>
      </c>
      <c r="Q1468" s="2">
        <f>Table1[[#This Row],[Emission Factor (kg CO2/ mmBtu)]]*Table1[[#This Row],[Fuel Consumption (mmBtu)]]*10^3</f>
        <v>295495307089.91998</v>
      </c>
      <c r="R1468" s="2">
        <f>(Table1[[#This Row],[CO2 Emissions (g CO2)]])/(Table1[[#This Row],[Generation (TWh)]]*10^9)</f>
        <v>1511.3056000000001</v>
      </c>
    </row>
    <row r="1469" spans="1:18" hidden="1">
      <c r="A1469" t="s">
        <v>924</v>
      </c>
      <c r="B1469" t="s">
        <v>68</v>
      </c>
      <c r="C1469" t="str">
        <f>SUBSTITUTE(Table1[[#This Row],[Fuel]],", ",",")</f>
        <v>bioenergy: wood &amp; other biomass (solids),fossil gas: natural gas</v>
      </c>
      <c r="D1469" t="s">
        <v>25</v>
      </c>
      <c r="E1469" t="s">
        <v>69</v>
      </c>
      <c r="G1469">
        <v>40.92</v>
      </c>
      <c r="H1469" t="s">
        <v>27</v>
      </c>
      <c r="I1469">
        <v>1989</v>
      </c>
      <c r="J1469" t="s">
        <v>21</v>
      </c>
      <c r="K1469">
        <v>35.576315999999998</v>
      </c>
      <c r="L1469">
        <v>-119.006553</v>
      </c>
      <c r="M1469" t="s">
        <v>62</v>
      </c>
      <c r="N1469" s="2">
        <f>Table1[[#This Row],[Capacity (MW)]]*8760*0.72*10^-6</f>
        <v>0.25809062399999999</v>
      </c>
      <c r="O1469" s="2" cm="1">
        <f t="array" ref="O1469">AVERAGE(VLOOKUP(_xlfn.TEXTSPLIT(Table1[[#This Row],[Fuel (no space after comma)]], ","), FuelList_Final_EF!$A$2:$B$32, 2, FALSE))</f>
        <v>73.430000000000007</v>
      </c>
      <c r="P1469" s="2">
        <f>(16112*Table1[[#This Row],[Generation (TWh)]]*10^9)/10^6</f>
        <v>4158356.1338880002</v>
      </c>
      <c r="Q1469" s="2">
        <f>Table1[[#This Row],[Emission Factor (kg CO2/ mmBtu)]]*Table1[[#This Row],[Fuel Consumption (mmBtu)]]*10^3</f>
        <v>305348090911.39594</v>
      </c>
      <c r="R1469" s="2">
        <f>(Table1[[#This Row],[CO2 Emissions (g CO2)]])/(Table1[[#This Row],[Generation (TWh)]]*10^9)</f>
        <v>1183.1041600000003</v>
      </c>
    </row>
    <row r="1470" spans="1:18" hidden="1">
      <c r="A1470" t="s">
        <v>925</v>
      </c>
      <c r="B1470" t="s">
        <v>68</v>
      </c>
      <c r="C1470" t="str">
        <f>SUBSTITUTE(Table1[[#This Row],[Fuel]],", ",",")</f>
        <v>bioenergy: wood &amp; other biomass (solids),fossil gas: natural gas</v>
      </c>
      <c r="D1470" t="s">
        <v>25</v>
      </c>
      <c r="E1470" t="s">
        <v>69</v>
      </c>
      <c r="G1470">
        <v>20.46</v>
      </c>
      <c r="H1470" t="s">
        <v>27</v>
      </c>
      <c r="I1470">
        <v>1989</v>
      </c>
      <c r="J1470" t="s">
        <v>21</v>
      </c>
      <c r="K1470">
        <v>35.576315999999998</v>
      </c>
      <c r="L1470">
        <v>-119.006553</v>
      </c>
      <c r="M1470" t="s">
        <v>62</v>
      </c>
      <c r="N1470" s="2">
        <f>Table1[[#This Row],[Capacity (MW)]]*8760*0.72*10^-6</f>
        <v>0.129045312</v>
      </c>
      <c r="O1470" s="2" cm="1">
        <f t="array" ref="O1470">AVERAGE(VLOOKUP(_xlfn.TEXTSPLIT(Table1[[#This Row],[Fuel (no space after comma)]], ","), FuelList_Final_EF!$A$2:$B$32, 2, FALSE))</f>
        <v>73.430000000000007</v>
      </c>
      <c r="P1470" s="2">
        <f>(16112*Table1[[#This Row],[Generation (TWh)]]*10^9)/10^6</f>
        <v>2079178.0669440001</v>
      </c>
      <c r="Q1470" s="2">
        <f>Table1[[#This Row],[Emission Factor (kg CO2/ mmBtu)]]*Table1[[#This Row],[Fuel Consumption (mmBtu)]]*10^3</f>
        <v>152674045455.69797</v>
      </c>
      <c r="R1470" s="2">
        <f>(Table1[[#This Row],[CO2 Emissions (g CO2)]])/(Table1[[#This Row],[Generation (TWh)]]*10^9)</f>
        <v>1183.1041600000003</v>
      </c>
    </row>
    <row r="1471" spans="1:18">
      <c r="A1471" t="s">
        <v>926</v>
      </c>
      <c r="B1471" t="s">
        <v>25</v>
      </c>
      <c r="C1471" t="str">
        <f>SUBSTITUTE(Table1[[#This Row],[Fuel]],", ",",")</f>
        <v>bioenergy: wood &amp; other biomass (solids)</v>
      </c>
      <c r="D1471" t="s">
        <v>25</v>
      </c>
      <c r="G1471">
        <v>36</v>
      </c>
      <c r="H1471" t="s">
        <v>138</v>
      </c>
      <c r="I1471" t="s">
        <v>21</v>
      </c>
      <c r="J1471" t="s">
        <v>21</v>
      </c>
      <c r="K1471">
        <v>-8.7283000000000008</v>
      </c>
      <c r="L1471">
        <v>35.2911</v>
      </c>
      <c r="M1471" t="s">
        <v>902</v>
      </c>
      <c r="N1471" s="2">
        <f>Table1[[#This Row],[Capacity (MW)]]*8760*0.72*10^-6</f>
        <v>0.22705919999999996</v>
      </c>
      <c r="O1471" s="2" cm="1">
        <f t="array" ref="O1471">AVERAGE(VLOOKUP(_xlfn.TEXTSPLIT(Table1[[#This Row],[Fuel (no space after comma)]], ","), FuelList_Final_EF!$A$2:$B$32, 2, FALSE))</f>
        <v>93.8</v>
      </c>
      <c r="P1471" s="2">
        <f>(16112*Table1[[#This Row],[Generation (TWh)]]*10^9)/10^6</f>
        <v>3658377.8303999994</v>
      </c>
      <c r="Q1471" s="2">
        <f>Table1[[#This Row],[Emission Factor (kg CO2/ mmBtu)]]*Table1[[#This Row],[Fuel Consumption (mmBtu)]]*10^3</f>
        <v>343155840491.5199</v>
      </c>
      <c r="R1471" s="2">
        <f>(Table1[[#This Row],[CO2 Emissions (g CO2)]])/(Table1[[#This Row],[Generation (TWh)]]*10^9)</f>
        <v>1511.3055999999997</v>
      </c>
    </row>
    <row r="1472" spans="1:18" hidden="1">
      <c r="A1472" t="s">
        <v>927</v>
      </c>
      <c r="B1472" t="s">
        <v>41</v>
      </c>
      <c r="C1472" t="str">
        <f>SUBSTITUTE(Table1[[#This Row],[Fuel]],", ",",")</f>
        <v>bioenergy: refuse (municipal and industrial wastes),bioenergy: wastewater and sewage sludge (solids or biogas)</v>
      </c>
      <c r="D1472" t="s">
        <v>19</v>
      </c>
      <c r="E1472" t="s">
        <v>42</v>
      </c>
      <c r="G1472">
        <v>50</v>
      </c>
      <c r="H1472" t="s">
        <v>27</v>
      </c>
      <c r="I1472">
        <v>1969</v>
      </c>
      <c r="J1472" t="s">
        <v>21</v>
      </c>
      <c r="K1472">
        <v>53.113700000000001</v>
      </c>
      <c r="L1472">
        <v>8.8167000000000009</v>
      </c>
      <c r="M1472" t="s">
        <v>154</v>
      </c>
      <c r="N1472" s="2">
        <f>Table1[[#This Row],[Capacity (MW)]]*8760*0.72*10^-6</f>
        <v>0.31535999999999997</v>
      </c>
      <c r="O1472" s="2" cm="1">
        <f t="array" ref="O1472">AVERAGE(VLOOKUP(_xlfn.TEXTSPLIT(Table1[[#This Row],[Fuel (no space after comma)]], ","), FuelList_Final_EF!$A$2:$B$32, 2, FALSE))</f>
        <v>81.497100685292565</v>
      </c>
      <c r="P1472" s="2">
        <f>(16112*Table1[[#This Row],[Generation (TWh)]]*10^9)/10^6</f>
        <v>5081080.32</v>
      </c>
      <c r="Q1472" s="2">
        <f>Table1[[#This Row],[Emission Factor (kg CO2/ mmBtu)]]*Table1[[#This Row],[Fuel Consumption (mmBtu)]]*10^3</f>
        <v>414093314429.09863</v>
      </c>
      <c r="R1472" s="2">
        <f>(Table1[[#This Row],[CO2 Emissions (g CO2)]])/(Table1[[#This Row],[Generation (TWh)]]*10^9)</f>
        <v>1313.0812862414341</v>
      </c>
    </row>
    <row r="1473" spans="1:18" hidden="1">
      <c r="A1473" t="s">
        <v>88</v>
      </c>
      <c r="B1473" t="s">
        <v>19</v>
      </c>
      <c r="C1473" t="str">
        <f>SUBSTITUTE(Table1[[#This Row],[Fuel]],", ",",")</f>
        <v>bioenergy: refuse (municipal and industrial wastes)</v>
      </c>
      <c r="D1473" t="s">
        <v>19</v>
      </c>
      <c r="G1473">
        <v>38</v>
      </c>
      <c r="H1473" t="s">
        <v>27</v>
      </c>
      <c r="I1473">
        <v>1987</v>
      </c>
      <c r="J1473" t="s">
        <v>21</v>
      </c>
      <c r="K1473">
        <v>51.515999999999998</v>
      </c>
      <c r="L1473">
        <v>6.9949000000000003</v>
      </c>
      <c r="M1473" t="s">
        <v>154</v>
      </c>
      <c r="N1473" s="2">
        <f>Table1[[#This Row],[Capacity (MW)]]*8760*0.72*10^-6</f>
        <v>0.23967359999999996</v>
      </c>
      <c r="O1473" s="2" cm="1">
        <f t="array" ref="O1473">AVERAGE(VLOOKUP(_xlfn.TEXTSPLIT(Table1[[#This Row],[Fuel (no space after comma)]], ","), FuelList_Final_EF!$A$2:$B$32, 2, FALSE))</f>
        <v>105.42962572482868</v>
      </c>
      <c r="P1473" s="2">
        <f>(16112*Table1[[#This Row],[Generation (TWh)]]*10^9)/10^6</f>
        <v>3861621.0431999997</v>
      </c>
      <c r="Q1473" s="2">
        <f>Table1[[#This Row],[Emission Factor (kg CO2/ mmBtu)]]*Table1[[#This Row],[Fuel Consumption (mmBtu)]]*10^3</f>
        <v>407129261275.69849</v>
      </c>
      <c r="R1473" s="2">
        <f>(Table1[[#This Row],[CO2 Emissions (g CO2)]])/(Table1[[#This Row],[Generation (TWh)]]*10^9)</f>
        <v>1698.6821296784399</v>
      </c>
    </row>
    <row r="1474" spans="1:18" hidden="1">
      <c r="A1474" t="s">
        <v>928</v>
      </c>
      <c r="B1474" t="s">
        <v>46</v>
      </c>
      <c r="C1474" t="str">
        <f>SUBSTITUTE(Table1[[#This Row],[Fuel]],", ",",")</f>
        <v>bioenergy: agricultural waste (solids)</v>
      </c>
      <c r="D1474" t="s">
        <v>46</v>
      </c>
      <c r="G1474">
        <v>34</v>
      </c>
      <c r="H1474" t="s">
        <v>27</v>
      </c>
      <c r="I1474">
        <v>1971</v>
      </c>
      <c r="J1474" t="s">
        <v>21</v>
      </c>
      <c r="K1474">
        <v>0.36430000000000001</v>
      </c>
      <c r="L1474">
        <v>34.505200000000002</v>
      </c>
      <c r="M1474" t="s">
        <v>337</v>
      </c>
      <c r="N1474" s="2">
        <f>Table1[[#This Row],[Capacity (MW)]]*8760*0.72*10^-6</f>
        <v>0.21444479999999999</v>
      </c>
      <c r="O1474" s="2" cm="1">
        <f t="array" ref="O1474">AVERAGE(VLOOKUP(_xlfn.TEXTSPLIT(Table1[[#This Row],[Fuel (no space after comma)]], ","), FuelList_Final_EF!$A$2:$B$32, 2, FALSE))</f>
        <v>118.17</v>
      </c>
      <c r="P1474" s="2">
        <f>(16112*Table1[[#This Row],[Generation (TWh)]]*10^9)/10^6</f>
        <v>3455134.6175999995</v>
      </c>
      <c r="Q1474" s="2">
        <f>Table1[[#This Row],[Emission Factor (kg CO2/ mmBtu)]]*Table1[[#This Row],[Fuel Consumption (mmBtu)]]*10^3</f>
        <v>408293257761.79193</v>
      </c>
      <c r="R1474" s="2">
        <f>(Table1[[#This Row],[CO2 Emissions (g CO2)]])/(Table1[[#This Row],[Generation (TWh)]]*10^9)</f>
        <v>1903.9550399999996</v>
      </c>
    </row>
    <row r="1475" spans="1:18" hidden="1">
      <c r="A1475" t="s">
        <v>929</v>
      </c>
      <c r="B1475" t="s">
        <v>25</v>
      </c>
      <c r="C1475" t="str">
        <f>SUBSTITUTE(Table1[[#This Row],[Fuel]],", ",",")</f>
        <v>bioenergy: wood &amp; other biomass (solids)</v>
      </c>
      <c r="D1475" t="s">
        <v>25</v>
      </c>
      <c r="G1475">
        <v>75</v>
      </c>
      <c r="H1475" t="s">
        <v>27</v>
      </c>
      <c r="I1475">
        <v>2020</v>
      </c>
      <c r="J1475" t="s">
        <v>21</v>
      </c>
      <c r="K1475">
        <v>42.357500000000002</v>
      </c>
      <c r="L1475">
        <v>140.98230000000001</v>
      </c>
      <c r="M1475" t="s">
        <v>51</v>
      </c>
      <c r="N1475" s="2">
        <f>Table1[[#This Row],[Capacity (MW)]]*8760*0.72*10^-6</f>
        <v>0.47303999999999996</v>
      </c>
      <c r="O1475" s="2" cm="1">
        <f t="array" ref="O1475">AVERAGE(VLOOKUP(_xlfn.TEXTSPLIT(Table1[[#This Row],[Fuel (no space after comma)]], ","), FuelList_Final_EF!$A$2:$B$32, 2, FALSE))</f>
        <v>93.8</v>
      </c>
      <c r="P1475" s="2">
        <f>(16112*Table1[[#This Row],[Generation (TWh)]]*10^9)/10^6</f>
        <v>7621620.4800000004</v>
      </c>
      <c r="Q1475" s="2">
        <f>Table1[[#This Row],[Emission Factor (kg CO2/ mmBtu)]]*Table1[[#This Row],[Fuel Consumption (mmBtu)]]*10^3</f>
        <v>714908001024</v>
      </c>
      <c r="R1475" s="2">
        <f>(Table1[[#This Row],[CO2 Emissions (g CO2)]])/(Table1[[#This Row],[Generation (TWh)]]*10^9)</f>
        <v>1511.3056000000001</v>
      </c>
    </row>
    <row r="1476" spans="1:18" hidden="1">
      <c r="A1476" t="s">
        <v>372</v>
      </c>
      <c r="B1476" t="s">
        <v>41</v>
      </c>
      <c r="C1476" t="str">
        <f>SUBSTITUTE(Table1[[#This Row],[Fuel]],", ",",")</f>
        <v>bioenergy: refuse (municipal and industrial wastes),bioenergy: wastewater and sewage sludge (solids or biogas)</v>
      </c>
      <c r="D1476" t="s">
        <v>19</v>
      </c>
      <c r="E1476" t="s">
        <v>42</v>
      </c>
      <c r="G1476">
        <v>40</v>
      </c>
      <c r="H1476" t="s">
        <v>27</v>
      </c>
      <c r="I1476">
        <v>1981</v>
      </c>
      <c r="J1476" t="s">
        <v>21</v>
      </c>
      <c r="K1476">
        <v>52.043199999999999</v>
      </c>
      <c r="L1476">
        <v>8.6065000000000005</v>
      </c>
      <c r="M1476" t="s">
        <v>154</v>
      </c>
      <c r="N1476" s="2">
        <f>Table1[[#This Row],[Capacity (MW)]]*8760*0.72*10^-6</f>
        <v>0.25228800000000001</v>
      </c>
      <c r="O1476" s="2" cm="1">
        <f t="array" ref="O1476">AVERAGE(VLOOKUP(_xlfn.TEXTSPLIT(Table1[[#This Row],[Fuel (no space after comma)]], ","), FuelList_Final_EF!$A$2:$B$32, 2, FALSE))</f>
        <v>81.497100685292565</v>
      </c>
      <c r="P1476" s="2">
        <f>(16112*Table1[[#This Row],[Generation (TWh)]]*10^9)/10^6</f>
        <v>4064864.2560000005</v>
      </c>
      <c r="Q1476" s="2">
        <f>Table1[[#This Row],[Emission Factor (kg CO2/ mmBtu)]]*Table1[[#This Row],[Fuel Consumption (mmBtu)]]*10^3</f>
        <v>331274651543.27887</v>
      </c>
      <c r="R1476" s="2">
        <f>(Table1[[#This Row],[CO2 Emissions (g CO2)]])/(Table1[[#This Row],[Generation (TWh)]]*10^9)</f>
        <v>1313.0812862414339</v>
      </c>
    </row>
    <row r="1477" spans="1:18" hidden="1">
      <c r="A1477" t="s">
        <v>361</v>
      </c>
      <c r="B1477" t="s">
        <v>42</v>
      </c>
      <c r="C1477" t="str">
        <f>SUBSTITUTE(Table1[[#This Row],[Fuel]],", ",",")</f>
        <v>bioenergy: wastewater and sewage sludge (solids or biogas)</v>
      </c>
      <c r="D1477" t="s">
        <v>42</v>
      </c>
      <c r="G1477">
        <v>45</v>
      </c>
      <c r="H1477" t="s">
        <v>27</v>
      </c>
      <c r="I1477">
        <v>2005</v>
      </c>
      <c r="J1477" t="s">
        <v>21</v>
      </c>
      <c r="K1477">
        <v>52.170200000000001</v>
      </c>
      <c r="L1477">
        <v>10.978300000000001</v>
      </c>
      <c r="M1477" t="s">
        <v>154</v>
      </c>
      <c r="N1477" s="2">
        <f>Table1[[#This Row],[Capacity (MW)]]*8760*0.72*10^-6</f>
        <v>0.28382399999999997</v>
      </c>
      <c r="O1477" s="2" cm="1">
        <f t="array" ref="O1477">AVERAGE(VLOOKUP(_xlfn.TEXTSPLIT(Table1[[#This Row],[Fuel (no space after comma)]], ","), FuelList_Final_EF!$A$2:$B$32, 2, FALSE))</f>
        <v>57.564575645756456</v>
      </c>
      <c r="P1477" s="2">
        <f>(16112*Table1[[#This Row],[Generation (TWh)]]*10^9)/10^6</f>
        <v>4572972.2879999988</v>
      </c>
      <c r="Q1477" s="2">
        <f>Table1[[#This Row],[Emission Factor (kg CO2/ mmBtu)]]*Table1[[#This Row],[Fuel Consumption (mmBtu)]]*10^3</f>
        <v>263241209198.5239</v>
      </c>
      <c r="R1477" s="2">
        <f>(Table1[[#This Row],[CO2 Emissions (g CO2)]])/(Table1[[#This Row],[Generation (TWh)]]*10^9)</f>
        <v>927.48044280442787</v>
      </c>
    </row>
    <row r="1478" spans="1:18" hidden="1">
      <c r="A1478" t="s">
        <v>361</v>
      </c>
      <c r="B1478" t="s">
        <v>19</v>
      </c>
      <c r="C1478" t="str">
        <f>SUBSTITUTE(Table1[[#This Row],[Fuel]],", ",",")</f>
        <v>bioenergy: refuse (municipal and industrial wastes)</v>
      </c>
      <c r="D1478" t="s">
        <v>19</v>
      </c>
      <c r="G1478">
        <v>64</v>
      </c>
      <c r="H1478" t="s">
        <v>27</v>
      </c>
      <c r="I1478">
        <v>2009</v>
      </c>
      <c r="J1478" t="s">
        <v>21</v>
      </c>
      <c r="K1478">
        <v>50.892400000000002</v>
      </c>
      <c r="L1478">
        <v>9.9992000000000001</v>
      </c>
      <c r="M1478" t="s">
        <v>154</v>
      </c>
      <c r="N1478" s="2">
        <f>Table1[[#This Row],[Capacity (MW)]]*8760*0.72*10^-6</f>
        <v>0.40366079999999999</v>
      </c>
      <c r="O1478" s="2" cm="1">
        <f t="array" ref="O1478">AVERAGE(VLOOKUP(_xlfn.TEXTSPLIT(Table1[[#This Row],[Fuel (no space after comma)]], ","), FuelList_Final_EF!$A$2:$B$32, 2, FALSE))</f>
        <v>105.42962572482868</v>
      </c>
      <c r="P1478" s="2">
        <f>(16112*Table1[[#This Row],[Generation (TWh)]]*10^9)/10^6</f>
        <v>6503782.8095999993</v>
      </c>
      <c r="Q1478" s="2">
        <f>Table1[[#This Row],[Emission Factor (kg CO2/ mmBtu)]]*Table1[[#This Row],[Fuel Consumption (mmBtu)]]*10^3</f>
        <v>685691387411.70264</v>
      </c>
      <c r="R1478" s="2">
        <f>(Table1[[#This Row],[CO2 Emissions (g CO2)]])/(Table1[[#This Row],[Generation (TWh)]]*10^9)</f>
        <v>1698.6821296784394</v>
      </c>
    </row>
    <row r="1479" spans="1:18" hidden="1">
      <c r="A1479" t="s">
        <v>21</v>
      </c>
      <c r="B1479" t="s">
        <v>930</v>
      </c>
      <c r="C1479" t="str">
        <f>SUBSTITUTE(Table1[[#This Row],[Fuel]],", ",",")</f>
        <v>bioenergy: wood &amp; other biomass (solids),coal: anthracite</v>
      </c>
      <c r="D1479" t="s">
        <v>25</v>
      </c>
      <c r="E1479" t="s">
        <v>899</v>
      </c>
      <c r="G1479">
        <v>142</v>
      </c>
      <c r="H1479" t="s">
        <v>27</v>
      </c>
      <c r="I1479">
        <v>2017</v>
      </c>
      <c r="J1479" t="s">
        <v>21</v>
      </c>
      <c r="K1479">
        <v>60.451000000000001</v>
      </c>
      <c r="L1479">
        <v>22.0517</v>
      </c>
      <c r="M1479" t="s">
        <v>28</v>
      </c>
      <c r="N1479" s="2">
        <f>Table1[[#This Row],[Capacity (MW)]]*8760*0.72*10^-6</f>
        <v>0.89562239999999993</v>
      </c>
      <c r="O1479" s="2" cm="1">
        <f t="array" ref="O1479">AVERAGE(VLOOKUP(_xlfn.TEXTSPLIT(Table1[[#This Row],[Fuel (no space after comma)]], ","), FuelList_Final_EF!$A$2:$B$32, 2, FALSE))</f>
        <v>98.718661043753286</v>
      </c>
      <c r="P1479" s="2">
        <f>(16112*Table1[[#This Row],[Generation (TWh)]]*10^9)/10^6</f>
        <v>14430268.1088</v>
      </c>
      <c r="Q1479" s="2">
        <f>Table1[[#This Row],[Emission Factor (kg CO2/ mmBtu)]]*Table1[[#This Row],[Fuel Consumption (mmBtu)]]*10^3</f>
        <v>1424536746203.1099</v>
      </c>
      <c r="R1479" s="2">
        <f>(Table1[[#This Row],[CO2 Emissions (g CO2)]])/(Table1[[#This Row],[Generation (TWh)]]*10^9)</f>
        <v>1590.555066736953</v>
      </c>
    </row>
    <row r="1480" spans="1:18" hidden="1">
      <c r="A1480" t="s">
        <v>931</v>
      </c>
      <c r="B1480" t="s">
        <v>25</v>
      </c>
      <c r="C1480" t="str">
        <f>SUBSTITUTE(Table1[[#This Row],[Fuel]],", ",",")</f>
        <v>bioenergy: wood &amp; other biomass (solids)</v>
      </c>
      <c r="D1480" t="s">
        <v>25</v>
      </c>
      <c r="G1480">
        <v>114</v>
      </c>
      <c r="H1480" t="s">
        <v>27</v>
      </c>
      <c r="I1480">
        <v>2012</v>
      </c>
      <c r="J1480" t="s">
        <v>21</v>
      </c>
      <c r="K1480">
        <v>31.832100000000001</v>
      </c>
      <c r="L1480">
        <v>-94.900599999999997</v>
      </c>
      <c r="M1480" t="s">
        <v>62</v>
      </c>
      <c r="N1480" s="2">
        <f>Table1[[#This Row],[Capacity (MW)]]*8760*0.72*10^-6</f>
        <v>0.7190207999999999</v>
      </c>
      <c r="O1480" s="2" cm="1">
        <f t="array" ref="O1480">AVERAGE(VLOOKUP(_xlfn.TEXTSPLIT(Table1[[#This Row],[Fuel (no space after comma)]], ","), FuelList_Final_EF!$A$2:$B$32, 2, FALSE))</f>
        <v>93.8</v>
      </c>
      <c r="P1480" s="2">
        <f>(16112*Table1[[#This Row],[Generation (TWh)]]*10^9)/10^6</f>
        <v>11584863.129599998</v>
      </c>
      <c r="Q1480" s="2">
        <f>Table1[[#This Row],[Emission Factor (kg CO2/ mmBtu)]]*Table1[[#This Row],[Fuel Consumption (mmBtu)]]*10^3</f>
        <v>1086660161556.4797</v>
      </c>
      <c r="R1480" s="2">
        <f>(Table1[[#This Row],[CO2 Emissions (g CO2)]])/(Table1[[#This Row],[Generation (TWh)]]*10^9)</f>
        <v>1511.3055999999999</v>
      </c>
    </row>
    <row r="1481" spans="1:18" hidden="1">
      <c r="A1481" t="s">
        <v>230</v>
      </c>
      <c r="B1481" t="s">
        <v>261</v>
      </c>
      <c r="C1481" t="str">
        <f>SUBSTITUTE(Table1[[#This Row],[Fuel]],", ",",")</f>
        <v>bioenergy: wood &amp; other biomass (solids),bioenergy: paper mill wastes,fossil gas: natural gas</v>
      </c>
      <c r="D1481" t="s">
        <v>25</v>
      </c>
      <c r="E1481" t="s">
        <v>61</v>
      </c>
      <c r="F1481" t="s">
        <v>69</v>
      </c>
      <c r="G1481">
        <v>40</v>
      </c>
      <c r="H1481" t="s">
        <v>27</v>
      </c>
      <c r="I1481">
        <v>2019</v>
      </c>
      <c r="J1481" t="s">
        <v>21</v>
      </c>
      <c r="K1481">
        <v>32.226799999999997</v>
      </c>
      <c r="L1481">
        <v>-88.025199999999998</v>
      </c>
      <c r="M1481" t="s">
        <v>62</v>
      </c>
      <c r="N1481" s="2">
        <f>Table1[[#This Row],[Capacity (MW)]]*8760*0.72*10^-6</f>
        <v>0.25228800000000001</v>
      </c>
      <c r="O1481" s="2" cm="1">
        <f t="array" ref="O1481">AVERAGE(VLOOKUP(_xlfn.TEXTSPLIT(Table1[[#This Row],[Fuel (no space after comma)]], ","), FuelList_Final_EF!$A$2:$B$32, 2, FALSE))</f>
        <v>82.444811105253905</v>
      </c>
      <c r="P1481" s="2">
        <f>(16112*Table1[[#This Row],[Generation (TWh)]]*10^9)/10^6</f>
        <v>4064864.2560000005</v>
      </c>
      <c r="Q1481" s="2">
        <f>Table1[[#This Row],[Emission Factor (kg CO2/ mmBtu)]]*Table1[[#This Row],[Fuel Consumption (mmBtu)]]*10^3</f>
        <v>335126965754.41852</v>
      </c>
      <c r="R1481" s="2">
        <f>(Table1[[#This Row],[CO2 Emissions (g CO2)]])/(Table1[[#This Row],[Generation (TWh)]]*10^9)</f>
        <v>1328.3507965278511</v>
      </c>
    </row>
    <row r="1482" spans="1:18" hidden="1">
      <c r="A1482" t="s">
        <v>230</v>
      </c>
      <c r="B1482" t="s">
        <v>728</v>
      </c>
      <c r="C1482" t="str">
        <f>SUBSTITUTE(Table1[[#This Row],[Fuel]],", ",",")</f>
        <v>bioenergy: paper mill wastes,fossil gas: natural gas,fossil liquids: unknown</v>
      </c>
      <c r="D1482" t="s">
        <v>61</v>
      </c>
      <c r="E1482" t="s">
        <v>69</v>
      </c>
      <c r="F1482" t="s">
        <v>217</v>
      </c>
      <c r="G1482">
        <v>47</v>
      </c>
      <c r="H1482" t="s">
        <v>27</v>
      </c>
      <c r="I1482">
        <v>1993</v>
      </c>
      <c r="J1482" t="s">
        <v>21</v>
      </c>
      <c r="K1482">
        <v>32.226799999999997</v>
      </c>
      <c r="L1482">
        <v>-88.025199999999998</v>
      </c>
      <c r="M1482" t="s">
        <v>62</v>
      </c>
      <c r="N1482" s="2">
        <f>Table1[[#This Row],[Capacity (MW)]]*8760*0.72*10^-6</f>
        <v>0.29643839999999994</v>
      </c>
      <c r="O1482" s="2" cm="1">
        <f t="array" ref="O1482">AVERAGE(VLOOKUP(_xlfn.TEXTSPLIT(Table1[[#This Row],[Fuel (no space after comma)]], ","), FuelList_Final_EF!$A$2:$B$32, 2, FALSE))</f>
        <v>79.46140512734469</v>
      </c>
      <c r="P1482" s="2">
        <f>(16112*Table1[[#This Row],[Generation (TWh)]]*10^9)/10^6</f>
        <v>4776215.5007999986</v>
      </c>
      <c r="Q1482" s="2">
        <f>Table1[[#This Row],[Emission Factor (kg CO2/ mmBtu)]]*Table1[[#This Row],[Fuel Consumption (mmBtu)]]*10^3</f>
        <v>379524794884.5722</v>
      </c>
      <c r="R1482" s="2">
        <f>(Table1[[#This Row],[CO2 Emissions (g CO2)]])/(Table1[[#This Row],[Generation (TWh)]]*10^9)</f>
        <v>1280.2821594117775</v>
      </c>
    </row>
    <row r="1483" spans="1:18" hidden="1">
      <c r="A1483" t="s">
        <v>932</v>
      </c>
      <c r="B1483" t="s">
        <v>25</v>
      </c>
      <c r="C1483" t="str">
        <f>SUBSTITUTE(Table1[[#This Row],[Fuel]],", ",",")</f>
        <v>bioenergy: wood &amp; other biomass (solids)</v>
      </c>
      <c r="D1483" t="s">
        <v>25</v>
      </c>
      <c r="G1483">
        <v>49</v>
      </c>
      <c r="H1483" t="s">
        <v>27</v>
      </c>
      <c r="I1483">
        <v>2021</v>
      </c>
      <c r="J1483" t="s">
        <v>21</v>
      </c>
      <c r="K1483">
        <v>26.329599999999999</v>
      </c>
      <c r="L1483">
        <v>127.8672</v>
      </c>
      <c r="M1483" t="s">
        <v>51</v>
      </c>
      <c r="N1483" s="2">
        <f>Table1[[#This Row],[Capacity (MW)]]*8760*0.72*10^-6</f>
        <v>0.30905279999999996</v>
      </c>
      <c r="O1483" s="2" cm="1">
        <f t="array" ref="O1483">AVERAGE(VLOOKUP(_xlfn.TEXTSPLIT(Table1[[#This Row],[Fuel (no space after comma)]], ","), FuelList_Final_EF!$A$2:$B$32, 2, FALSE))</f>
        <v>93.8</v>
      </c>
      <c r="P1483" s="2">
        <f>(16112*Table1[[#This Row],[Generation (TWh)]]*10^9)/10^6</f>
        <v>4979458.7135999994</v>
      </c>
      <c r="Q1483" s="2">
        <f>Table1[[#This Row],[Emission Factor (kg CO2/ mmBtu)]]*Table1[[#This Row],[Fuel Consumption (mmBtu)]]*10^3</f>
        <v>467073227335.67993</v>
      </c>
      <c r="R1483" s="2">
        <f>(Table1[[#This Row],[CO2 Emissions (g CO2)]])/(Table1[[#This Row],[Generation (TWh)]]*10^9)</f>
        <v>1511.3056000000001</v>
      </c>
    </row>
    <row r="1484" spans="1:18" hidden="1">
      <c r="A1484" t="s">
        <v>933</v>
      </c>
      <c r="B1484" t="s">
        <v>46</v>
      </c>
      <c r="C1484" t="str">
        <f>SUBSTITUTE(Table1[[#This Row],[Fuel]],", ",",")</f>
        <v>bioenergy: agricultural waste (solids)</v>
      </c>
      <c r="D1484" t="s">
        <v>46</v>
      </c>
      <c r="G1484">
        <v>40</v>
      </c>
      <c r="H1484" t="s">
        <v>27</v>
      </c>
      <c r="I1484">
        <v>2010</v>
      </c>
      <c r="J1484" t="s">
        <v>21</v>
      </c>
      <c r="K1484">
        <v>-15.8315</v>
      </c>
      <c r="L1484">
        <v>27.7804</v>
      </c>
      <c r="M1484" t="s">
        <v>934</v>
      </c>
      <c r="N1484" s="2">
        <f>Table1[[#This Row],[Capacity (MW)]]*8760*0.72*10^-6</f>
        <v>0.25228800000000001</v>
      </c>
      <c r="O1484" s="2" cm="1">
        <f t="array" ref="O1484">AVERAGE(VLOOKUP(_xlfn.TEXTSPLIT(Table1[[#This Row],[Fuel (no space after comma)]], ","), FuelList_Final_EF!$A$2:$B$32, 2, FALSE))</f>
        <v>118.17</v>
      </c>
      <c r="P1484" s="2">
        <f>(16112*Table1[[#This Row],[Generation (TWh)]]*10^9)/10^6</f>
        <v>4064864.2560000005</v>
      </c>
      <c r="Q1484" s="2">
        <f>Table1[[#This Row],[Emission Factor (kg CO2/ mmBtu)]]*Table1[[#This Row],[Fuel Consumption (mmBtu)]]*10^3</f>
        <v>480345009131.52008</v>
      </c>
      <c r="R1484" s="2">
        <f>(Table1[[#This Row],[CO2 Emissions (g CO2)]])/(Table1[[#This Row],[Generation (TWh)]]*10^9)</f>
        <v>1903.9550400000003</v>
      </c>
    </row>
    <row r="1485" spans="1:18" hidden="1">
      <c r="A1485" t="s">
        <v>935</v>
      </c>
      <c r="B1485" t="s">
        <v>25</v>
      </c>
      <c r="C1485" t="str">
        <f>SUBSTITUTE(Table1[[#This Row],[Fuel]],", ",",")</f>
        <v>bioenergy: wood &amp; other biomass (solids)</v>
      </c>
      <c r="D1485" t="s">
        <v>25</v>
      </c>
      <c r="G1485">
        <v>49</v>
      </c>
      <c r="H1485" t="s">
        <v>27</v>
      </c>
      <c r="I1485">
        <v>2019</v>
      </c>
      <c r="J1485" t="s">
        <v>21</v>
      </c>
      <c r="K1485">
        <v>31.471</v>
      </c>
      <c r="L1485">
        <v>130.51840000000001</v>
      </c>
      <c r="M1485" t="s">
        <v>51</v>
      </c>
      <c r="N1485" s="2">
        <f>Table1[[#This Row],[Capacity (MW)]]*8760*0.72*10^-6</f>
        <v>0.30905279999999996</v>
      </c>
      <c r="O1485" s="2" cm="1">
        <f t="array" ref="O1485">AVERAGE(VLOOKUP(_xlfn.TEXTSPLIT(Table1[[#This Row],[Fuel (no space after comma)]], ","), FuelList_Final_EF!$A$2:$B$32, 2, FALSE))</f>
        <v>93.8</v>
      </c>
      <c r="P1485" s="2">
        <f>(16112*Table1[[#This Row],[Generation (TWh)]]*10^9)/10^6</f>
        <v>4979458.7135999994</v>
      </c>
      <c r="Q1485" s="2">
        <f>Table1[[#This Row],[Emission Factor (kg CO2/ mmBtu)]]*Table1[[#This Row],[Fuel Consumption (mmBtu)]]*10^3</f>
        <v>467073227335.67993</v>
      </c>
      <c r="R1485" s="2">
        <f>(Table1[[#This Row],[CO2 Emissions (g CO2)]])/(Table1[[#This Row],[Generation (TWh)]]*10^9)</f>
        <v>1511.3056000000001</v>
      </c>
    </row>
    <row r="1486" spans="1:18">
      <c r="A1486" t="s">
        <v>21</v>
      </c>
      <c r="B1486" t="s">
        <v>61</v>
      </c>
      <c r="C1486" t="str">
        <f>SUBSTITUTE(Table1[[#This Row],[Fuel]],", ",",")</f>
        <v>bioenergy: paper mill wastes</v>
      </c>
      <c r="D1486" t="s">
        <v>61</v>
      </c>
      <c r="G1486">
        <v>50</v>
      </c>
      <c r="H1486" t="s">
        <v>53</v>
      </c>
      <c r="I1486" t="s">
        <v>21</v>
      </c>
      <c r="J1486" t="s">
        <v>21</v>
      </c>
      <c r="K1486">
        <v>22.842790000000001</v>
      </c>
      <c r="L1486">
        <v>108.91005</v>
      </c>
      <c r="M1486" t="s">
        <v>102</v>
      </c>
      <c r="N1486" s="2">
        <f>Table1[[#This Row],[Capacity (MW)]]*8760*0.72*10^-6</f>
        <v>0.31535999999999997</v>
      </c>
      <c r="O1486" s="2" cm="1">
        <f t="array" ref="O1486">AVERAGE(VLOOKUP(_xlfn.TEXTSPLIT(Table1[[#This Row],[Fuel (no space after comma)]], ","), FuelList_Final_EF!$A$2:$B$32, 2, FALSE))</f>
        <v>100.47443331576173</v>
      </c>
      <c r="P1486" s="2">
        <f>(16112*Table1[[#This Row],[Generation (TWh)]]*10^9)/10^6</f>
        <v>5081080.32</v>
      </c>
      <c r="Q1486" s="2">
        <f>Table1[[#This Row],[Emission Factor (kg CO2/ mmBtu)]]*Table1[[#This Row],[Fuel Consumption (mmBtu)]]*10^3</f>
        <v>510518665783.86932</v>
      </c>
      <c r="R1486" s="2">
        <f>(Table1[[#This Row],[CO2 Emissions (g CO2)]])/(Table1[[#This Row],[Generation (TWh)]]*10^9)</f>
        <v>1618.8440695835532</v>
      </c>
    </row>
    <row r="1487" spans="1:18">
      <c r="A1487" t="s">
        <v>21</v>
      </c>
      <c r="B1487" t="s">
        <v>61</v>
      </c>
      <c r="C1487" t="str">
        <f>SUBSTITUTE(Table1[[#This Row],[Fuel]],", ",",")</f>
        <v>bioenergy: paper mill wastes</v>
      </c>
      <c r="D1487" t="s">
        <v>61</v>
      </c>
      <c r="G1487">
        <v>50</v>
      </c>
      <c r="H1487" t="s">
        <v>53</v>
      </c>
      <c r="I1487" t="s">
        <v>21</v>
      </c>
      <c r="J1487" t="s">
        <v>21</v>
      </c>
      <c r="K1487">
        <v>22.842790000000001</v>
      </c>
      <c r="L1487">
        <v>108.91005</v>
      </c>
      <c r="M1487" t="s">
        <v>102</v>
      </c>
      <c r="N1487" s="2">
        <f>Table1[[#This Row],[Capacity (MW)]]*8760*0.72*10^-6</f>
        <v>0.31535999999999997</v>
      </c>
      <c r="O1487" s="2" cm="1">
        <f t="array" ref="O1487">AVERAGE(VLOOKUP(_xlfn.TEXTSPLIT(Table1[[#This Row],[Fuel (no space after comma)]], ","), FuelList_Final_EF!$A$2:$B$32, 2, FALSE))</f>
        <v>100.47443331576173</v>
      </c>
      <c r="P1487" s="2">
        <f>(16112*Table1[[#This Row],[Generation (TWh)]]*10^9)/10^6</f>
        <v>5081080.32</v>
      </c>
      <c r="Q1487" s="2">
        <f>Table1[[#This Row],[Emission Factor (kg CO2/ mmBtu)]]*Table1[[#This Row],[Fuel Consumption (mmBtu)]]*10^3</f>
        <v>510518665783.86932</v>
      </c>
      <c r="R1487" s="2">
        <f>(Table1[[#This Row],[CO2 Emissions (g CO2)]])/(Table1[[#This Row],[Generation (TWh)]]*10^9)</f>
        <v>1618.8440695835532</v>
      </c>
    </row>
    <row r="1488" spans="1:18">
      <c r="A1488" t="s">
        <v>21</v>
      </c>
      <c r="B1488" t="s">
        <v>466</v>
      </c>
      <c r="C1488" t="str">
        <f>SUBSTITUTE(Table1[[#This Row],[Fuel]],", ",",")</f>
        <v>bioenergy: paper mill wastes,bioenergy: wastewater and sewage sludge (solids or biogas)</v>
      </c>
      <c r="D1488" t="s">
        <v>61</v>
      </c>
      <c r="E1488" t="s">
        <v>42</v>
      </c>
      <c r="G1488">
        <v>80</v>
      </c>
      <c r="H1488" t="s">
        <v>53</v>
      </c>
      <c r="I1488" t="s">
        <v>21</v>
      </c>
      <c r="J1488" t="s">
        <v>21</v>
      </c>
      <c r="K1488">
        <v>22.842790000000001</v>
      </c>
      <c r="L1488">
        <v>108.91005</v>
      </c>
      <c r="M1488" t="s">
        <v>102</v>
      </c>
      <c r="N1488" s="2">
        <f>Table1[[#This Row],[Capacity (MW)]]*8760*0.72*10^-6</f>
        <v>0.50457600000000002</v>
      </c>
      <c r="O1488" s="2" cm="1">
        <f t="array" ref="O1488">AVERAGE(VLOOKUP(_xlfn.TEXTSPLIT(Table1[[#This Row],[Fuel (no space after comma)]], ","), FuelList_Final_EF!$A$2:$B$32, 2, FALSE))</f>
        <v>79.019504480759096</v>
      </c>
      <c r="P1488" s="2">
        <f>(16112*Table1[[#This Row],[Generation (TWh)]]*10^9)/10^6</f>
        <v>8129728.512000001</v>
      </c>
      <c r="Q1488" s="2">
        <f>Table1[[#This Row],[Emission Factor (kg CO2/ mmBtu)]]*Table1[[#This Row],[Fuel Consumption (mmBtu)]]*10^3</f>
        <v>642407118581.33899</v>
      </c>
      <c r="R1488" s="2">
        <f>(Table1[[#This Row],[CO2 Emissions (g CO2)]])/(Table1[[#This Row],[Generation (TWh)]]*10^9)</f>
        <v>1273.1622561939905</v>
      </c>
    </row>
    <row r="1489" spans="1:18" hidden="1">
      <c r="A1489" t="s">
        <v>936</v>
      </c>
      <c r="B1489" t="s">
        <v>46</v>
      </c>
      <c r="C1489" t="str">
        <f>SUBSTITUTE(Table1[[#This Row],[Fuel]],", ",",")</f>
        <v>bioenergy: agricultural waste (solids)</v>
      </c>
      <c r="D1489" t="s">
        <v>46</v>
      </c>
      <c r="G1489">
        <v>54</v>
      </c>
      <c r="H1489" t="s">
        <v>27</v>
      </c>
      <c r="I1489">
        <v>1994</v>
      </c>
      <c r="J1489" t="s">
        <v>21</v>
      </c>
      <c r="K1489">
        <v>-21.1815</v>
      </c>
      <c r="L1489">
        <v>-48.6447</v>
      </c>
      <c r="M1489" t="s">
        <v>49</v>
      </c>
      <c r="N1489" s="2">
        <f>Table1[[#This Row],[Capacity (MW)]]*8760*0.72*10^-6</f>
        <v>0.34058879999999997</v>
      </c>
      <c r="O1489" s="2" cm="1">
        <f t="array" ref="O1489">AVERAGE(VLOOKUP(_xlfn.TEXTSPLIT(Table1[[#This Row],[Fuel (no space after comma)]], ","), FuelList_Final_EF!$A$2:$B$32, 2, FALSE))</f>
        <v>118.17</v>
      </c>
      <c r="P1489" s="2">
        <f>(16112*Table1[[#This Row],[Generation (TWh)]]*10^9)/10^6</f>
        <v>5487566.7455999991</v>
      </c>
      <c r="Q1489" s="2">
        <f>Table1[[#This Row],[Emission Factor (kg CO2/ mmBtu)]]*Table1[[#This Row],[Fuel Consumption (mmBtu)]]*10^3</f>
        <v>648465762327.552</v>
      </c>
      <c r="R1489" s="2">
        <f>(Table1[[#This Row],[CO2 Emissions (g CO2)]])/(Table1[[#This Row],[Generation (TWh)]]*10^9)</f>
        <v>1903.9550400000003</v>
      </c>
    </row>
    <row r="1490" spans="1:18">
      <c r="A1490" t="s">
        <v>937</v>
      </c>
      <c r="B1490" t="s">
        <v>25</v>
      </c>
      <c r="C1490" t="str">
        <f>SUBSTITUTE(Table1[[#This Row],[Fuel]],", ",",")</f>
        <v>bioenergy: wood &amp; other biomass (solids)</v>
      </c>
      <c r="D1490" t="s">
        <v>25</v>
      </c>
      <c r="G1490">
        <v>37</v>
      </c>
      <c r="H1490" t="s">
        <v>27</v>
      </c>
      <c r="I1490" t="s">
        <v>21</v>
      </c>
      <c r="J1490" t="s">
        <v>21</v>
      </c>
      <c r="K1490">
        <v>13.906499999999999</v>
      </c>
      <c r="L1490">
        <v>101.5453</v>
      </c>
      <c r="M1490" t="s">
        <v>819</v>
      </c>
      <c r="N1490" s="2">
        <f>Table1[[#This Row],[Capacity (MW)]]*8760*0.72*10^-6</f>
        <v>0.23336639999999997</v>
      </c>
      <c r="O1490" s="2" cm="1">
        <f t="array" ref="O1490">AVERAGE(VLOOKUP(_xlfn.TEXTSPLIT(Table1[[#This Row],[Fuel (no space after comma)]], ","), FuelList_Final_EF!$A$2:$B$32, 2, FALSE))</f>
        <v>93.8</v>
      </c>
      <c r="P1490" s="2">
        <f>(16112*Table1[[#This Row],[Generation (TWh)]]*10^9)/10^6</f>
        <v>3759999.4367999998</v>
      </c>
      <c r="Q1490" s="2">
        <f>Table1[[#This Row],[Emission Factor (kg CO2/ mmBtu)]]*Table1[[#This Row],[Fuel Consumption (mmBtu)]]*10^3</f>
        <v>352687947171.83997</v>
      </c>
      <c r="R1490" s="2">
        <f>(Table1[[#This Row],[CO2 Emissions (g CO2)]])/(Table1[[#This Row],[Generation (TWh)]]*10^9)</f>
        <v>1511.3056000000001</v>
      </c>
    </row>
    <row r="1491" spans="1:18">
      <c r="A1491" t="s">
        <v>937</v>
      </c>
      <c r="B1491" t="s">
        <v>25</v>
      </c>
      <c r="C1491" t="str">
        <f>SUBSTITUTE(Table1[[#This Row],[Fuel]],", ",",")</f>
        <v>bioenergy: wood &amp; other biomass (solids)</v>
      </c>
      <c r="D1491" t="s">
        <v>25</v>
      </c>
      <c r="G1491">
        <v>37</v>
      </c>
      <c r="H1491" t="s">
        <v>27</v>
      </c>
      <c r="I1491" t="s">
        <v>21</v>
      </c>
      <c r="J1491" t="s">
        <v>21</v>
      </c>
      <c r="K1491">
        <v>13.906499999999999</v>
      </c>
      <c r="L1491">
        <v>101.5453</v>
      </c>
      <c r="M1491" t="s">
        <v>819</v>
      </c>
      <c r="N1491" s="2">
        <f>Table1[[#This Row],[Capacity (MW)]]*8760*0.72*10^-6</f>
        <v>0.23336639999999997</v>
      </c>
      <c r="O1491" s="2" cm="1">
        <f t="array" ref="O1491">AVERAGE(VLOOKUP(_xlfn.TEXTSPLIT(Table1[[#This Row],[Fuel (no space after comma)]], ","), FuelList_Final_EF!$A$2:$B$32, 2, FALSE))</f>
        <v>93.8</v>
      </c>
      <c r="P1491" s="2">
        <f>(16112*Table1[[#This Row],[Generation (TWh)]]*10^9)/10^6</f>
        <v>3759999.4367999998</v>
      </c>
      <c r="Q1491" s="2">
        <f>Table1[[#This Row],[Emission Factor (kg CO2/ mmBtu)]]*Table1[[#This Row],[Fuel Consumption (mmBtu)]]*10^3</f>
        <v>352687947171.83997</v>
      </c>
      <c r="R1491" s="2">
        <f>(Table1[[#This Row],[CO2 Emissions (g CO2)]])/(Table1[[#This Row],[Generation (TWh)]]*10^9)</f>
        <v>1511.3056000000001</v>
      </c>
    </row>
    <row r="1492" spans="1:18" hidden="1">
      <c r="A1492" t="s">
        <v>937</v>
      </c>
      <c r="B1492" t="s">
        <v>105</v>
      </c>
      <c r="C1492" t="str">
        <f>SUBSTITUTE(Table1[[#This Row],[Fuel]],", ",",")</f>
        <v>bioenergy: agricultural waste (solids),bioenergy: wood &amp; other biomass (solids)</v>
      </c>
      <c r="D1492" t="s">
        <v>46</v>
      </c>
      <c r="E1492" t="s">
        <v>25</v>
      </c>
      <c r="G1492">
        <v>98</v>
      </c>
      <c r="H1492" t="s">
        <v>27</v>
      </c>
      <c r="I1492">
        <v>2015</v>
      </c>
      <c r="J1492" t="s">
        <v>21</v>
      </c>
      <c r="K1492">
        <v>13.9742</v>
      </c>
      <c r="L1492">
        <v>101.628</v>
      </c>
      <c r="M1492" t="s">
        <v>819</v>
      </c>
      <c r="N1492" s="2">
        <f>Table1[[#This Row],[Capacity (MW)]]*8760*0.72*10^-6</f>
        <v>0.61810559999999992</v>
      </c>
      <c r="O1492" s="2" cm="1">
        <f t="array" ref="O1492">AVERAGE(VLOOKUP(_xlfn.TEXTSPLIT(Table1[[#This Row],[Fuel (no space after comma)]], ","), FuelList_Final_EF!$A$2:$B$32, 2, FALSE))</f>
        <v>105.985</v>
      </c>
      <c r="P1492" s="2">
        <f>(16112*Table1[[#This Row],[Generation (TWh)]]*10^9)/10^6</f>
        <v>9958917.4271999989</v>
      </c>
      <c r="Q1492" s="2">
        <f>Table1[[#This Row],[Emission Factor (kg CO2/ mmBtu)]]*Table1[[#This Row],[Fuel Consumption (mmBtu)]]*10^3</f>
        <v>1055495863521.7919</v>
      </c>
      <c r="R1492" s="2">
        <f>(Table1[[#This Row],[CO2 Emissions (g CO2)]])/(Table1[[#This Row],[Generation (TWh)]]*10^9)</f>
        <v>1707.6303200000002</v>
      </c>
    </row>
    <row r="1493" spans="1:18">
      <c r="A1493" t="s">
        <v>937</v>
      </c>
      <c r="B1493" t="s">
        <v>61</v>
      </c>
      <c r="C1493" t="str">
        <f>SUBSTITUTE(Table1[[#This Row],[Fuel]],", ",",")</f>
        <v>bioenergy: paper mill wastes</v>
      </c>
      <c r="D1493" t="s">
        <v>61</v>
      </c>
      <c r="G1493">
        <v>37</v>
      </c>
      <c r="H1493" t="s">
        <v>27</v>
      </c>
      <c r="I1493" t="s">
        <v>21</v>
      </c>
      <c r="J1493" t="s">
        <v>21</v>
      </c>
      <c r="K1493">
        <v>13.906499999999999</v>
      </c>
      <c r="L1493">
        <v>101.5453</v>
      </c>
      <c r="M1493" t="s">
        <v>819</v>
      </c>
      <c r="N1493" s="2">
        <f>Table1[[#This Row],[Capacity (MW)]]*8760*0.72*10^-6</f>
        <v>0.23336639999999997</v>
      </c>
      <c r="O1493" s="2" cm="1">
        <f t="array" ref="O1493">AVERAGE(VLOOKUP(_xlfn.TEXTSPLIT(Table1[[#This Row],[Fuel (no space after comma)]], ","), FuelList_Final_EF!$A$2:$B$32, 2, FALSE))</f>
        <v>100.47443331576173</v>
      </c>
      <c r="P1493" s="2">
        <f>(16112*Table1[[#This Row],[Generation (TWh)]]*10^9)/10^6</f>
        <v>3759999.4367999998</v>
      </c>
      <c r="Q1493" s="2">
        <f>Table1[[#This Row],[Emission Factor (kg CO2/ mmBtu)]]*Table1[[#This Row],[Fuel Consumption (mmBtu)]]*10^3</f>
        <v>377783812680.06323</v>
      </c>
      <c r="R1493" s="2">
        <f>(Table1[[#This Row],[CO2 Emissions (g CO2)]])/(Table1[[#This Row],[Generation (TWh)]]*10^9)</f>
        <v>1618.8440695835532</v>
      </c>
    </row>
    <row r="1494" spans="1:18">
      <c r="A1494" t="s">
        <v>937</v>
      </c>
      <c r="B1494" t="s">
        <v>25</v>
      </c>
      <c r="C1494" t="str">
        <f>SUBSTITUTE(Table1[[#This Row],[Fuel]],", ",",")</f>
        <v>bioenergy: wood &amp; other biomass (solids)</v>
      </c>
      <c r="D1494" t="s">
        <v>25</v>
      </c>
      <c r="G1494">
        <v>135</v>
      </c>
      <c r="H1494" t="s">
        <v>27</v>
      </c>
      <c r="I1494" t="s">
        <v>21</v>
      </c>
      <c r="J1494" t="s">
        <v>21</v>
      </c>
      <c r="K1494">
        <v>13.9742</v>
      </c>
      <c r="L1494">
        <v>101.628</v>
      </c>
      <c r="M1494" t="s">
        <v>819</v>
      </c>
      <c r="N1494" s="2">
        <f>Table1[[#This Row],[Capacity (MW)]]*8760*0.72*10^-6</f>
        <v>0.85147200000000001</v>
      </c>
      <c r="O1494" s="2" cm="1">
        <f t="array" ref="O1494">AVERAGE(VLOOKUP(_xlfn.TEXTSPLIT(Table1[[#This Row],[Fuel (no space after comma)]], ","), FuelList_Final_EF!$A$2:$B$32, 2, FALSE))</f>
        <v>93.8</v>
      </c>
      <c r="P1494" s="2">
        <f>(16112*Table1[[#This Row],[Generation (TWh)]]*10^9)/10^6</f>
        <v>13718916.864</v>
      </c>
      <c r="Q1494" s="2">
        <f>Table1[[#This Row],[Emission Factor (kg CO2/ mmBtu)]]*Table1[[#This Row],[Fuel Consumption (mmBtu)]]*10^3</f>
        <v>1286834401843.2</v>
      </c>
      <c r="R1494" s="2">
        <f>(Table1[[#This Row],[CO2 Emissions (g CO2)]])/(Table1[[#This Row],[Generation (TWh)]]*10^9)</f>
        <v>1511.3055999999999</v>
      </c>
    </row>
    <row r="1495" spans="1:18" hidden="1">
      <c r="A1495" t="s">
        <v>21</v>
      </c>
      <c r="B1495" t="s">
        <v>36</v>
      </c>
      <c r="C1495" t="str">
        <f>SUBSTITUTE(Table1[[#This Row],[Fuel]],", ",",")</f>
        <v>bioenergy: biodiesel</v>
      </c>
      <c r="D1495" t="s">
        <v>36</v>
      </c>
      <c r="G1495">
        <v>41</v>
      </c>
      <c r="H1495" t="s">
        <v>27</v>
      </c>
      <c r="I1495">
        <v>2020</v>
      </c>
      <c r="J1495" t="s">
        <v>21</v>
      </c>
      <c r="K1495">
        <v>37.982399999999998</v>
      </c>
      <c r="L1495">
        <v>140.797</v>
      </c>
      <c r="M1495" t="s">
        <v>51</v>
      </c>
      <c r="N1495" s="2">
        <f>Table1[[#This Row],[Capacity (MW)]]*8760*0.72*10^-6</f>
        <v>0.25859519999999997</v>
      </c>
      <c r="O1495" s="2" cm="1">
        <f t="array" ref="O1495">AVERAGE(VLOOKUP(_xlfn.TEXTSPLIT(Table1[[#This Row],[Fuel (no space after comma)]], ","), FuelList_Final_EF!$A$2:$B$32, 2, FALSE))</f>
        <v>73.84</v>
      </c>
      <c r="P1495" s="2">
        <f>(16112*Table1[[#This Row],[Generation (TWh)]]*10^9)/10^6</f>
        <v>4166485.8624</v>
      </c>
      <c r="Q1495" s="2">
        <f>Table1[[#This Row],[Emission Factor (kg CO2/ mmBtu)]]*Table1[[#This Row],[Fuel Consumption (mmBtu)]]*10^3</f>
        <v>307653316079.61603</v>
      </c>
      <c r="R1495" s="2">
        <f>(Table1[[#This Row],[CO2 Emissions (g CO2)]])/(Table1[[#This Row],[Generation (TWh)]]*10^9)</f>
        <v>1189.7100800000003</v>
      </c>
    </row>
    <row r="1496" spans="1:18" hidden="1">
      <c r="A1496" t="s">
        <v>225</v>
      </c>
      <c r="B1496" t="s">
        <v>728</v>
      </c>
      <c r="C1496" t="str">
        <f>SUBSTITUTE(Table1[[#This Row],[Fuel]],", ",",")</f>
        <v>bioenergy: paper mill wastes,fossil gas: natural gas,fossil liquids: unknown</v>
      </c>
      <c r="D1496" t="s">
        <v>61</v>
      </c>
      <c r="E1496" t="s">
        <v>69</v>
      </c>
      <c r="F1496" t="s">
        <v>217</v>
      </c>
      <c r="G1496">
        <v>38</v>
      </c>
      <c r="H1496" t="s">
        <v>27</v>
      </c>
      <c r="I1496">
        <v>2014</v>
      </c>
      <c r="J1496" t="s">
        <v>21</v>
      </c>
      <c r="K1496">
        <v>35.212000000000003</v>
      </c>
      <c r="L1496">
        <v>-77.114400000000003</v>
      </c>
      <c r="M1496" t="s">
        <v>62</v>
      </c>
      <c r="N1496" s="2">
        <f>Table1[[#This Row],[Capacity (MW)]]*8760*0.72*10^-6</f>
        <v>0.23967359999999996</v>
      </c>
      <c r="O1496" s="2" cm="1">
        <f t="array" ref="O1496">AVERAGE(VLOOKUP(_xlfn.TEXTSPLIT(Table1[[#This Row],[Fuel (no space after comma)]], ","), FuelList_Final_EF!$A$2:$B$32, 2, FALSE))</f>
        <v>79.46140512734469</v>
      </c>
      <c r="P1496" s="2">
        <f>(16112*Table1[[#This Row],[Generation (TWh)]]*10^9)/10^6</f>
        <v>3861621.0431999997</v>
      </c>
      <c r="Q1496" s="2">
        <f>Table1[[#This Row],[Emission Factor (kg CO2/ mmBtu)]]*Table1[[#This Row],[Fuel Consumption (mmBtu)]]*10^3</f>
        <v>306849834161.99463</v>
      </c>
      <c r="R1496" s="2">
        <f>(Table1[[#This Row],[CO2 Emissions (g CO2)]])/(Table1[[#This Row],[Generation (TWh)]]*10^9)</f>
        <v>1280.2821594117777</v>
      </c>
    </row>
    <row r="1497" spans="1:18">
      <c r="A1497" t="s">
        <v>938</v>
      </c>
      <c r="B1497" t="s">
        <v>46</v>
      </c>
      <c r="C1497" t="str">
        <f>SUBSTITUTE(Table1[[#This Row],[Fuel]],", ",",")</f>
        <v>bioenergy: agricultural waste (solids)</v>
      </c>
      <c r="D1497" t="s">
        <v>46</v>
      </c>
      <c r="G1497">
        <v>66</v>
      </c>
      <c r="H1497" t="s">
        <v>138</v>
      </c>
      <c r="I1497" t="s">
        <v>21</v>
      </c>
      <c r="J1497" t="s">
        <v>21</v>
      </c>
      <c r="K1497">
        <v>36.961703900000003</v>
      </c>
      <c r="L1497">
        <v>140.8851665</v>
      </c>
      <c r="M1497" t="s">
        <v>51</v>
      </c>
      <c r="N1497" s="2">
        <f>Table1[[#This Row],[Capacity (MW)]]*8760*0.72*10^-6</f>
        <v>0.41627520000000001</v>
      </c>
      <c r="O1497" s="2" cm="1">
        <f t="array" ref="O1497">AVERAGE(VLOOKUP(_xlfn.TEXTSPLIT(Table1[[#This Row],[Fuel (no space after comma)]], ","), FuelList_Final_EF!$A$2:$B$32, 2, FALSE))</f>
        <v>118.17</v>
      </c>
      <c r="P1497" s="2">
        <f>(16112*Table1[[#This Row],[Generation (TWh)]]*10^9)/10^6</f>
        <v>6707026.0224000001</v>
      </c>
      <c r="Q1497" s="2">
        <f>Table1[[#This Row],[Emission Factor (kg CO2/ mmBtu)]]*Table1[[#This Row],[Fuel Consumption (mmBtu)]]*10^3</f>
        <v>792569265067.00806</v>
      </c>
      <c r="R1497" s="2">
        <f>(Table1[[#This Row],[CO2 Emissions (g CO2)]])/(Table1[[#This Row],[Generation (TWh)]]*10^9)</f>
        <v>1903.9550400000001</v>
      </c>
    </row>
    <row r="1498" spans="1:18" hidden="1">
      <c r="A1498" t="s">
        <v>939</v>
      </c>
      <c r="B1498" t="s">
        <v>940</v>
      </c>
      <c r="C1498" t="str">
        <f>SUBSTITUTE(Table1[[#This Row],[Fuel]],", ",",")</f>
        <v>bioenergy: agricultural waste (solids),bioenergy: wood &amp; other biomass (solids),fossil gas: natural gas</v>
      </c>
      <c r="D1498" t="s">
        <v>46</v>
      </c>
      <c r="E1498" t="s">
        <v>25</v>
      </c>
      <c r="F1498" t="s">
        <v>69</v>
      </c>
      <c r="G1498">
        <v>54</v>
      </c>
      <c r="H1498" t="s">
        <v>27</v>
      </c>
      <c r="I1498">
        <v>2006</v>
      </c>
      <c r="J1498" t="s">
        <v>21</v>
      </c>
      <c r="K1498">
        <v>26.576899999999998</v>
      </c>
      <c r="L1498">
        <v>-80.746899999999997</v>
      </c>
      <c r="M1498" t="s">
        <v>62</v>
      </c>
      <c r="N1498" s="2">
        <f>Table1[[#This Row],[Capacity (MW)]]*8760*0.72*10^-6</f>
        <v>0.34058879999999997</v>
      </c>
      <c r="O1498" s="2" cm="1">
        <f t="array" ref="O1498">AVERAGE(VLOOKUP(_xlfn.TEXTSPLIT(Table1[[#This Row],[Fuel (no space after comma)]], ","), FuelList_Final_EF!$A$2:$B$32, 2, FALSE))</f>
        <v>88.34333333333332</v>
      </c>
      <c r="P1498" s="2">
        <f>(16112*Table1[[#This Row],[Generation (TWh)]]*10^9)/10^6</f>
        <v>5487566.7455999991</v>
      </c>
      <c r="Q1498" s="2">
        <f>Table1[[#This Row],[Emission Factor (kg CO2/ mmBtu)]]*Table1[[#This Row],[Fuel Consumption (mmBtu)]]*10^3</f>
        <v>484789938195.45587</v>
      </c>
      <c r="R1498" s="2">
        <f>(Table1[[#This Row],[CO2 Emissions (g CO2)]])/(Table1[[#This Row],[Generation (TWh)]]*10^9)</f>
        <v>1423.3877866666664</v>
      </c>
    </row>
    <row r="1499" spans="1:18" hidden="1">
      <c r="A1499" t="s">
        <v>939</v>
      </c>
      <c r="B1499" t="s">
        <v>940</v>
      </c>
      <c r="C1499" t="str">
        <f>SUBSTITUTE(Table1[[#This Row],[Fuel]],", ",",")</f>
        <v>bioenergy: agricultural waste (solids),bioenergy: wood &amp; other biomass (solids),fossil gas: natural gas</v>
      </c>
      <c r="D1499" t="s">
        <v>46</v>
      </c>
      <c r="E1499" t="s">
        <v>25</v>
      </c>
      <c r="F1499" t="s">
        <v>69</v>
      </c>
      <c r="G1499">
        <v>75</v>
      </c>
      <c r="H1499" t="s">
        <v>27</v>
      </c>
      <c r="I1499">
        <v>1996</v>
      </c>
      <c r="J1499" t="s">
        <v>21</v>
      </c>
      <c r="K1499">
        <v>26.576899999999998</v>
      </c>
      <c r="L1499">
        <v>-80.746899999999997</v>
      </c>
      <c r="M1499" t="s">
        <v>62</v>
      </c>
      <c r="N1499" s="2">
        <f>Table1[[#This Row],[Capacity (MW)]]*8760*0.72*10^-6</f>
        <v>0.47303999999999996</v>
      </c>
      <c r="O1499" s="2" cm="1">
        <f t="array" ref="O1499">AVERAGE(VLOOKUP(_xlfn.TEXTSPLIT(Table1[[#This Row],[Fuel (no space after comma)]], ","), FuelList_Final_EF!$A$2:$B$32, 2, FALSE))</f>
        <v>88.34333333333332</v>
      </c>
      <c r="P1499" s="2">
        <f>(16112*Table1[[#This Row],[Generation (TWh)]]*10^9)/10^6</f>
        <v>7621620.4800000004</v>
      </c>
      <c r="Q1499" s="2">
        <f>Table1[[#This Row],[Emission Factor (kg CO2/ mmBtu)]]*Table1[[#This Row],[Fuel Consumption (mmBtu)]]*10^3</f>
        <v>673319358604.79993</v>
      </c>
      <c r="R1499" s="2">
        <f>(Table1[[#This Row],[CO2 Emissions (g CO2)]])/(Table1[[#This Row],[Generation (TWh)]]*10^9)</f>
        <v>1423.3877866666667</v>
      </c>
    </row>
    <row r="1500" spans="1:18" hidden="1">
      <c r="A1500" t="s">
        <v>54</v>
      </c>
      <c r="B1500" t="s">
        <v>19</v>
      </c>
      <c r="C1500" t="str">
        <f>SUBSTITUTE(Table1[[#This Row],[Fuel]],", ",",")</f>
        <v>bioenergy: refuse (municipal and industrial wastes)</v>
      </c>
      <c r="D1500" t="s">
        <v>19</v>
      </c>
      <c r="G1500">
        <v>42</v>
      </c>
      <c r="H1500" t="s">
        <v>27</v>
      </c>
      <c r="I1500">
        <v>2023</v>
      </c>
      <c r="J1500" t="s">
        <v>21</v>
      </c>
      <c r="K1500">
        <v>52.757300000000001</v>
      </c>
      <c r="L1500">
        <v>-1.2801</v>
      </c>
      <c r="M1500" t="s">
        <v>22</v>
      </c>
      <c r="N1500" s="2">
        <f>Table1[[#This Row],[Capacity (MW)]]*8760*0.72*10^-6</f>
        <v>0.26490239999999993</v>
      </c>
      <c r="O1500" s="2" cm="1">
        <f t="array" ref="O1500">AVERAGE(VLOOKUP(_xlfn.TEXTSPLIT(Table1[[#This Row],[Fuel (no space after comma)]], ","), FuelList_Final_EF!$A$2:$B$32, 2, FALSE))</f>
        <v>105.42962572482868</v>
      </c>
      <c r="P1500" s="2">
        <f>(16112*Table1[[#This Row],[Generation (TWh)]]*10^9)/10^6</f>
        <v>4268107.468799999</v>
      </c>
      <c r="Q1500" s="2">
        <f>Table1[[#This Row],[Emission Factor (kg CO2/ mmBtu)]]*Table1[[#This Row],[Fuel Consumption (mmBtu)]]*10^3</f>
        <v>449984972988.92981</v>
      </c>
      <c r="R1500" s="2">
        <f>(Table1[[#This Row],[CO2 Emissions (g CO2)]])/(Table1[[#This Row],[Generation (TWh)]]*10^9)</f>
        <v>1698.6821296784397</v>
      </c>
    </row>
    <row r="1501" spans="1:18" hidden="1">
      <c r="A1501" t="s">
        <v>941</v>
      </c>
      <c r="B1501" t="s">
        <v>46</v>
      </c>
      <c r="C1501" t="str">
        <f>SUBSTITUTE(Table1[[#This Row],[Fuel]],", ",",")</f>
        <v>bioenergy: agricultural waste (solids)</v>
      </c>
      <c r="D1501" t="s">
        <v>46</v>
      </c>
      <c r="G1501">
        <v>47</v>
      </c>
      <c r="H1501" t="s">
        <v>27</v>
      </c>
      <c r="I1501">
        <v>2017</v>
      </c>
      <c r="J1501" t="s">
        <v>21</v>
      </c>
      <c r="K1501">
        <v>-17.330400000000001</v>
      </c>
      <c r="L1501">
        <v>-50.495699999999999</v>
      </c>
      <c r="M1501" t="s">
        <v>49</v>
      </c>
      <c r="N1501" s="2">
        <f>Table1[[#This Row],[Capacity (MW)]]*8760*0.72*10^-6</f>
        <v>0.29643839999999994</v>
      </c>
      <c r="O1501" s="2" cm="1">
        <f t="array" ref="O1501">AVERAGE(VLOOKUP(_xlfn.TEXTSPLIT(Table1[[#This Row],[Fuel (no space after comma)]], ","), FuelList_Final_EF!$A$2:$B$32, 2, FALSE))</f>
        <v>118.17</v>
      </c>
      <c r="P1501" s="2">
        <f>(16112*Table1[[#This Row],[Generation (TWh)]]*10^9)/10^6</f>
        <v>4776215.5007999986</v>
      </c>
      <c r="Q1501" s="2">
        <f>Table1[[#This Row],[Emission Factor (kg CO2/ mmBtu)]]*Table1[[#This Row],[Fuel Consumption (mmBtu)]]*10^3</f>
        <v>564405385729.53577</v>
      </c>
      <c r="R1501" s="2">
        <f>(Table1[[#This Row],[CO2 Emissions (g CO2)]])/(Table1[[#This Row],[Generation (TWh)]]*10^9)</f>
        <v>1903.9550399999996</v>
      </c>
    </row>
    <row r="1502" spans="1:18" hidden="1">
      <c r="A1502" t="s">
        <v>21</v>
      </c>
      <c r="B1502" t="s">
        <v>942</v>
      </c>
      <c r="C1502" t="str">
        <f>SUBSTITUTE(Table1[[#This Row],[Fuel]],", ",",")</f>
        <v>bioenergy: agricultural waste (solids),bioenergy: wood &amp; other biomass (solids),bioenergy: wood &amp; other biomass (solids)</v>
      </c>
      <c r="D1502" t="s">
        <v>46</v>
      </c>
      <c r="E1502" t="s">
        <v>25</v>
      </c>
      <c r="F1502" t="s">
        <v>25</v>
      </c>
      <c r="G1502">
        <v>30</v>
      </c>
      <c r="H1502" t="s">
        <v>27</v>
      </c>
      <c r="I1502">
        <v>2021</v>
      </c>
      <c r="J1502" t="s">
        <v>21</v>
      </c>
      <c r="K1502">
        <v>34.788600000000002</v>
      </c>
      <c r="L1502">
        <v>134.37049999999999</v>
      </c>
      <c r="M1502" t="s">
        <v>51</v>
      </c>
      <c r="N1502" s="2">
        <f>Table1[[#This Row],[Capacity (MW)]]*8760*0.72*10^-6</f>
        <v>0.189216</v>
      </c>
      <c r="O1502" s="2" cm="1">
        <f t="array" ref="O1502">AVERAGE(VLOOKUP(_xlfn.TEXTSPLIT(Table1[[#This Row],[Fuel (no space after comma)]], ","), FuelList_Final_EF!$A$2:$B$32, 2, FALSE))</f>
        <v>101.92333333333333</v>
      </c>
      <c r="P1502" s="2">
        <f>(16112*Table1[[#This Row],[Generation (TWh)]]*10^9)/10^6</f>
        <v>3048648.1919999998</v>
      </c>
      <c r="Q1502" s="2">
        <f>Table1[[#This Row],[Emission Factor (kg CO2/ mmBtu)]]*Table1[[#This Row],[Fuel Consumption (mmBtu)]]*10^3</f>
        <v>310728385889.27997</v>
      </c>
      <c r="R1502" s="2">
        <f>(Table1[[#This Row],[CO2 Emissions (g CO2)]])/(Table1[[#This Row],[Generation (TWh)]]*10^9)</f>
        <v>1642.1887466666665</v>
      </c>
    </row>
    <row r="1503" spans="1:18" hidden="1">
      <c r="A1503" t="s">
        <v>54</v>
      </c>
      <c r="B1503" t="s">
        <v>943</v>
      </c>
      <c r="C1503" t="str">
        <f>SUBSTITUTE(Table1[[#This Row],[Fuel]],", ",",")</f>
        <v>bioenergy: agricultural waste (solids),bioenergy: agricultural waste (solids)</v>
      </c>
      <c r="D1503" t="s">
        <v>46</v>
      </c>
      <c r="E1503" t="s">
        <v>46</v>
      </c>
      <c r="G1503">
        <v>1</v>
      </c>
      <c r="H1503" t="s">
        <v>27</v>
      </c>
      <c r="I1503">
        <v>2023</v>
      </c>
      <c r="J1503" t="s">
        <v>21</v>
      </c>
      <c r="K1503">
        <v>33.809199999999997</v>
      </c>
      <c r="L1503">
        <v>131.0069</v>
      </c>
      <c r="M1503" t="s">
        <v>51</v>
      </c>
      <c r="N1503" s="2">
        <f>Table1[[#This Row],[Capacity (MW)]]*8760*0.72*10^-6</f>
        <v>6.3071999999999998E-3</v>
      </c>
      <c r="O1503" s="2" cm="1">
        <f t="array" ref="O1503">AVERAGE(VLOOKUP(_xlfn.TEXTSPLIT(Table1[[#This Row],[Fuel (no space after comma)]], ","), FuelList_Final_EF!$A$2:$B$32, 2, FALSE))</f>
        <v>118.17</v>
      </c>
      <c r="P1503" s="2">
        <f>(16112*Table1[[#This Row],[Generation (TWh)]]*10^9)/10^6</f>
        <v>101621.60639999999</v>
      </c>
      <c r="Q1503" s="2">
        <f>Table1[[#This Row],[Emission Factor (kg CO2/ mmBtu)]]*Table1[[#This Row],[Fuel Consumption (mmBtu)]]*10^3</f>
        <v>12008625228.287998</v>
      </c>
      <c r="R1503" s="2">
        <f>(Table1[[#This Row],[CO2 Emissions (g CO2)]])/(Table1[[#This Row],[Generation (TWh)]]*10^9)</f>
        <v>1903.9550399999998</v>
      </c>
    </row>
    <row r="1504" spans="1:18" hidden="1">
      <c r="A1504" t="s">
        <v>944</v>
      </c>
      <c r="B1504" t="s">
        <v>943</v>
      </c>
      <c r="C1504" t="str">
        <f>SUBSTITUTE(Table1[[#This Row],[Fuel]],", ",",")</f>
        <v>bioenergy: agricultural waste (solids),bioenergy: agricultural waste (solids)</v>
      </c>
      <c r="D1504" t="s">
        <v>46</v>
      </c>
      <c r="E1504" t="s">
        <v>46</v>
      </c>
      <c r="G1504">
        <v>34</v>
      </c>
      <c r="H1504" t="s">
        <v>27</v>
      </c>
      <c r="I1504">
        <v>2023</v>
      </c>
      <c r="J1504" t="s">
        <v>21</v>
      </c>
      <c r="K1504">
        <v>33.809199999999997</v>
      </c>
      <c r="L1504">
        <v>131.0069</v>
      </c>
      <c r="M1504" t="s">
        <v>51</v>
      </c>
      <c r="N1504" s="2">
        <f>Table1[[#This Row],[Capacity (MW)]]*8760*0.72*10^-6</f>
        <v>0.21444479999999999</v>
      </c>
      <c r="O1504" s="2" cm="1">
        <f t="array" ref="O1504">AVERAGE(VLOOKUP(_xlfn.TEXTSPLIT(Table1[[#This Row],[Fuel (no space after comma)]], ","), FuelList_Final_EF!$A$2:$B$32, 2, FALSE))</f>
        <v>118.17</v>
      </c>
      <c r="P1504" s="2">
        <f>(16112*Table1[[#This Row],[Generation (TWh)]]*10^9)/10^6</f>
        <v>3455134.6175999995</v>
      </c>
      <c r="Q1504" s="2">
        <f>Table1[[#This Row],[Emission Factor (kg CO2/ mmBtu)]]*Table1[[#This Row],[Fuel Consumption (mmBtu)]]*10^3</f>
        <v>408293257761.79193</v>
      </c>
      <c r="R1504" s="2">
        <f>(Table1[[#This Row],[CO2 Emissions (g CO2)]])/(Table1[[#This Row],[Generation (TWh)]]*10^9)</f>
        <v>1903.9550399999996</v>
      </c>
    </row>
    <row r="1505" spans="1:18" hidden="1">
      <c r="A1505" t="s">
        <v>945</v>
      </c>
      <c r="B1505" t="s">
        <v>943</v>
      </c>
      <c r="C1505" t="str">
        <f>SUBSTITUTE(Table1[[#This Row],[Fuel]],", ",",")</f>
        <v>bioenergy: agricultural waste (solids),bioenergy: agricultural waste (solids)</v>
      </c>
      <c r="D1505" t="s">
        <v>46</v>
      </c>
      <c r="E1505" t="s">
        <v>46</v>
      </c>
      <c r="G1505">
        <v>15</v>
      </c>
      <c r="H1505" t="s">
        <v>27</v>
      </c>
      <c r="I1505">
        <v>2023</v>
      </c>
      <c r="J1505" t="s">
        <v>21</v>
      </c>
      <c r="K1505">
        <v>33.809199999999997</v>
      </c>
      <c r="L1505">
        <v>131.0069</v>
      </c>
      <c r="M1505" t="s">
        <v>51</v>
      </c>
      <c r="N1505" s="2">
        <f>Table1[[#This Row],[Capacity (MW)]]*8760*0.72*10^-6</f>
        <v>9.4607999999999998E-2</v>
      </c>
      <c r="O1505" s="2" cm="1">
        <f t="array" ref="O1505">AVERAGE(VLOOKUP(_xlfn.TEXTSPLIT(Table1[[#This Row],[Fuel (no space after comma)]], ","), FuelList_Final_EF!$A$2:$B$32, 2, FALSE))</f>
        <v>118.17</v>
      </c>
      <c r="P1505" s="2">
        <f>(16112*Table1[[#This Row],[Generation (TWh)]]*10^9)/10^6</f>
        <v>1524324.0959999999</v>
      </c>
      <c r="Q1505" s="2">
        <f>Table1[[#This Row],[Emission Factor (kg CO2/ mmBtu)]]*Table1[[#This Row],[Fuel Consumption (mmBtu)]]*10^3</f>
        <v>180129378424.31998</v>
      </c>
      <c r="R1505" s="2">
        <f>(Table1[[#This Row],[CO2 Emissions (g CO2)]])/(Table1[[#This Row],[Generation (TWh)]]*10^9)</f>
        <v>1903.9550399999998</v>
      </c>
    </row>
    <row r="1506" spans="1:18" hidden="1">
      <c r="A1506" t="s">
        <v>54</v>
      </c>
      <c r="B1506" t="s">
        <v>210</v>
      </c>
      <c r="C1506" t="str">
        <f>SUBSTITUTE(Table1[[#This Row],[Fuel]],", ",",")</f>
        <v>bioenergy: wood &amp; other biomass (solids),bioenergy: agricultural waste (solids)</v>
      </c>
      <c r="D1506" t="s">
        <v>25</v>
      </c>
      <c r="E1506" t="s">
        <v>46</v>
      </c>
      <c r="G1506">
        <v>50</v>
      </c>
      <c r="H1506" t="s">
        <v>53</v>
      </c>
      <c r="I1506">
        <v>2024</v>
      </c>
      <c r="J1506" t="s">
        <v>21</v>
      </c>
      <c r="K1506">
        <v>37.980400000000003</v>
      </c>
      <c r="L1506">
        <v>139.25020000000001</v>
      </c>
      <c r="M1506" t="s">
        <v>51</v>
      </c>
      <c r="N1506" s="2">
        <f>Table1[[#This Row],[Capacity (MW)]]*8760*0.72*10^-6</f>
        <v>0.31535999999999997</v>
      </c>
      <c r="O1506" s="2" cm="1">
        <f t="array" ref="O1506">AVERAGE(VLOOKUP(_xlfn.TEXTSPLIT(Table1[[#This Row],[Fuel (no space after comma)]], ","), FuelList_Final_EF!$A$2:$B$32, 2, FALSE))</f>
        <v>105.985</v>
      </c>
      <c r="P1506" s="2">
        <f>(16112*Table1[[#This Row],[Generation (TWh)]]*10^9)/10^6</f>
        <v>5081080.32</v>
      </c>
      <c r="Q1506" s="2">
        <f>Table1[[#This Row],[Emission Factor (kg CO2/ mmBtu)]]*Table1[[#This Row],[Fuel Consumption (mmBtu)]]*10^3</f>
        <v>538518297715.20007</v>
      </c>
      <c r="R1506" s="2">
        <f>(Table1[[#This Row],[CO2 Emissions (g CO2)]])/(Table1[[#This Row],[Generation (TWh)]]*10^9)</f>
        <v>1707.6303200000002</v>
      </c>
    </row>
    <row r="1507" spans="1:18" hidden="1">
      <c r="A1507" t="s">
        <v>54</v>
      </c>
      <c r="B1507" t="s">
        <v>105</v>
      </c>
      <c r="C1507" t="str">
        <f>SUBSTITUTE(Table1[[#This Row],[Fuel]],", ",",")</f>
        <v>bioenergy: agricultural waste (solids),bioenergy: wood &amp; other biomass (solids)</v>
      </c>
      <c r="D1507" t="s">
        <v>46</v>
      </c>
      <c r="E1507" t="s">
        <v>25</v>
      </c>
      <c r="G1507">
        <v>15.3</v>
      </c>
      <c r="H1507" t="s">
        <v>27</v>
      </c>
      <c r="I1507">
        <v>2022</v>
      </c>
      <c r="J1507" t="s">
        <v>21</v>
      </c>
      <c r="K1507">
        <v>39.135100000000001</v>
      </c>
      <c r="L1507">
        <v>106.71250000000001</v>
      </c>
      <c r="M1507" t="s">
        <v>102</v>
      </c>
      <c r="N1507" s="2">
        <f>Table1[[#This Row],[Capacity (MW)]]*8760*0.72*10^-6</f>
        <v>9.6500160000000001E-2</v>
      </c>
      <c r="O1507" s="2" cm="1">
        <f t="array" ref="O1507">AVERAGE(VLOOKUP(_xlfn.TEXTSPLIT(Table1[[#This Row],[Fuel (no space after comma)]], ","), FuelList_Final_EF!$A$2:$B$32, 2, FALSE))</f>
        <v>105.985</v>
      </c>
      <c r="P1507" s="2">
        <f>(16112*Table1[[#This Row],[Generation (TWh)]]*10^9)/10^6</f>
        <v>1554810.5779200001</v>
      </c>
      <c r="Q1507" s="2">
        <f>Table1[[#This Row],[Emission Factor (kg CO2/ mmBtu)]]*Table1[[#This Row],[Fuel Consumption (mmBtu)]]*10^3</f>
        <v>164786599100.8512</v>
      </c>
      <c r="R1507" s="2">
        <f>(Table1[[#This Row],[CO2 Emissions (g CO2)]])/(Table1[[#This Row],[Generation (TWh)]]*10^9)</f>
        <v>1707.63032</v>
      </c>
    </row>
    <row r="1508" spans="1:18" hidden="1">
      <c r="A1508" t="s">
        <v>760</v>
      </c>
      <c r="B1508" t="s">
        <v>105</v>
      </c>
      <c r="C1508" t="str">
        <f>SUBSTITUTE(Table1[[#This Row],[Fuel]],", ",",")</f>
        <v>bioenergy: agricultural waste (solids),bioenergy: wood &amp; other biomass (solids)</v>
      </c>
      <c r="D1508" t="s">
        <v>46</v>
      </c>
      <c r="E1508" t="s">
        <v>25</v>
      </c>
      <c r="G1508">
        <v>14.7</v>
      </c>
      <c r="H1508" t="s">
        <v>27</v>
      </c>
      <c r="I1508">
        <v>2022</v>
      </c>
      <c r="J1508" t="s">
        <v>21</v>
      </c>
      <c r="K1508">
        <v>39.135100000000001</v>
      </c>
      <c r="L1508">
        <v>106.71250000000001</v>
      </c>
      <c r="M1508" t="s">
        <v>102</v>
      </c>
      <c r="N1508" s="2">
        <f>Table1[[#This Row],[Capacity (MW)]]*8760*0.72*10^-6</f>
        <v>9.2715839999999994E-2</v>
      </c>
      <c r="O1508" s="2" cm="1">
        <f t="array" ref="O1508">AVERAGE(VLOOKUP(_xlfn.TEXTSPLIT(Table1[[#This Row],[Fuel (no space after comma)]], ","), FuelList_Final_EF!$A$2:$B$32, 2, FALSE))</f>
        <v>105.985</v>
      </c>
      <c r="P1508" s="2">
        <f>(16112*Table1[[#This Row],[Generation (TWh)]]*10^9)/10^6</f>
        <v>1493837.6140799997</v>
      </c>
      <c r="Q1508" s="2">
        <f>Table1[[#This Row],[Emission Factor (kg CO2/ mmBtu)]]*Table1[[#This Row],[Fuel Consumption (mmBtu)]]*10^3</f>
        <v>158324379528.2688</v>
      </c>
      <c r="R1508" s="2">
        <f>(Table1[[#This Row],[CO2 Emissions (g CO2)]])/(Table1[[#This Row],[Generation (TWh)]]*10^9)</f>
        <v>1707.63032</v>
      </c>
    </row>
    <row r="1509" spans="1:18" hidden="1">
      <c r="A1509" t="s">
        <v>946</v>
      </c>
      <c r="B1509" t="s">
        <v>19</v>
      </c>
      <c r="C1509" t="str">
        <f>SUBSTITUTE(Table1[[#This Row],[Fuel]],", ",",")</f>
        <v>bioenergy: refuse (municipal and industrial wastes)</v>
      </c>
      <c r="D1509" t="s">
        <v>19</v>
      </c>
      <c r="G1509">
        <v>95</v>
      </c>
      <c r="H1509" t="s">
        <v>20</v>
      </c>
      <c r="I1509">
        <v>2027</v>
      </c>
      <c r="J1509" t="s">
        <v>21</v>
      </c>
      <c r="K1509">
        <v>53.619799999999998</v>
      </c>
      <c r="L1509">
        <v>-0.70120000000000005</v>
      </c>
      <c r="M1509" t="s">
        <v>22</v>
      </c>
      <c r="N1509" s="2">
        <f>Table1[[#This Row],[Capacity (MW)]]*8760*0.72*10^-6</f>
        <v>0.59918399999999994</v>
      </c>
      <c r="O1509" s="2" cm="1">
        <f t="array" ref="O1509">AVERAGE(VLOOKUP(_xlfn.TEXTSPLIT(Table1[[#This Row],[Fuel (no space after comma)]], ","), FuelList_Final_EF!$A$2:$B$32, 2, FALSE))</f>
        <v>105.42962572482868</v>
      </c>
      <c r="P1509" s="2">
        <f>(16112*Table1[[#This Row],[Generation (TWh)]]*10^9)/10^6</f>
        <v>9654052.6079999972</v>
      </c>
      <c r="Q1509" s="2">
        <f>Table1[[#This Row],[Emission Factor (kg CO2/ mmBtu)]]*Table1[[#This Row],[Fuel Consumption (mmBtu)]]*10^3</f>
        <v>1017823153189.246</v>
      </c>
      <c r="R1509" s="2">
        <f>(Table1[[#This Row],[CO2 Emissions (g CO2)]])/(Table1[[#This Row],[Generation (TWh)]]*10^9)</f>
        <v>1698.6821296784397</v>
      </c>
    </row>
    <row r="1510" spans="1:18">
      <c r="A1510" t="s">
        <v>21</v>
      </c>
      <c r="B1510" t="s">
        <v>68</v>
      </c>
      <c r="C1510" t="str">
        <f>SUBSTITUTE(Table1[[#This Row],[Fuel]],", ",",")</f>
        <v>bioenergy: wood &amp; other biomass (solids),fossil gas: natural gas</v>
      </c>
      <c r="D1510" t="s">
        <v>25</v>
      </c>
      <c r="E1510" t="s">
        <v>69</v>
      </c>
      <c r="G1510">
        <v>63</v>
      </c>
      <c r="H1510" t="s">
        <v>27</v>
      </c>
      <c r="I1510" t="s">
        <v>21</v>
      </c>
      <c r="J1510" t="s">
        <v>21</v>
      </c>
      <c r="K1510">
        <v>53.979199999999999</v>
      </c>
      <c r="L1510">
        <v>-122.6936</v>
      </c>
      <c r="M1510" t="s">
        <v>79</v>
      </c>
      <c r="N1510" s="2">
        <f>Table1[[#This Row],[Capacity (MW)]]*8760*0.72*10^-6</f>
        <v>0.39735359999999997</v>
      </c>
      <c r="O1510" s="2" cm="1">
        <f t="array" ref="O1510">AVERAGE(VLOOKUP(_xlfn.TEXTSPLIT(Table1[[#This Row],[Fuel (no space after comma)]], ","), FuelList_Final_EF!$A$2:$B$32, 2, FALSE))</f>
        <v>73.430000000000007</v>
      </c>
      <c r="P1510" s="2">
        <f>(16112*Table1[[#This Row],[Generation (TWh)]]*10^9)/10^6</f>
        <v>6402161.2031999994</v>
      </c>
      <c r="Q1510" s="2">
        <f>Table1[[#This Row],[Emission Factor (kg CO2/ mmBtu)]]*Table1[[#This Row],[Fuel Consumption (mmBtu)]]*10^3</f>
        <v>470110697150.97601</v>
      </c>
      <c r="R1510" s="2">
        <f>(Table1[[#This Row],[CO2 Emissions (g CO2)]])/(Table1[[#This Row],[Generation (TWh)]]*10^9)</f>
        <v>1183.1041600000001</v>
      </c>
    </row>
    <row r="1511" spans="1:18">
      <c r="A1511" t="s">
        <v>947</v>
      </c>
      <c r="B1511" t="s">
        <v>46</v>
      </c>
      <c r="C1511" t="str">
        <f>SUBSTITUTE(Table1[[#This Row],[Fuel]],", ",",")</f>
        <v>bioenergy: agricultural waste (solids)</v>
      </c>
      <c r="D1511" t="s">
        <v>46</v>
      </c>
      <c r="G1511">
        <v>30</v>
      </c>
      <c r="H1511" t="s">
        <v>20</v>
      </c>
      <c r="I1511" t="s">
        <v>21</v>
      </c>
      <c r="J1511" t="s">
        <v>21</v>
      </c>
      <c r="K1511">
        <v>-21.508900000000001</v>
      </c>
      <c r="L1511">
        <v>-49.2074</v>
      </c>
      <c r="M1511" t="s">
        <v>49</v>
      </c>
      <c r="N1511" s="2">
        <f>Table1[[#This Row],[Capacity (MW)]]*8760*0.72*10^-6</f>
        <v>0.189216</v>
      </c>
      <c r="O1511" s="2" cm="1">
        <f t="array" ref="O1511">AVERAGE(VLOOKUP(_xlfn.TEXTSPLIT(Table1[[#This Row],[Fuel (no space after comma)]], ","), FuelList_Final_EF!$A$2:$B$32, 2, FALSE))</f>
        <v>118.17</v>
      </c>
      <c r="P1511" s="2">
        <f>(16112*Table1[[#This Row],[Generation (TWh)]]*10^9)/10^6</f>
        <v>3048648.1919999998</v>
      </c>
      <c r="Q1511" s="2">
        <f>Table1[[#This Row],[Emission Factor (kg CO2/ mmBtu)]]*Table1[[#This Row],[Fuel Consumption (mmBtu)]]*10^3</f>
        <v>360258756848.63995</v>
      </c>
      <c r="R1511" s="2">
        <f>(Table1[[#This Row],[CO2 Emissions (g CO2)]])/(Table1[[#This Row],[Generation (TWh)]]*10^9)</f>
        <v>1903.9550399999998</v>
      </c>
    </row>
    <row r="1512" spans="1:18" hidden="1">
      <c r="A1512" t="s">
        <v>136</v>
      </c>
      <c r="B1512" t="s">
        <v>25</v>
      </c>
      <c r="C1512" t="str">
        <f>SUBSTITUTE(Table1[[#This Row],[Fuel]],", ",",")</f>
        <v>bioenergy: wood &amp; other biomass (solids)</v>
      </c>
      <c r="D1512" t="s">
        <v>25</v>
      </c>
      <c r="G1512">
        <v>30</v>
      </c>
      <c r="H1512" t="s">
        <v>27</v>
      </c>
      <c r="I1512">
        <v>2005</v>
      </c>
      <c r="J1512" t="s">
        <v>21</v>
      </c>
      <c r="K1512">
        <v>-36.660400000000003</v>
      </c>
      <c r="L1512">
        <v>-72.470200000000006</v>
      </c>
      <c r="M1512" t="s">
        <v>98</v>
      </c>
      <c r="N1512" s="2">
        <f>Table1[[#This Row],[Capacity (MW)]]*8760*0.72*10^-6</f>
        <v>0.189216</v>
      </c>
      <c r="O1512" s="2" cm="1">
        <f t="array" ref="O1512">AVERAGE(VLOOKUP(_xlfn.TEXTSPLIT(Table1[[#This Row],[Fuel (no space after comma)]], ","), FuelList_Final_EF!$A$2:$B$32, 2, FALSE))</f>
        <v>93.8</v>
      </c>
      <c r="P1512" s="2">
        <f>(16112*Table1[[#This Row],[Generation (TWh)]]*10^9)/10^6</f>
        <v>3048648.1919999998</v>
      </c>
      <c r="Q1512" s="2">
        <f>Table1[[#This Row],[Emission Factor (kg CO2/ mmBtu)]]*Table1[[#This Row],[Fuel Consumption (mmBtu)]]*10^3</f>
        <v>285963200409.59998</v>
      </c>
      <c r="R1512" s="2">
        <f>(Table1[[#This Row],[CO2 Emissions (g CO2)]])/(Table1[[#This Row],[Generation (TWh)]]*10^9)</f>
        <v>1511.3055999999999</v>
      </c>
    </row>
    <row r="1513" spans="1:18" hidden="1">
      <c r="A1513" t="s">
        <v>136</v>
      </c>
      <c r="B1513" t="s">
        <v>61</v>
      </c>
      <c r="C1513" t="str">
        <f>SUBSTITUTE(Table1[[#This Row],[Fuel]],", ",",")</f>
        <v>bioenergy: paper mill wastes</v>
      </c>
      <c r="D1513" t="s">
        <v>61</v>
      </c>
      <c r="G1513">
        <v>136</v>
      </c>
      <c r="H1513" t="s">
        <v>27</v>
      </c>
      <c r="I1513">
        <v>2008</v>
      </c>
      <c r="J1513" t="s">
        <v>21</v>
      </c>
      <c r="K1513">
        <v>-36.660400000000003</v>
      </c>
      <c r="L1513">
        <v>-72.470200000000006</v>
      </c>
      <c r="M1513" t="s">
        <v>98</v>
      </c>
      <c r="N1513" s="2">
        <f>Table1[[#This Row],[Capacity (MW)]]*8760*0.72*10^-6</f>
        <v>0.85777919999999996</v>
      </c>
      <c r="O1513" s="2" cm="1">
        <f t="array" ref="O1513">AVERAGE(VLOOKUP(_xlfn.TEXTSPLIT(Table1[[#This Row],[Fuel (no space after comma)]], ","), FuelList_Final_EF!$A$2:$B$32, 2, FALSE))</f>
        <v>100.47443331576173</v>
      </c>
      <c r="P1513" s="2">
        <f>(16112*Table1[[#This Row],[Generation (TWh)]]*10^9)/10^6</f>
        <v>13820538.470399998</v>
      </c>
      <c r="Q1513" s="2">
        <f>Table1[[#This Row],[Emission Factor (kg CO2/ mmBtu)]]*Table1[[#This Row],[Fuel Consumption (mmBtu)]]*10^3</f>
        <v>1388610770932.124</v>
      </c>
      <c r="R1513" s="2">
        <f>(Table1[[#This Row],[CO2 Emissions (g CO2)]])/(Table1[[#This Row],[Generation (TWh)]]*10^9)</f>
        <v>1618.8440695835525</v>
      </c>
    </row>
    <row r="1514" spans="1:18" hidden="1">
      <c r="A1514" t="s">
        <v>948</v>
      </c>
      <c r="B1514" t="s">
        <v>25</v>
      </c>
      <c r="C1514" t="str">
        <f>SUBSTITUTE(Table1[[#This Row],[Fuel]],", ",",")</f>
        <v>bioenergy: wood &amp; other biomass (solids)</v>
      </c>
      <c r="D1514" t="s">
        <v>25</v>
      </c>
      <c r="G1514">
        <v>52</v>
      </c>
      <c r="H1514" t="s">
        <v>27</v>
      </c>
      <c r="I1514">
        <v>2021</v>
      </c>
      <c r="J1514" t="s">
        <v>21</v>
      </c>
      <c r="K1514">
        <v>35.906300000000002</v>
      </c>
      <c r="L1514">
        <v>140.70740000000001</v>
      </c>
      <c r="M1514" t="s">
        <v>51</v>
      </c>
      <c r="N1514" s="2">
        <f>Table1[[#This Row],[Capacity (MW)]]*8760*0.72*10^-6</f>
        <v>0.32797439999999994</v>
      </c>
      <c r="O1514" s="2" cm="1">
        <f t="array" ref="O1514">AVERAGE(VLOOKUP(_xlfn.TEXTSPLIT(Table1[[#This Row],[Fuel (no space after comma)]], ","), FuelList_Final_EF!$A$2:$B$32, 2, FALSE))</f>
        <v>93.8</v>
      </c>
      <c r="P1514" s="2">
        <f>(16112*Table1[[#This Row],[Generation (TWh)]]*10^9)/10^6</f>
        <v>5284323.5327999992</v>
      </c>
      <c r="Q1514" s="2">
        <f>Table1[[#This Row],[Emission Factor (kg CO2/ mmBtu)]]*Table1[[#This Row],[Fuel Consumption (mmBtu)]]*10^3</f>
        <v>495669547376.63989</v>
      </c>
      <c r="R1514" s="2">
        <f>(Table1[[#This Row],[CO2 Emissions (g CO2)]])/(Table1[[#This Row],[Generation (TWh)]]*10^9)</f>
        <v>1511.3055999999999</v>
      </c>
    </row>
    <row r="1515" spans="1:18">
      <c r="A1515" t="s">
        <v>21</v>
      </c>
      <c r="B1515" t="s">
        <v>75</v>
      </c>
      <c r="C1515" t="str">
        <f>SUBSTITUTE(Table1[[#This Row],[Fuel]],", ",",")</f>
        <v>bioenergy: agricultural waste (unknown)</v>
      </c>
      <c r="D1515" t="s">
        <v>75</v>
      </c>
      <c r="G1515">
        <v>75</v>
      </c>
      <c r="H1515" t="s">
        <v>97</v>
      </c>
      <c r="I1515" t="s">
        <v>21</v>
      </c>
      <c r="J1515" t="s">
        <v>21</v>
      </c>
      <c r="K1515">
        <v>43.113300000000002</v>
      </c>
      <c r="L1515">
        <v>141.55609999999999</v>
      </c>
      <c r="M1515" t="s">
        <v>51</v>
      </c>
      <c r="N1515" s="2">
        <f>Table1[[#This Row],[Capacity (MW)]]*8760*0.72*10^-6</f>
        <v>0.47303999999999996</v>
      </c>
      <c r="O1515" s="2" cm="1">
        <f t="array" ref="O1515">AVERAGE(VLOOKUP(_xlfn.TEXTSPLIT(Table1[[#This Row],[Fuel (no space after comma)]], ","), FuelList_Final_EF!$A$2:$B$32, 2, FALSE))</f>
        <v>72.350251273941311</v>
      </c>
      <c r="P1515" s="2">
        <f>(16112*Table1[[#This Row],[Generation (TWh)]]*10^9)/10^6</f>
        <v>7621620.4800000004</v>
      </c>
      <c r="Q1515" s="2">
        <f>Table1[[#This Row],[Emission Factor (kg CO2/ mmBtu)]]*Table1[[#This Row],[Fuel Consumption (mmBtu)]]*10^3</f>
        <v>551426156842.61731</v>
      </c>
      <c r="R1515" s="2">
        <f>(Table1[[#This Row],[CO2 Emissions (g CO2)]])/(Table1[[#This Row],[Generation (TWh)]]*10^9)</f>
        <v>1165.7072485257429</v>
      </c>
    </row>
    <row r="1516" spans="1:18">
      <c r="A1516" t="s">
        <v>21</v>
      </c>
      <c r="B1516" t="s">
        <v>61</v>
      </c>
      <c r="C1516" t="str">
        <f>SUBSTITUTE(Table1[[#This Row],[Fuel]],", ",",")</f>
        <v>bioenergy: paper mill wastes</v>
      </c>
      <c r="D1516" t="s">
        <v>61</v>
      </c>
      <c r="G1516">
        <v>80</v>
      </c>
      <c r="H1516" t="s">
        <v>27</v>
      </c>
      <c r="I1516" t="s">
        <v>21</v>
      </c>
      <c r="J1516" t="s">
        <v>21</v>
      </c>
      <c r="K1516">
        <v>35.1526</v>
      </c>
      <c r="L1516">
        <v>138.65459999999999</v>
      </c>
      <c r="M1516" t="s">
        <v>51</v>
      </c>
      <c r="N1516" s="2">
        <f>Table1[[#This Row],[Capacity (MW)]]*8760*0.72*10^-6</f>
        <v>0.50457600000000002</v>
      </c>
      <c r="O1516" s="2" cm="1">
        <f t="array" ref="O1516">AVERAGE(VLOOKUP(_xlfn.TEXTSPLIT(Table1[[#This Row],[Fuel (no space after comma)]], ","), FuelList_Final_EF!$A$2:$B$32, 2, FALSE))</f>
        <v>100.47443331576173</v>
      </c>
      <c r="P1516" s="2">
        <f>(16112*Table1[[#This Row],[Generation (TWh)]]*10^9)/10^6</f>
        <v>8129728.512000001</v>
      </c>
      <c r="Q1516" s="2">
        <f>Table1[[#This Row],[Emission Factor (kg CO2/ mmBtu)]]*Table1[[#This Row],[Fuel Consumption (mmBtu)]]*10^3</f>
        <v>816829865254.19092</v>
      </c>
      <c r="R1516" s="2">
        <f>(Table1[[#This Row],[CO2 Emissions (g CO2)]])/(Table1[[#This Row],[Generation (TWh)]]*10^9)</f>
        <v>1618.8440695835532</v>
      </c>
    </row>
    <row r="1517" spans="1:18" hidden="1">
      <c r="A1517" t="s">
        <v>54</v>
      </c>
      <c r="B1517" t="s">
        <v>322</v>
      </c>
      <c r="C1517" t="str">
        <f>SUBSTITUTE(Table1[[#This Row],[Fuel]],", ",",")</f>
        <v>bioenergy: refuse (syngas)</v>
      </c>
      <c r="D1517" t="s">
        <v>322</v>
      </c>
      <c r="G1517">
        <v>40</v>
      </c>
      <c r="H1517" t="s">
        <v>27</v>
      </c>
      <c r="I1517">
        <v>2014</v>
      </c>
      <c r="J1517" t="s">
        <v>21</v>
      </c>
      <c r="K1517">
        <v>52.5169</v>
      </c>
      <c r="L1517">
        <v>-2.0287999999999999</v>
      </c>
      <c r="M1517" t="s">
        <v>22</v>
      </c>
      <c r="N1517" s="2">
        <f>Table1[[#This Row],[Capacity (MW)]]*8760*0.72*10^-6</f>
        <v>0.25228800000000001</v>
      </c>
      <c r="O1517" s="2" cm="1">
        <f t="array" ref="O1517">AVERAGE(VLOOKUP(_xlfn.TEXTSPLIT(Table1[[#This Row],[Fuel (no space after comma)]], ","), FuelList_Final_EF!$A$2:$B$32, 2, FALSE))</f>
        <v>46.81075382182393</v>
      </c>
      <c r="P1517" s="2">
        <f>(16112*Table1[[#This Row],[Generation (TWh)]]*10^9)/10^6</f>
        <v>4064864.2560000005</v>
      </c>
      <c r="Q1517" s="2">
        <f>Table1[[#This Row],[Emission Factor (kg CO2/ mmBtu)]]*Table1[[#This Row],[Fuel Consumption (mmBtu)]]*10^3</f>
        <v>190279360006.74753</v>
      </c>
      <c r="R1517" s="2">
        <f>(Table1[[#This Row],[CO2 Emissions (g CO2)]])/(Table1[[#This Row],[Generation (TWh)]]*10^9)</f>
        <v>754.21486557722733</v>
      </c>
    </row>
    <row r="1518" spans="1:18" hidden="1">
      <c r="A1518" t="s">
        <v>949</v>
      </c>
      <c r="B1518" t="s">
        <v>210</v>
      </c>
      <c r="C1518" t="str">
        <f>SUBSTITUTE(Table1[[#This Row],[Fuel]],", ",",")</f>
        <v>bioenergy: wood &amp; other biomass (solids),bioenergy: agricultural waste (solids)</v>
      </c>
      <c r="D1518" t="s">
        <v>25</v>
      </c>
      <c r="E1518" t="s">
        <v>46</v>
      </c>
      <c r="G1518">
        <v>75</v>
      </c>
      <c r="H1518" t="s">
        <v>53</v>
      </c>
      <c r="I1518">
        <v>2024</v>
      </c>
      <c r="J1518" t="s">
        <v>21</v>
      </c>
      <c r="K1518">
        <v>34.624600000000001</v>
      </c>
      <c r="L1518">
        <v>138.21369999999999</v>
      </c>
      <c r="M1518" t="s">
        <v>51</v>
      </c>
      <c r="N1518" s="2">
        <f>Table1[[#This Row],[Capacity (MW)]]*8760*0.72*10^-6</f>
        <v>0.47303999999999996</v>
      </c>
      <c r="O1518" s="2" cm="1">
        <f t="array" ref="O1518">AVERAGE(VLOOKUP(_xlfn.TEXTSPLIT(Table1[[#This Row],[Fuel (no space after comma)]], ","), FuelList_Final_EF!$A$2:$B$32, 2, FALSE))</f>
        <v>105.985</v>
      </c>
      <c r="P1518" s="2">
        <f>(16112*Table1[[#This Row],[Generation (TWh)]]*10^9)/10^6</f>
        <v>7621620.4800000004</v>
      </c>
      <c r="Q1518" s="2">
        <f>Table1[[#This Row],[Emission Factor (kg CO2/ mmBtu)]]*Table1[[#This Row],[Fuel Consumption (mmBtu)]]*10^3</f>
        <v>807777446572.80005</v>
      </c>
      <c r="R1518" s="2">
        <f>(Table1[[#This Row],[CO2 Emissions (g CO2)]])/(Table1[[#This Row],[Generation (TWh)]]*10^9)</f>
        <v>1707.6303200000002</v>
      </c>
    </row>
    <row r="1519" spans="1:18">
      <c r="A1519" t="s">
        <v>950</v>
      </c>
      <c r="B1519" t="s">
        <v>46</v>
      </c>
      <c r="C1519" t="str">
        <f>SUBSTITUTE(Table1[[#This Row],[Fuel]],", ",",")</f>
        <v>bioenergy: agricultural waste (solids)</v>
      </c>
      <c r="D1519" t="s">
        <v>46</v>
      </c>
      <c r="G1519">
        <v>35</v>
      </c>
      <c r="H1519" t="s">
        <v>94</v>
      </c>
      <c r="I1519" t="s">
        <v>21</v>
      </c>
      <c r="J1519" t="s">
        <v>21</v>
      </c>
      <c r="K1519">
        <v>6.1180000000000003</v>
      </c>
      <c r="L1519">
        <v>35.990299999999998</v>
      </c>
      <c r="M1519" t="s">
        <v>391</v>
      </c>
      <c r="N1519" s="2">
        <f>Table1[[#This Row],[Capacity (MW)]]*8760*0.72*10^-6</f>
        <v>0.220752</v>
      </c>
      <c r="O1519" s="2" cm="1">
        <f t="array" ref="O1519">AVERAGE(VLOOKUP(_xlfn.TEXTSPLIT(Table1[[#This Row],[Fuel (no space after comma)]], ","), FuelList_Final_EF!$A$2:$B$32, 2, FALSE))</f>
        <v>118.17</v>
      </c>
      <c r="P1519" s="2">
        <f>(16112*Table1[[#This Row],[Generation (TWh)]]*10^9)/10^6</f>
        <v>3556756.2239999999</v>
      </c>
      <c r="Q1519" s="2">
        <f>Table1[[#This Row],[Emission Factor (kg CO2/ mmBtu)]]*Table1[[#This Row],[Fuel Consumption (mmBtu)]]*10^3</f>
        <v>420301882990.08002</v>
      </c>
      <c r="R1519" s="2">
        <f>(Table1[[#This Row],[CO2 Emissions (g CO2)]])/(Table1[[#This Row],[Generation (TWh)]]*10^9)</f>
        <v>1903.9550400000001</v>
      </c>
    </row>
    <row r="1520" spans="1:18" hidden="1">
      <c r="A1520" t="s">
        <v>950</v>
      </c>
      <c r="B1520" t="s">
        <v>46</v>
      </c>
      <c r="C1520" t="str">
        <f>SUBSTITUTE(Table1[[#This Row],[Fuel]],", ",",")</f>
        <v>bioenergy: agricultural waste (solids)</v>
      </c>
      <c r="D1520" t="s">
        <v>46</v>
      </c>
      <c r="G1520">
        <v>60</v>
      </c>
      <c r="H1520" t="s">
        <v>27</v>
      </c>
      <c r="I1520">
        <v>2017</v>
      </c>
      <c r="J1520" t="s">
        <v>21</v>
      </c>
      <c r="K1520">
        <v>6.0871000000000004</v>
      </c>
      <c r="L1520">
        <v>35.917099999999998</v>
      </c>
      <c r="M1520" t="s">
        <v>391</v>
      </c>
      <c r="N1520" s="2">
        <f>Table1[[#This Row],[Capacity (MW)]]*8760*0.72*10^-6</f>
        <v>0.37843199999999999</v>
      </c>
      <c r="O1520" s="2" cm="1">
        <f t="array" ref="O1520">AVERAGE(VLOOKUP(_xlfn.TEXTSPLIT(Table1[[#This Row],[Fuel (no space after comma)]], ","), FuelList_Final_EF!$A$2:$B$32, 2, FALSE))</f>
        <v>118.17</v>
      </c>
      <c r="P1520" s="2">
        <f>(16112*Table1[[#This Row],[Generation (TWh)]]*10^9)/10^6</f>
        <v>6097296.3839999996</v>
      </c>
      <c r="Q1520" s="2">
        <f>Table1[[#This Row],[Emission Factor (kg CO2/ mmBtu)]]*Table1[[#This Row],[Fuel Consumption (mmBtu)]]*10^3</f>
        <v>720517513697.27991</v>
      </c>
      <c r="R1520" s="2">
        <f>(Table1[[#This Row],[CO2 Emissions (g CO2)]])/(Table1[[#This Row],[Generation (TWh)]]*10^9)</f>
        <v>1903.9550399999998</v>
      </c>
    </row>
    <row r="1521" spans="1:18" hidden="1">
      <c r="A1521" t="s">
        <v>950</v>
      </c>
      <c r="B1521" t="s">
        <v>46</v>
      </c>
      <c r="C1521" t="str">
        <f>SUBSTITUTE(Table1[[#This Row],[Fuel]],", ",",")</f>
        <v>bioenergy: agricultural waste (solids)</v>
      </c>
      <c r="D1521" t="s">
        <v>46</v>
      </c>
      <c r="G1521">
        <v>76</v>
      </c>
      <c r="H1521" t="s">
        <v>27</v>
      </c>
      <c r="I1521">
        <v>2018</v>
      </c>
      <c r="J1521" t="s">
        <v>21</v>
      </c>
      <c r="K1521">
        <v>5.9683000000000002</v>
      </c>
      <c r="L1521">
        <v>36.010199999999998</v>
      </c>
      <c r="M1521" t="s">
        <v>391</v>
      </c>
      <c r="N1521" s="2">
        <f>Table1[[#This Row],[Capacity (MW)]]*8760*0.72*10^-6</f>
        <v>0.47934719999999992</v>
      </c>
      <c r="O1521" s="2" cm="1">
        <f t="array" ref="O1521">AVERAGE(VLOOKUP(_xlfn.TEXTSPLIT(Table1[[#This Row],[Fuel (no space after comma)]], ","), FuelList_Final_EF!$A$2:$B$32, 2, FALSE))</f>
        <v>118.17</v>
      </c>
      <c r="P1521" s="2">
        <f>(16112*Table1[[#This Row],[Generation (TWh)]]*10^9)/10^6</f>
        <v>7723242.0863999994</v>
      </c>
      <c r="Q1521" s="2">
        <f>Table1[[#This Row],[Emission Factor (kg CO2/ mmBtu)]]*Table1[[#This Row],[Fuel Consumption (mmBtu)]]*10^3</f>
        <v>912655517349.88794</v>
      </c>
      <c r="R1521" s="2">
        <f>(Table1[[#This Row],[CO2 Emissions (g CO2)]])/(Table1[[#This Row],[Generation (TWh)]]*10^9)</f>
        <v>1903.9550400000001</v>
      </c>
    </row>
    <row r="1522" spans="1:18" hidden="1">
      <c r="A1522" t="s">
        <v>951</v>
      </c>
      <c r="B1522" t="s">
        <v>25</v>
      </c>
      <c r="C1522" t="str">
        <f>SUBSTITUTE(Table1[[#This Row],[Fuel]],", ",",")</f>
        <v>bioenergy: wood &amp; other biomass (solids)</v>
      </c>
      <c r="D1522" t="s">
        <v>25</v>
      </c>
      <c r="G1522">
        <v>50</v>
      </c>
      <c r="H1522" t="s">
        <v>27</v>
      </c>
      <c r="I1522">
        <v>2021</v>
      </c>
      <c r="J1522" t="s">
        <v>21</v>
      </c>
      <c r="K1522">
        <v>-20.383900000000001</v>
      </c>
      <c r="L1522">
        <v>-51.425800000000002</v>
      </c>
      <c r="M1522" t="s">
        <v>49</v>
      </c>
      <c r="N1522" s="2">
        <f>Table1[[#This Row],[Capacity (MW)]]*8760*0.72*10^-6</f>
        <v>0.31535999999999997</v>
      </c>
      <c r="O1522" s="2" cm="1">
        <f t="array" ref="O1522">AVERAGE(VLOOKUP(_xlfn.TEXTSPLIT(Table1[[#This Row],[Fuel (no space after comma)]], ","), FuelList_Final_EF!$A$2:$B$32, 2, FALSE))</f>
        <v>93.8</v>
      </c>
      <c r="P1522" s="2">
        <f>(16112*Table1[[#This Row],[Generation (TWh)]]*10^9)/10^6</f>
        <v>5081080.32</v>
      </c>
      <c r="Q1522" s="2">
        <f>Table1[[#This Row],[Emission Factor (kg CO2/ mmBtu)]]*Table1[[#This Row],[Fuel Consumption (mmBtu)]]*10^3</f>
        <v>476605334016.00006</v>
      </c>
      <c r="R1522" s="2">
        <f>(Table1[[#This Row],[CO2 Emissions (g CO2)]])/(Table1[[#This Row],[Generation (TWh)]]*10^9)</f>
        <v>1511.3056000000001</v>
      </c>
    </row>
    <row r="1523" spans="1:18" hidden="1">
      <c r="A1523" t="s">
        <v>952</v>
      </c>
      <c r="B1523" t="s">
        <v>19</v>
      </c>
      <c r="C1523" t="str">
        <f>SUBSTITUTE(Table1[[#This Row],[Fuel]],", ",",")</f>
        <v>bioenergy: refuse (municipal and industrial wastes)</v>
      </c>
      <c r="D1523" t="s">
        <v>19</v>
      </c>
      <c r="G1523">
        <v>40</v>
      </c>
      <c r="H1523" t="s">
        <v>27</v>
      </c>
      <c r="I1523">
        <v>1994</v>
      </c>
      <c r="J1523" t="s">
        <v>21</v>
      </c>
      <c r="K1523">
        <v>43.0047</v>
      </c>
      <c r="L1523">
        <v>-76.114900000000006</v>
      </c>
      <c r="M1523" t="s">
        <v>62</v>
      </c>
      <c r="N1523" s="2">
        <f>Table1[[#This Row],[Capacity (MW)]]*8760*0.72*10^-6</f>
        <v>0.25228800000000001</v>
      </c>
      <c r="O1523" s="2" cm="1">
        <f t="array" ref="O1523">AVERAGE(VLOOKUP(_xlfn.TEXTSPLIT(Table1[[#This Row],[Fuel (no space after comma)]], ","), FuelList_Final_EF!$A$2:$B$32, 2, FALSE))</f>
        <v>105.42962572482868</v>
      </c>
      <c r="P1523" s="2">
        <f>(16112*Table1[[#This Row],[Generation (TWh)]]*10^9)/10^6</f>
        <v>4064864.2560000005</v>
      </c>
      <c r="Q1523" s="2">
        <f>Table1[[#This Row],[Emission Factor (kg CO2/ mmBtu)]]*Table1[[#This Row],[Fuel Consumption (mmBtu)]]*10^3</f>
        <v>428557117132.31427</v>
      </c>
      <c r="R1523" s="2">
        <f>(Table1[[#This Row],[CO2 Emissions (g CO2)]])/(Table1[[#This Row],[Generation (TWh)]]*10^9)</f>
        <v>1698.6821296784401</v>
      </c>
    </row>
    <row r="1524" spans="1:18" hidden="1">
      <c r="A1524" t="s">
        <v>953</v>
      </c>
      <c r="B1524" t="s">
        <v>251</v>
      </c>
      <c r="C1524" t="str">
        <f>SUBSTITUTE(Table1[[#This Row],[Fuel]],", ",",")</f>
        <v>bioenergy: wood &amp; other biomass (solids),bioenergy: refuse (municipal and industrial wastes)</v>
      </c>
      <c r="D1524" t="s">
        <v>25</v>
      </c>
      <c r="E1524" t="s">
        <v>19</v>
      </c>
      <c r="G1524">
        <v>25</v>
      </c>
      <c r="H1524" t="s">
        <v>53</v>
      </c>
      <c r="I1524">
        <v>2024</v>
      </c>
      <c r="J1524" t="s">
        <v>21</v>
      </c>
      <c r="K1524">
        <v>47.501741000000003</v>
      </c>
      <c r="L1524">
        <v>18.271075</v>
      </c>
      <c r="M1524" t="s">
        <v>166</v>
      </c>
      <c r="N1524" s="2">
        <f>Table1[[#This Row],[Capacity (MW)]]*8760*0.72*10^-6</f>
        <v>0.15767999999999999</v>
      </c>
      <c r="O1524" s="2" cm="1">
        <f t="array" ref="O1524">AVERAGE(VLOOKUP(_xlfn.TEXTSPLIT(Table1[[#This Row],[Fuel (no space after comma)]], ","), FuelList_Final_EF!$A$2:$B$32, 2, FALSE))</f>
        <v>99.61481286241434</v>
      </c>
      <c r="P1524" s="2">
        <f>(16112*Table1[[#This Row],[Generation (TWh)]]*10^9)/10^6</f>
        <v>2540540.16</v>
      </c>
      <c r="Q1524" s="2">
        <f>Table1[[#This Row],[Emission Factor (kg CO2/ mmBtu)]]*Table1[[#This Row],[Fuel Consumption (mmBtu)]]*10^3</f>
        <v>253075432607.84821</v>
      </c>
      <c r="R1524" s="2">
        <f>(Table1[[#This Row],[CO2 Emissions (g CO2)]])/(Table1[[#This Row],[Generation (TWh)]]*10^9)</f>
        <v>1604.9938648392199</v>
      </c>
    </row>
    <row r="1525" spans="1:18" hidden="1">
      <c r="A1525" t="s">
        <v>954</v>
      </c>
      <c r="B1525" t="s">
        <v>251</v>
      </c>
      <c r="C1525" t="str">
        <f>SUBSTITUTE(Table1[[#This Row],[Fuel]],", ",",")</f>
        <v>bioenergy: wood &amp; other biomass (solids),bioenergy: refuse (municipal and industrial wastes)</v>
      </c>
      <c r="D1525" t="s">
        <v>25</v>
      </c>
      <c r="E1525" t="s">
        <v>19</v>
      </c>
      <c r="G1525">
        <v>25</v>
      </c>
      <c r="H1525" t="s">
        <v>53</v>
      </c>
      <c r="I1525">
        <v>2024</v>
      </c>
      <c r="J1525" t="s">
        <v>21</v>
      </c>
      <c r="K1525">
        <v>47.501741000000003</v>
      </c>
      <c r="L1525">
        <v>18.271075</v>
      </c>
      <c r="M1525" t="s">
        <v>166</v>
      </c>
      <c r="N1525" s="2">
        <f>Table1[[#This Row],[Capacity (MW)]]*8760*0.72*10^-6</f>
        <v>0.15767999999999999</v>
      </c>
      <c r="O1525" s="2" cm="1">
        <f t="array" ref="O1525">AVERAGE(VLOOKUP(_xlfn.TEXTSPLIT(Table1[[#This Row],[Fuel (no space after comma)]], ","), FuelList_Final_EF!$A$2:$B$32, 2, FALSE))</f>
        <v>99.61481286241434</v>
      </c>
      <c r="P1525" s="2">
        <f>(16112*Table1[[#This Row],[Generation (TWh)]]*10^9)/10^6</f>
        <v>2540540.16</v>
      </c>
      <c r="Q1525" s="2">
        <f>Table1[[#This Row],[Emission Factor (kg CO2/ mmBtu)]]*Table1[[#This Row],[Fuel Consumption (mmBtu)]]*10^3</f>
        <v>253075432607.84821</v>
      </c>
      <c r="R1525" s="2">
        <f>(Table1[[#This Row],[CO2 Emissions (g CO2)]])/(Table1[[#This Row],[Generation (TWh)]]*10^9)</f>
        <v>1604.9938648392199</v>
      </c>
    </row>
    <row r="1526" spans="1:18" hidden="1">
      <c r="A1526" t="s">
        <v>953</v>
      </c>
      <c r="B1526" t="s">
        <v>251</v>
      </c>
      <c r="C1526" t="str">
        <f>SUBSTITUTE(Table1[[#This Row],[Fuel]],", ",",")</f>
        <v>bioenergy: wood &amp; other biomass (solids),bioenergy: refuse (municipal and industrial wastes)</v>
      </c>
      <c r="D1526" t="s">
        <v>25</v>
      </c>
      <c r="E1526" t="s">
        <v>19</v>
      </c>
      <c r="G1526">
        <v>25</v>
      </c>
      <c r="H1526" t="s">
        <v>53</v>
      </c>
      <c r="I1526">
        <v>1961</v>
      </c>
      <c r="J1526" t="s">
        <v>21</v>
      </c>
      <c r="K1526">
        <v>47.501741000000003</v>
      </c>
      <c r="L1526">
        <v>18.271075</v>
      </c>
      <c r="M1526" t="s">
        <v>166</v>
      </c>
      <c r="N1526" s="2">
        <f>Table1[[#This Row],[Capacity (MW)]]*8760*0.72*10^-6</f>
        <v>0.15767999999999999</v>
      </c>
      <c r="O1526" s="2" cm="1">
        <f t="array" ref="O1526">AVERAGE(VLOOKUP(_xlfn.TEXTSPLIT(Table1[[#This Row],[Fuel (no space after comma)]], ","), FuelList_Final_EF!$A$2:$B$32, 2, FALSE))</f>
        <v>99.61481286241434</v>
      </c>
      <c r="P1526" s="2">
        <f>(16112*Table1[[#This Row],[Generation (TWh)]]*10^9)/10^6</f>
        <v>2540540.16</v>
      </c>
      <c r="Q1526" s="2">
        <f>Table1[[#This Row],[Emission Factor (kg CO2/ mmBtu)]]*Table1[[#This Row],[Fuel Consumption (mmBtu)]]*10^3</f>
        <v>253075432607.84821</v>
      </c>
      <c r="R1526" s="2">
        <f>(Table1[[#This Row],[CO2 Emissions (g CO2)]])/(Table1[[#This Row],[Generation (TWh)]]*10^9)</f>
        <v>1604.9938648392199</v>
      </c>
    </row>
    <row r="1527" spans="1:18" hidden="1">
      <c r="A1527" t="s">
        <v>954</v>
      </c>
      <c r="B1527" t="s">
        <v>251</v>
      </c>
      <c r="C1527" t="str">
        <f>SUBSTITUTE(Table1[[#This Row],[Fuel]],", ",",")</f>
        <v>bioenergy: wood &amp; other biomass (solids),bioenergy: refuse (municipal and industrial wastes)</v>
      </c>
      <c r="D1527" t="s">
        <v>25</v>
      </c>
      <c r="E1527" t="s">
        <v>19</v>
      </c>
      <c r="G1527">
        <v>25</v>
      </c>
      <c r="H1527" t="s">
        <v>53</v>
      </c>
      <c r="I1527">
        <v>1961</v>
      </c>
      <c r="J1527" t="s">
        <v>21</v>
      </c>
      <c r="K1527">
        <v>47.501741000000003</v>
      </c>
      <c r="L1527">
        <v>18.271075</v>
      </c>
      <c r="M1527" t="s">
        <v>166</v>
      </c>
      <c r="N1527" s="2">
        <f>Table1[[#This Row],[Capacity (MW)]]*8760*0.72*10^-6</f>
        <v>0.15767999999999999</v>
      </c>
      <c r="O1527" s="2" cm="1">
        <f t="array" ref="O1527">AVERAGE(VLOOKUP(_xlfn.TEXTSPLIT(Table1[[#This Row],[Fuel (no space after comma)]], ","), FuelList_Final_EF!$A$2:$B$32, 2, FALSE))</f>
        <v>99.61481286241434</v>
      </c>
      <c r="P1527" s="2">
        <f>(16112*Table1[[#This Row],[Generation (TWh)]]*10^9)/10^6</f>
        <v>2540540.16</v>
      </c>
      <c r="Q1527" s="2">
        <f>Table1[[#This Row],[Emission Factor (kg CO2/ mmBtu)]]*Table1[[#This Row],[Fuel Consumption (mmBtu)]]*10^3</f>
        <v>253075432607.84821</v>
      </c>
      <c r="R1527" s="2">
        <f>(Table1[[#This Row],[CO2 Emissions (g CO2)]])/(Table1[[#This Row],[Generation (TWh)]]*10^9)</f>
        <v>1604.9938648392199</v>
      </c>
    </row>
    <row r="1528" spans="1:18" hidden="1">
      <c r="A1528" t="s">
        <v>955</v>
      </c>
      <c r="B1528" t="s">
        <v>25</v>
      </c>
      <c r="C1528" t="str">
        <f>SUBSTITUTE(Table1[[#This Row],[Fuel]],", ",",")</f>
        <v>bioenergy: wood &amp; other biomass (solids)</v>
      </c>
      <c r="D1528" t="s">
        <v>25</v>
      </c>
      <c r="G1528">
        <v>38</v>
      </c>
      <c r="H1528" t="s">
        <v>27</v>
      </c>
      <c r="I1528">
        <v>2014</v>
      </c>
      <c r="J1528" t="s">
        <v>21</v>
      </c>
      <c r="K1528">
        <v>55.789400000000001</v>
      </c>
      <c r="L1528">
        <v>13.255699999999999</v>
      </c>
      <c r="M1528" t="s">
        <v>34</v>
      </c>
      <c r="N1528" s="2">
        <f>Table1[[#This Row],[Capacity (MW)]]*8760*0.72*10^-6</f>
        <v>0.23967359999999996</v>
      </c>
      <c r="O1528" s="2" cm="1">
        <f t="array" ref="O1528">AVERAGE(VLOOKUP(_xlfn.TEXTSPLIT(Table1[[#This Row],[Fuel (no space after comma)]], ","), FuelList_Final_EF!$A$2:$B$32, 2, FALSE))</f>
        <v>93.8</v>
      </c>
      <c r="P1528" s="2">
        <f>(16112*Table1[[#This Row],[Generation (TWh)]]*10^9)/10^6</f>
        <v>3861621.0431999997</v>
      </c>
      <c r="Q1528" s="2">
        <f>Table1[[#This Row],[Emission Factor (kg CO2/ mmBtu)]]*Table1[[#This Row],[Fuel Consumption (mmBtu)]]*10^3</f>
        <v>362220053852.15997</v>
      </c>
      <c r="R1528" s="2">
        <f>(Table1[[#This Row],[CO2 Emissions (g CO2)]])/(Table1[[#This Row],[Generation (TWh)]]*10^9)</f>
        <v>1511.3056000000001</v>
      </c>
    </row>
    <row r="1529" spans="1:18" hidden="1">
      <c r="A1529" t="s">
        <v>955</v>
      </c>
      <c r="B1529" t="s">
        <v>25</v>
      </c>
      <c r="C1529" t="str">
        <f>SUBSTITUTE(Table1[[#This Row],[Fuel]],", ",",")</f>
        <v>bioenergy: wood &amp; other biomass (solids)</v>
      </c>
      <c r="D1529" t="s">
        <v>25</v>
      </c>
      <c r="G1529">
        <v>45</v>
      </c>
      <c r="H1529" t="s">
        <v>20</v>
      </c>
      <c r="I1529">
        <v>2027</v>
      </c>
      <c r="J1529" t="s">
        <v>21</v>
      </c>
      <c r="K1529">
        <v>55.789400000000001</v>
      </c>
      <c r="L1529">
        <v>13.255699999999999</v>
      </c>
      <c r="M1529" t="s">
        <v>34</v>
      </c>
      <c r="N1529" s="2">
        <f>Table1[[#This Row],[Capacity (MW)]]*8760*0.72*10^-6</f>
        <v>0.28382399999999997</v>
      </c>
      <c r="O1529" s="2" cm="1">
        <f t="array" ref="O1529">AVERAGE(VLOOKUP(_xlfn.TEXTSPLIT(Table1[[#This Row],[Fuel (no space after comma)]], ","), FuelList_Final_EF!$A$2:$B$32, 2, FALSE))</f>
        <v>93.8</v>
      </c>
      <c r="P1529" s="2">
        <f>(16112*Table1[[#This Row],[Generation (TWh)]]*10^9)/10^6</f>
        <v>4572972.2879999988</v>
      </c>
      <c r="Q1529" s="2">
        <f>Table1[[#This Row],[Emission Factor (kg CO2/ mmBtu)]]*Table1[[#This Row],[Fuel Consumption (mmBtu)]]*10^3</f>
        <v>428944800614.39984</v>
      </c>
      <c r="R1529" s="2">
        <f>(Table1[[#This Row],[CO2 Emissions (g CO2)]])/(Table1[[#This Row],[Generation (TWh)]]*10^9)</f>
        <v>1511.3055999999997</v>
      </c>
    </row>
    <row r="1530" spans="1:18" hidden="1">
      <c r="A1530" t="s">
        <v>956</v>
      </c>
      <c r="B1530" t="s">
        <v>25</v>
      </c>
      <c r="C1530" t="str">
        <f>SUBSTITUTE(Table1[[#This Row],[Fuel]],", ",",")</f>
        <v>bioenergy: wood &amp; other biomass (solids)</v>
      </c>
      <c r="D1530" t="s">
        <v>25</v>
      </c>
      <c r="G1530">
        <v>40</v>
      </c>
      <c r="H1530" t="s">
        <v>27</v>
      </c>
      <c r="I1530">
        <v>2002</v>
      </c>
      <c r="J1530" t="s">
        <v>21</v>
      </c>
      <c r="K1530">
        <v>63.207000000000001</v>
      </c>
      <c r="L1530">
        <v>14.650600000000001</v>
      </c>
      <c r="M1530" t="s">
        <v>34</v>
      </c>
      <c r="N1530" s="2">
        <f>Table1[[#This Row],[Capacity (MW)]]*8760*0.72*10^-6</f>
        <v>0.25228800000000001</v>
      </c>
      <c r="O1530" s="2" cm="1">
        <f t="array" ref="O1530">AVERAGE(VLOOKUP(_xlfn.TEXTSPLIT(Table1[[#This Row],[Fuel (no space after comma)]], ","), FuelList_Final_EF!$A$2:$B$32, 2, FALSE))</f>
        <v>93.8</v>
      </c>
      <c r="P1530" s="2">
        <f>(16112*Table1[[#This Row],[Generation (TWh)]]*10^9)/10^6</f>
        <v>4064864.2560000005</v>
      </c>
      <c r="Q1530" s="2">
        <f>Table1[[#This Row],[Emission Factor (kg CO2/ mmBtu)]]*Table1[[#This Row],[Fuel Consumption (mmBtu)]]*10^3</f>
        <v>381284267212.80005</v>
      </c>
      <c r="R1530" s="2">
        <f>(Table1[[#This Row],[CO2 Emissions (g CO2)]])/(Table1[[#This Row],[Generation (TWh)]]*10^9)</f>
        <v>1511.3056000000001</v>
      </c>
    </row>
    <row r="1531" spans="1:18" hidden="1">
      <c r="A1531" t="s">
        <v>956</v>
      </c>
      <c r="B1531" t="s">
        <v>25</v>
      </c>
      <c r="C1531" t="str">
        <f>SUBSTITUTE(Table1[[#This Row],[Fuel]],", ",",")</f>
        <v>bioenergy: wood &amp; other biomass (solids)</v>
      </c>
      <c r="D1531" t="s">
        <v>25</v>
      </c>
      <c r="G1531">
        <v>75</v>
      </c>
      <c r="H1531" t="s">
        <v>53</v>
      </c>
      <c r="I1531">
        <v>2024</v>
      </c>
      <c r="J1531" t="s">
        <v>21</v>
      </c>
      <c r="K1531">
        <v>63.207000000000001</v>
      </c>
      <c r="L1531">
        <v>14.650600000000001</v>
      </c>
      <c r="M1531" t="s">
        <v>34</v>
      </c>
      <c r="N1531" s="2">
        <f>Table1[[#This Row],[Capacity (MW)]]*8760*0.72*10^-6</f>
        <v>0.47303999999999996</v>
      </c>
      <c r="O1531" s="2" cm="1">
        <f t="array" ref="O1531">AVERAGE(VLOOKUP(_xlfn.TEXTSPLIT(Table1[[#This Row],[Fuel (no space after comma)]], ","), FuelList_Final_EF!$A$2:$B$32, 2, FALSE))</f>
        <v>93.8</v>
      </c>
      <c r="P1531" s="2">
        <f>(16112*Table1[[#This Row],[Generation (TWh)]]*10^9)/10^6</f>
        <v>7621620.4800000004</v>
      </c>
      <c r="Q1531" s="2">
        <f>Table1[[#This Row],[Emission Factor (kg CO2/ mmBtu)]]*Table1[[#This Row],[Fuel Consumption (mmBtu)]]*10^3</f>
        <v>714908001024</v>
      </c>
      <c r="R1531" s="2">
        <f>(Table1[[#This Row],[CO2 Emissions (g CO2)]])/(Table1[[#This Row],[Generation (TWh)]]*10^9)</f>
        <v>1511.3056000000001</v>
      </c>
    </row>
    <row r="1532" spans="1:18" hidden="1">
      <c r="A1532" t="s">
        <v>957</v>
      </c>
      <c r="B1532" t="s">
        <v>46</v>
      </c>
      <c r="C1532" t="str">
        <f>SUBSTITUTE(Table1[[#This Row],[Fuel]],", ",",")</f>
        <v>bioenergy: agricultural waste (solids)</v>
      </c>
      <c r="D1532" t="s">
        <v>46</v>
      </c>
      <c r="G1532">
        <v>37</v>
      </c>
      <c r="H1532" t="s">
        <v>27</v>
      </c>
      <c r="I1532">
        <v>2016</v>
      </c>
      <c r="J1532" t="s">
        <v>21</v>
      </c>
      <c r="K1532">
        <v>55.100000010000002</v>
      </c>
      <c r="L1532">
        <v>14.70000001</v>
      </c>
      <c r="M1532" t="s">
        <v>83</v>
      </c>
      <c r="N1532" s="2">
        <f>Table1[[#This Row],[Capacity (MW)]]*8760*0.72*10^-6</f>
        <v>0.23336639999999997</v>
      </c>
      <c r="O1532" s="2" cm="1">
        <f t="array" ref="O1532">AVERAGE(VLOOKUP(_xlfn.TEXTSPLIT(Table1[[#This Row],[Fuel (no space after comma)]], ","), FuelList_Final_EF!$A$2:$B$32, 2, FALSE))</f>
        <v>118.17</v>
      </c>
      <c r="P1532" s="2">
        <f>(16112*Table1[[#This Row],[Generation (TWh)]]*10^9)/10^6</f>
        <v>3759999.4367999998</v>
      </c>
      <c r="Q1532" s="2">
        <f>Table1[[#This Row],[Emission Factor (kg CO2/ mmBtu)]]*Table1[[#This Row],[Fuel Consumption (mmBtu)]]*10^3</f>
        <v>444319133446.65601</v>
      </c>
      <c r="R1532" s="2">
        <f>(Table1[[#This Row],[CO2 Emissions (g CO2)]])/(Table1[[#This Row],[Generation (TWh)]]*10^9)</f>
        <v>1903.9550400000003</v>
      </c>
    </row>
    <row r="1533" spans="1:18" hidden="1">
      <c r="A1533" t="s">
        <v>958</v>
      </c>
      <c r="B1533" t="s">
        <v>61</v>
      </c>
      <c r="C1533" t="str">
        <f>SUBSTITUTE(Table1[[#This Row],[Fuel]],", ",",")</f>
        <v>bioenergy: paper mill wastes</v>
      </c>
      <c r="D1533" t="s">
        <v>61</v>
      </c>
      <c r="G1533">
        <v>75</v>
      </c>
      <c r="H1533" t="s">
        <v>27</v>
      </c>
      <c r="I1533">
        <v>2006</v>
      </c>
      <c r="J1533" t="s">
        <v>21</v>
      </c>
      <c r="K1533">
        <v>62.475299999999997</v>
      </c>
      <c r="L1533">
        <v>17.326899999999998</v>
      </c>
      <c r="M1533" t="s">
        <v>34</v>
      </c>
      <c r="N1533" s="2">
        <f>Table1[[#This Row],[Capacity (MW)]]*8760*0.72*10^-6</f>
        <v>0.47303999999999996</v>
      </c>
      <c r="O1533" s="2" cm="1">
        <f t="array" ref="O1533">AVERAGE(VLOOKUP(_xlfn.TEXTSPLIT(Table1[[#This Row],[Fuel (no space after comma)]], ","), FuelList_Final_EF!$A$2:$B$32, 2, FALSE))</f>
        <v>100.47443331576173</v>
      </c>
      <c r="P1533" s="2">
        <f>(16112*Table1[[#This Row],[Generation (TWh)]]*10^9)/10^6</f>
        <v>7621620.4800000004</v>
      </c>
      <c r="Q1533" s="2">
        <f>Table1[[#This Row],[Emission Factor (kg CO2/ mmBtu)]]*Table1[[#This Row],[Fuel Consumption (mmBtu)]]*10^3</f>
        <v>765777998675.80396</v>
      </c>
      <c r="R1533" s="2">
        <f>(Table1[[#This Row],[CO2 Emissions (g CO2)]])/(Table1[[#This Row],[Generation (TWh)]]*10^9)</f>
        <v>1618.8440695835534</v>
      </c>
    </row>
    <row r="1534" spans="1:18" hidden="1">
      <c r="A1534" t="s">
        <v>959</v>
      </c>
      <c r="B1534" t="s">
        <v>960</v>
      </c>
      <c r="C1534" t="str">
        <f>SUBSTITUTE(Table1[[#This Row],[Fuel]],", ",",")</f>
        <v>bioenergy: paper mill wastes,bioenergy: refuse (municipal and industrial wastes),coal: unknown</v>
      </c>
      <c r="D1534" t="s">
        <v>61</v>
      </c>
      <c r="E1534" t="s">
        <v>19</v>
      </c>
      <c r="F1534" t="s">
        <v>65</v>
      </c>
      <c r="G1534">
        <v>37</v>
      </c>
      <c r="H1534" t="s">
        <v>27</v>
      </c>
      <c r="I1534">
        <v>2010</v>
      </c>
      <c r="J1534" t="s">
        <v>21</v>
      </c>
      <c r="K1534">
        <v>53.100499999999997</v>
      </c>
      <c r="L1534">
        <v>21.607500000000002</v>
      </c>
      <c r="M1534" t="s">
        <v>196</v>
      </c>
      <c r="N1534" s="2">
        <f>Table1[[#This Row],[Capacity (MW)]]*8760*0.72*10^-6</f>
        <v>0.23336639999999997</v>
      </c>
      <c r="O1534" s="2" cm="1">
        <f t="array" ref="O1534">AVERAGE(VLOOKUP(_xlfn.TEXTSPLIT(Table1[[#This Row],[Fuel (no space after comma)]], ","), FuelList_Final_EF!$A$2:$B$32, 2, FALSE))</f>
        <v>102.33702337023369</v>
      </c>
      <c r="P1534" s="2">
        <f>(16112*Table1[[#This Row],[Generation (TWh)]]*10^9)/10^6</f>
        <v>3759999.4367999998</v>
      </c>
      <c r="Q1534" s="2">
        <f>Table1[[#This Row],[Emission Factor (kg CO2/ mmBtu)]]*Table1[[#This Row],[Fuel Consumption (mmBtu)]]*10^3</f>
        <v>384787150235.86707</v>
      </c>
      <c r="R1534" s="2">
        <f>(Table1[[#This Row],[CO2 Emissions (g CO2)]])/(Table1[[#This Row],[Generation (TWh)]]*10^9)</f>
        <v>1648.8541205412052</v>
      </c>
    </row>
    <row r="1535" spans="1:18">
      <c r="A1535" t="s">
        <v>961</v>
      </c>
      <c r="B1535" t="s">
        <v>46</v>
      </c>
      <c r="C1535" t="str">
        <f>SUBSTITUTE(Table1[[#This Row],[Fuel]],", ",",")</f>
        <v>bioenergy: agricultural waste (solids)</v>
      </c>
      <c r="D1535" t="s">
        <v>46</v>
      </c>
      <c r="G1535">
        <v>40</v>
      </c>
      <c r="H1535" t="s">
        <v>20</v>
      </c>
      <c r="I1535" t="s">
        <v>21</v>
      </c>
      <c r="J1535" t="s">
        <v>21</v>
      </c>
      <c r="K1535">
        <v>-19.226900000000001</v>
      </c>
      <c r="L1535">
        <v>17.7363</v>
      </c>
      <c r="M1535" t="s">
        <v>962</v>
      </c>
      <c r="N1535" s="2">
        <f>Table1[[#This Row],[Capacity (MW)]]*8760*0.72*10^-6</f>
        <v>0.25228800000000001</v>
      </c>
      <c r="O1535" s="2" cm="1">
        <f t="array" ref="O1535">AVERAGE(VLOOKUP(_xlfn.TEXTSPLIT(Table1[[#This Row],[Fuel (no space after comma)]], ","), FuelList_Final_EF!$A$2:$B$32, 2, FALSE))</f>
        <v>118.17</v>
      </c>
      <c r="P1535" s="2">
        <f>(16112*Table1[[#This Row],[Generation (TWh)]]*10^9)/10^6</f>
        <v>4064864.2560000005</v>
      </c>
      <c r="Q1535" s="2">
        <f>Table1[[#This Row],[Emission Factor (kg CO2/ mmBtu)]]*Table1[[#This Row],[Fuel Consumption (mmBtu)]]*10^3</f>
        <v>480345009131.52008</v>
      </c>
      <c r="R1535" s="2">
        <f>(Table1[[#This Row],[CO2 Emissions (g CO2)]])/(Table1[[#This Row],[Generation (TWh)]]*10^9)</f>
        <v>1903.9550400000003</v>
      </c>
    </row>
    <row r="1536" spans="1:18" hidden="1">
      <c r="A1536" t="s">
        <v>961</v>
      </c>
      <c r="B1536" t="s">
        <v>25</v>
      </c>
      <c r="C1536" t="str">
        <f>SUBSTITUTE(Table1[[#This Row],[Fuel]],", ",",")</f>
        <v>bioenergy: wood &amp; other biomass (solids)</v>
      </c>
      <c r="D1536" t="s">
        <v>25</v>
      </c>
      <c r="G1536">
        <v>40</v>
      </c>
      <c r="H1536" t="s">
        <v>20</v>
      </c>
      <c r="I1536">
        <v>2025</v>
      </c>
      <c r="J1536" t="s">
        <v>21</v>
      </c>
      <c r="K1536">
        <v>-20.4482</v>
      </c>
      <c r="L1536">
        <v>16.656500000000001</v>
      </c>
      <c r="M1536" t="s">
        <v>962</v>
      </c>
      <c r="N1536" s="2">
        <f>Table1[[#This Row],[Capacity (MW)]]*8760*0.72*10^-6</f>
        <v>0.25228800000000001</v>
      </c>
      <c r="O1536" s="2" cm="1">
        <f t="array" ref="O1536">AVERAGE(VLOOKUP(_xlfn.TEXTSPLIT(Table1[[#This Row],[Fuel (no space after comma)]], ","), FuelList_Final_EF!$A$2:$B$32, 2, FALSE))</f>
        <v>93.8</v>
      </c>
      <c r="P1536" s="2">
        <f>(16112*Table1[[#This Row],[Generation (TWh)]]*10^9)/10^6</f>
        <v>4064864.2560000005</v>
      </c>
      <c r="Q1536" s="2">
        <f>Table1[[#This Row],[Emission Factor (kg CO2/ mmBtu)]]*Table1[[#This Row],[Fuel Consumption (mmBtu)]]*10^3</f>
        <v>381284267212.80005</v>
      </c>
      <c r="R1536" s="2">
        <f>(Table1[[#This Row],[CO2 Emissions (g CO2)]])/(Table1[[#This Row],[Generation (TWh)]]*10^9)</f>
        <v>1511.3056000000001</v>
      </c>
    </row>
    <row r="1537" spans="1:18">
      <c r="A1537" t="s">
        <v>959</v>
      </c>
      <c r="B1537" t="s">
        <v>963</v>
      </c>
      <c r="C1537" t="str">
        <f>SUBSTITUTE(Table1[[#This Row],[Fuel]],", ",",")</f>
        <v>bioenergy: paper mill wastes,bioenergy: wood &amp; other biomass (solids),other: other</v>
      </c>
      <c r="D1537" t="s">
        <v>61</v>
      </c>
      <c r="E1537" t="s">
        <v>25</v>
      </c>
      <c r="F1537" t="s">
        <v>216</v>
      </c>
      <c r="G1537">
        <v>35</v>
      </c>
      <c r="H1537" t="s">
        <v>27</v>
      </c>
      <c r="I1537" t="s">
        <v>21</v>
      </c>
      <c r="J1537" t="s">
        <v>21</v>
      </c>
      <c r="K1537">
        <v>64.996899999999997</v>
      </c>
      <c r="L1537">
        <v>25.430399999999999</v>
      </c>
      <c r="M1537" t="s">
        <v>28</v>
      </c>
      <c r="N1537" s="2">
        <f>Table1[[#This Row],[Capacity (MW)]]*8760*0.72*10^-6</f>
        <v>0.220752</v>
      </c>
      <c r="O1537" s="2" cm="1">
        <f t="array" ref="O1537">AVERAGE(VLOOKUP(_xlfn.TEXTSPLIT(Table1[[#This Row],[Fuel (no space after comma)]], ","), FuelList_Final_EF!$A$2:$B$32, 2, FALSE))</f>
        <v>93.414811105253918</v>
      </c>
      <c r="P1537" s="2">
        <f>(16112*Table1[[#This Row],[Generation (TWh)]]*10^9)/10^6</f>
        <v>3556756.2239999999</v>
      </c>
      <c r="Q1537" s="2">
        <f>Table1[[#This Row],[Emission Factor (kg CO2/ mmBtu)]]*Table1[[#This Row],[Fuel Consumption (mmBtu)]]*10^3</f>
        <v>332253710812.39618</v>
      </c>
      <c r="R1537" s="2">
        <f>(Table1[[#This Row],[CO2 Emissions (g CO2)]])/(Table1[[#This Row],[Generation (TWh)]]*10^9)</f>
        <v>1505.0994365278511</v>
      </c>
    </row>
    <row r="1538" spans="1:18" hidden="1">
      <c r="A1538" t="s">
        <v>964</v>
      </c>
      <c r="B1538" t="s">
        <v>25</v>
      </c>
      <c r="C1538" t="str">
        <f>SUBSTITUTE(Table1[[#This Row],[Fuel]],", ",",")</f>
        <v>bioenergy: wood &amp; other biomass (solids)</v>
      </c>
      <c r="D1538" t="s">
        <v>25</v>
      </c>
      <c r="G1538">
        <v>50</v>
      </c>
      <c r="H1538" t="s">
        <v>53</v>
      </c>
      <c r="I1538">
        <v>2024</v>
      </c>
      <c r="J1538" t="s">
        <v>21</v>
      </c>
      <c r="K1538">
        <v>33.622799999999998</v>
      </c>
      <c r="L1538">
        <v>132.49870000000001</v>
      </c>
      <c r="M1538" t="s">
        <v>51</v>
      </c>
      <c r="N1538" s="2">
        <f>Table1[[#This Row],[Capacity (MW)]]*8760*0.72*10^-6</f>
        <v>0.31535999999999997</v>
      </c>
      <c r="O1538" s="2" cm="1">
        <f t="array" ref="O1538">AVERAGE(VLOOKUP(_xlfn.TEXTSPLIT(Table1[[#This Row],[Fuel (no space after comma)]], ","), FuelList_Final_EF!$A$2:$B$32, 2, FALSE))</f>
        <v>93.8</v>
      </c>
      <c r="P1538" s="2">
        <f>(16112*Table1[[#This Row],[Generation (TWh)]]*10^9)/10^6</f>
        <v>5081080.32</v>
      </c>
      <c r="Q1538" s="2">
        <f>Table1[[#This Row],[Emission Factor (kg CO2/ mmBtu)]]*Table1[[#This Row],[Fuel Consumption (mmBtu)]]*10^3</f>
        <v>476605334016.00006</v>
      </c>
      <c r="R1538" s="2">
        <f>(Table1[[#This Row],[CO2 Emissions (g CO2)]])/(Table1[[#This Row],[Generation (TWh)]]*10^9)</f>
        <v>1511.3056000000001</v>
      </c>
    </row>
    <row r="1539" spans="1:18" hidden="1">
      <c r="A1539" t="s">
        <v>230</v>
      </c>
      <c r="B1539" t="s">
        <v>231</v>
      </c>
      <c r="C1539" t="str">
        <f>SUBSTITUTE(Table1[[#This Row],[Fuel]],", ",",")</f>
        <v>bioenergy: paper mill wastes,fossil gas: natural gas</v>
      </c>
      <c r="D1539" t="s">
        <v>61</v>
      </c>
      <c r="E1539" t="s">
        <v>69</v>
      </c>
      <c r="G1539">
        <v>32</v>
      </c>
      <c r="H1539" t="s">
        <v>27</v>
      </c>
      <c r="I1539">
        <v>1993</v>
      </c>
      <c r="J1539" t="s">
        <v>21</v>
      </c>
      <c r="K1539">
        <v>29.680700000000002</v>
      </c>
      <c r="L1539">
        <v>-81.680899999999994</v>
      </c>
      <c r="M1539" t="s">
        <v>62</v>
      </c>
      <c r="N1539" s="2">
        <f>Table1[[#This Row],[Capacity (MW)]]*8760*0.72*10^-6</f>
        <v>0.20183039999999999</v>
      </c>
      <c r="O1539" s="2" cm="1">
        <f t="array" ref="O1539">AVERAGE(VLOOKUP(_xlfn.TEXTSPLIT(Table1[[#This Row],[Fuel (no space after comma)]], ","), FuelList_Final_EF!$A$2:$B$32, 2, FALSE))</f>
        <v>76.767216657880866</v>
      </c>
      <c r="P1539" s="2">
        <f>(16112*Table1[[#This Row],[Generation (TWh)]]*10^9)/10^6</f>
        <v>3251891.4047999997</v>
      </c>
      <c r="Q1539" s="2">
        <f>Table1[[#This Row],[Emission Factor (kg CO2/ mmBtu)]]*Table1[[#This Row],[Fuel Consumption (mmBtu)]]*10^3</f>
        <v>249638652020.18213</v>
      </c>
      <c r="R1539" s="2">
        <f>(Table1[[#This Row],[CO2 Emissions (g CO2)]])/(Table1[[#This Row],[Generation (TWh)]]*10^9)</f>
        <v>1236.8733947917763</v>
      </c>
    </row>
    <row r="1540" spans="1:18" hidden="1">
      <c r="A1540" t="s">
        <v>230</v>
      </c>
      <c r="B1540" t="s">
        <v>231</v>
      </c>
      <c r="C1540" t="str">
        <f>SUBSTITUTE(Table1[[#This Row],[Fuel]],", ",",")</f>
        <v>bioenergy: paper mill wastes,fossil gas: natural gas</v>
      </c>
      <c r="D1540" t="s">
        <v>61</v>
      </c>
      <c r="E1540" t="s">
        <v>69</v>
      </c>
      <c r="G1540">
        <v>48</v>
      </c>
      <c r="H1540" t="s">
        <v>27</v>
      </c>
      <c r="I1540">
        <v>1965</v>
      </c>
      <c r="J1540" t="s">
        <v>21</v>
      </c>
      <c r="K1540">
        <v>29.680700000000002</v>
      </c>
      <c r="L1540">
        <v>-81.680899999999994</v>
      </c>
      <c r="M1540" t="s">
        <v>62</v>
      </c>
      <c r="N1540" s="2">
        <f>Table1[[#This Row],[Capacity (MW)]]*8760*0.72*10^-6</f>
        <v>0.30274559999999995</v>
      </c>
      <c r="O1540" s="2" cm="1">
        <f t="array" ref="O1540">AVERAGE(VLOOKUP(_xlfn.TEXTSPLIT(Table1[[#This Row],[Fuel (no space after comma)]], ","), FuelList_Final_EF!$A$2:$B$32, 2, FALSE))</f>
        <v>76.767216657880866</v>
      </c>
      <c r="P1540" s="2">
        <f>(16112*Table1[[#This Row],[Generation (TWh)]]*10^9)/10^6</f>
        <v>4877837.1071999986</v>
      </c>
      <c r="Q1540" s="2">
        <f>Table1[[#This Row],[Emission Factor (kg CO2/ mmBtu)]]*Table1[[#This Row],[Fuel Consumption (mmBtu)]]*10^3</f>
        <v>374457978030.27313</v>
      </c>
      <c r="R1540" s="2">
        <f>(Table1[[#This Row],[CO2 Emissions (g CO2)]])/(Table1[[#This Row],[Generation (TWh)]]*10^9)</f>
        <v>1236.8733947917763</v>
      </c>
    </row>
    <row r="1541" spans="1:18" hidden="1">
      <c r="A1541" t="s">
        <v>965</v>
      </c>
      <c r="B1541" t="s">
        <v>19</v>
      </c>
      <c r="C1541" t="str">
        <f>SUBSTITUTE(Table1[[#This Row],[Fuel]],", ",",")</f>
        <v>bioenergy: refuse (municipal and industrial wastes)</v>
      </c>
      <c r="D1541" t="s">
        <v>19</v>
      </c>
      <c r="G1541">
        <v>62</v>
      </c>
      <c r="H1541" t="s">
        <v>27</v>
      </c>
      <c r="I1541">
        <v>1989</v>
      </c>
      <c r="J1541" t="s">
        <v>21</v>
      </c>
      <c r="K1541">
        <v>26.773399999999999</v>
      </c>
      <c r="L1541">
        <v>-80.142799999999994</v>
      </c>
      <c r="M1541" t="s">
        <v>62</v>
      </c>
      <c r="N1541" s="2">
        <f>Table1[[#This Row],[Capacity (MW)]]*8760*0.72*10^-6</f>
        <v>0.39104639999999996</v>
      </c>
      <c r="O1541" s="2" cm="1">
        <f t="array" ref="O1541">AVERAGE(VLOOKUP(_xlfn.TEXTSPLIT(Table1[[#This Row],[Fuel (no space after comma)]], ","), FuelList_Final_EF!$A$2:$B$32, 2, FALSE))</f>
        <v>105.42962572482868</v>
      </c>
      <c r="P1541" s="2">
        <f>(16112*Table1[[#This Row],[Generation (TWh)]]*10^9)/10^6</f>
        <v>6300539.5967999995</v>
      </c>
      <c r="Q1541" s="2">
        <f>Table1[[#This Row],[Emission Factor (kg CO2/ mmBtu)]]*Table1[[#This Row],[Fuel Consumption (mmBtu)]]*10^3</f>
        <v>664263531555.08691</v>
      </c>
      <c r="R1541" s="2">
        <f>(Table1[[#This Row],[CO2 Emissions (g CO2)]])/(Table1[[#This Row],[Generation (TWh)]]*10^9)</f>
        <v>1698.6821296784397</v>
      </c>
    </row>
    <row r="1542" spans="1:18" hidden="1">
      <c r="A1542" t="s">
        <v>965</v>
      </c>
      <c r="B1542" t="s">
        <v>309</v>
      </c>
      <c r="C1542" t="str">
        <f>SUBSTITUTE(Table1[[#This Row],[Fuel]],", ",",")</f>
        <v>bioenergy: refuse (municipal and industrial wastes),fossil gas: natural gas</v>
      </c>
      <c r="D1542" t="s">
        <v>19</v>
      </c>
      <c r="E1542" t="s">
        <v>69</v>
      </c>
      <c r="G1542">
        <v>96</v>
      </c>
      <c r="H1542" t="s">
        <v>27</v>
      </c>
      <c r="I1542">
        <v>2015</v>
      </c>
      <c r="J1542" t="s">
        <v>21</v>
      </c>
      <c r="K1542">
        <v>26.775700000000001</v>
      </c>
      <c r="L1542">
        <v>-80.141800000000003</v>
      </c>
      <c r="M1542" t="s">
        <v>62</v>
      </c>
      <c r="N1542" s="2">
        <f>Table1[[#This Row],[Capacity (MW)]]*8760*0.72*10^-6</f>
        <v>0.6054911999999999</v>
      </c>
      <c r="O1542" s="2" cm="1">
        <f t="array" ref="O1542">AVERAGE(VLOOKUP(_xlfn.TEXTSPLIT(Table1[[#This Row],[Fuel (no space after comma)]], ","), FuelList_Final_EF!$A$2:$B$32, 2, FALSE))</f>
        <v>79.244812862414335</v>
      </c>
      <c r="P1542" s="2">
        <f>(16112*Table1[[#This Row],[Generation (TWh)]]*10^9)/10^6</f>
        <v>9755674.2143999971</v>
      </c>
      <c r="Q1542" s="2">
        <f>Table1[[#This Row],[Emission Factor (kg CO2/ mmBtu)]]*Table1[[#This Row],[Fuel Consumption (mmBtu)]]*10^3</f>
        <v>773086577466.80884</v>
      </c>
      <c r="R1542" s="2">
        <f>(Table1[[#This Row],[CO2 Emissions (g CO2)]])/(Table1[[#This Row],[Generation (TWh)]]*10^9)</f>
        <v>1276.7924248392198</v>
      </c>
    </row>
    <row r="1543" spans="1:18" hidden="1">
      <c r="A1543" t="s">
        <v>966</v>
      </c>
      <c r="B1543" t="s">
        <v>64</v>
      </c>
      <c r="C1543" t="str">
        <f>SUBSTITUTE(Table1[[#This Row],[Fuel]],", ",",")</f>
        <v>bioenergy: agricultural waste (solids),coal: unknown</v>
      </c>
      <c r="D1543" t="s">
        <v>46</v>
      </c>
      <c r="E1543" t="s">
        <v>65</v>
      </c>
      <c r="G1543">
        <v>31</v>
      </c>
      <c r="H1543" t="s">
        <v>94</v>
      </c>
      <c r="I1543">
        <v>2012</v>
      </c>
      <c r="J1543" t="s">
        <v>21</v>
      </c>
      <c r="K1543">
        <v>14.488</v>
      </c>
      <c r="L1543">
        <v>-91.398600000000002</v>
      </c>
      <c r="M1543" t="s">
        <v>708</v>
      </c>
      <c r="N1543" s="2">
        <f>Table1[[#This Row],[Capacity (MW)]]*8760*0.72*10^-6</f>
        <v>0.19552319999999998</v>
      </c>
      <c r="O1543" s="2" cm="1">
        <f t="array" ref="O1543">AVERAGE(VLOOKUP(_xlfn.TEXTSPLIT(Table1[[#This Row],[Fuel (no space after comma)]], ","), FuelList_Final_EF!$A$2:$B$32, 2, FALSE))</f>
        <v>109.63850553505534</v>
      </c>
      <c r="P1543" s="2">
        <f>(16112*Table1[[#This Row],[Generation (TWh)]]*10^9)/10^6</f>
        <v>3150269.7983999997</v>
      </c>
      <c r="Q1543" s="2">
        <f>Table1[[#This Row],[Emission Factor (kg CO2/ mmBtu)]]*Table1[[#This Row],[Fuel Consumption (mmBtu)]]*10^3</f>
        <v>345390872728.79608</v>
      </c>
      <c r="R1543" s="2">
        <f>(Table1[[#This Row],[CO2 Emissions (g CO2)]])/(Table1[[#This Row],[Generation (TWh)]]*10^9)</f>
        <v>1766.4956011808119</v>
      </c>
    </row>
    <row r="1544" spans="1:18" hidden="1">
      <c r="A1544" t="s">
        <v>966</v>
      </c>
      <c r="B1544" t="s">
        <v>64</v>
      </c>
      <c r="C1544" t="str">
        <f>SUBSTITUTE(Table1[[#This Row],[Fuel]],", ",",")</f>
        <v>bioenergy: agricultural waste (solids),coal: unknown</v>
      </c>
      <c r="D1544" t="s">
        <v>46</v>
      </c>
      <c r="E1544" t="s">
        <v>65</v>
      </c>
      <c r="G1544">
        <v>46</v>
      </c>
      <c r="H1544" t="s">
        <v>27</v>
      </c>
      <c r="I1544">
        <v>2015</v>
      </c>
      <c r="J1544" t="s">
        <v>21</v>
      </c>
      <c r="K1544">
        <v>14.488</v>
      </c>
      <c r="L1544">
        <v>-91.398600000000002</v>
      </c>
      <c r="M1544" t="s">
        <v>708</v>
      </c>
      <c r="N1544" s="2">
        <f>Table1[[#This Row],[Capacity (MW)]]*8760*0.72*10^-6</f>
        <v>0.29013119999999998</v>
      </c>
      <c r="O1544" s="2" cm="1">
        <f t="array" ref="O1544">AVERAGE(VLOOKUP(_xlfn.TEXTSPLIT(Table1[[#This Row],[Fuel (no space after comma)]], ","), FuelList_Final_EF!$A$2:$B$32, 2, FALSE))</f>
        <v>109.63850553505534</v>
      </c>
      <c r="P1544" s="2">
        <f>(16112*Table1[[#This Row],[Generation (TWh)]]*10^9)/10^6</f>
        <v>4674593.8943999996</v>
      </c>
      <c r="Q1544" s="2">
        <f>Table1[[#This Row],[Emission Factor (kg CO2/ mmBtu)]]*Table1[[#This Row],[Fuel Consumption (mmBtu)]]*10^3</f>
        <v>512515488565.3103</v>
      </c>
      <c r="R1544" s="2">
        <f>(Table1[[#This Row],[CO2 Emissions (g CO2)]])/(Table1[[#This Row],[Generation (TWh)]]*10^9)</f>
        <v>1766.4956011808117</v>
      </c>
    </row>
    <row r="1545" spans="1:18" hidden="1">
      <c r="A1545" t="s">
        <v>21</v>
      </c>
      <c r="B1545" t="s">
        <v>46</v>
      </c>
      <c r="C1545" t="str">
        <f>SUBSTITUTE(Table1[[#This Row],[Fuel]],", ",",")</f>
        <v>bioenergy: agricultural waste (solids)</v>
      </c>
      <c r="D1545" t="s">
        <v>46</v>
      </c>
      <c r="G1545">
        <v>30</v>
      </c>
      <c r="H1545" t="s">
        <v>27</v>
      </c>
      <c r="I1545">
        <v>2009</v>
      </c>
      <c r="J1545" t="s">
        <v>21</v>
      </c>
      <c r="K1545">
        <v>16.7668</v>
      </c>
      <c r="L1545">
        <v>74.135599999999997</v>
      </c>
      <c r="M1545" t="s">
        <v>66</v>
      </c>
      <c r="N1545" s="2">
        <f>Table1[[#This Row],[Capacity (MW)]]*8760*0.72*10^-6</f>
        <v>0.189216</v>
      </c>
      <c r="O1545" s="2" cm="1">
        <f t="array" ref="O1545">AVERAGE(VLOOKUP(_xlfn.TEXTSPLIT(Table1[[#This Row],[Fuel (no space after comma)]], ","), FuelList_Final_EF!$A$2:$B$32, 2, FALSE))</f>
        <v>118.17</v>
      </c>
      <c r="P1545" s="2">
        <f>(16112*Table1[[#This Row],[Generation (TWh)]]*10^9)/10^6</f>
        <v>3048648.1919999998</v>
      </c>
      <c r="Q1545" s="2">
        <f>Table1[[#This Row],[Emission Factor (kg CO2/ mmBtu)]]*Table1[[#This Row],[Fuel Consumption (mmBtu)]]*10^3</f>
        <v>360258756848.63995</v>
      </c>
      <c r="R1545" s="2">
        <f>(Table1[[#This Row],[CO2 Emissions (g CO2)]])/(Table1[[#This Row],[Generation (TWh)]]*10^9)</f>
        <v>1903.9550399999998</v>
      </c>
    </row>
    <row r="1546" spans="1:18" hidden="1">
      <c r="A1546" t="s">
        <v>967</v>
      </c>
      <c r="B1546" t="s">
        <v>46</v>
      </c>
      <c r="C1546" t="str">
        <f>SUBSTITUTE(Table1[[#This Row],[Fuel]],", ",",")</f>
        <v>bioenergy: agricultural waste (solids)</v>
      </c>
      <c r="D1546" t="s">
        <v>46</v>
      </c>
      <c r="G1546">
        <v>47</v>
      </c>
      <c r="H1546" t="s">
        <v>27</v>
      </c>
      <c r="I1546">
        <v>1999</v>
      </c>
      <c r="J1546" t="s">
        <v>21</v>
      </c>
      <c r="K1546">
        <v>13.758100000000001</v>
      </c>
      <c r="L1546">
        <v>101.33369999999999</v>
      </c>
      <c r="M1546" t="s">
        <v>819</v>
      </c>
      <c r="N1546" s="2">
        <f>Table1[[#This Row],[Capacity (MW)]]*8760*0.72*10^-6</f>
        <v>0.29643839999999994</v>
      </c>
      <c r="O1546" s="2" cm="1">
        <f t="array" ref="O1546">AVERAGE(VLOOKUP(_xlfn.TEXTSPLIT(Table1[[#This Row],[Fuel (no space after comma)]], ","), FuelList_Final_EF!$A$2:$B$32, 2, FALSE))</f>
        <v>118.17</v>
      </c>
      <c r="P1546" s="2">
        <f>(16112*Table1[[#This Row],[Generation (TWh)]]*10^9)/10^6</f>
        <v>4776215.5007999986</v>
      </c>
      <c r="Q1546" s="2">
        <f>Table1[[#This Row],[Emission Factor (kg CO2/ mmBtu)]]*Table1[[#This Row],[Fuel Consumption (mmBtu)]]*10^3</f>
        <v>564405385729.53577</v>
      </c>
      <c r="R1546" s="2">
        <f>(Table1[[#This Row],[CO2 Emissions (g CO2)]])/(Table1[[#This Row],[Generation (TWh)]]*10^9)</f>
        <v>1903.9550399999996</v>
      </c>
    </row>
    <row r="1547" spans="1:18" hidden="1">
      <c r="A1547" t="s">
        <v>709</v>
      </c>
      <c r="B1547" t="s">
        <v>881</v>
      </c>
      <c r="C1547" t="str">
        <f>SUBSTITUTE(Table1[[#This Row],[Fuel]],", ",",")</f>
        <v>bioenergy: agricultural waste (solids),fossil liquids: fuel oil</v>
      </c>
      <c r="D1547" t="s">
        <v>46</v>
      </c>
      <c r="E1547" t="s">
        <v>606</v>
      </c>
      <c r="G1547">
        <v>60</v>
      </c>
      <c r="H1547" t="s">
        <v>27</v>
      </c>
      <c r="I1547">
        <v>1997</v>
      </c>
      <c r="J1547" t="s">
        <v>21</v>
      </c>
      <c r="K1547">
        <v>14.332800000000001</v>
      </c>
      <c r="L1547">
        <v>-90.994299999999996</v>
      </c>
      <c r="M1547" t="s">
        <v>708</v>
      </c>
      <c r="N1547" s="2">
        <f>Table1[[#This Row],[Capacity (MW)]]*8760*0.72*10^-6</f>
        <v>0.37843199999999999</v>
      </c>
      <c r="O1547" s="2" cm="1">
        <f t="array" ref="O1547">AVERAGE(VLOOKUP(_xlfn.TEXTSPLIT(Table1[[#This Row],[Fuel (no space after comma)]], ","), FuelList_Final_EF!$A$2:$B$32, 2, FALSE))</f>
        <v>98.138341148886283</v>
      </c>
      <c r="P1547" s="2">
        <f>(16112*Table1[[#This Row],[Generation (TWh)]]*10^9)/10^6</f>
        <v>6097296.3839999996</v>
      </c>
      <c r="Q1547" s="2">
        <f>Table1[[#This Row],[Emission Factor (kg CO2/ mmBtu)]]*Table1[[#This Row],[Fuel Consumption (mmBtu)]]*10^3</f>
        <v>598378552618.86279</v>
      </c>
      <c r="R1547" s="2">
        <f>(Table1[[#This Row],[CO2 Emissions (g CO2)]])/(Table1[[#This Row],[Generation (TWh)]]*10^9)</f>
        <v>1581.204952590856</v>
      </c>
    </row>
    <row r="1548" spans="1:18" hidden="1">
      <c r="A1548" t="s">
        <v>709</v>
      </c>
      <c r="B1548" t="s">
        <v>707</v>
      </c>
      <c r="C1548" t="str">
        <f>SUBSTITUTE(Table1[[#This Row],[Fuel]],", ",",")</f>
        <v>bioenergy: agricultural waste (solids),coal: unknown,fossil liquids: fuel oil</v>
      </c>
      <c r="D1548" t="s">
        <v>46</v>
      </c>
      <c r="E1548" t="s">
        <v>65</v>
      </c>
      <c r="F1548" t="s">
        <v>606</v>
      </c>
      <c r="G1548">
        <v>61</v>
      </c>
      <c r="H1548" t="s">
        <v>27</v>
      </c>
      <c r="I1548">
        <v>2015</v>
      </c>
      <c r="J1548" t="s">
        <v>21</v>
      </c>
      <c r="K1548">
        <v>14.332800000000001</v>
      </c>
      <c r="L1548">
        <v>-90.994299999999996</v>
      </c>
      <c r="M1548" t="s">
        <v>708</v>
      </c>
      <c r="N1548" s="2">
        <f>Table1[[#This Row],[Capacity (MW)]]*8760*0.72*10^-6</f>
        <v>0.3847392</v>
      </c>
      <c r="O1548" s="2" cm="1">
        <f t="array" ref="O1548">AVERAGE(VLOOKUP(_xlfn.TEXTSPLIT(Table1[[#This Row],[Fuel (no space after comma)]], ","), FuelList_Final_EF!$A$2:$B$32, 2, FALSE))</f>
        <v>99.127897789294423</v>
      </c>
      <c r="P1548" s="2">
        <f>(16112*Table1[[#This Row],[Generation (TWh)]]*10^9)/10^6</f>
        <v>6198917.9903999995</v>
      </c>
      <c r="Q1548" s="2">
        <f>Table1[[#This Row],[Emission Factor (kg CO2/ mmBtu)]]*Table1[[#This Row],[Fuel Consumption (mmBtu)]]*10^3</f>
        <v>614485708956.5896</v>
      </c>
      <c r="R1548" s="2">
        <f>(Table1[[#This Row],[CO2 Emissions (g CO2)]])/(Table1[[#This Row],[Generation (TWh)]]*10^9)</f>
        <v>1597.1486891811119</v>
      </c>
    </row>
    <row r="1549" spans="1:18" hidden="1">
      <c r="A1549" t="s">
        <v>968</v>
      </c>
      <c r="B1549" t="s">
        <v>61</v>
      </c>
      <c r="C1549" t="str">
        <f>SUBSTITUTE(Table1[[#This Row],[Fuel]],", ",",")</f>
        <v>bioenergy: paper mill wastes</v>
      </c>
      <c r="D1549" t="s">
        <v>61</v>
      </c>
      <c r="G1549">
        <v>220</v>
      </c>
      <c r="H1549" t="s">
        <v>20</v>
      </c>
      <c r="I1549">
        <v>2027</v>
      </c>
      <c r="J1549" t="s">
        <v>21</v>
      </c>
      <c r="K1549">
        <v>-23.26</v>
      </c>
      <c r="L1549">
        <v>-57.497500000000002</v>
      </c>
      <c r="M1549" t="s">
        <v>969</v>
      </c>
      <c r="N1549" s="2">
        <f>Table1[[#This Row],[Capacity (MW)]]*8760*0.72*10^-6</f>
        <v>1.3875839999999999</v>
      </c>
      <c r="O1549" s="2" cm="1">
        <f t="array" ref="O1549">AVERAGE(VLOOKUP(_xlfn.TEXTSPLIT(Table1[[#This Row],[Fuel (no space after comma)]], ","), FuelList_Final_EF!$A$2:$B$32, 2, FALSE))</f>
        <v>100.47443331576173</v>
      </c>
      <c r="P1549" s="2">
        <f>(16112*Table1[[#This Row],[Generation (TWh)]]*10^9)/10^6</f>
        <v>22356753.408</v>
      </c>
      <c r="Q1549" s="2">
        <f>Table1[[#This Row],[Emission Factor (kg CO2/ mmBtu)]]*Table1[[#This Row],[Fuel Consumption (mmBtu)]]*10^3</f>
        <v>2246282129449.0249</v>
      </c>
      <c r="R1549" s="2">
        <f>(Table1[[#This Row],[CO2 Emissions (g CO2)]])/(Table1[[#This Row],[Generation (TWh)]]*10^9)</f>
        <v>1618.8440695835532</v>
      </c>
    </row>
    <row r="1550" spans="1:18" hidden="1">
      <c r="A1550" t="s">
        <v>970</v>
      </c>
      <c r="B1550" t="s">
        <v>46</v>
      </c>
      <c r="C1550" t="str">
        <f>SUBSTITUTE(Table1[[#This Row],[Fuel]],", ",",")</f>
        <v>bioenergy: agricultural waste (solids)</v>
      </c>
      <c r="D1550" t="s">
        <v>46</v>
      </c>
      <c r="G1550">
        <v>30</v>
      </c>
      <c r="H1550" t="s">
        <v>20</v>
      </c>
      <c r="I1550">
        <v>2026</v>
      </c>
      <c r="J1550" t="s">
        <v>21</v>
      </c>
      <c r="K1550">
        <v>-22.464600000000001</v>
      </c>
      <c r="L1550">
        <v>-50.493400000000001</v>
      </c>
      <c r="M1550" t="s">
        <v>49</v>
      </c>
      <c r="N1550" s="2">
        <f>Table1[[#This Row],[Capacity (MW)]]*8760*0.72*10^-6</f>
        <v>0.189216</v>
      </c>
      <c r="O1550" s="2" cm="1">
        <f t="array" ref="O1550">AVERAGE(VLOOKUP(_xlfn.TEXTSPLIT(Table1[[#This Row],[Fuel (no space after comma)]], ","), FuelList_Final_EF!$A$2:$B$32, 2, FALSE))</f>
        <v>118.17</v>
      </c>
      <c r="P1550" s="2">
        <f>(16112*Table1[[#This Row],[Generation (TWh)]]*10^9)/10^6</f>
        <v>3048648.1919999998</v>
      </c>
      <c r="Q1550" s="2">
        <f>Table1[[#This Row],[Emission Factor (kg CO2/ mmBtu)]]*Table1[[#This Row],[Fuel Consumption (mmBtu)]]*10^3</f>
        <v>360258756848.63995</v>
      </c>
      <c r="R1550" s="2">
        <f>(Table1[[#This Row],[CO2 Emissions (g CO2)]])/(Table1[[#This Row],[Generation (TWh)]]*10^9)</f>
        <v>1903.9550399999998</v>
      </c>
    </row>
    <row r="1551" spans="1:18" hidden="1">
      <c r="A1551" t="s">
        <v>364</v>
      </c>
      <c r="B1551" t="s">
        <v>46</v>
      </c>
      <c r="C1551" t="str">
        <f>SUBSTITUTE(Table1[[#This Row],[Fuel]],", ",",")</f>
        <v>bioenergy: agricultural waste (solids)</v>
      </c>
      <c r="D1551" t="s">
        <v>46</v>
      </c>
      <c r="G1551">
        <v>60</v>
      </c>
      <c r="H1551" t="s">
        <v>27</v>
      </c>
      <c r="I1551">
        <v>2012</v>
      </c>
      <c r="J1551" t="s">
        <v>21</v>
      </c>
      <c r="K1551">
        <v>-22.546299999999999</v>
      </c>
      <c r="L1551">
        <v>-51.818899999999999</v>
      </c>
      <c r="M1551" t="s">
        <v>49</v>
      </c>
      <c r="N1551" s="2">
        <f>Table1[[#This Row],[Capacity (MW)]]*8760*0.72*10^-6</f>
        <v>0.37843199999999999</v>
      </c>
      <c r="O1551" s="2" cm="1">
        <f t="array" ref="O1551">AVERAGE(VLOOKUP(_xlfn.TEXTSPLIT(Table1[[#This Row],[Fuel (no space after comma)]], ","), FuelList_Final_EF!$A$2:$B$32, 2, FALSE))</f>
        <v>118.17</v>
      </c>
      <c r="P1551" s="2">
        <f>(16112*Table1[[#This Row],[Generation (TWh)]]*10^9)/10^6</f>
        <v>6097296.3839999996</v>
      </c>
      <c r="Q1551" s="2">
        <f>Table1[[#This Row],[Emission Factor (kg CO2/ mmBtu)]]*Table1[[#This Row],[Fuel Consumption (mmBtu)]]*10^3</f>
        <v>720517513697.27991</v>
      </c>
      <c r="R1551" s="2">
        <f>(Table1[[#This Row],[CO2 Emissions (g CO2)]])/(Table1[[#This Row],[Generation (TWh)]]*10^9)</f>
        <v>1903.9550399999998</v>
      </c>
    </row>
    <row r="1552" spans="1:18" hidden="1">
      <c r="A1552" t="s">
        <v>971</v>
      </c>
      <c r="B1552" t="s">
        <v>46</v>
      </c>
      <c r="C1552" t="str">
        <f>SUBSTITUTE(Table1[[#This Row],[Fuel]],", ",",")</f>
        <v>bioenergy: agricultural waste (solids)</v>
      </c>
      <c r="D1552" t="s">
        <v>46</v>
      </c>
      <c r="G1552">
        <v>50</v>
      </c>
      <c r="H1552" t="s">
        <v>27</v>
      </c>
      <c r="I1552">
        <v>2011</v>
      </c>
      <c r="J1552" t="s">
        <v>21</v>
      </c>
      <c r="K1552">
        <v>18.904800000000002</v>
      </c>
      <c r="L1552">
        <v>76.727500000000006</v>
      </c>
      <c r="M1552" t="s">
        <v>66</v>
      </c>
      <c r="N1552" s="2">
        <f>Table1[[#This Row],[Capacity (MW)]]*8760*0.72*10^-6</f>
        <v>0.31535999999999997</v>
      </c>
      <c r="O1552" s="2" cm="1">
        <f t="array" ref="O1552">AVERAGE(VLOOKUP(_xlfn.TEXTSPLIT(Table1[[#This Row],[Fuel (no space after comma)]], ","), FuelList_Final_EF!$A$2:$B$32, 2, FALSE))</f>
        <v>118.17</v>
      </c>
      <c r="P1552" s="2">
        <f>(16112*Table1[[#This Row],[Generation (TWh)]]*10^9)/10^6</f>
        <v>5081080.32</v>
      </c>
      <c r="Q1552" s="2">
        <f>Table1[[#This Row],[Emission Factor (kg CO2/ mmBtu)]]*Table1[[#This Row],[Fuel Consumption (mmBtu)]]*10^3</f>
        <v>600431261414.40015</v>
      </c>
      <c r="R1552" s="2">
        <f>(Table1[[#This Row],[CO2 Emissions (g CO2)]])/(Table1[[#This Row],[Generation (TWh)]]*10^9)</f>
        <v>1903.9550400000005</v>
      </c>
    </row>
    <row r="1553" spans="1:18" hidden="1">
      <c r="A1553" t="s">
        <v>972</v>
      </c>
      <c r="B1553" t="s">
        <v>19</v>
      </c>
      <c r="C1553" t="str">
        <f>SUBSTITUTE(Table1[[#This Row],[Fuel]],", ",",")</f>
        <v>bioenergy: refuse (municipal and industrial wastes)</v>
      </c>
      <c r="D1553" t="s">
        <v>19</v>
      </c>
      <c r="G1553">
        <v>31</v>
      </c>
      <c r="H1553" t="s">
        <v>27</v>
      </c>
      <c r="I1553">
        <v>1991</v>
      </c>
      <c r="J1553" t="s">
        <v>21</v>
      </c>
      <c r="K1553">
        <v>28.368099999999998</v>
      </c>
      <c r="L1553">
        <v>-82.558300000000003</v>
      </c>
      <c r="M1553" t="s">
        <v>62</v>
      </c>
      <c r="N1553" s="2">
        <f>Table1[[#This Row],[Capacity (MW)]]*8760*0.72*10^-6</f>
        <v>0.19552319999999998</v>
      </c>
      <c r="O1553" s="2" cm="1">
        <f t="array" ref="O1553">AVERAGE(VLOOKUP(_xlfn.TEXTSPLIT(Table1[[#This Row],[Fuel (no space after comma)]], ","), FuelList_Final_EF!$A$2:$B$32, 2, FALSE))</f>
        <v>105.42962572482868</v>
      </c>
      <c r="P1553" s="2">
        <f>(16112*Table1[[#This Row],[Generation (TWh)]]*10^9)/10^6</f>
        <v>3150269.7983999997</v>
      </c>
      <c r="Q1553" s="2">
        <f>Table1[[#This Row],[Emission Factor (kg CO2/ mmBtu)]]*Table1[[#This Row],[Fuel Consumption (mmBtu)]]*10^3</f>
        <v>332131765777.54346</v>
      </c>
      <c r="R1553" s="2">
        <f>(Table1[[#This Row],[CO2 Emissions (g CO2)]])/(Table1[[#This Row],[Generation (TWh)]]*10^9)</f>
        <v>1698.6821296784397</v>
      </c>
    </row>
    <row r="1554" spans="1:18" hidden="1">
      <c r="A1554" t="s">
        <v>843</v>
      </c>
      <c r="B1554" t="s">
        <v>46</v>
      </c>
      <c r="C1554" t="str">
        <f>SUBSTITUTE(Table1[[#This Row],[Fuel]],", ",",")</f>
        <v>bioenergy: agricultural waste (solids)</v>
      </c>
      <c r="D1554" t="s">
        <v>46</v>
      </c>
      <c r="G1554">
        <v>30</v>
      </c>
      <c r="H1554" t="s">
        <v>27</v>
      </c>
      <c r="I1554">
        <v>2001</v>
      </c>
      <c r="J1554" t="s">
        <v>21</v>
      </c>
      <c r="K1554">
        <v>-21.696200000000001</v>
      </c>
      <c r="L1554">
        <v>-54.557299999999998</v>
      </c>
      <c r="M1554" t="s">
        <v>49</v>
      </c>
      <c r="N1554" s="2">
        <f>Table1[[#This Row],[Capacity (MW)]]*8760*0.72*10^-6</f>
        <v>0.189216</v>
      </c>
      <c r="O1554" s="2" cm="1">
        <f t="array" ref="O1554">AVERAGE(VLOOKUP(_xlfn.TEXTSPLIT(Table1[[#This Row],[Fuel (no space after comma)]], ","), FuelList_Final_EF!$A$2:$B$32, 2, FALSE))</f>
        <v>118.17</v>
      </c>
      <c r="P1554" s="2">
        <f>(16112*Table1[[#This Row],[Generation (TWh)]]*10^9)/10^6</f>
        <v>3048648.1919999998</v>
      </c>
      <c r="Q1554" s="2">
        <f>Table1[[#This Row],[Emission Factor (kg CO2/ mmBtu)]]*Table1[[#This Row],[Fuel Consumption (mmBtu)]]*10^3</f>
        <v>360258756848.63995</v>
      </c>
      <c r="R1554" s="2">
        <f>(Table1[[#This Row],[CO2 Emissions (g CO2)]])/(Table1[[#This Row],[Generation (TWh)]]*10^9)</f>
        <v>1903.9550399999998</v>
      </c>
    </row>
    <row r="1555" spans="1:18" hidden="1">
      <c r="A1555" t="s">
        <v>843</v>
      </c>
      <c r="B1555" t="s">
        <v>46</v>
      </c>
      <c r="C1555" t="str">
        <f>SUBSTITUTE(Table1[[#This Row],[Fuel]],", ",",")</f>
        <v>bioenergy: agricultural waste (solids)</v>
      </c>
      <c r="D1555" t="s">
        <v>46</v>
      </c>
      <c r="G1555">
        <v>45</v>
      </c>
      <c r="H1555" t="s">
        <v>27</v>
      </c>
      <c r="I1555">
        <v>2013</v>
      </c>
      <c r="J1555" t="s">
        <v>21</v>
      </c>
      <c r="K1555">
        <v>-21.696200000000001</v>
      </c>
      <c r="L1555">
        <v>-54.557299999999998</v>
      </c>
      <c r="M1555" t="s">
        <v>49</v>
      </c>
      <c r="N1555" s="2">
        <f>Table1[[#This Row],[Capacity (MW)]]*8760*0.72*10^-6</f>
        <v>0.28382399999999997</v>
      </c>
      <c r="O1555" s="2" cm="1">
        <f t="array" ref="O1555">AVERAGE(VLOOKUP(_xlfn.TEXTSPLIT(Table1[[#This Row],[Fuel (no space after comma)]], ","), FuelList_Final_EF!$A$2:$B$32, 2, FALSE))</f>
        <v>118.17</v>
      </c>
      <c r="P1555" s="2">
        <f>(16112*Table1[[#This Row],[Generation (TWh)]]*10^9)/10^6</f>
        <v>4572972.2879999988</v>
      </c>
      <c r="Q1555" s="2">
        <f>Table1[[#This Row],[Emission Factor (kg CO2/ mmBtu)]]*Table1[[#This Row],[Fuel Consumption (mmBtu)]]*10^3</f>
        <v>540388135272.95984</v>
      </c>
      <c r="R1555" s="2">
        <f>(Table1[[#This Row],[CO2 Emissions (g CO2)]])/(Table1[[#This Row],[Generation (TWh)]]*10^9)</f>
        <v>1903.9550399999998</v>
      </c>
    </row>
    <row r="1556" spans="1:18" hidden="1">
      <c r="A1556" t="s">
        <v>973</v>
      </c>
      <c r="B1556" t="s">
        <v>46</v>
      </c>
      <c r="C1556" t="str">
        <f>SUBSTITUTE(Table1[[#This Row],[Fuel]],", ",",")</f>
        <v>bioenergy: agricultural waste (solids)</v>
      </c>
      <c r="D1556" t="s">
        <v>46</v>
      </c>
      <c r="G1556">
        <v>34</v>
      </c>
      <c r="H1556" t="s">
        <v>27</v>
      </c>
      <c r="I1556">
        <v>2013</v>
      </c>
      <c r="J1556" t="s">
        <v>21</v>
      </c>
      <c r="K1556">
        <v>-21.3093</v>
      </c>
      <c r="L1556">
        <v>-51.847099999999998</v>
      </c>
      <c r="M1556" t="s">
        <v>49</v>
      </c>
      <c r="N1556" s="2">
        <f>Table1[[#This Row],[Capacity (MW)]]*8760*0.72*10^-6</f>
        <v>0.21444479999999999</v>
      </c>
      <c r="O1556" s="2" cm="1">
        <f t="array" ref="O1556">AVERAGE(VLOOKUP(_xlfn.TEXTSPLIT(Table1[[#This Row],[Fuel (no space after comma)]], ","), FuelList_Final_EF!$A$2:$B$32, 2, FALSE))</f>
        <v>118.17</v>
      </c>
      <c r="P1556" s="2">
        <f>(16112*Table1[[#This Row],[Generation (TWh)]]*10^9)/10^6</f>
        <v>3455134.6175999995</v>
      </c>
      <c r="Q1556" s="2">
        <f>Table1[[#This Row],[Emission Factor (kg CO2/ mmBtu)]]*Table1[[#This Row],[Fuel Consumption (mmBtu)]]*10^3</f>
        <v>408293257761.79193</v>
      </c>
      <c r="R1556" s="2">
        <f>(Table1[[#This Row],[CO2 Emissions (g CO2)]])/(Table1[[#This Row],[Generation (TWh)]]*10^9)</f>
        <v>1903.9550399999996</v>
      </c>
    </row>
    <row r="1557" spans="1:18" hidden="1">
      <c r="A1557" t="s">
        <v>346</v>
      </c>
      <c r="B1557" t="s">
        <v>231</v>
      </c>
      <c r="C1557" t="str">
        <f>SUBSTITUTE(Table1[[#This Row],[Fuel]],", ",",")</f>
        <v>bioenergy: paper mill wastes,fossil gas: natural gas</v>
      </c>
      <c r="D1557" t="s">
        <v>61</v>
      </c>
      <c r="E1557" t="s">
        <v>69</v>
      </c>
      <c r="G1557">
        <v>52</v>
      </c>
      <c r="H1557" t="s">
        <v>27</v>
      </c>
      <c r="I1557">
        <v>2011</v>
      </c>
      <c r="J1557" t="s">
        <v>21</v>
      </c>
      <c r="K1557">
        <v>30.694400000000002</v>
      </c>
      <c r="L1557">
        <v>-83.303100000000001</v>
      </c>
      <c r="M1557" t="s">
        <v>62</v>
      </c>
      <c r="N1557" s="2">
        <f>Table1[[#This Row],[Capacity (MW)]]*8760*0.72*10^-6</f>
        <v>0.32797439999999994</v>
      </c>
      <c r="O1557" s="2" cm="1">
        <f t="array" ref="O1557">AVERAGE(VLOOKUP(_xlfn.TEXTSPLIT(Table1[[#This Row],[Fuel (no space after comma)]], ","), FuelList_Final_EF!$A$2:$B$32, 2, FALSE))</f>
        <v>76.767216657880866</v>
      </c>
      <c r="P1557" s="2">
        <f>(16112*Table1[[#This Row],[Generation (TWh)]]*10^9)/10^6</f>
        <v>5284323.5327999992</v>
      </c>
      <c r="Q1557" s="2">
        <f>Table1[[#This Row],[Emission Factor (kg CO2/ mmBtu)]]*Table1[[#This Row],[Fuel Consumption (mmBtu)]]*10^3</f>
        <v>405662809532.79596</v>
      </c>
      <c r="R1557" s="2">
        <f>(Table1[[#This Row],[CO2 Emissions (g CO2)]])/(Table1[[#This Row],[Generation (TWh)]]*10^9)</f>
        <v>1236.8733947917765</v>
      </c>
    </row>
    <row r="1558" spans="1:18">
      <c r="A1558" t="s">
        <v>260</v>
      </c>
      <c r="B1558" t="s">
        <v>25</v>
      </c>
      <c r="C1558" t="str">
        <f>SUBSTITUTE(Table1[[#This Row],[Fuel]],", ",",")</f>
        <v>bioenergy: wood &amp; other biomass (solids)</v>
      </c>
      <c r="D1558" t="s">
        <v>25</v>
      </c>
      <c r="G1558">
        <v>30</v>
      </c>
      <c r="H1558" t="s">
        <v>27</v>
      </c>
      <c r="I1558" t="s">
        <v>21</v>
      </c>
      <c r="J1558" t="s">
        <v>21</v>
      </c>
      <c r="K1558">
        <v>56.371099999999998</v>
      </c>
      <c r="L1558">
        <v>-117.18559999999999</v>
      </c>
      <c r="M1558" t="s">
        <v>79</v>
      </c>
      <c r="N1558" s="2">
        <f>Table1[[#This Row],[Capacity (MW)]]*8760*0.72*10^-6</f>
        <v>0.189216</v>
      </c>
      <c r="O1558" s="2" cm="1">
        <f t="array" ref="O1558">AVERAGE(VLOOKUP(_xlfn.TEXTSPLIT(Table1[[#This Row],[Fuel (no space after comma)]], ","), FuelList_Final_EF!$A$2:$B$32, 2, FALSE))</f>
        <v>93.8</v>
      </c>
      <c r="P1558" s="2">
        <f>(16112*Table1[[#This Row],[Generation (TWh)]]*10^9)/10^6</f>
        <v>3048648.1919999998</v>
      </c>
      <c r="Q1558" s="2">
        <f>Table1[[#This Row],[Emission Factor (kg CO2/ mmBtu)]]*Table1[[#This Row],[Fuel Consumption (mmBtu)]]*10^3</f>
        <v>285963200409.59998</v>
      </c>
      <c r="R1558" s="2">
        <f>(Table1[[#This Row],[CO2 Emissions (g CO2)]])/(Table1[[#This Row],[Generation (TWh)]]*10^9)</f>
        <v>1511.3055999999999</v>
      </c>
    </row>
    <row r="1559" spans="1:18" hidden="1">
      <c r="A1559" t="s">
        <v>974</v>
      </c>
      <c r="B1559" t="s">
        <v>25</v>
      </c>
      <c r="C1559" t="str">
        <f>SUBSTITUTE(Table1[[#This Row],[Fuel]],", ",",")</f>
        <v>bioenergy: wood &amp; other biomass (solids)</v>
      </c>
      <c r="D1559" t="s">
        <v>25</v>
      </c>
      <c r="G1559">
        <v>35</v>
      </c>
      <c r="H1559" t="s">
        <v>27</v>
      </c>
      <c r="I1559">
        <v>1966</v>
      </c>
      <c r="J1559" t="s">
        <v>21</v>
      </c>
      <c r="K1559">
        <v>46.064103000000003</v>
      </c>
      <c r="L1559">
        <v>18.263048000000001</v>
      </c>
      <c r="M1559" t="s">
        <v>166</v>
      </c>
      <c r="N1559" s="2">
        <f>Table1[[#This Row],[Capacity (MW)]]*8760*0.72*10^-6</f>
        <v>0.220752</v>
      </c>
      <c r="O1559" s="2" cm="1">
        <f t="array" ref="O1559">AVERAGE(VLOOKUP(_xlfn.TEXTSPLIT(Table1[[#This Row],[Fuel (no space after comma)]], ","), FuelList_Final_EF!$A$2:$B$32, 2, FALSE))</f>
        <v>93.8</v>
      </c>
      <c r="P1559" s="2">
        <f>(16112*Table1[[#This Row],[Generation (TWh)]]*10^9)/10^6</f>
        <v>3556756.2239999999</v>
      </c>
      <c r="Q1559" s="2">
        <f>Table1[[#This Row],[Emission Factor (kg CO2/ mmBtu)]]*Table1[[#This Row],[Fuel Consumption (mmBtu)]]*10^3</f>
        <v>333623733811.19995</v>
      </c>
      <c r="R1559" s="2">
        <f>(Table1[[#This Row],[CO2 Emissions (g CO2)]])/(Table1[[#This Row],[Generation (TWh)]]*10^9)</f>
        <v>1511.3055999999997</v>
      </c>
    </row>
    <row r="1560" spans="1:18" hidden="1">
      <c r="A1560" t="s">
        <v>974</v>
      </c>
      <c r="B1560" t="s">
        <v>25</v>
      </c>
      <c r="C1560" t="str">
        <f>SUBSTITUTE(Table1[[#This Row],[Fuel]],", ",",")</f>
        <v>bioenergy: wood &amp; other biomass (solids)</v>
      </c>
      <c r="D1560" t="s">
        <v>25</v>
      </c>
      <c r="G1560">
        <v>50</v>
      </c>
      <c r="H1560" t="s">
        <v>27</v>
      </c>
      <c r="I1560">
        <v>2004</v>
      </c>
      <c r="J1560" t="s">
        <v>21</v>
      </c>
      <c r="K1560">
        <v>46.064103000000003</v>
      </c>
      <c r="L1560">
        <v>18.263048000000001</v>
      </c>
      <c r="M1560" t="s">
        <v>166</v>
      </c>
      <c r="N1560" s="2">
        <f>Table1[[#This Row],[Capacity (MW)]]*8760*0.72*10^-6</f>
        <v>0.31535999999999997</v>
      </c>
      <c r="O1560" s="2" cm="1">
        <f t="array" ref="O1560">AVERAGE(VLOOKUP(_xlfn.TEXTSPLIT(Table1[[#This Row],[Fuel (no space after comma)]], ","), FuelList_Final_EF!$A$2:$B$32, 2, FALSE))</f>
        <v>93.8</v>
      </c>
      <c r="P1560" s="2">
        <f>(16112*Table1[[#This Row],[Generation (TWh)]]*10^9)/10^6</f>
        <v>5081080.32</v>
      </c>
      <c r="Q1560" s="2">
        <f>Table1[[#This Row],[Emission Factor (kg CO2/ mmBtu)]]*Table1[[#This Row],[Fuel Consumption (mmBtu)]]*10^3</f>
        <v>476605334016.00006</v>
      </c>
      <c r="R1560" s="2">
        <f>(Table1[[#This Row],[CO2 Emissions (g CO2)]])/(Table1[[#This Row],[Generation (TWh)]]*10^9)</f>
        <v>1511.3056000000001</v>
      </c>
    </row>
    <row r="1561" spans="1:18" hidden="1">
      <c r="A1561" t="s">
        <v>975</v>
      </c>
      <c r="B1561" t="s">
        <v>46</v>
      </c>
      <c r="C1561" t="str">
        <f>SUBSTITUTE(Table1[[#This Row],[Fuel]],", ",",")</f>
        <v>bioenergy: agricultural waste (solids)</v>
      </c>
      <c r="D1561" t="s">
        <v>46</v>
      </c>
      <c r="G1561">
        <v>80</v>
      </c>
      <c r="H1561" t="s">
        <v>27</v>
      </c>
      <c r="I1561">
        <v>2013</v>
      </c>
      <c r="J1561" t="s">
        <v>21</v>
      </c>
      <c r="K1561">
        <v>-9.1980000000000004</v>
      </c>
      <c r="L1561">
        <v>-48.143300000000004</v>
      </c>
      <c r="M1561" t="s">
        <v>49</v>
      </c>
      <c r="N1561" s="2">
        <f>Table1[[#This Row],[Capacity (MW)]]*8760*0.72*10^-6</f>
        <v>0.50457600000000002</v>
      </c>
      <c r="O1561" s="2" cm="1">
        <f t="array" ref="O1561">AVERAGE(VLOOKUP(_xlfn.TEXTSPLIT(Table1[[#This Row],[Fuel (no space after comma)]], ","), FuelList_Final_EF!$A$2:$B$32, 2, FALSE))</f>
        <v>118.17</v>
      </c>
      <c r="P1561" s="2">
        <f>(16112*Table1[[#This Row],[Generation (TWh)]]*10^9)/10^6</f>
        <v>8129728.512000001</v>
      </c>
      <c r="Q1561" s="2">
        <f>Table1[[#This Row],[Emission Factor (kg CO2/ mmBtu)]]*Table1[[#This Row],[Fuel Consumption (mmBtu)]]*10^3</f>
        <v>960690018263.04016</v>
      </c>
      <c r="R1561" s="2">
        <f>(Table1[[#This Row],[CO2 Emissions (g CO2)]])/(Table1[[#This Row],[Generation (TWh)]]*10^9)</f>
        <v>1903.9550400000003</v>
      </c>
    </row>
    <row r="1562" spans="1:18" hidden="1">
      <c r="A1562" t="s">
        <v>225</v>
      </c>
      <c r="B1562" t="s">
        <v>145</v>
      </c>
      <c r="C1562" t="str">
        <f>SUBSTITUTE(Table1[[#This Row],[Fuel]],", ",",")</f>
        <v>bioenergy: paper mill wastes,bioenergy: wood &amp; other biomass (solids),fossil gas: natural gas</v>
      </c>
      <c r="D1562" t="s">
        <v>61</v>
      </c>
      <c r="E1562" t="s">
        <v>25</v>
      </c>
      <c r="F1562" t="s">
        <v>69</v>
      </c>
      <c r="G1562">
        <v>40</v>
      </c>
      <c r="H1562" t="s">
        <v>27</v>
      </c>
      <c r="I1562">
        <v>1981</v>
      </c>
      <c r="J1562" t="s">
        <v>21</v>
      </c>
      <c r="K1562">
        <v>30.596599999999999</v>
      </c>
      <c r="L1562">
        <v>-87.326400000000007</v>
      </c>
      <c r="M1562" t="s">
        <v>62</v>
      </c>
      <c r="N1562" s="2">
        <f>Table1[[#This Row],[Capacity (MW)]]*8760*0.72*10^-6</f>
        <v>0.25228800000000001</v>
      </c>
      <c r="O1562" s="2" cm="1">
        <f t="array" ref="O1562">AVERAGE(VLOOKUP(_xlfn.TEXTSPLIT(Table1[[#This Row],[Fuel (no space after comma)]], ","), FuelList_Final_EF!$A$2:$B$32, 2, FALSE))</f>
        <v>82.444811105253905</v>
      </c>
      <c r="P1562" s="2">
        <f>(16112*Table1[[#This Row],[Generation (TWh)]]*10^9)/10^6</f>
        <v>4064864.2560000005</v>
      </c>
      <c r="Q1562" s="2">
        <f>Table1[[#This Row],[Emission Factor (kg CO2/ mmBtu)]]*Table1[[#This Row],[Fuel Consumption (mmBtu)]]*10^3</f>
        <v>335126965754.41852</v>
      </c>
      <c r="R1562" s="2">
        <f>(Table1[[#This Row],[CO2 Emissions (g CO2)]])/(Table1[[#This Row],[Generation (TWh)]]*10^9)</f>
        <v>1328.3507965278511</v>
      </c>
    </row>
    <row r="1563" spans="1:18" hidden="1">
      <c r="A1563" t="s">
        <v>225</v>
      </c>
      <c r="B1563" t="s">
        <v>145</v>
      </c>
      <c r="C1563" t="str">
        <f>SUBSTITUTE(Table1[[#This Row],[Fuel]],", ",",")</f>
        <v>bioenergy: paper mill wastes,bioenergy: wood &amp; other biomass (solids),fossil gas: natural gas</v>
      </c>
      <c r="D1563" t="s">
        <v>61</v>
      </c>
      <c r="E1563" t="s">
        <v>25</v>
      </c>
      <c r="F1563" t="s">
        <v>69</v>
      </c>
      <c r="G1563">
        <v>43</v>
      </c>
      <c r="H1563" t="s">
        <v>27</v>
      </c>
      <c r="I1563">
        <v>1981</v>
      </c>
      <c r="J1563" t="s">
        <v>21</v>
      </c>
      <c r="K1563">
        <v>30.596599999999999</v>
      </c>
      <c r="L1563">
        <v>-87.326400000000007</v>
      </c>
      <c r="M1563" t="s">
        <v>62</v>
      </c>
      <c r="N1563" s="2">
        <f>Table1[[#This Row],[Capacity (MW)]]*8760*0.72*10^-6</f>
        <v>0.27120959999999994</v>
      </c>
      <c r="O1563" s="2" cm="1">
        <f t="array" ref="O1563">AVERAGE(VLOOKUP(_xlfn.TEXTSPLIT(Table1[[#This Row],[Fuel (no space after comma)]], ","), FuelList_Final_EF!$A$2:$B$32, 2, FALSE))</f>
        <v>82.444811105253905</v>
      </c>
      <c r="P1563" s="2">
        <f>(16112*Table1[[#This Row],[Generation (TWh)]]*10^9)/10^6</f>
        <v>4369729.0751999989</v>
      </c>
      <c r="Q1563" s="2">
        <f>Table1[[#This Row],[Emission Factor (kg CO2/ mmBtu)]]*Table1[[#This Row],[Fuel Consumption (mmBtu)]]*10^3</f>
        <v>360261488185.99976</v>
      </c>
      <c r="R1563" s="2">
        <f>(Table1[[#This Row],[CO2 Emissions (g CO2)]])/(Table1[[#This Row],[Generation (TWh)]]*10^9)</f>
        <v>1328.3507965278509</v>
      </c>
    </row>
    <row r="1564" spans="1:18">
      <c r="A1564" t="s">
        <v>824</v>
      </c>
      <c r="B1564" t="s">
        <v>19</v>
      </c>
      <c r="C1564" t="str">
        <f>SUBSTITUTE(Table1[[#This Row],[Fuel]],", ",",")</f>
        <v>bioenergy: refuse (municipal and industrial wastes)</v>
      </c>
      <c r="D1564" t="s">
        <v>19</v>
      </c>
      <c r="G1564">
        <v>30</v>
      </c>
      <c r="H1564" t="s">
        <v>20</v>
      </c>
      <c r="I1564" t="s">
        <v>21</v>
      </c>
      <c r="J1564" t="s">
        <v>21</v>
      </c>
      <c r="K1564">
        <v>12.9556</v>
      </c>
      <c r="L1564">
        <v>80.226900000000001</v>
      </c>
      <c r="M1564" t="s">
        <v>66</v>
      </c>
      <c r="N1564" s="2">
        <f>Table1[[#This Row],[Capacity (MW)]]*8760*0.72*10^-6</f>
        <v>0.189216</v>
      </c>
      <c r="O1564" s="2" cm="1">
        <f t="array" ref="O1564">AVERAGE(VLOOKUP(_xlfn.TEXTSPLIT(Table1[[#This Row],[Fuel (no space after comma)]], ","), FuelList_Final_EF!$A$2:$B$32, 2, FALSE))</f>
        <v>105.42962572482868</v>
      </c>
      <c r="P1564" s="2">
        <f>(16112*Table1[[#This Row],[Generation (TWh)]]*10^9)/10^6</f>
        <v>3048648.1919999998</v>
      </c>
      <c r="Q1564" s="2">
        <f>Table1[[#This Row],[Emission Factor (kg CO2/ mmBtu)]]*Table1[[#This Row],[Fuel Consumption (mmBtu)]]*10^3</f>
        <v>321417837849.23566</v>
      </c>
      <c r="R1564" s="2">
        <f>(Table1[[#This Row],[CO2 Emissions (g CO2)]])/(Table1[[#This Row],[Generation (TWh)]]*10^9)</f>
        <v>1698.6821296784397</v>
      </c>
    </row>
    <row r="1565" spans="1:18">
      <c r="A1565" t="s">
        <v>976</v>
      </c>
      <c r="B1565" t="s">
        <v>19</v>
      </c>
      <c r="C1565" t="str">
        <f>SUBSTITUTE(Table1[[#This Row],[Fuel]],", ",",")</f>
        <v>bioenergy: refuse (municipal and industrial wastes)</v>
      </c>
      <c r="D1565" t="s">
        <v>19</v>
      </c>
      <c r="G1565">
        <v>42</v>
      </c>
      <c r="H1565" t="s">
        <v>307</v>
      </c>
      <c r="I1565" t="s">
        <v>21</v>
      </c>
      <c r="J1565" t="s">
        <v>21</v>
      </c>
      <c r="K1565">
        <v>52.577300000000001</v>
      </c>
      <c r="L1565">
        <v>-0.1991</v>
      </c>
      <c r="M1565" t="s">
        <v>22</v>
      </c>
      <c r="N1565" s="2">
        <f>Table1[[#This Row],[Capacity (MW)]]*8760*0.72*10^-6</f>
        <v>0.26490239999999993</v>
      </c>
      <c r="O1565" s="2" cm="1">
        <f t="array" ref="O1565">AVERAGE(VLOOKUP(_xlfn.TEXTSPLIT(Table1[[#This Row],[Fuel (no space after comma)]], ","), FuelList_Final_EF!$A$2:$B$32, 2, FALSE))</f>
        <v>105.42962572482868</v>
      </c>
      <c r="P1565" s="2">
        <f>(16112*Table1[[#This Row],[Generation (TWh)]]*10^9)/10^6</f>
        <v>4268107.468799999</v>
      </c>
      <c r="Q1565" s="2">
        <f>Table1[[#This Row],[Emission Factor (kg CO2/ mmBtu)]]*Table1[[#This Row],[Fuel Consumption (mmBtu)]]*10^3</f>
        <v>449984972988.92981</v>
      </c>
      <c r="R1565" s="2">
        <f>(Table1[[#This Row],[CO2 Emissions (g CO2)]])/(Table1[[#This Row],[Generation (TWh)]]*10^9)</f>
        <v>1698.6821296784397</v>
      </c>
    </row>
    <row r="1566" spans="1:18" hidden="1">
      <c r="A1566" t="s">
        <v>977</v>
      </c>
      <c r="B1566" t="s">
        <v>25</v>
      </c>
      <c r="C1566" t="str">
        <f>SUBSTITUTE(Table1[[#This Row],[Fuel]],", ",",")</f>
        <v>bioenergy: wood &amp; other biomass (solids)</v>
      </c>
      <c r="D1566" t="s">
        <v>25</v>
      </c>
      <c r="G1566">
        <v>60</v>
      </c>
      <c r="H1566" t="s">
        <v>27</v>
      </c>
      <c r="I1566">
        <v>2013</v>
      </c>
      <c r="J1566" t="s">
        <v>21</v>
      </c>
      <c r="K1566">
        <v>33.045299999999997</v>
      </c>
      <c r="L1566">
        <v>-84.125600000000006</v>
      </c>
      <c r="M1566" t="s">
        <v>62</v>
      </c>
      <c r="N1566" s="2">
        <f>Table1[[#This Row],[Capacity (MW)]]*8760*0.72*10^-6</f>
        <v>0.37843199999999999</v>
      </c>
      <c r="O1566" s="2" cm="1">
        <f t="array" ref="O1566">AVERAGE(VLOOKUP(_xlfn.TEXTSPLIT(Table1[[#This Row],[Fuel (no space after comma)]], ","), FuelList_Final_EF!$A$2:$B$32, 2, FALSE))</f>
        <v>93.8</v>
      </c>
      <c r="P1566" s="2">
        <f>(16112*Table1[[#This Row],[Generation (TWh)]]*10^9)/10^6</f>
        <v>6097296.3839999996</v>
      </c>
      <c r="Q1566" s="2">
        <f>Table1[[#This Row],[Emission Factor (kg CO2/ mmBtu)]]*Table1[[#This Row],[Fuel Consumption (mmBtu)]]*10^3</f>
        <v>571926400819.19995</v>
      </c>
      <c r="R1566" s="2">
        <f>(Table1[[#This Row],[CO2 Emissions (g CO2)]])/(Table1[[#This Row],[Generation (TWh)]]*10^9)</f>
        <v>1511.3055999999999</v>
      </c>
    </row>
    <row r="1567" spans="1:18" hidden="1">
      <c r="A1567" t="s">
        <v>978</v>
      </c>
      <c r="B1567" t="s">
        <v>979</v>
      </c>
      <c r="C1567" t="str">
        <f>SUBSTITUTE(Table1[[#This Row],[Fuel]],", ",",")</f>
        <v>bioenergy: wood &amp; other biomass (solids),other: other,coal: anthracite</v>
      </c>
      <c r="D1567" t="s">
        <v>25</v>
      </c>
      <c r="E1567" t="s">
        <v>216</v>
      </c>
      <c r="F1567" t="s">
        <v>899</v>
      </c>
      <c r="G1567">
        <v>30</v>
      </c>
      <c r="H1567" t="s">
        <v>27</v>
      </c>
      <c r="I1567">
        <v>2002</v>
      </c>
      <c r="J1567" t="s">
        <v>21</v>
      </c>
      <c r="K1567">
        <v>63.701099999999997</v>
      </c>
      <c r="L1567">
        <v>22.709599999999998</v>
      </c>
      <c r="M1567" t="s">
        <v>28</v>
      </c>
      <c r="N1567" s="2">
        <f>Table1[[#This Row],[Capacity (MW)]]*8760*0.72*10^-6</f>
        <v>0.189216</v>
      </c>
      <c r="O1567" s="2" cm="1">
        <f t="array" ref="O1567">AVERAGE(VLOOKUP(_xlfn.TEXTSPLIT(Table1[[#This Row],[Fuel (no space after comma)]], ","), FuelList_Final_EF!$A$2:$B$32, 2, FALSE))</f>
        <v>94.4691073625022</v>
      </c>
      <c r="P1567" s="2">
        <f>(16112*Table1[[#This Row],[Generation (TWh)]]*10^9)/10^6</f>
        <v>3048648.1919999998</v>
      </c>
      <c r="Q1567" s="2">
        <f>Table1[[#This Row],[Emission Factor (kg CO2/ mmBtu)]]*Table1[[#This Row],[Fuel Consumption (mmBtu)]]*10^3</f>
        <v>288003073360.5462</v>
      </c>
      <c r="R1567" s="2">
        <f>(Table1[[#This Row],[CO2 Emissions (g CO2)]])/(Table1[[#This Row],[Generation (TWh)]]*10^9)</f>
        <v>1522.0862578246354</v>
      </c>
    </row>
    <row r="1568" spans="1:18" hidden="1">
      <c r="A1568" t="s">
        <v>980</v>
      </c>
      <c r="B1568" t="s">
        <v>963</v>
      </c>
      <c r="C1568" t="str">
        <f>SUBSTITUTE(Table1[[#This Row],[Fuel]],", ",",")</f>
        <v>bioenergy: paper mill wastes,bioenergy: wood &amp; other biomass (solids),other: other</v>
      </c>
      <c r="D1568" t="s">
        <v>61</v>
      </c>
      <c r="E1568" t="s">
        <v>25</v>
      </c>
      <c r="F1568" t="s">
        <v>216</v>
      </c>
      <c r="G1568">
        <v>40</v>
      </c>
      <c r="H1568" t="s">
        <v>27</v>
      </c>
      <c r="I1568">
        <v>1958</v>
      </c>
      <c r="J1568" t="s">
        <v>21</v>
      </c>
      <c r="K1568">
        <v>34.221200000000003</v>
      </c>
      <c r="L1568">
        <v>-91.907399999999996</v>
      </c>
      <c r="M1568" t="s">
        <v>62</v>
      </c>
      <c r="N1568" s="2">
        <f>Table1[[#This Row],[Capacity (MW)]]*8760*0.72*10^-6</f>
        <v>0.25228800000000001</v>
      </c>
      <c r="O1568" s="2" cm="1">
        <f t="array" ref="O1568">AVERAGE(VLOOKUP(_xlfn.TEXTSPLIT(Table1[[#This Row],[Fuel (no space after comma)]], ","), FuelList_Final_EF!$A$2:$B$32, 2, FALSE))</f>
        <v>93.414811105253918</v>
      </c>
      <c r="P1568" s="2">
        <f>(16112*Table1[[#This Row],[Generation (TWh)]]*10^9)/10^6</f>
        <v>4064864.2560000005</v>
      </c>
      <c r="Q1568" s="2">
        <f>Table1[[#This Row],[Emission Factor (kg CO2/ mmBtu)]]*Table1[[#This Row],[Fuel Consumption (mmBtu)]]*10^3</f>
        <v>379718526642.73859</v>
      </c>
      <c r="R1568" s="2">
        <f>(Table1[[#This Row],[CO2 Emissions (g CO2)]])/(Table1[[#This Row],[Generation (TWh)]]*10^9)</f>
        <v>1505.0994365278514</v>
      </c>
    </row>
    <row r="1569" spans="1:18" hidden="1">
      <c r="A1569" t="s">
        <v>225</v>
      </c>
      <c r="B1569" t="s">
        <v>981</v>
      </c>
      <c r="C1569" t="str">
        <f>SUBSTITUTE(Table1[[#This Row],[Fuel]],", ",",")</f>
        <v>bioenergy: paper mill wastes,fossil liquids: unknown,fossil gas: natural gas</v>
      </c>
      <c r="D1569" t="s">
        <v>61</v>
      </c>
      <c r="E1569" t="s">
        <v>217</v>
      </c>
      <c r="F1569" t="s">
        <v>69</v>
      </c>
      <c r="G1569">
        <v>37</v>
      </c>
      <c r="H1569" t="s">
        <v>27</v>
      </c>
      <c r="I1569">
        <v>1982</v>
      </c>
      <c r="J1569" t="s">
        <v>21</v>
      </c>
      <c r="K1569">
        <v>31.969799999999999</v>
      </c>
      <c r="L1569">
        <v>-87.480599999999995</v>
      </c>
      <c r="M1569" t="s">
        <v>62</v>
      </c>
      <c r="N1569" s="2">
        <f>Table1[[#This Row],[Capacity (MW)]]*8760*0.72*10^-6</f>
        <v>0.23336639999999997</v>
      </c>
      <c r="O1569" s="2" cm="1">
        <f t="array" ref="O1569">AVERAGE(VLOOKUP(_xlfn.TEXTSPLIT(Table1[[#This Row],[Fuel (no space after comma)]], ","), FuelList_Final_EF!$A$2:$B$32, 2, FALSE))</f>
        <v>79.46140512734469</v>
      </c>
      <c r="P1569" s="2">
        <f>(16112*Table1[[#This Row],[Generation (TWh)]]*10^9)/10^6</f>
        <v>3759999.4367999998</v>
      </c>
      <c r="Q1569" s="2">
        <f>Table1[[#This Row],[Emission Factor (kg CO2/ mmBtu)]]*Table1[[#This Row],[Fuel Consumption (mmBtu)]]*10^3</f>
        <v>298774838526.15265</v>
      </c>
      <c r="R1569" s="2">
        <f>(Table1[[#This Row],[CO2 Emissions (g CO2)]])/(Table1[[#This Row],[Generation (TWh)]]*10^9)</f>
        <v>1280.2821594117777</v>
      </c>
    </row>
    <row r="1570" spans="1:18" hidden="1">
      <c r="A1570" t="s">
        <v>225</v>
      </c>
      <c r="B1570" t="s">
        <v>982</v>
      </c>
      <c r="C1570" t="str">
        <f>SUBSTITUTE(Table1[[#This Row],[Fuel]],", ",",")</f>
        <v>bioenergy: wood &amp; other biomass (solids),fossil gas: natural gas,coal: bituminous</v>
      </c>
      <c r="D1570" t="s">
        <v>25</v>
      </c>
      <c r="E1570" t="s">
        <v>69</v>
      </c>
      <c r="F1570" t="s">
        <v>90</v>
      </c>
      <c r="G1570">
        <v>40</v>
      </c>
      <c r="H1570" t="s">
        <v>27</v>
      </c>
      <c r="I1570">
        <v>1968</v>
      </c>
      <c r="J1570" t="s">
        <v>21</v>
      </c>
      <c r="K1570">
        <v>31.969799999999999</v>
      </c>
      <c r="L1570">
        <v>-87.480599999999995</v>
      </c>
      <c r="M1570" t="s">
        <v>62</v>
      </c>
      <c r="N1570" s="2">
        <f>Table1[[#This Row],[Capacity (MW)]]*8760*0.72*10^-6</f>
        <v>0.25228800000000001</v>
      </c>
      <c r="O1570" s="2" cm="1">
        <f t="array" ref="O1570">AVERAGE(VLOOKUP(_xlfn.TEXTSPLIT(Table1[[#This Row],[Fuel (no space after comma)]], ","), FuelList_Final_EF!$A$2:$B$32, 2, FALSE))</f>
        <v>82.198808645229306</v>
      </c>
      <c r="P1570" s="2">
        <f>(16112*Table1[[#This Row],[Generation (TWh)]]*10^9)/10^6</f>
        <v>4064864.2560000005</v>
      </c>
      <c r="Q1570" s="2">
        <f>Table1[[#This Row],[Emission Factor (kg CO2/ mmBtu)]]*Table1[[#This Row],[Fuel Consumption (mmBtu)]]*10^3</f>
        <v>334126999147.77643</v>
      </c>
      <c r="R1570" s="2">
        <f>(Table1[[#This Row],[CO2 Emissions (g CO2)]])/(Table1[[#This Row],[Generation (TWh)]]*10^9)</f>
        <v>1324.3872048919347</v>
      </c>
    </row>
    <row r="1571" spans="1:18" hidden="1">
      <c r="A1571" t="s">
        <v>983</v>
      </c>
      <c r="B1571" t="s">
        <v>19</v>
      </c>
      <c r="C1571" t="str">
        <f>SUBSTITUTE(Table1[[#This Row],[Fuel]],", ",",")</f>
        <v>bioenergy: refuse (municipal and industrial wastes)</v>
      </c>
      <c r="D1571" t="s">
        <v>19</v>
      </c>
      <c r="G1571">
        <v>50</v>
      </c>
      <c r="H1571" t="s">
        <v>27</v>
      </c>
      <c r="I1571">
        <v>1983</v>
      </c>
      <c r="J1571" t="s">
        <v>21</v>
      </c>
      <c r="K1571">
        <v>27.8733</v>
      </c>
      <c r="L1571">
        <v>-82.674099999999996</v>
      </c>
      <c r="M1571" t="s">
        <v>62</v>
      </c>
      <c r="N1571" s="2">
        <f>Table1[[#This Row],[Capacity (MW)]]*8760*0.72*10^-6</f>
        <v>0.31535999999999997</v>
      </c>
      <c r="O1571" s="2" cm="1">
        <f t="array" ref="O1571">AVERAGE(VLOOKUP(_xlfn.TEXTSPLIT(Table1[[#This Row],[Fuel (no space after comma)]], ","), FuelList_Final_EF!$A$2:$B$32, 2, FALSE))</f>
        <v>105.42962572482868</v>
      </c>
      <c r="P1571" s="2">
        <f>(16112*Table1[[#This Row],[Generation (TWh)]]*10^9)/10^6</f>
        <v>5081080.32</v>
      </c>
      <c r="Q1571" s="2">
        <f>Table1[[#This Row],[Emission Factor (kg CO2/ mmBtu)]]*Table1[[#This Row],[Fuel Consumption (mmBtu)]]*10^3</f>
        <v>535696396415.39276</v>
      </c>
      <c r="R1571" s="2">
        <f>(Table1[[#This Row],[CO2 Emissions (g CO2)]])/(Table1[[#This Row],[Generation (TWh)]]*10^9)</f>
        <v>1698.6821296784397</v>
      </c>
    </row>
    <row r="1572" spans="1:18" hidden="1">
      <c r="A1572" t="s">
        <v>729</v>
      </c>
      <c r="B1572" t="s">
        <v>46</v>
      </c>
      <c r="C1572" t="str">
        <f>SUBSTITUTE(Table1[[#This Row],[Fuel]],", ",",")</f>
        <v>bioenergy: agricultural waste (solids)</v>
      </c>
      <c r="D1572" t="s">
        <v>46</v>
      </c>
      <c r="G1572">
        <v>68</v>
      </c>
      <c r="H1572" t="s">
        <v>27</v>
      </c>
      <c r="I1572">
        <v>2010</v>
      </c>
      <c r="J1572" t="s">
        <v>21</v>
      </c>
      <c r="K1572">
        <v>-19.557400000000001</v>
      </c>
      <c r="L1572">
        <v>147.33080000000001</v>
      </c>
      <c r="M1572" t="s">
        <v>235</v>
      </c>
      <c r="N1572" s="2">
        <f>Table1[[#This Row],[Capacity (MW)]]*8760*0.72*10^-6</f>
        <v>0.42888959999999998</v>
      </c>
      <c r="O1572" s="2" cm="1">
        <f t="array" ref="O1572">AVERAGE(VLOOKUP(_xlfn.TEXTSPLIT(Table1[[#This Row],[Fuel (no space after comma)]], ","), FuelList_Final_EF!$A$2:$B$32, 2, FALSE))</f>
        <v>118.17</v>
      </c>
      <c r="P1572" s="2">
        <f>(16112*Table1[[#This Row],[Generation (TWh)]]*10^9)/10^6</f>
        <v>6910269.2351999991</v>
      </c>
      <c r="Q1572" s="2">
        <f>Table1[[#This Row],[Emission Factor (kg CO2/ mmBtu)]]*Table1[[#This Row],[Fuel Consumption (mmBtu)]]*10^3</f>
        <v>816586515523.58386</v>
      </c>
      <c r="R1572" s="2">
        <f>(Table1[[#This Row],[CO2 Emissions (g CO2)]])/(Table1[[#This Row],[Generation (TWh)]]*10^9)</f>
        <v>1903.9550399999996</v>
      </c>
    </row>
    <row r="1573" spans="1:18" hidden="1">
      <c r="A1573" t="s">
        <v>984</v>
      </c>
      <c r="B1573" t="s">
        <v>46</v>
      </c>
      <c r="C1573" t="str">
        <f>SUBSTITUTE(Table1[[#This Row],[Fuel]],", ",",")</f>
        <v>bioenergy: agricultural waste (solids)</v>
      </c>
      <c r="D1573" t="s">
        <v>46</v>
      </c>
      <c r="G1573">
        <v>35</v>
      </c>
      <c r="H1573" t="s">
        <v>27</v>
      </c>
      <c r="I1573">
        <v>2013</v>
      </c>
      <c r="J1573" t="s">
        <v>21</v>
      </c>
      <c r="K1573">
        <v>-20.726299999999998</v>
      </c>
      <c r="L1573">
        <v>-50.952500000000001</v>
      </c>
      <c r="M1573" t="s">
        <v>49</v>
      </c>
      <c r="N1573" s="2">
        <f>Table1[[#This Row],[Capacity (MW)]]*8760*0.72*10^-6</f>
        <v>0.220752</v>
      </c>
      <c r="O1573" s="2" cm="1">
        <f t="array" ref="O1573">AVERAGE(VLOOKUP(_xlfn.TEXTSPLIT(Table1[[#This Row],[Fuel (no space after comma)]], ","), FuelList_Final_EF!$A$2:$B$32, 2, FALSE))</f>
        <v>118.17</v>
      </c>
      <c r="P1573" s="2">
        <f>(16112*Table1[[#This Row],[Generation (TWh)]]*10^9)/10^6</f>
        <v>3556756.2239999999</v>
      </c>
      <c r="Q1573" s="2">
        <f>Table1[[#This Row],[Emission Factor (kg CO2/ mmBtu)]]*Table1[[#This Row],[Fuel Consumption (mmBtu)]]*10^3</f>
        <v>420301882990.08002</v>
      </c>
      <c r="R1573" s="2">
        <f>(Table1[[#This Row],[CO2 Emissions (g CO2)]])/(Table1[[#This Row],[Generation (TWh)]]*10^9)</f>
        <v>1903.9550400000001</v>
      </c>
    </row>
    <row r="1574" spans="1:18" hidden="1">
      <c r="A1574" t="s">
        <v>984</v>
      </c>
      <c r="B1574" t="s">
        <v>46</v>
      </c>
      <c r="C1574" t="str">
        <f>SUBSTITUTE(Table1[[#This Row],[Fuel]],", ",",")</f>
        <v>bioenergy: agricultural waste (solids)</v>
      </c>
      <c r="D1574" t="s">
        <v>46</v>
      </c>
      <c r="G1574">
        <v>32</v>
      </c>
      <c r="H1574" t="s">
        <v>27</v>
      </c>
      <c r="I1574">
        <v>2006</v>
      </c>
      <c r="J1574" t="s">
        <v>21</v>
      </c>
      <c r="K1574">
        <v>-20.728300000000001</v>
      </c>
      <c r="L1574">
        <v>-50.959699999999998</v>
      </c>
      <c r="M1574" t="s">
        <v>49</v>
      </c>
      <c r="N1574" s="2">
        <f>Table1[[#This Row],[Capacity (MW)]]*8760*0.72*10^-6</f>
        <v>0.20183039999999999</v>
      </c>
      <c r="O1574" s="2" cm="1">
        <f t="array" ref="O1574">AVERAGE(VLOOKUP(_xlfn.TEXTSPLIT(Table1[[#This Row],[Fuel (no space after comma)]], ","), FuelList_Final_EF!$A$2:$B$32, 2, FALSE))</f>
        <v>118.17</v>
      </c>
      <c r="P1574" s="2">
        <f>(16112*Table1[[#This Row],[Generation (TWh)]]*10^9)/10^6</f>
        <v>3251891.4047999997</v>
      </c>
      <c r="Q1574" s="2">
        <f>Table1[[#This Row],[Emission Factor (kg CO2/ mmBtu)]]*Table1[[#This Row],[Fuel Consumption (mmBtu)]]*10^3</f>
        <v>384276007305.21594</v>
      </c>
      <c r="R1574" s="2">
        <f>(Table1[[#This Row],[CO2 Emissions (g CO2)]])/(Table1[[#This Row],[Generation (TWh)]]*10^9)</f>
        <v>1903.9550399999998</v>
      </c>
    </row>
    <row r="1575" spans="1:18" hidden="1">
      <c r="A1575" t="s">
        <v>985</v>
      </c>
      <c r="B1575" t="s">
        <v>46</v>
      </c>
      <c r="C1575" t="str">
        <f>SUBSTITUTE(Table1[[#This Row],[Fuel]],", ",",")</f>
        <v>bioenergy: agricultural waste (solids)</v>
      </c>
      <c r="D1575" t="s">
        <v>46</v>
      </c>
      <c r="G1575">
        <v>45</v>
      </c>
      <c r="H1575" t="s">
        <v>27</v>
      </c>
      <c r="I1575">
        <v>2019</v>
      </c>
      <c r="J1575" t="s">
        <v>21</v>
      </c>
      <c r="K1575">
        <v>-21.052199999999999</v>
      </c>
      <c r="L1575">
        <v>-48.262599999999999</v>
      </c>
      <c r="M1575" t="s">
        <v>49</v>
      </c>
      <c r="N1575" s="2">
        <f>Table1[[#This Row],[Capacity (MW)]]*8760*0.72*10^-6</f>
        <v>0.28382399999999997</v>
      </c>
      <c r="O1575" s="2" cm="1">
        <f t="array" ref="O1575">AVERAGE(VLOOKUP(_xlfn.TEXTSPLIT(Table1[[#This Row],[Fuel (no space after comma)]], ","), FuelList_Final_EF!$A$2:$B$32, 2, FALSE))</f>
        <v>118.17</v>
      </c>
      <c r="P1575" s="2">
        <f>(16112*Table1[[#This Row],[Generation (TWh)]]*10^9)/10^6</f>
        <v>4572972.2879999988</v>
      </c>
      <c r="Q1575" s="2">
        <f>Table1[[#This Row],[Emission Factor (kg CO2/ mmBtu)]]*Table1[[#This Row],[Fuel Consumption (mmBtu)]]*10^3</f>
        <v>540388135272.95984</v>
      </c>
      <c r="R1575" s="2">
        <f>(Table1[[#This Row],[CO2 Emissions (g CO2)]])/(Table1[[#This Row],[Generation (TWh)]]*10^9)</f>
        <v>1903.9550399999998</v>
      </c>
    </row>
    <row r="1576" spans="1:18" hidden="1">
      <c r="A1576" t="s">
        <v>986</v>
      </c>
      <c r="B1576" t="s">
        <v>25</v>
      </c>
      <c r="C1576" t="str">
        <f>SUBSTITUTE(Table1[[#This Row],[Fuel]],", ",",")</f>
        <v>bioenergy: wood &amp; other biomass (solids)</v>
      </c>
      <c r="D1576" t="s">
        <v>25</v>
      </c>
      <c r="G1576">
        <v>43</v>
      </c>
      <c r="H1576" t="s">
        <v>27</v>
      </c>
      <c r="I1576">
        <v>2013</v>
      </c>
      <c r="J1576" t="s">
        <v>21</v>
      </c>
      <c r="K1576">
        <v>41.664400000000001</v>
      </c>
      <c r="L1576">
        <v>-71.924199999999999</v>
      </c>
      <c r="M1576" t="s">
        <v>62</v>
      </c>
      <c r="N1576" s="2">
        <f>Table1[[#This Row],[Capacity (MW)]]*8760*0.72*10^-6</f>
        <v>0.27120959999999994</v>
      </c>
      <c r="O1576" s="2" cm="1">
        <f t="array" ref="O1576">AVERAGE(VLOOKUP(_xlfn.TEXTSPLIT(Table1[[#This Row],[Fuel (no space after comma)]], ","), FuelList_Final_EF!$A$2:$B$32, 2, FALSE))</f>
        <v>93.8</v>
      </c>
      <c r="P1576" s="2">
        <f>(16112*Table1[[#This Row],[Generation (TWh)]]*10^9)/10^6</f>
        <v>4369729.0751999989</v>
      </c>
      <c r="Q1576" s="2">
        <f>Table1[[#This Row],[Emission Factor (kg CO2/ mmBtu)]]*Table1[[#This Row],[Fuel Consumption (mmBtu)]]*10^3</f>
        <v>409880587253.75989</v>
      </c>
      <c r="R1576" s="2">
        <f>(Table1[[#This Row],[CO2 Emissions (g CO2)]])/(Table1[[#This Row],[Generation (TWh)]]*10^9)</f>
        <v>1511.3055999999999</v>
      </c>
    </row>
    <row r="1577" spans="1:18" hidden="1">
      <c r="A1577" t="s">
        <v>144</v>
      </c>
      <c r="B1577" t="s">
        <v>226</v>
      </c>
      <c r="C1577" t="str">
        <f>SUBSTITUTE(Table1[[#This Row],[Fuel]],", ",",")</f>
        <v>bioenergy: paper mill wastes,bioenergy: wood &amp; other biomass (solids),fossil liquids: unknown</v>
      </c>
      <c r="D1577" t="s">
        <v>61</v>
      </c>
      <c r="E1577" t="s">
        <v>25</v>
      </c>
      <c r="F1577" t="s">
        <v>217</v>
      </c>
      <c r="G1577">
        <v>42</v>
      </c>
      <c r="H1577" t="s">
        <v>27</v>
      </c>
      <c r="I1577">
        <v>1976</v>
      </c>
      <c r="J1577" t="s">
        <v>21</v>
      </c>
      <c r="K1577">
        <v>35.8628</v>
      </c>
      <c r="L1577">
        <v>-76.783100000000005</v>
      </c>
      <c r="M1577" t="s">
        <v>62</v>
      </c>
      <c r="N1577" s="2">
        <f>Table1[[#This Row],[Capacity (MW)]]*8760*0.72*10^-6</f>
        <v>0.26490239999999993</v>
      </c>
      <c r="O1577" s="2" cm="1">
        <f t="array" ref="O1577">AVERAGE(VLOOKUP(_xlfn.TEXTSPLIT(Table1[[#This Row],[Fuel (no space after comma)]], ","), FuelList_Final_EF!$A$2:$B$32, 2, FALSE))</f>
        <v>93.041405127344674</v>
      </c>
      <c r="P1577" s="2">
        <f>(16112*Table1[[#This Row],[Generation (TWh)]]*10^9)/10^6</f>
        <v>4268107.468799999</v>
      </c>
      <c r="Q1577" s="2">
        <f>Table1[[#This Row],[Emission Factor (kg CO2/ mmBtu)]]*Table1[[#This Row],[Fuel Consumption (mmBtu)]]*10^3</f>
        <v>397110716131.66632</v>
      </c>
      <c r="R1577" s="2">
        <f>(Table1[[#This Row],[CO2 Emissions (g CO2)]])/(Table1[[#This Row],[Generation (TWh)]]*10^9)</f>
        <v>1499.0831194117773</v>
      </c>
    </row>
    <row r="1578" spans="1:18" hidden="1">
      <c r="A1578" t="s">
        <v>144</v>
      </c>
      <c r="B1578" t="s">
        <v>987</v>
      </c>
      <c r="C1578" t="str">
        <f>SUBSTITUTE(Table1[[#This Row],[Fuel]],", ",",")</f>
        <v>bioenergy: wood &amp; other biomass (solids),bioenergy: wastewater and sewage sludge (solids or biogas),fossil gas: natural gas</v>
      </c>
      <c r="D1578" t="s">
        <v>25</v>
      </c>
      <c r="E1578" t="s">
        <v>42</v>
      </c>
      <c r="F1578" t="s">
        <v>69</v>
      </c>
      <c r="G1578">
        <v>72</v>
      </c>
      <c r="H1578" t="s">
        <v>27</v>
      </c>
      <c r="I1578">
        <v>1978</v>
      </c>
      <c r="J1578" t="s">
        <v>21</v>
      </c>
      <c r="K1578">
        <v>35.8628</v>
      </c>
      <c r="L1578">
        <v>-76.783100000000005</v>
      </c>
      <c r="M1578" t="s">
        <v>62</v>
      </c>
      <c r="N1578" s="2">
        <f>Table1[[#This Row],[Capacity (MW)]]*8760*0.72*10^-6</f>
        <v>0.45411839999999992</v>
      </c>
      <c r="O1578" s="2" cm="1">
        <f t="array" ref="O1578">AVERAGE(VLOOKUP(_xlfn.TEXTSPLIT(Table1[[#This Row],[Fuel (no space after comma)]], ","), FuelList_Final_EF!$A$2:$B$32, 2, FALSE))</f>
        <v>68.141525215252145</v>
      </c>
      <c r="P1578" s="2">
        <f>(16112*Table1[[#This Row],[Generation (TWh)]]*10^9)/10^6</f>
        <v>7316755.6607999988</v>
      </c>
      <c r="Q1578" s="2">
        <f>Table1[[#This Row],[Emission Factor (kg CO2/ mmBtu)]]*Table1[[#This Row],[Fuel Consumption (mmBtu)]]*10^3</f>
        <v>498574890354.24194</v>
      </c>
      <c r="R1578" s="2">
        <f>(Table1[[#This Row],[CO2 Emissions (g CO2)]])/(Table1[[#This Row],[Generation (TWh)]]*10^9)</f>
        <v>1097.8962542681425</v>
      </c>
    </row>
    <row r="1579" spans="1:18" hidden="1">
      <c r="A1579" t="s">
        <v>988</v>
      </c>
      <c r="B1579" t="s">
        <v>25</v>
      </c>
      <c r="C1579" t="str">
        <f>SUBSTITUTE(Table1[[#This Row],[Fuel]],", ",",")</f>
        <v>bioenergy: wood &amp; other biomass (solids)</v>
      </c>
      <c r="D1579" t="s">
        <v>25</v>
      </c>
      <c r="G1579">
        <v>110</v>
      </c>
      <c r="H1579" t="s">
        <v>97</v>
      </c>
      <c r="I1579">
        <v>2026</v>
      </c>
      <c r="J1579" t="s">
        <v>21</v>
      </c>
      <c r="K1579">
        <v>36.092500000000001</v>
      </c>
      <c r="L1579">
        <v>129.30529999999999</v>
      </c>
      <c r="M1579" t="s">
        <v>333</v>
      </c>
      <c r="N1579" s="2">
        <f>Table1[[#This Row],[Capacity (MW)]]*8760*0.72*10^-6</f>
        <v>0.69379199999999996</v>
      </c>
      <c r="O1579" s="2" cm="1">
        <f t="array" ref="O1579">AVERAGE(VLOOKUP(_xlfn.TEXTSPLIT(Table1[[#This Row],[Fuel (no space after comma)]], ","), FuelList_Final_EF!$A$2:$B$32, 2, FALSE))</f>
        <v>93.8</v>
      </c>
      <c r="P1579" s="2">
        <f>(16112*Table1[[#This Row],[Generation (TWh)]]*10^9)/10^6</f>
        <v>11178376.704</v>
      </c>
      <c r="Q1579" s="2">
        <f>Table1[[#This Row],[Emission Factor (kg CO2/ mmBtu)]]*Table1[[#This Row],[Fuel Consumption (mmBtu)]]*10^3</f>
        <v>1048531734835.2</v>
      </c>
      <c r="R1579" s="2">
        <f>(Table1[[#This Row],[CO2 Emissions (g CO2)]])/(Table1[[#This Row],[Generation (TWh)]]*10^9)</f>
        <v>1511.3055999999999</v>
      </c>
    </row>
    <row r="1580" spans="1:18" hidden="1">
      <c r="A1580" t="s">
        <v>989</v>
      </c>
      <c r="B1580" t="s">
        <v>210</v>
      </c>
      <c r="C1580" t="str">
        <f>SUBSTITUTE(Table1[[#This Row],[Fuel]],", ",",")</f>
        <v>bioenergy: wood &amp; other biomass (solids),bioenergy: agricultural waste (solids)</v>
      </c>
      <c r="D1580" t="s">
        <v>25</v>
      </c>
      <c r="E1580" t="s">
        <v>46</v>
      </c>
      <c r="G1580">
        <v>225</v>
      </c>
      <c r="H1580" t="s">
        <v>27</v>
      </c>
      <c r="I1580">
        <v>1983</v>
      </c>
      <c r="J1580" t="s">
        <v>21</v>
      </c>
      <c r="K1580">
        <v>50.437685000000002</v>
      </c>
      <c r="L1580">
        <v>21.337689999999998</v>
      </c>
      <c r="M1580" t="s">
        <v>196</v>
      </c>
      <c r="N1580" s="2">
        <f>Table1[[#This Row],[Capacity (MW)]]*8760*0.72*10^-6</f>
        <v>1.4191199999999999</v>
      </c>
      <c r="O1580" s="2" cm="1">
        <f t="array" ref="O1580">AVERAGE(VLOOKUP(_xlfn.TEXTSPLIT(Table1[[#This Row],[Fuel (no space after comma)]], ","), FuelList_Final_EF!$A$2:$B$32, 2, FALSE))</f>
        <v>105.985</v>
      </c>
      <c r="P1580" s="2">
        <f>(16112*Table1[[#This Row],[Generation (TWh)]]*10^9)/10^6</f>
        <v>22864861.440000001</v>
      </c>
      <c r="Q1580" s="2">
        <f>Table1[[#This Row],[Emission Factor (kg CO2/ mmBtu)]]*Table1[[#This Row],[Fuel Consumption (mmBtu)]]*10^3</f>
        <v>2423332339718.3999</v>
      </c>
      <c r="R1580" s="2">
        <f>(Table1[[#This Row],[CO2 Emissions (g CO2)]])/(Table1[[#This Row],[Generation (TWh)]]*10^9)</f>
        <v>1707.63032</v>
      </c>
    </row>
    <row r="1581" spans="1:18">
      <c r="A1581" t="s">
        <v>990</v>
      </c>
      <c r="B1581" t="s">
        <v>19</v>
      </c>
      <c r="C1581" t="str">
        <f>SUBSTITUTE(Table1[[#This Row],[Fuel]],", ",",")</f>
        <v>bioenergy: refuse (municipal and industrial wastes)</v>
      </c>
      <c r="D1581" t="s">
        <v>19</v>
      </c>
      <c r="G1581">
        <v>53</v>
      </c>
      <c r="H1581" t="s">
        <v>71</v>
      </c>
      <c r="I1581" t="s">
        <v>21</v>
      </c>
      <c r="J1581" t="s">
        <v>21</v>
      </c>
      <c r="K1581">
        <v>53.671300000000002</v>
      </c>
      <c r="L1581">
        <v>-1.0652999999999999</v>
      </c>
      <c r="M1581" t="s">
        <v>22</v>
      </c>
      <c r="N1581" s="2">
        <f>Table1[[#This Row],[Capacity (MW)]]*8760*0.72*10^-6</f>
        <v>0.33428159999999996</v>
      </c>
      <c r="O1581" s="2" cm="1">
        <f t="array" ref="O1581">AVERAGE(VLOOKUP(_xlfn.TEXTSPLIT(Table1[[#This Row],[Fuel (no space after comma)]], ","), FuelList_Final_EF!$A$2:$B$32, 2, FALSE))</f>
        <v>105.42962572482868</v>
      </c>
      <c r="P1581" s="2">
        <f>(16112*Table1[[#This Row],[Generation (TWh)]]*10^9)/10^6</f>
        <v>5385945.1391999992</v>
      </c>
      <c r="Q1581" s="2">
        <f>Table1[[#This Row],[Emission Factor (kg CO2/ mmBtu)]]*Table1[[#This Row],[Fuel Consumption (mmBtu)]]*10^3</f>
        <v>567838180200.31616</v>
      </c>
      <c r="R1581" s="2">
        <f>(Table1[[#This Row],[CO2 Emissions (g CO2)]])/(Table1[[#This Row],[Generation (TWh)]]*10^9)</f>
        <v>1698.6821296784397</v>
      </c>
    </row>
    <row r="1582" spans="1:18" hidden="1">
      <c r="A1582" t="s">
        <v>991</v>
      </c>
      <c r="B1582" t="s">
        <v>25</v>
      </c>
      <c r="C1582" t="str">
        <f>SUBSTITUTE(Table1[[#This Row],[Fuel]],", ",",")</f>
        <v>bioenergy: wood &amp; other biomass (solids)</v>
      </c>
      <c r="D1582" t="s">
        <v>25</v>
      </c>
      <c r="G1582">
        <v>30</v>
      </c>
      <c r="H1582" t="s">
        <v>27</v>
      </c>
      <c r="I1582">
        <v>2018</v>
      </c>
      <c r="J1582" t="s">
        <v>21</v>
      </c>
      <c r="K1582">
        <v>44.385399999999997</v>
      </c>
      <c r="L1582">
        <v>12.023199999999999</v>
      </c>
      <c r="M1582" t="s">
        <v>37</v>
      </c>
      <c r="N1582" s="2">
        <f>Table1[[#This Row],[Capacity (MW)]]*8760*0.72*10^-6</f>
        <v>0.189216</v>
      </c>
      <c r="O1582" s="2" cm="1">
        <f t="array" ref="O1582">AVERAGE(VLOOKUP(_xlfn.TEXTSPLIT(Table1[[#This Row],[Fuel (no space after comma)]], ","), FuelList_Final_EF!$A$2:$B$32, 2, FALSE))</f>
        <v>93.8</v>
      </c>
      <c r="P1582" s="2">
        <f>(16112*Table1[[#This Row],[Generation (TWh)]]*10^9)/10^6</f>
        <v>3048648.1919999998</v>
      </c>
      <c r="Q1582" s="2">
        <f>Table1[[#This Row],[Emission Factor (kg CO2/ mmBtu)]]*Table1[[#This Row],[Fuel Consumption (mmBtu)]]*10^3</f>
        <v>285963200409.59998</v>
      </c>
      <c r="R1582" s="2">
        <f>(Table1[[#This Row],[CO2 Emissions (g CO2)]])/(Table1[[#This Row],[Generation (TWh)]]*10^9)</f>
        <v>1511.3055999999999</v>
      </c>
    </row>
    <row r="1583" spans="1:18" hidden="1">
      <c r="A1583" t="s">
        <v>992</v>
      </c>
      <c r="B1583" t="s">
        <v>993</v>
      </c>
      <c r="C1583" t="str">
        <f>SUBSTITUTE(Table1[[#This Row],[Fuel]],", ",",")</f>
        <v>bioenergy: wood &amp; other biomass (solids),bioenergy: refuse (municipal and industrial wastes),fossil gas: lng</v>
      </c>
      <c r="D1583" t="s">
        <v>25</v>
      </c>
      <c r="E1583" t="s">
        <v>19</v>
      </c>
      <c r="F1583" t="s">
        <v>922</v>
      </c>
      <c r="G1583">
        <v>81</v>
      </c>
      <c r="H1583" t="s">
        <v>27</v>
      </c>
      <c r="I1583">
        <v>2008</v>
      </c>
      <c r="J1583" t="s">
        <v>21</v>
      </c>
      <c r="K1583">
        <v>61.576900000000002</v>
      </c>
      <c r="L1583">
        <v>21.553999999999998</v>
      </c>
      <c r="M1583" t="s">
        <v>28</v>
      </c>
      <c r="N1583" s="2">
        <f>Table1[[#This Row],[Capacity (MW)]]*8760*0.72*10^-6</f>
        <v>0.51088319999999998</v>
      </c>
      <c r="O1583" s="2" cm="1">
        <f t="array" ref="O1583">AVERAGE(VLOOKUP(_xlfn.TEXTSPLIT(Table1[[#This Row],[Fuel (no space after comma)]], ","), FuelList_Final_EF!$A$2:$B$32, 2, FALSE))</f>
        <v>88.971815146722903</v>
      </c>
      <c r="P1583" s="2">
        <f>(16112*Table1[[#This Row],[Generation (TWh)]]*10^9)/10^6</f>
        <v>8231350.1184</v>
      </c>
      <c r="Q1583" s="2">
        <f>Table1[[#This Row],[Emission Factor (kg CO2/ mmBtu)]]*Table1[[#This Row],[Fuel Consumption (mmBtu)]]*10^3</f>
        <v>732358161142.24048</v>
      </c>
      <c r="R1583" s="2">
        <f>(Table1[[#This Row],[CO2 Emissions (g CO2)]])/(Table1[[#This Row],[Generation (TWh)]]*10^9)</f>
        <v>1433.5138856439994</v>
      </c>
    </row>
    <row r="1584" spans="1:18" hidden="1">
      <c r="A1584" t="s">
        <v>994</v>
      </c>
      <c r="B1584" t="s">
        <v>25</v>
      </c>
      <c r="C1584" t="str">
        <f>SUBSTITUTE(Table1[[#This Row],[Fuel]],", ",",")</f>
        <v>bioenergy: wood &amp; other biomass (solids)</v>
      </c>
      <c r="D1584" t="s">
        <v>25</v>
      </c>
      <c r="G1584">
        <v>60</v>
      </c>
      <c r="H1584" t="s">
        <v>27</v>
      </c>
      <c r="I1584">
        <v>2013</v>
      </c>
      <c r="J1584" t="s">
        <v>21</v>
      </c>
      <c r="K1584">
        <v>45.597200000000001</v>
      </c>
      <c r="L1584">
        <v>-61.3581</v>
      </c>
      <c r="M1584" t="s">
        <v>79</v>
      </c>
      <c r="N1584" s="2">
        <f>Table1[[#This Row],[Capacity (MW)]]*8760*0.72*10^-6</f>
        <v>0.37843199999999999</v>
      </c>
      <c r="O1584" s="2" cm="1">
        <f t="array" ref="O1584">AVERAGE(VLOOKUP(_xlfn.TEXTSPLIT(Table1[[#This Row],[Fuel (no space after comma)]], ","), FuelList_Final_EF!$A$2:$B$32, 2, FALSE))</f>
        <v>93.8</v>
      </c>
      <c r="P1584" s="2">
        <f>(16112*Table1[[#This Row],[Generation (TWh)]]*10^9)/10^6</f>
        <v>6097296.3839999996</v>
      </c>
      <c r="Q1584" s="2">
        <f>Table1[[#This Row],[Emission Factor (kg CO2/ mmBtu)]]*Table1[[#This Row],[Fuel Consumption (mmBtu)]]*10^3</f>
        <v>571926400819.19995</v>
      </c>
      <c r="R1584" s="2">
        <f>(Table1[[#This Row],[CO2 Emissions (g CO2)]])/(Table1[[#This Row],[Generation (TWh)]]*10^9)</f>
        <v>1511.3055999999999</v>
      </c>
    </row>
    <row r="1585" spans="1:18" hidden="1">
      <c r="A1585" t="s">
        <v>225</v>
      </c>
      <c r="B1585" t="s">
        <v>995</v>
      </c>
      <c r="C1585" t="str">
        <f>SUBSTITUTE(Table1[[#This Row],[Fuel]],", ",",")</f>
        <v>bioenergy: paper mill wastes,bioenergy: wood &amp; other biomass (solids),bioenergy: unknown</v>
      </c>
      <c r="D1585" t="s">
        <v>61</v>
      </c>
      <c r="E1585" t="s">
        <v>25</v>
      </c>
      <c r="F1585" t="s">
        <v>96</v>
      </c>
      <c r="G1585">
        <v>47</v>
      </c>
      <c r="H1585" t="s">
        <v>27</v>
      </c>
      <c r="I1585">
        <v>1991</v>
      </c>
      <c r="J1585" t="s">
        <v>21</v>
      </c>
      <c r="K1585">
        <v>32.156100000000002</v>
      </c>
      <c r="L1585">
        <v>-81.158600000000007</v>
      </c>
      <c r="M1585" t="s">
        <v>62</v>
      </c>
      <c r="N1585" s="2">
        <f>Table1[[#This Row],[Capacity (MW)]]*8760*0.72*10^-6</f>
        <v>0.29643839999999994</v>
      </c>
      <c r="O1585" s="2" cm="1">
        <f t="array" ref="O1585">AVERAGE(VLOOKUP(_xlfn.TEXTSPLIT(Table1[[#This Row],[Fuel (no space after comma)]], ","), FuelList_Final_EF!$A$2:$B$32, 2, FALSE))</f>
        <v>89.020013111120122</v>
      </c>
      <c r="P1585" s="2">
        <f>(16112*Table1[[#This Row],[Generation (TWh)]]*10^9)/10^6</f>
        <v>4776215.5007999986</v>
      </c>
      <c r="Q1585" s="2">
        <f>Table1[[#This Row],[Emission Factor (kg CO2/ mmBtu)]]*Table1[[#This Row],[Fuel Consumption (mmBtu)]]*10^3</f>
        <v>425178766502.75104</v>
      </c>
      <c r="R1585" s="2">
        <f>(Table1[[#This Row],[CO2 Emissions (g CO2)]])/(Table1[[#This Row],[Generation (TWh)]]*10^9)</f>
        <v>1434.2904512463672</v>
      </c>
    </row>
    <row r="1586" spans="1:18" hidden="1">
      <c r="A1586" t="s">
        <v>996</v>
      </c>
      <c r="B1586" t="s">
        <v>46</v>
      </c>
      <c r="C1586" t="str">
        <f>SUBSTITUTE(Table1[[#This Row],[Fuel]],", ",",")</f>
        <v>bioenergy: agricultural waste (solids)</v>
      </c>
      <c r="D1586" t="s">
        <v>46</v>
      </c>
      <c r="G1586">
        <v>35</v>
      </c>
      <c r="H1586" t="s">
        <v>27</v>
      </c>
      <c r="I1586">
        <v>2011</v>
      </c>
      <c r="J1586" t="s">
        <v>21</v>
      </c>
      <c r="K1586">
        <v>-18.466999999999999</v>
      </c>
      <c r="L1586">
        <v>-52.609099999999998</v>
      </c>
      <c r="M1586" t="s">
        <v>49</v>
      </c>
      <c r="N1586" s="2">
        <f>Table1[[#This Row],[Capacity (MW)]]*8760*0.72*10^-6</f>
        <v>0.220752</v>
      </c>
      <c r="O1586" s="2" cm="1">
        <f t="array" ref="O1586">AVERAGE(VLOOKUP(_xlfn.TEXTSPLIT(Table1[[#This Row],[Fuel (no space after comma)]], ","), FuelList_Final_EF!$A$2:$B$32, 2, FALSE))</f>
        <v>118.17</v>
      </c>
      <c r="P1586" s="2">
        <f>(16112*Table1[[#This Row],[Generation (TWh)]]*10^9)/10^6</f>
        <v>3556756.2239999999</v>
      </c>
      <c r="Q1586" s="2">
        <f>Table1[[#This Row],[Emission Factor (kg CO2/ mmBtu)]]*Table1[[#This Row],[Fuel Consumption (mmBtu)]]*10^3</f>
        <v>420301882990.08002</v>
      </c>
      <c r="R1586" s="2">
        <f>(Table1[[#This Row],[CO2 Emissions (g CO2)]])/(Table1[[#This Row],[Generation (TWh)]]*10^9)</f>
        <v>1903.9550400000001</v>
      </c>
    </row>
    <row r="1587" spans="1:18" hidden="1">
      <c r="A1587" t="s">
        <v>996</v>
      </c>
      <c r="B1587" t="s">
        <v>46</v>
      </c>
      <c r="C1587" t="str">
        <f>SUBSTITUTE(Table1[[#This Row],[Fuel]],", ",",")</f>
        <v>bioenergy: agricultural waste (solids)</v>
      </c>
      <c r="D1587" t="s">
        <v>46</v>
      </c>
      <c r="G1587">
        <v>45</v>
      </c>
      <c r="H1587" t="s">
        <v>27</v>
      </c>
      <c r="I1587">
        <v>2011</v>
      </c>
      <c r="J1587" t="s">
        <v>21</v>
      </c>
      <c r="K1587">
        <v>-18.466999999999999</v>
      </c>
      <c r="L1587">
        <v>-52.609099999999998</v>
      </c>
      <c r="M1587" t="s">
        <v>49</v>
      </c>
      <c r="N1587" s="2">
        <f>Table1[[#This Row],[Capacity (MW)]]*8760*0.72*10^-6</f>
        <v>0.28382399999999997</v>
      </c>
      <c r="O1587" s="2" cm="1">
        <f t="array" ref="O1587">AVERAGE(VLOOKUP(_xlfn.TEXTSPLIT(Table1[[#This Row],[Fuel (no space after comma)]], ","), FuelList_Final_EF!$A$2:$B$32, 2, FALSE))</f>
        <v>118.17</v>
      </c>
      <c r="P1587" s="2">
        <f>(16112*Table1[[#This Row],[Generation (TWh)]]*10^9)/10^6</f>
        <v>4572972.2879999988</v>
      </c>
      <c r="Q1587" s="2">
        <f>Table1[[#This Row],[Emission Factor (kg CO2/ mmBtu)]]*Table1[[#This Row],[Fuel Consumption (mmBtu)]]*10^3</f>
        <v>540388135272.95984</v>
      </c>
      <c r="R1587" s="2">
        <f>(Table1[[#This Row],[CO2 Emissions (g CO2)]])/(Table1[[#This Row],[Generation (TWh)]]*10^9)</f>
        <v>1903.9550399999998</v>
      </c>
    </row>
    <row r="1588" spans="1:18" hidden="1">
      <c r="A1588" t="s">
        <v>996</v>
      </c>
      <c r="B1588" t="s">
        <v>46</v>
      </c>
      <c r="C1588" t="str">
        <f>SUBSTITUTE(Table1[[#This Row],[Fuel]],", ",",")</f>
        <v>bioenergy: agricultural waste (solids)</v>
      </c>
      <c r="D1588" t="s">
        <v>46</v>
      </c>
      <c r="G1588">
        <v>35</v>
      </c>
      <c r="H1588" t="s">
        <v>27</v>
      </c>
      <c r="I1588">
        <v>2011</v>
      </c>
      <c r="J1588" t="s">
        <v>21</v>
      </c>
      <c r="K1588">
        <v>-18.466999999999999</v>
      </c>
      <c r="L1588">
        <v>-52.609099999999998</v>
      </c>
      <c r="M1588" t="s">
        <v>49</v>
      </c>
      <c r="N1588" s="2">
        <f>Table1[[#This Row],[Capacity (MW)]]*8760*0.72*10^-6</f>
        <v>0.220752</v>
      </c>
      <c r="O1588" s="2" cm="1">
        <f t="array" ref="O1588">AVERAGE(VLOOKUP(_xlfn.TEXTSPLIT(Table1[[#This Row],[Fuel (no space after comma)]], ","), FuelList_Final_EF!$A$2:$B$32, 2, FALSE))</f>
        <v>118.17</v>
      </c>
      <c r="P1588" s="2">
        <f>(16112*Table1[[#This Row],[Generation (TWh)]]*10^9)/10^6</f>
        <v>3556756.2239999999</v>
      </c>
      <c r="Q1588" s="2">
        <f>Table1[[#This Row],[Emission Factor (kg CO2/ mmBtu)]]*Table1[[#This Row],[Fuel Consumption (mmBtu)]]*10^3</f>
        <v>420301882990.08002</v>
      </c>
      <c r="R1588" s="2">
        <f>(Table1[[#This Row],[CO2 Emissions (g CO2)]])/(Table1[[#This Row],[Generation (TWh)]]*10^9)</f>
        <v>1903.9550400000001</v>
      </c>
    </row>
    <row r="1589" spans="1:18" hidden="1">
      <c r="A1589" t="s">
        <v>996</v>
      </c>
      <c r="B1589" t="s">
        <v>46</v>
      </c>
      <c r="C1589" t="str">
        <f>SUBSTITUTE(Table1[[#This Row],[Fuel]],", ",",")</f>
        <v>bioenergy: agricultural waste (solids)</v>
      </c>
      <c r="D1589" t="s">
        <v>46</v>
      </c>
      <c r="G1589">
        <v>45</v>
      </c>
      <c r="H1589" t="s">
        <v>27</v>
      </c>
      <c r="I1589">
        <v>2011</v>
      </c>
      <c r="J1589" t="s">
        <v>21</v>
      </c>
      <c r="K1589">
        <v>-18.466999999999999</v>
      </c>
      <c r="L1589">
        <v>-52.609099999999998</v>
      </c>
      <c r="M1589" t="s">
        <v>49</v>
      </c>
      <c r="N1589" s="2">
        <f>Table1[[#This Row],[Capacity (MW)]]*8760*0.72*10^-6</f>
        <v>0.28382399999999997</v>
      </c>
      <c r="O1589" s="2" cm="1">
        <f t="array" ref="O1589">AVERAGE(VLOOKUP(_xlfn.TEXTSPLIT(Table1[[#This Row],[Fuel (no space after comma)]], ","), FuelList_Final_EF!$A$2:$B$32, 2, FALSE))</f>
        <v>118.17</v>
      </c>
      <c r="P1589" s="2">
        <f>(16112*Table1[[#This Row],[Generation (TWh)]]*10^9)/10^6</f>
        <v>4572972.2879999988</v>
      </c>
      <c r="Q1589" s="2">
        <f>Table1[[#This Row],[Emission Factor (kg CO2/ mmBtu)]]*Table1[[#This Row],[Fuel Consumption (mmBtu)]]*10^3</f>
        <v>540388135272.95984</v>
      </c>
      <c r="R1589" s="2">
        <f>(Table1[[#This Row],[CO2 Emissions (g CO2)]])/(Table1[[#This Row],[Generation (TWh)]]*10^9)</f>
        <v>1903.9550399999998</v>
      </c>
    </row>
    <row r="1590" spans="1:18" hidden="1">
      <c r="A1590" t="s">
        <v>997</v>
      </c>
      <c r="B1590" t="s">
        <v>25</v>
      </c>
      <c r="C1590" t="str">
        <f>SUBSTITUTE(Table1[[#This Row],[Fuel]],", ",",")</f>
        <v>bioenergy: wood &amp; other biomass (solids)</v>
      </c>
      <c r="D1590" t="s">
        <v>25</v>
      </c>
      <c r="G1590">
        <v>43</v>
      </c>
      <c r="H1590" t="s">
        <v>27</v>
      </c>
      <c r="I1590">
        <v>2018</v>
      </c>
      <c r="J1590" t="s">
        <v>21</v>
      </c>
      <c r="K1590">
        <v>36.975000000000001</v>
      </c>
      <c r="L1590">
        <v>126.85420000000001</v>
      </c>
      <c r="M1590" t="s">
        <v>333</v>
      </c>
      <c r="N1590" s="2">
        <f>Table1[[#This Row],[Capacity (MW)]]*8760*0.72*10^-6</f>
        <v>0.27120959999999994</v>
      </c>
      <c r="O1590" s="2" cm="1">
        <f t="array" ref="O1590">AVERAGE(VLOOKUP(_xlfn.TEXTSPLIT(Table1[[#This Row],[Fuel (no space after comma)]], ","), FuelList_Final_EF!$A$2:$B$32, 2, FALSE))</f>
        <v>93.8</v>
      </c>
      <c r="P1590" s="2">
        <f>(16112*Table1[[#This Row],[Generation (TWh)]]*10^9)/10^6</f>
        <v>4369729.0751999989</v>
      </c>
      <c r="Q1590" s="2">
        <f>Table1[[#This Row],[Emission Factor (kg CO2/ mmBtu)]]*Table1[[#This Row],[Fuel Consumption (mmBtu)]]*10^3</f>
        <v>409880587253.75989</v>
      </c>
      <c r="R1590" s="2">
        <f>(Table1[[#This Row],[CO2 Emissions (g CO2)]])/(Table1[[#This Row],[Generation (TWh)]]*10^9)</f>
        <v>1511.3055999999999</v>
      </c>
    </row>
    <row r="1591" spans="1:18" hidden="1">
      <c r="A1591" t="s">
        <v>262</v>
      </c>
      <c r="B1591" t="s">
        <v>46</v>
      </c>
      <c r="C1591" t="str">
        <f>SUBSTITUTE(Table1[[#This Row],[Fuel]],", ",",")</f>
        <v>bioenergy: agricultural waste (solids)</v>
      </c>
      <c r="D1591" t="s">
        <v>46</v>
      </c>
      <c r="G1591">
        <v>40</v>
      </c>
      <c r="H1591" t="s">
        <v>27</v>
      </c>
      <c r="I1591">
        <v>2008</v>
      </c>
      <c r="J1591" t="s">
        <v>21</v>
      </c>
      <c r="K1591">
        <v>-21.099900000000002</v>
      </c>
      <c r="L1591">
        <v>-49.317700000000002</v>
      </c>
      <c r="M1591" t="s">
        <v>49</v>
      </c>
      <c r="N1591" s="2">
        <f>Table1[[#This Row],[Capacity (MW)]]*8760*0.72*10^-6</f>
        <v>0.25228800000000001</v>
      </c>
      <c r="O1591" s="2" cm="1">
        <f t="array" ref="O1591">AVERAGE(VLOOKUP(_xlfn.TEXTSPLIT(Table1[[#This Row],[Fuel (no space after comma)]], ","), FuelList_Final_EF!$A$2:$B$32, 2, FALSE))</f>
        <v>118.17</v>
      </c>
      <c r="P1591" s="2">
        <f>(16112*Table1[[#This Row],[Generation (TWh)]]*10^9)/10^6</f>
        <v>4064864.2560000005</v>
      </c>
      <c r="Q1591" s="2">
        <f>Table1[[#This Row],[Emission Factor (kg CO2/ mmBtu)]]*Table1[[#This Row],[Fuel Consumption (mmBtu)]]*10^3</f>
        <v>480345009131.52008</v>
      </c>
      <c r="R1591" s="2">
        <f>(Table1[[#This Row],[CO2 Emissions (g CO2)]])/(Table1[[#This Row],[Generation (TWh)]]*10^9)</f>
        <v>1903.9550400000003</v>
      </c>
    </row>
    <row r="1592" spans="1:18">
      <c r="A1592" t="s">
        <v>998</v>
      </c>
      <c r="B1592" t="s">
        <v>653</v>
      </c>
      <c r="C1592" t="str">
        <f>SUBSTITUTE(Table1[[#This Row],[Fuel]],", ",",")</f>
        <v>bioenergy: wood &amp; other biomass (solids),bioenergy: paper mill wastes</v>
      </c>
      <c r="D1592" t="s">
        <v>25</v>
      </c>
      <c r="E1592" t="s">
        <v>61</v>
      </c>
      <c r="G1592">
        <v>32</v>
      </c>
      <c r="H1592" t="s">
        <v>27</v>
      </c>
      <c r="I1592" t="s">
        <v>21</v>
      </c>
      <c r="J1592" t="s">
        <v>21</v>
      </c>
      <c r="K1592">
        <v>49.873100000000001</v>
      </c>
      <c r="L1592">
        <v>-124.5544</v>
      </c>
      <c r="M1592" t="s">
        <v>79</v>
      </c>
      <c r="N1592" s="2">
        <f>Table1[[#This Row],[Capacity (MW)]]*8760*0.72*10^-6</f>
        <v>0.20183039999999999</v>
      </c>
      <c r="O1592" s="2" cm="1">
        <f t="array" ref="O1592">AVERAGE(VLOOKUP(_xlfn.TEXTSPLIT(Table1[[#This Row],[Fuel (no space after comma)]], ","), FuelList_Final_EF!$A$2:$B$32, 2, FALSE))</f>
        <v>97.137216657880856</v>
      </c>
      <c r="P1592" s="2">
        <f>(16112*Table1[[#This Row],[Generation (TWh)]]*10^9)/10^6</f>
        <v>3251891.4047999997</v>
      </c>
      <c r="Q1592" s="2">
        <f>Table1[[#This Row],[Emission Factor (kg CO2/ mmBtu)]]*Table1[[#This Row],[Fuel Consumption (mmBtu)]]*10^3</f>
        <v>315879679935.95807</v>
      </c>
      <c r="R1592" s="2">
        <f>(Table1[[#This Row],[CO2 Emissions (g CO2)]])/(Table1[[#This Row],[Generation (TWh)]]*10^9)</f>
        <v>1565.0748347917761</v>
      </c>
    </row>
    <row r="1593" spans="1:18" hidden="1">
      <c r="A1593" t="s">
        <v>225</v>
      </c>
      <c r="B1593" t="s">
        <v>145</v>
      </c>
      <c r="C1593" t="str">
        <f>SUBSTITUTE(Table1[[#This Row],[Fuel]],", ",",")</f>
        <v>bioenergy: paper mill wastes,bioenergy: wood &amp; other biomass (solids),fossil gas: natural gas</v>
      </c>
      <c r="D1593" t="s">
        <v>61</v>
      </c>
      <c r="E1593" t="s">
        <v>25</v>
      </c>
      <c r="F1593" t="s">
        <v>69</v>
      </c>
      <c r="G1593">
        <v>41</v>
      </c>
      <c r="H1593" t="s">
        <v>27</v>
      </c>
      <c r="I1593">
        <v>1967</v>
      </c>
      <c r="J1593" t="s">
        <v>21</v>
      </c>
      <c r="K1593">
        <v>32.418700000000001</v>
      </c>
      <c r="L1593">
        <v>-86.471800000000002</v>
      </c>
      <c r="M1593" t="s">
        <v>62</v>
      </c>
      <c r="N1593" s="2">
        <f>Table1[[#This Row],[Capacity (MW)]]*8760*0.72*10^-6</f>
        <v>0.25859519999999997</v>
      </c>
      <c r="O1593" s="2" cm="1">
        <f t="array" ref="O1593">AVERAGE(VLOOKUP(_xlfn.TEXTSPLIT(Table1[[#This Row],[Fuel (no space after comma)]], ","), FuelList_Final_EF!$A$2:$B$32, 2, FALSE))</f>
        <v>82.444811105253905</v>
      </c>
      <c r="P1593" s="2">
        <f>(16112*Table1[[#This Row],[Generation (TWh)]]*10^9)/10^6</f>
        <v>4166485.8624</v>
      </c>
      <c r="Q1593" s="2">
        <f>Table1[[#This Row],[Emission Factor (kg CO2/ mmBtu)]]*Table1[[#This Row],[Fuel Consumption (mmBtu)]]*10^3</f>
        <v>343505139898.27887</v>
      </c>
      <c r="R1593" s="2">
        <f>(Table1[[#This Row],[CO2 Emissions (g CO2)]])/(Table1[[#This Row],[Generation (TWh)]]*10^9)</f>
        <v>1328.3507965278509</v>
      </c>
    </row>
    <row r="1594" spans="1:18" hidden="1">
      <c r="A1594" t="s">
        <v>225</v>
      </c>
      <c r="B1594" t="s">
        <v>263</v>
      </c>
      <c r="C1594" t="str">
        <f>SUBSTITUTE(Table1[[#This Row],[Fuel]],", ",",")</f>
        <v>bioenergy: paper mill wastes,bioenergy: wood &amp; other biomass (solids),coal: bituminous</v>
      </c>
      <c r="D1594" t="s">
        <v>61</v>
      </c>
      <c r="E1594" t="s">
        <v>25</v>
      </c>
      <c r="F1594" t="s">
        <v>90</v>
      </c>
      <c r="G1594">
        <v>49</v>
      </c>
      <c r="H1594" t="s">
        <v>27</v>
      </c>
      <c r="I1594">
        <v>1980</v>
      </c>
      <c r="J1594" t="s">
        <v>21</v>
      </c>
      <c r="K1594">
        <v>32.418700000000001</v>
      </c>
      <c r="L1594">
        <v>-86.471800000000002</v>
      </c>
      <c r="M1594" t="s">
        <v>62</v>
      </c>
      <c r="N1594" s="2">
        <f>Table1[[#This Row],[Capacity (MW)]]*8760*0.72*10^-6</f>
        <v>0.30905279999999996</v>
      </c>
      <c r="O1594" s="2" cm="1">
        <f t="array" ref="O1594">AVERAGE(VLOOKUP(_xlfn.TEXTSPLIT(Table1[[#This Row],[Fuel (no space after comma)]], ","), FuelList_Final_EF!$A$2:$B$32, 2, FALSE))</f>
        <v>98.00361975048321</v>
      </c>
      <c r="P1594" s="2">
        <f>(16112*Table1[[#This Row],[Generation (TWh)]]*10^9)/10^6</f>
        <v>4979458.7135999994</v>
      </c>
      <c r="Q1594" s="2">
        <f>Table1[[#This Row],[Emission Factor (kg CO2/ mmBtu)]]*Table1[[#This Row],[Fuel Consumption (mmBtu)]]*10^3</f>
        <v>488004978330.88464</v>
      </c>
      <c r="R1594" s="2">
        <f>(Table1[[#This Row],[CO2 Emissions (g CO2)]])/(Table1[[#This Row],[Generation (TWh)]]*10^9)</f>
        <v>1579.0343214197858</v>
      </c>
    </row>
    <row r="1595" spans="1:18" hidden="1">
      <c r="A1595" t="s">
        <v>999</v>
      </c>
      <c r="B1595" t="s">
        <v>46</v>
      </c>
      <c r="C1595" t="str">
        <f>SUBSTITUTE(Table1[[#This Row],[Fuel]],", ",",")</f>
        <v>bioenergy: agricultural waste (solids)</v>
      </c>
      <c r="D1595" t="s">
        <v>46</v>
      </c>
      <c r="G1595">
        <v>30</v>
      </c>
      <c r="H1595" t="s">
        <v>27</v>
      </c>
      <c r="I1595">
        <v>2015</v>
      </c>
      <c r="J1595" t="s">
        <v>21</v>
      </c>
      <c r="K1595">
        <v>19.571300000000001</v>
      </c>
      <c r="L1595">
        <v>74.501599999999996</v>
      </c>
      <c r="M1595" t="s">
        <v>66</v>
      </c>
      <c r="N1595" s="2">
        <f>Table1[[#This Row],[Capacity (MW)]]*8760*0.72*10^-6</f>
        <v>0.189216</v>
      </c>
      <c r="O1595" s="2" cm="1">
        <f t="array" ref="O1595">AVERAGE(VLOOKUP(_xlfn.TEXTSPLIT(Table1[[#This Row],[Fuel (no space after comma)]], ","), FuelList_Final_EF!$A$2:$B$32, 2, FALSE))</f>
        <v>118.17</v>
      </c>
      <c r="P1595" s="2">
        <f>(16112*Table1[[#This Row],[Generation (TWh)]]*10^9)/10^6</f>
        <v>3048648.1919999998</v>
      </c>
      <c r="Q1595" s="2">
        <f>Table1[[#This Row],[Emission Factor (kg CO2/ mmBtu)]]*Table1[[#This Row],[Fuel Consumption (mmBtu)]]*10^3</f>
        <v>360258756848.63995</v>
      </c>
      <c r="R1595" s="2">
        <f>(Table1[[#This Row],[CO2 Emissions (g CO2)]])/(Table1[[#This Row],[Generation (TWh)]]*10^9)</f>
        <v>1903.9550399999998</v>
      </c>
    </row>
    <row r="1596" spans="1:18" hidden="1">
      <c r="A1596" t="s">
        <v>54</v>
      </c>
      <c r="B1596" t="s">
        <v>19</v>
      </c>
      <c r="C1596" t="str">
        <f>SUBSTITUTE(Table1[[#This Row],[Fuel]],", ",",")</f>
        <v>bioenergy: refuse (municipal and industrial wastes)</v>
      </c>
      <c r="D1596" t="s">
        <v>19</v>
      </c>
      <c r="G1596">
        <v>36</v>
      </c>
      <c r="H1596" t="s">
        <v>27</v>
      </c>
      <c r="I1596">
        <v>2010</v>
      </c>
      <c r="J1596" t="s">
        <v>21</v>
      </c>
      <c r="K1596">
        <v>51.799199999999999</v>
      </c>
      <c r="L1596">
        <v>11.755000000000001</v>
      </c>
      <c r="M1596" t="s">
        <v>154</v>
      </c>
      <c r="N1596" s="2">
        <f>Table1[[#This Row],[Capacity (MW)]]*8760*0.72*10^-6</f>
        <v>0.22705919999999996</v>
      </c>
      <c r="O1596" s="2" cm="1">
        <f t="array" ref="O1596">AVERAGE(VLOOKUP(_xlfn.TEXTSPLIT(Table1[[#This Row],[Fuel (no space after comma)]], ","), FuelList_Final_EF!$A$2:$B$32, 2, FALSE))</f>
        <v>105.42962572482868</v>
      </c>
      <c r="P1596" s="2">
        <f>(16112*Table1[[#This Row],[Generation (TWh)]]*10^9)/10^6</f>
        <v>3658377.8303999994</v>
      </c>
      <c r="Q1596" s="2">
        <f>Table1[[#This Row],[Emission Factor (kg CO2/ mmBtu)]]*Table1[[#This Row],[Fuel Consumption (mmBtu)]]*10^3</f>
        <v>385701405419.0827</v>
      </c>
      <c r="R1596" s="2">
        <f>(Table1[[#This Row],[CO2 Emissions (g CO2)]])/(Table1[[#This Row],[Generation (TWh)]]*10^9)</f>
        <v>1698.6821296784397</v>
      </c>
    </row>
    <row r="1597" spans="1:18" hidden="1">
      <c r="A1597" t="s">
        <v>1000</v>
      </c>
      <c r="B1597" t="s">
        <v>19</v>
      </c>
      <c r="C1597" t="str">
        <f>SUBSTITUTE(Table1[[#This Row],[Fuel]],", ",",")</f>
        <v>bioenergy: refuse (municipal and industrial wastes)</v>
      </c>
      <c r="D1597" t="s">
        <v>19</v>
      </c>
      <c r="G1597">
        <v>39</v>
      </c>
      <c r="H1597" t="s">
        <v>27</v>
      </c>
      <c r="I1597">
        <v>2011</v>
      </c>
      <c r="J1597" t="s">
        <v>21</v>
      </c>
      <c r="K1597">
        <v>51.5471</v>
      </c>
      <c r="L1597">
        <v>4.4428000000000001</v>
      </c>
      <c r="M1597" t="s">
        <v>39</v>
      </c>
      <c r="N1597" s="2">
        <f>Table1[[#This Row],[Capacity (MW)]]*8760*0.72*10^-6</f>
        <v>0.24598079999999997</v>
      </c>
      <c r="O1597" s="2" cm="1">
        <f t="array" ref="O1597">AVERAGE(VLOOKUP(_xlfn.TEXTSPLIT(Table1[[#This Row],[Fuel (no space after comma)]], ","), FuelList_Final_EF!$A$2:$B$32, 2, FALSE))</f>
        <v>105.42962572482868</v>
      </c>
      <c r="P1597" s="2">
        <f>(16112*Table1[[#This Row],[Generation (TWh)]]*10^9)/10^6</f>
        <v>3963242.6495999997</v>
      </c>
      <c r="Q1597" s="2">
        <f>Table1[[#This Row],[Emission Factor (kg CO2/ mmBtu)]]*Table1[[#This Row],[Fuel Consumption (mmBtu)]]*10^3</f>
        <v>417843189204.00629</v>
      </c>
      <c r="R1597" s="2">
        <f>(Table1[[#This Row],[CO2 Emissions (g CO2)]])/(Table1[[#This Row],[Generation (TWh)]]*10^9)</f>
        <v>1698.6821296784397</v>
      </c>
    </row>
    <row r="1598" spans="1:18">
      <c r="A1598" t="s">
        <v>1001</v>
      </c>
      <c r="B1598" t="s">
        <v>25</v>
      </c>
      <c r="C1598" t="str">
        <f>SUBSTITUTE(Table1[[#This Row],[Fuel]],", ",",")</f>
        <v>bioenergy: wood &amp; other biomass (solids)</v>
      </c>
      <c r="D1598" t="s">
        <v>25</v>
      </c>
      <c r="G1598">
        <v>60</v>
      </c>
      <c r="H1598" t="s">
        <v>27</v>
      </c>
      <c r="I1598" t="s">
        <v>21</v>
      </c>
      <c r="J1598" t="s">
        <v>21</v>
      </c>
      <c r="K1598">
        <v>54.920999999999999</v>
      </c>
      <c r="L1598">
        <v>-112.8622</v>
      </c>
      <c r="M1598" t="s">
        <v>79</v>
      </c>
      <c r="N1598" s="2">
        <f>Table1[[#This Row],[Capacity (MW)]]*8760*0.72*10^-6</f>
        <v>0.37843199999999999</v>
      </c>
      <c r="O1598" s="2" cm="1">
        <f t="array" ref="O1598">AVERAGE(VLOOKUP(_xlfn.TEXTSPLIT(Table1[[#This Row],[Fuel (no space after comma)]], ","), FuelList_Final_EF!$A$2:$B$32, 2, FALSE))</f>
        <v>93.8</v>
      </c>
      <c r="P1598" s="2">
        <f>(16112*Table1[[#This Row],[Generation (TWh)]]*10^9)/10^6</f>
        <v>6097296.3839999996</v>
      </c>
      <c r="Q1598" s="2">
        <f>Table1[[#This Row],[Emission Factor (kg CO2/ mmBtu)]]*Table1[[#This Row],[Fuel Consumption (mmBtu)]]*10^3</f>
        <v>571926400819.19995</v>
      </c>
      <c r="R1598" s="2">
        <f>(Table1[[#This Row],[CO2 Emissions (g CO2)]])/(Table1[[#This Row],[Generation (TWh)]]*10^9)</f>
        <v>1511.3055999999999</v>
      </c>
    </row>
    <row r="1599" spans="1:18">
      <c r="A1599" t="s">
        <v>21</v>
      </c>
      <c r="B1599" t="s">
        <v>25</v>
      </c>
      <c r="C1599" t="str">
        <f>SUBSTITUTE(Table1[[#This Row],[Fuel]],", ",",")</f>
        <v>bioenergy: wood &amp; other biomass (solids)</v>
      </c>
      <c r="D1599" t="s">
        <v>25</v>
      </c>
      <c r="G1599">
        <v>200</v>
      </c>
      <c r="H1599" t="s">
        <v>172</v>
      </c>
      <c r="I1599" t="s">
        <v>21</v>
      </c>
      <c r="J1599" t="s">
        <v>21</v>
      </c>
      <c r="K1599">
        <v>30.4346</v>
      </c>
      <c r="L1599">
        <v>-91.202399999999997</v>
      </c>
      <c r="M1599" t="s">
        <v>62</v>
      </c>
      <c r="N1599" s="2">
        <f>Table1[[#This Row],[Capacity (MW)]]*8760*0.72*10^-6</f>
        <v>1.2614399999999999</v>
      </c>
      <c r="O1599" s="2" cm="1">
        <f t="array" ref="O1599">AVERAGE(VLOOKUP(_xlfn.TEXTSPLIT(Table1[[#This Row],[Fuel (no space after comma)]], ","), FuelList_Final_EF!$A$2:$B$32, 2, FALSE))</f>
        <v>93.8</v>
      </c>
      <c r="P1599" s="2">
        <f>(16112*Table1[[#This Row],[Generation (TWh)]]*10^9)/10^6</f>
        <v>20324321.280000001</v>
      </c>
      <c r="Q1599" s="2">
        <f>Table1[[#This Row],[Emission Factor (kg CO2/ mmBtu)]]*Table1[[#This Row],[Fuel Consumption (mmBtu)]]*10^3</f>
        <v>1906421336064.0002</v>
      </c>
      <c r="R1599" s="2">
        <f>(Table1[[#This Row],[CO2 Emissions (g CO2)]])/(Table1[[#This Row],[Generation (TWh)]]*10^9)</f>
        <v>1511.3056000000001</v>
      </c>
    </row>
    <row r="1600" spans="1:18" hidden="1">
      <c r="A1600" t="s">
        <v>1002</v>
      </c>
      <c r="B1600" t="s">
        <v>19</v>
      </c>
      <c r="C1600" t="str">
        <f>SUBSTITUTE(Table1[[#This Row],[Fuel]],", ",",")</f>
        <v>bioenergy: refuse (municipal and industrial wastes)</v>
      </c>
      <c r="D1600" t="s">
        <v>19</v>
      </c>
      <c r="G1600">
        <v>12.25</v>
      </c>
      <c r="H1600" t="s">
        <v>53</v>
      </c>
      <c r="I1600">
        <v>2024</v>
      </c>
      <c r="J1600" t="s">
        <v>21</v>
      </c>
      <c r="K1600">
        <v>53.282899999999998</v>
      </c>
      <c r="L1600">
        <v>-2.8264</v>
      </c>
      <c r="M1600" t="s">
        <v>22</v>
      </c>
      <c r="N1600" s="2">
        <f>Table1[[#This Row],[Capacity (MW)]]*8760*0.72*10^-6</f>
        <v>7.726319999999999E-2</v>
      </c>
      <c r="O1600" s="2" cm="1">
        <f t="array" ref="O1600">AVERAGE(VLOOKUP(_xlfn.TEXTSPLIT(Table1[[#This Row],[Fuel (no space after comma)]], ","), FuelList_Final_EF!$A$2:$B$32, 2, FALSE))</f>
        <v>105.42962572482868</v>
      </c>
      <c r="P1600" s="2">
        <f>(16112*Table1[[#This Row],[Generation (TWh)]]*10^9)/10^6</f>
        <v>1244864.6783999999</v>
      </c>
      <c r="Q1600" s="2">
        <f>Table1[[#This Row],[Emission Factor (kg CO2/ mmBtu)]]*Table1[[#This Row],[Fuel Consumption (mmBtu)]]*10^3</f>
        <v>131245617121.77121</v>
      </c>
      <c r="R1600" s="2">
        <f>(Table1[[#This Row],[CO2 Emissions (g CO2)]])/(Table1[[#This Row],[Generation (TWh)]]*10^9)</f>
        <v>1698.6821296784399</v>
      </c>
    </row>
    <row r="1601" spans="1:18" hidden="1">
      <c r="A1601" t="s">
        <v>54</v>
      </c>
      <c r="B1601" t="s">
        <v>19</v>
      </c>
      <c r="C1601" t="str">
        <f>SUBSTITUTE(Table1[[#This Row],[Fuel]],", ",",")</f>
        <v>bioenergy: refuse (municipal and industrial wastes)</v>
      </c>
      <c r="D1601" t="s">
        <v>19</v>
      </c>
      <c r="G1601">
        <v>36.75</v>
      </c>
      <c r="H1601" t="s">
        <v>53</v>
      </c>
      <c r="I1601">
        <v>2024</v>
      </c>
      <c r="J1601" t="s">
        <v>21</v>
      </c>
      <c r="K1601">
        <v>53.282899999999998</v>
      </c>
      <c r="L1601">
        <v>-2.8264</v>
      </c>
      <c r="M1601" t="s">
        <v>22</v>
      </c>
      <c r="N1601" s="2">
        <f>Table1[[#This Row],[Capacity (MW)]]*8760*0.72*10^-6</f>
        <v>0.23178959999999998</v>
      </c>
      <c r="O1601" s="2" cm="1">
        <f t="array" ref="O1601">AVERAGE(VLOOKUP(_xlfn.TEXTSPLIT(Table1[[#This Row],[Fuel (no space after comma)]], ","), FuelList_Final_EF!$A$2:$B$32, 2, FALSE))</f>
        <v>105.42962572482868</v>
      </c>
      <c r="P1601" s="2">
        <f>(16112*Table1[[#This Row],[Generation (TWh)]]*10^9)/10^6</f>
        <v>3734594.0351999998</v>
      </c>
      <c r="Q1601" s="2">
        <f>Table1[[#This Row],[Emission Factor (kg CO2/ mmBtu)]]*Table1[[#This Row],[Fuel Consumption (mmBtu)]]*10^3</f>
        <v>393736851365.31366</v>
      </c>
      <c r="R1601" s="2">
        <f>(Table1[[#This Row],[CO2 Emissions (g CO2)]])/(Table1[[#This Row],[Generation (TWh)]]*10^9)</f>
        <v>1698.6821296784399</v>
      </c>
    </row>
    <row r="1602" spans="1:18" hidden="1">
      <c r="A1602" t="s">
        <v>874</v>
      </c>
      <c r="B1602" t="s">
        <v>1003</v>
      </c>
      <c r="C1602" t="str">
        <f>SUBSTITUTE(Table1[[#This Row],[Fuel]],", ",",")</f>
        <v>bioenergy: wood &amp; other biomass (solids),coal: waste coal</v>
      </c>
      <c r="D1602" t="s">
        <v>25</v>
      </c>
      <c r="E1602" t="s">
        <v>1004</v>
      </c>
      <c r="G1602">
        <v>150</v>
      </c>
      <c r="H1602" t="s">
        <v>27</v>
      </c>
      <c r="I1602">
        <v>1995</v>
      </c>
      <c r="J1602" t="s">
        <v>21</v>
      </c>
      <c r="K1602">
        <v>43.469475000000003</v>
      </c>
      <c r="L1602">
        <v>5.4875439999999998</v>
      </c>
      <c r="M1602" t="s">
        <v>228</v>
      </c>
      <c r="N1602" s="2">
        <f>Table1[[#This Row],[Capacity (MW)]]*8760*0.72*10^-6</f>
        <v>0.94607999999999992</v>
      </c>
      <c r="O1602" s="2" cm="1">
        <f t="array" ref="O1602">AVERAGE(VLOOKUP(_xlfn.TEXTSPLIT(Table1[[#This Row],[Fuel (no space after comma)]], ","), FuelList_Final_EF!$A$2:$B$32, 2, FALSE))</f>
        <v>96.768212967843965</v>
      </c>
      <c r="P1602" s="2">
        <f>(16112*Table1[[#This Row],[Generation (TWh)]]*10^9)/10^6</f>
        <v>15243240.960000001</v>
      </c>
      <c r="Q1602" s="2">
        <f>Table1[[#This Row],[Emission Factor (kg CO2/ mmBtu)]]*Table1[[#This Row],[Fuel Consumption (mmBtu)]]*10^3</f>
        <v>1475061187537.4424</v>
      </c>
      <c r="R1602" s="2">
        <f>(Table1[[#This Row],[CO2 Emissions (g CO2)]])/(Table1[[#This Row],[Generation (TWh)]]*10^9)</f>
        <v>1559.1294473379023</v>
      </c>
    </row>
    <row r="1603" spans="1:18" hidden="1">
      <c r="A1603" t="s">
        <v>21</v>
      </c>
      <c r="B1603" t="s">
        <v>25</v>
      </c>
      <c r="C1603" t="str">
        <f>SUBSTITUTE(Table1[[#This Row],[Fuel]],", ",",")</f>
        <v>bioenergy: wood &amp; other biomass (solids)</v>
      </c>
      <c r="D1603" t="s">
        <v>25</v>
      </c>
      <c r="G1603">
        <v>30</v>
      </c>
      <c r="H1603" t="s">
        <v>27</v>
      </c>
      <c r="I1603">
        <v>2015</v>
      </c>
      <c r="J1603" t="s">
        <v>21</v>
      </c>
      <c r="K1603">
        <v>3.0632999999999999</v>
      </c>
      <c r="L1603">
        <v>99.428700000000006</v>
      </c>
      <c r="M1603" t="s">
        <v>44</v>
      </c>
      <c r="N1603" s="2">
        <f>Table1[[#This Row],[Capacity (MW)]]*8760*0.72*10^-6</f>
        <v>0.189216</v>
      </c>
      <c r="O1603" s="2" cm="1">
        <f t="array" ref="O1603">AVERAGE(VLOOKUP(_xlfn.TEXTSPLIT(Table1[[#This Row],[Fuel (no space after comma)]], ","), FuelList_Final_EF!$A$2:$B$32, 2, FALSE))</f>
        <v>93.8</v>
      </c>
      <c r="P1603" s="2">
        <f>(16112*Table1[[#This Row],[Generation (TWh)]]*10^9)/10^6</f>
        <v>3048648.1919999998</v>
      </c>
      <c r="Q1603" s="2">
        <f>Table1[[#This Row],[Emission Factor (kg CO2/ mmBtu)]]*Table1[[#This Row],[Fuel Consumption (mmBtu)]]*10^3</f>
        <v>285963200409.59998</v>
      </c>
      <c r="R1603" s="2">
        <f>(Table1[[#This Row],[CO2 Emissions (g CO2)]])/(Table1[[#This Row],[Generation (TWh)]]*10^9)</f>
        <v>1511.3055999999999</v>
      </c>
    </row>
    <row r="1604" spans="1:18" hidden="1">
      <c r="A1604" t="s">
        <v>21</v>
      </c>
      <c r="B1604" t="s">
        <v>43</v>
      </c>
      <c r="C1604" t="str">
        <f>SUBSTITUTE(Table1[[#This Row],[Fuel]],", ",",")</f>
        <v>bioenergy: agricultural waste (biogas)</v>
      </c>
      <c r="D1604" t="s">
        <v>43</v>
      </c>
      <c r="G1604">
        <v>2134</v>
      </c>
      <c r="H1604" t="s">
        <v>27</v>
      </c>
      <c r="I1604">
        <v>2016</v>
      </c>
      <c r="J1604" t="s">
        <v>21</v>
      </c>
      <c r="K1604">
        <v>7.5399999999999995E-2</v>
      </c>
      <c r="L1604">
        <v>102.02979999999999</v>
      </c>
      <c r="M1604" t="s">
        <v>44</v>
      </c>
      <c r="N1604" s="2">
        <f>Table1[[#This Row],[Capacity (MW)]]*8760*0.72*10^-6</f>
        <v>13.459564799999999</v>
      </c>
      <c r="O1604" s="2" cm="1">
        <f t="array" ref="O1604">AVERAGE(VLOOKUP(_xlfn.TEXTSPLIT(Table1[[#This Row],[Fuel (no space after comma)]], ","), FuelList_Final_EF!$A$2:$B$32, 2, FALSE))</f>
        <v>52.07</v>
      </c>
      <c r="P1604" s="2">
        <f>(16112*Table1[[#This Row],[Generation (TWh)]]*10^9)/10^6</f>
        <v>216860508.05759996</v>
      </c>
      <c r="Q1604" s="2">
        <f>Table1[[#This Row],[Emission Factor (kg CO2/ mmBtu)]]*Table1[[#This Row],[Fuel Consumption (mmBtu)]]*10^3</f>
        <v>11291926654559.23</v>
      </c>
      <c r="R1604" s="2">
        <f>(Table1[[#This Row],[CO2 Emissions (g CO2)]])/(Table1[[#This Row],[Generation (TWh)]]*10^9)</f>
        <v>838.95184000000006</v>
      </c>
    </row>
    <row r="1605" spans="1:18" hidden="1">
      <c r="A1605" t="s">
        <v>1005</v>
      </c>
      <c r="B1605" t="s">
        <v>42</v>
      </c>
      <c r="C1605" t="str">
        <f>SUBSTITUTE(Table1[[#This Row],[Fuel]],", ",",")</f>
        <v>bioenergy: wastewater and sewage sludge (solids or biogas)</v>
      </c>
      <c r="D1605" t="s">
        <v>42</v>
      </c>
      <c r="G1605">
        <v>33</v>
      </c>
      <c r="H1605" t="s">
        <v>27</v>
      </c>
      <c r="I1605">
        <v>2017</v>
      </c>
      <c r="J1605" t="s">
        <v>21</v>
      </c>
      <c r="K1605">
        <v>19.958200000000001</v>
      </c>
      <c r="L1605">
        <v>-99.294600000000003</v>
      </c>
      <c r="M1605" t="s">
        <v>695</v>
      </c>
      <c r="N1605" s="2">
        <f>Table1[[#This Row],[Capacity (MW)]]*8760*0.72*10^-6</f>
        <v>0.20813760000000001</v>
      </c>
      <c r="O1605" s="2" cm="1">
        <f t="array" ref="O1605">AVERAGE(VLOOKUP(_xlfn.TEXTSPLIT(Table1[[#This Row],[Fuel (no space after comma)]], ","), FuelList_Final_EF!$A$2:$B$32, 2, FALSE))</f>
        <v>57.564575645756456</v>
      </c>
      <c r="P1605" s="2">
        <f>(16112*Table1[[#This Row],[Generation (TWh)]]*10^9)/10^6</f>
        <v>3353513.0112000001</v>
      </c>
      <c r="Q1605" s="2">
        <f>Table1[[#This Row],[Emission Factor (kg CO2/ mmBtu)]]*Table1[[#This Row],[Fuel Consumption (mmBtu)]]*10^3</f>
        <v>193043553412.25092</v>
      </c>
      <c r="R1605" s="2">
        <f>(Table1[[#This Row],[CO2 Emissions (g CO2)]])/(Table1[[#This Row],[Generation (TWh)]]*10^9)</f>
        <v>927.48044280442798</v>
      </c>
    </row>
    <row r="1606" spans="1:18" hidden="1">
      <c r="A1606" t="s">
        <v>1006</v>
      </c>
      <c r="B1606" t="s">
        <v>351</v>
      </c>
      <c r="C1606" t="str">
        <f>SUBSTITUTE(Table1[[#This Row],[Fuel]],", ",",")</f>
        <v>bioenergy: refuse (landfill gas)</v>
      </c>
      <c r="D1606" t="s">
        <v>351</v>
      </c>
      <c r="G1606">
        <v>50</v>
      </c>
      <c r="H1606" t="s">
        <v>27</v>
      </c>
      <c r="I1606">
        <v>1986</v>
      </c>
      <c r="J1606" t="s">
        <v>21</v>
      </c>
      <c r="K1606">
        <v>34.023299999999999</v>
      </c>
      <c r="L1606">
        <v>-118.0241</v>
      </c>
      <c r="M1606" t="s">
        <v>62</v>
      </c>
      <c r="N1606" s="2">
        <f>Table1[[#This Row],[Capacity (MW)]]*8760*0.72*10^-6</f>
        <v>0.31535999999999997</v>
      </c>
      <c r="O1606" s="2" cm="1">
        <f t="array" ref="O1606">AVERAGE(VLOOKUP(_xlfn.TEXTSPLIT(Table1[[#This Row],[Fuel (no space after comma)]], ","), FuelList_Final_EF!$A$2:$B$32, 2, FALSE))</f>
        <v>52.07</v>
      </c>
      <c r="P1606" s="2">
        <f>(16112*Table1[[#This Row],[Generation (TWh)]]*10^9)/10^6</f>
        <v>5081080.32</v>
      </c>
      <c r="Q1606" s="2">
        <f>Table1[[#This Row],[Emission Factor (kg CO2/ mmBtu)]]*Table1[[#This Row],[Fuel Consumption (mmBtu)]]*10^3</f>
        <v>264571852262.40002</v>
      </c>
      <c r="R1606" s="2">
        <f>(Table1[[#This Row],[CO2 Emissions (g CO2)]])/(Table1[[#This Row],[Generation (TWh)]]*10^9)</f>
        <v>838.95184000000006</v>
      </c>
    </row>
    <row r="1607" spans="1:18" hidden="1">
      <c r="A1607" t="s">
        <v>1007</v>
      </c>
      <c r="B1607" t="s">
        <v>61</v>
      </c>
      <c r="C1607" t="str">
        <f>SUBSTITUTE(Table1[[#This Row],[Fuel]],", ",",")</f>
        <v>bioenergy: paper mill wastes</v>
      </c>
      <c r="D1607" t="s">
        <v>61</v>
      </c>
      <c r="G1607">
        <v>44</v>
      </c>
      <c r="H1607" t="s">
        <v>27</v>
      </c>
      <c r="I1607">
        <v>2010</v>
      </c>
      <c r="J1607" t="s">
        <v>21</v>
      </c>
      <c r="K1607">
        <v>-25.989899999999999</v>
      </c>
      <c r="L1607">
        <v>-54.636600000000001</v>
      </c>
      <c r="M1607" t="s">
        <v>397</v>
      </c>
      <c r="N1607" s="2">
        <f>Table1[[#This Row],[Capacity (MW)]]*8760*0.72*10^-6</f>
        <v>0.27751679999999995</v>
      </c>
      <c r="O1607" s="2" cm="1">
        <f t="array" ref="O1607">AVERAGE(VLOOKUP(_xlfn.TEXTSPLIT(Table1[[#This Row],[Fuel (no space after comma)]], ","), FuelList_Final_EF!$A$2:$B$32, 2, FALSE))</f>
        <v>100.47443331576173</v>
      </c>
      <c r="P1607" s="2">
        <f>(16112*Table1[[#This Row],[Generation (TWh)]]*10^9)/10^6</f>
        <v>4471350.6815999988</v>
      </c>
      <c r="Q1607" s="2">
        <f>Table1[[#This Row],[Emission Factor (kg CO2/ mmBtu)]]*Table1[[#This Row],[Fuel Consumption (mmBtu)]]*10^3</f>
        <v>449256425889.80481</v>
      </c>
      <c r="R1607" s="2">
        <f>(Table1[[#This Row],[CO2 Emissions (g CO2)]])/(Table1[[#This Row],[Generation (TWh)]]*10^9)</f>
        <v>1618.8440695835527</v>
      </c>
    </row>
    <row r="1608" spans="1:18" hidden="1">
      <c r="A1608" t="s">
        <v>1007</v>
      </c>
      <c r="B1608" t="s">
        <v>25</v>
      </c>
      <c r="C1608" t="str">
        <f>SUBSTITUTE(Table1[[#This Row],[Fuel]],", ",",")</f>
        <v>bioenergy: wood &amp; other biomass (solids)</v>
      </c>
      <c r="D1608" t="s">
        <v>25</v>
      </c>
      <c r="G1608">
        <v>38</v>
      </c>
      <c r="H1608" t="s">
        <v>27</v>
      </c>
      <c r="I1608">
        <v>2009</v>
      </c>
      <c r="J1608" t="s">
        <v>21</v>
      </c>
      <c r="K1608">
        <v>-26.480699999999999</v>
      </c>
      <c r="L1608">
        <v>-54.716000000000001</v>
      </c>
      <c r="M1608" t="s">
        <v>397</v>
      </c>
      <c r="N1608" s="2">
        <f>Table1[[#This Row],[Capacity (MW)]]*8760*0.72*10^-6</f>
        <v>0.23967359999999996</v>
      </c>
      <c r="O1608" s="2" cm="1">
        <f t="array" ref="O1608">AVERAGE(VLOOKUP(_xlfn.TEXTSPLIT(Table1[[#This Row],[Fuel (no space after comma)]], ","), FuelList_Final_EF!$A$2:$B$32, 2, FALSE))</f>
        <v>93.8</v>
      </c>
      <c r="P1608" s="2">
        <f>(16112*Table1[[#This Row],[Generation (TWh)]]*10^9)/10^6</f>
        <v>3861621.0431999997</v>
      </c>
      <c r="Q1608" s="2">
        <f>Table1[[#This Row],[Emission Factor (kg CO2/ mmBtu)]]*Table1[[#This Row],[Fuel Consumption (mmBtu)]]*10^3</f>
        <v>362220053852.15997</v>
      </c>
      <c r="R1608" s="2">
        <f>(Table1[[#This Row],[CO2 Emissions (g CO2)]])/(Table1[[#This Row],[Generation (TWh)]]*10^9)</f>
        <v>1511.3056000000001</v>
      </c>
    </row>
    <row r="1609" spans="1:18" hidden="1">
      <c r="A1609" t="s">
        <v>823</v>
      </c>
      <c r="B1609" t="s">
        <v>61</v>
      </c>
      <c r="C1609" t="str">
        <f>SUBSTITUTE(Table1[[#This Row],[Fuel]],", ",",")</f>
        <v>bioenergy: paper mill wastes</v>
      </c>
      <c r="D1609" t="s">
        <v>61</v>
      </c>
      <c r="G1609">
        <v>135</v>
      </c>
      <c r="H1609" t="s">
        <v>27</v>
      </c>
      <c r="I1609">
        <v>2022</v>
      </c>
      <c r="J1609" t="s">
        <v>21</v>
      </c>
      <c r="K1609">
        <v>-24.244299999999999</v>
      </c>
      <c r="L1609">
        <v>-50.743499999999997</v>
      </c>
      <c r="M1609" t="s">
        <v>49</v>
      </c>
      <c r="N1609" s="2">
        <f>Table1[[#This Row],[Capacity (MW)]]*8760*0.72*10^-6</f>
        <v>0.85147200000000001</v>
      </c>
      <c r="O1609" s="2" cm="1">
        <f t="array" ref="O1609">AVERAGE(VLOOKUP(_xlfn.TEXTSPLIT(Table1[[#This Row],[Fuel (no space after comma)]], ","), FuelList_Final_EF!$A$2:$B$32, 2, FALSE))</f>
        <v>100.47443331576173</v>
      </c>
      <c r="P1609" s="2">
        <f>(16112*Table1[[#This Row],[Generation (TWh)]]*10^9)/10^6</f>
        <v>13718916.864</v>
      </c>
      <c r="Q1609" s="2">
        <f>Table1[[#This Row],[Emission Factor (kg CO2/ mmBtu)]]*Table1[[#This Row],[Fuel Consumption (mmBtu)]]*10^3</f>
        <v>1378400397616.447</v>
      </c>
      <c r="R1609" s="2">
        <f>(Table1[[#This Row],[CO2 Emissions (g CO2)]])/(Table1[[#This Row],[Generation (TWh)]]*10^9)</f>
        <v>1618.8440695835529</v>
      </c>
    </row>
    <row r="1610" spans="1:18" hidden="1">
      <c r="A1610" t="s">
        <v>1008</v>
      </c>
      <c r="B1610" t="s">
        <v>742</v>
      </c>
      <c r="C1610" t="str">
        <f>SUBSTITUTE(Table1[[#This Row],[Fuel]],", ",",")</f>
        <v>bioenergy: wood &amp; other biomass (solids),other: other</v>
      </c>
      <c r="D1610" t="s">
        <v>25</v>
      </c>
      <c r="E1610" t="s">
        <v>216</v>
      </c>
      <c r="G1610">
        <v>53</v>
      </c>
      <c r="H1610" t="s">
        <v>27</v>
      </c>
      <c r="I1610">
        <v>1990</v>
      </c>
      <c r="J1610" t="s">
        <v>21</v>
      </c>
      <c r="K1610">
        <v>61.675899999999999</v>
      </c>
      <c r="L1610">
        <v>27.289100000000001</v>
      </c>
      <c r="M1610" t="s">
        <v>28</v>
      </c>
      <c r="N1610" s="2">
        <f>Table1[[#This Row],[Capacity (MW)]]*8760*0.72*10^-6</f>
        <v>0.33428159999999996</v>
      </c>
      <c r="O1610" s="2" cm="1">
        <f t="array" ref="O1610">AVERAGE(VLOOKUP(_xlfn.TEXTSPLIT(Table1[[#This Row],[Fuel (no space after comma)]], ","), FuelList_Final_EF!$A$2:$B$32, 2, FALSE))</f>
        <v>89.884999999999991</v>
      </c>
      <c r="P1610" s="2">
        <f>(16112*Table1[[#This Row],[Generation (TWh)]]*10^9)/10^6</f>
        <v>5385945.1391999992</v>
      </c>
      <c r="Q1610" s="2">
        <f>Table1[[#This Row],[Emission Factor (kg CO2/ mmBtu)]]*Table1[[#This Row],[Fuel Consumption (mmBtu)]]*10^3</f>
        <v>484115678836.99182</v>
      </c>
      <c r="R1610" s="2">
        <f>(Table1[[#This Row],[CO2 Emissions (g CO2)]])/(Table1[[#This Row],[Generation (TWh)]]*10^9)</f>
        <v>1448.2271199999998</v>
      </c>
    </row>
    <row r="1611" spans="1:18" hidden="1">
      <c r="A1611" t="s">
        <v>127</v>
      </c>
      <c r="B1611" t="s">
        <v>19</v>
      </c>
      <c r="C1611" t="str">
        <f>SUBSTITUTE(Table1[[#This Row],[Fuel]],", ",",")</f>
        <v>bioenergy: refuse (municipal and industrial wastes)</v>
      </c>
      <c r="D1611" t="s">
        <v>19</v>
      </c>
      <c r="G1611">
        <v>26.25</v>
      </c>
      <c r="H1611" t="s">
        <v>27</v>
      </c>
      <c r="I1611">
        <v>2023</v>
      </c>
      <c r="J1611" t="s">
        <v>21</v>
      </c>
      <c r="K1611">
        <v>36.766599999999997</v>
      </c>
      <c r="L1611">
        <v>101.7042</v>
      </c>
      <c r="M1611" t="s">
        <v>102</v>
      </c>
      <c r="N1611" s="2">
        <f>Table1[[#This Row],[Capacity (MW)]]*8760*0.72*10^-6</f>
        <v>0.16556399999999999</v>
      </c>
      <c r="O1611" s="2" cm="1">
        <f t="array" ref="O1611">AVERAGE(VLOOKUP(_xlfn.TEXTSPLIT(Table1[[#This Row],[Fuel (no space after comma)]], ","), FuelList_Final_EF!$A$2:$B$32, 2, FALSE))</f>
        <v>105.42962572482868</v>
      </c>
      <c r="P1611" s="2">
        <f>(16112*Table1[[#This Row],[Generation (TWh)]]*10^9)/10^6</f>
        <v>2667567.1680000001</v>
      </c>
      <c r="Q1611" s="2">
        <f>Table1[[#This Row],[Emission Factor (kg CO2/ mmBtu)]]*Table1[[#This Row],[Fuel Consumption (mmBtu)]]*10^3</f>
        <v>281240608118.08124</v>
      </c>
      <c r="R1611" s="2">
        <f>(Table1[[#This Row],[CO2 Emissions (g CO2)]])/(Table1[[#This Row],[Generation (TWh)]]*10^9)</f>
        <v>1698.6821296784399</v>
      </c>
    </row>
    <row r="1612" spans="1:18" hidden="1">
      <c r="A1612" t="s">
        <v>1009</v>
      </c>
      <c r="B1612" t="s">
        <v>19</v>
      </c>
      <c r="C1612" t="str">
        <f>SUBSTITUTE(Table1[[#This Row],[Fuel]],", ",",")</f>
        <v>bioenergy: refuse (municipal and industrial wastes)</v>
      </c>
      <c r="D1612" t="s">
        <v>19</v>
      </c>
      <c r="G1612">
        <v>8.75</v>
      </c>
      <c r="H1612" t="s">
        <v>27</v>
      </c>
      <c r="I1612">
        <v>2023</v>
      </c>
      <c r="J1612" t="s">
        <v>21</v>
      </c>
      <c r="K1612">
        <v>36.766599999999997</v>
      </c>
      <c r="L1612">
        <v>101.7042</v>
      </c>
      <c r="M1612" t="s">
        <v>102</v>
      </c>
      <c r="N1612" s="2">
        <f>Table1[[#This Row],[Capacity (MW)]]*8760*0.72*10^-6</f>
        <v>5.5188000000000001E-2</v>
      </c>
      <c r="O1612" s="2" cm="1">
        <f t="array" ref="O1612">AVERAGE(VLOOKUP(_xlfn.TEXTSPLIT(Table1[[#This Row],[Fuel (no space after comma)]], ","), FuelList_Final_EF!$A$2:$B$32, 2, FALSE))</f>
        <v>105.42962572482868</v>
      </c>
      <c r="P1612" s="2">
        <f>(16112*Table1[[#This Row],[Generation (TWh)]]*10^9)/10^6</f>
        <v>889189.05599999998</v>
      </c>
      <c r="Q1612" s="2">
        <f>Table1[[#This Row],[Emission Factor (kg CO2/ mmBtu)]]*Table1[[#This Row],[Fuel Consumption (mmBtu)]]*10^3</f>
        <v>93746869372.693726</v>
      </c>
      <c r="R1612" s="2">
        <f>(Table1[[#This Row],[CO2 Emissions (g CO2)]])/(Table1[[#This Row],[Generation (TWh)]]*10^9)</f>
        <v>1698.6821296784397</v>
      </c>
    </row>
    <row r="1613" spans="1:18" hidden="1">
      <c r="A1613" t="s">
        <v>1009</v>
      </c>
      <c r="B1613" t="s">
        <v>19</v>
      </c>
      <c r="C1613" t="str">
        <f>SUBSTITUTE(Table1[[#This Row],[Fuel]],", ",",")</f>
        <v>bioenergy: refuse (municipal and industrial wastes)</v>
      </c>
      <c r="D1613" t="s">
        <v>19</v>
      </c>
      <c r="G1613">
        <v>8.75</v>
      </c>
      <c r="H1613" t="s">
        <v>27</v>
      </c>
      <c r="I1613">
        <v>2023</v>
      </c>
      <c r="J1613" t="s">
        <v>21</v>
      </c>
      <c r="K1613">
        <v>36.766599999999997</v>
      </c>
      <c r="L1613">
        <v>101.7042</v>
      </c>
      <c r="M1613" t="s">
        <v>102</v>
      </c>
      <c r="N1613" s="2">
        <f>Table1[[#This Row],[Capacity (MW)]]*8760*0.72*10^-6</f>
        <v>5.5188000000000001E-2</v>
      </c>
      <c r="O1613" s="2" cm="1">
        <f t="array" ref="O1613">AVERAGE(VLOOKUP(_xlfn.TEXTSPLIT(Table1[[#This Row],[Fuel (no space after comma)]], ","), FuelList_Final_EF!$A$2:$B$32, 2, FALSE))</f>
        <v>105.42962572482868</v>
      </c>
      <c r="P1613" s="2">
        <f>(16112*Table1[[#This Row],[Generation (TWh)]]*10^9)/10^6</f>
        <v>889189.05599999998</v>
      </c>
      <c r="Q1613" s="2">
        <f>Table1[[#This Row],[Emission Factor (kg CO2/ mmBtu)]]*Table1[[#This Row],[Fuel Consumption (mmBtu)]]*10^3</f>
        <v>93746869372.693726</v>
      </c>
      <c r="R1613" s="2">
        <f>(Table1[[#This Row],[CO2 Emissions (g CO2)]])/(Table1[[#This Row],[Generation (TWh)]]*10^9)</f>
        <v>1698.6821296784397</v>
      </c>
    </row>
    <row r="1614" spans="1:18" hidden="1">
      <c r="A1614" t="s">
        <v>127</v>
      </c>
      <c r="B1614" t="s">
        <v>19</v>
      </c>
      <c r="C1614" t="str">
        <f>SUBSTITUTE(Table1[[#This Row],[Fuel]],", ",",")</f>
        <v>bioenergy: refuse (municipal and industrial wastes)</v>
      </c>
      <c r="D1614" t="s">
        <v>19</v>
      </c>
      <c r="G1614">
        <v>26.25</v>
      </c>
      <c r="H1614" t="s">
        <v>27</v>
      </c>
      <c r="I1614">
        <v>2023</v>
      </c>
      <c r="J1614" t="s">
        <v>21</v>
      </c>
      <c r="K1614">
        <v>36.766599999999997</v>
      </c>
      <c r="L1614">
        <v>101.7042</v>
      </c>
      <c r="M1614" t="s">
        <v>102</v>
      </c>
      <c r="N1614" s="2">
        <f>Table1[[#This Row],[Capacity (MW)]]*8760*0.72*10^-6</f>
        <v>0.16556399999999999</v>
      </c>
      <c r="O1614" s="2" cm="1">
        <f t="array" ref="O1614">AVERAGE(VLOOKUP(_xlfn.TEXTSPLIT(Table1[[#This Row],[Fuel (no space after comma)]], ","), FuelList_Final_EF!$A$2:$B$32, 2, FALSE))</f>
        <v>105.42962572482868</v>
      </c>
      <c r="P1614" s="2">
        <f>(16112*Table1[[#This Row],[Generation (TWh)]]*10^9)/10^6</f>
        <v>2667567.1680000001</v>
      </c>
      <c r="Q1614" s="2">
        <f>Table1[[#This Row],[Emission Factor (kg CO2/ mmBtu)]]*Table1[[#This Row],[Fuel Consumption (mmBtu)]]*10^3</f>
        <v>281240608118.08124</v>
      </c>
      <c r="R1614" s="2">
        <f>(Table1[[#This Row],[CO2 Emissions (g CO2)]])/(Table1[[#This Row],[Generation (TWh)]]*10^9)</f>
        <v>1698.6821296784399</v>
      </c>
    </row>
    <row r="1615" spans="1:18" hidden="1">
      <c r="A1615" t="s">
        <v>178</v>
      </c>
      <c r="B1615" t="s">
        <v>46</v>
      </c>
      <c r="C1615" t="str">
        <f>SUBSTITUTE(Table1[[#This Row],[Fuel]],", ",",")</f>
        <v>bioenergy: agricultural waste (solids)</v>
      </c>
      <c r="D1615" t="s">
        <v>46</v>
      </c>
      <c r="G1615">
        <v>30</v>
      </c>
      <c r="H1615" t="s">
        <v>27</v>
      </c>
      <c r="I1615">
        <v>2009</v>
      </c>
      <c r="J1615" t="s">
        <v>21</v>
      </c>
      <c r="K1615">
        <v>-22.249099999999999</v>
      </c>
      <c r="L1615">
        <v>-50.652500000000003</v>
      </c>
      <c r="M1615" t="s">
        <v>49</v>
      </c>
      <c r="N1615" s="2">
        <f>Table1[[#This Row],[Capacity (MW)]]*8760*0.72*10^-6</f>
        <v>0.189216</v>
      </c>
      <c r="O1615" s="2" cm="1">
        <f t="array" ref="O1615">AVERAGE(VLOOKUP(_xlfn.TEXTSPLIT(Table1[[#This Row],[Fuel (no space after comma)]], ","), FuelList_Final_EF!$A$2:$B$32, 2, FALSE))</f>
        <v>118.17</v>
      </c>
      <c r="P1615" s="2">
        <f>(16112*Table1[[#This Row],[Generation (TWh)]]*10^9)/10^6</f>
        <v>3048648.1919999998</v>
      </c>
      <c r="Q1615" s="2">
        <f>Table1[[#This Row],[Emission Factor (kg CO2/ mmBtu)]]*Table1[[#This Row],[Fuel Consumption (mmBtu)]]*10^3</f>
        <v>360258756848.63995</v>
      </c>
      <c r="R1615" s="2">
        <f>(Table1[[#This Row],[CO2 Emissions (g CO2)]])/(Table1[[#This Row],[Generation (TWh)]]*10^9)</f>
        <v>1903.9550399999998</v>
      </c>
    </row>
    <row r="1616" spans="1:18" hidden="1">
      <c r="A1616" t="s">
        <v>178</v>
      </c>
      <c r="B1616" t="s">
        <v>46</v>
      </c>
      <c r="C1616" t="str">
        <f>SUBSTITUTE(Table1[[#This Row],[Fuel]],", ",",")</f>
        <v>bioenergy: agricultural waste (solids)</v>
      </c>
      <c r="D1616" t="s">
        <v>46</v>
      </c>
      <c r="G1616">
        <v>30</v>
      </c>
      <c r="H1616" t="s">
        <v>27</v>
      </c>
      <c r="I1616">
        <v>2009</v>
      </c>
      <c r="J1616" t="s">
        <v>21</v>
      </c>
      <c r="K1616">
        <v>-22.249099999999999</v>
      </c>
      <c r="L1616">
        <v>-50.652500000000003</v>
      </c>
      <c r="M1616" t="s">
        <v>49</v>
      </c>
      <c r="N1616" s="2">
        <f>Table1[[#This Row],[Capacity (MW)]]*8760*0.72*10^-6</f>
        <v>0.189216</v>
      </c>
      <c r="O1616" s="2" cm="1">
        <f t="array" ref="O1616">AVERAGE(VLOOKUP(_xlfn.TEXTSPLIT(Table1[[#This Row],[Fuel (no space after comma)]], ","), FuelList_Final_EF!$A$2:$B$32, 2, FALSE))</f>
        <v>118.17</v>
      </c>
      <c r="P1616" s="2">
        <f>(16112*Table1[[#This Row],[Generation (TWh)]]*10^9)/10^6</f>
        <v>3048648.1919999998</v>
      </c>
      <c r="Q1616" s="2">
        <f>Table1[[#This Row],[Emission Factor (kg CO2/ mmBtu)]]*Table1[[#This Row],[Fuel Consumption (mmBtu)]]*10^3</f>
        <v>360258756848.63995</v>
      </c>
      <c r="R1616" s="2">
        <f>(Table1[[#This Row],[CO2 Emissions (g CO2)]])/(Table1[[#This Row],[Generation (TWh)]]*10^9)</f>
        <v>1903.9550399999998</v>
      </c>
    </row>
    <row r="1617" spans="1:18">
      <c r="A1617" t="s">
        <v>1010</v>
      </c>
      <c r="B1617" t="s">
        <v>19</v>
      </c>
      <c r="C1617" t="str">
        <f>SUBSTITUTE(Table1[[#This Row],[Fuel]],", ",",")</f>
        <v>bioenergy: refuse (municipal and industrial wastes)</v>
      </c>
      <c r="D1617" t="s">
        <v>19</v>
      </c>
      <c r="G1617">
        <v>42</v>
      </c>
      <c r="H1617" t="s">
        <v>20</v>
      </c>
      <c r="I1617" t="s">
        <v>21</v>
      </c>
      <c r="J1617" t="s">
        <v>21</v>
      </c>
      <c r="K1617">
        <v>14.676299999999999</v>
      </c>
      <c r="L1617">
        <v>121.04640000000001</v>
      </c>
      <c r="M1617" t="s">
        <v>72</v>
      </c>
      <c r="N1617" s="2">
        <f>Table1[[#This Row],[Capacity (MW)]]*8760*0.72*10^-6</f>
        <v>0.26490239999999993</v>
      </c>
      <c r="O1617" s="2" cm="1">
        <f t="array" ref="O1617">AVERAGE(VLOOKUP(_xlfn.TEXTSPLIT(Table1[[#This Row],[Fuel (no space after comma)]], ","), FuelList_Final_EF!$A$2:$B$32, 2, FALSE))</f>
        <v>105.42962572482868</v>
      </c>
      <c r="P1617" s="2">
        <f>(16112*Table1[[#This Row],[Generation (TWh)]]*10^9)/10^6</f>
        <v>4268107.468799999</v>
      </c>
      <c r="Q1617" s="2">
        <f>Table1[[#This Row],[Emission Factor (kg CO2/ mmBtu)]]*Table1[[#This Row],[Fuel Consumption (mmBtu)]]*10^3</f>
        <v>449984972988.92981</v>
      </c>
      <c r="R1617" s="2">
        <f>(Table1[[#This Row],[CO2 Emissions (g CO2)]])/(Table1[[#This Row],[Generation (TWh)]]*10^9)</f>
        <v>1698.6821296784397</v>
      </c>
    </row>
    <row r="1618" spans="1:18" hidden="1">
      <c r="A1618" t="s">
        <v>246</v>
      </c>
      <c r="B1618" t="s">
        <v>46</v>
      </c>
      <c r="C1618" t="str">
        <f>SUBSTITUTE(Table1[[#This Row],[Fuel]],", ",",")</f>
        <v>bioenergy: agricultural waste (solids)</v>
      </c>
      <c r="D1618" t="s">
        <v>46</v>
      </c>
      <c r="G1618">
        <v>40</v>
      </c>
      <c r="H1618" t="s">
        <v>27</v>
      </c>
      <c r="I1618">
        <v>2007</v>
      </c>
      <c r="J1618" t="s">
        <v>21</v>
      </c>
      <c r="K1618">
        <v>-18.4252</v>
      </c>
      <c r="L1618">
        <v>-50.441699999999997</v>
      </c>
      <c r="M1618" t="s">
        <v>49</v>
      </c>
      <c r="N1618" s="2">
        <f>Table1[[#This Row],[Capacity (MW)]]*8760*0.72*10^-6</f>
        <v>0.25228800000000001</v>
      </c>
      <c r="O1618" s="2" cm="1">
        <f t="array" ref="O1618">AVERAGE(VLOOKUP(_xlfn.TEXTSPLIT(Table1[[#This Row],[Fuel (no space after comma)]], ","), FuelList_Final_EF!$A$2:$B$32, 2, FALSE))</f>
        <v>118.17</v>
      </c>
      <c r="P1618" s="2">
        <f>(16112*Table1[[#This Row],[Generation (TWh)]]*10^9)/10^6</f>
        <v>4064864.2560000005</v>
      </c>
      <c r="Q1618" s="2">
        <f>Table1[[#This Row],[Emission Factor (kg CO2/ mmBtu)]]*Table1[[#This Row],[Fuel Consumption (mmBtu)]]*10^3</f>
        <v>480345009131.52008</v>
      </c>
      <c r="R1618" s="2">
        <f>(Table1[[#This Row],[CO2 Emissions (g CO2)]])/(Table1[[#This Row],[Generation (TWh)]]*10^9)</f>
        <v>1903.9550400000003</v>
      </c>
    </row>
    <row r="1619" spans="1:18" hidden="1">
      <c r="A1619" t="s">
        <v>246</v>
      </c>
      <c r="B1619" t="s">
        <v>46</v>
      </c>
      <c r="C1619" t="str">
        <f>SUBSTITUTE(Table1[[#This Row],[Fuel]],", ",",")</f>
        <v>bioenergy: agricultural waste (solids)</v>
      </c>
      <c r="D1619" t="s">
        <v>46</v>
      </c>
      <c r="G1619">
        <v>40</v>
      </c>
      <c r="H1619" t="s">
        <v>27</v>
      </c>
      <c r="I1619">
        <v>2007</v>
      </c>
      <c r="J1619" t="s">
        <v>21</v>
      </c>
      <c r="K1619">
        <v>-18.4252</v>
      </c>
      <c r="L1619">
        <v>-50.441699999999997</v>
      </c>
      <c r="M1619" t="s">
        <v>49</v>
      </c>
      <c r="N1619" s="2">
        <f>Table1[[#This Row],[Capacity (MW)]]*8760*0.72*10^-6</f>
        <v>0.25228800000000001</v>
      </c>
      <c r="O1619" s="2" cm="1">
        <f t="array" ref="O1619">AVERAGE(VLOOKUP(_xlfn.TEXTSPLIT(Table1[[#This Row],[Fuel (no space after comma)]], ","), FuelList_Final_EF!$A$2:$B$32, 2, FALSE))</f>
        <v>118.17</v>
      </c>
      <c r="P1619" s="2">
        <f>(16112*Table1[[#This Row],[Generation (TWh)]]*10^9)/10^6</f>
        <v>4064864.2560000005</v>
      </c>
      <c r="Q1619" s="2">
        <f>Table1[[#This Row],[Emission Factor (kg CO2/ mmBtu)]]*Table1[[#This Row],[Fuel Consumption (mmBtu)]]*10^3</f>
        <v>480345009131.52008</v>
      </c>
      <c r="R1619" s="2">
        <f>(Table1[[#This Row],[CO2 Emissions (g CO2)]])/(Table1[[#This Row],[Generation (TWh)]]*10^9)</f>
        <v>1903.9550400000003</v>
      </c>
    </row>
    <row r="1620" spans="1:18" hidden="1">
      <c r="A1620" t="s">
        <v>1011</v>
      </c>
      <c r="B1620" t="s">
        <v>46</v>
      </c>
      <c r="C1620" t="str">
        <f>SUBSTITUTE(Table1[[#This Row],[Fuel]],", ",",")</f>
        <v>bioenergy: agricultural waste (solids)</v>
      </c>
      <c r="D1620" t="s">
        <v>46</v>
      </c>
      <c r="G1620">
        <v>40</v>
      </c>
      <c r="H1620" t="s">
        <v>27</v>
      </c>
      <c r="I1620">
        <v>2013</v>
      </c>
      <c r="J1620" t="s">
        <v>21</v>
      </c>
      <c r="K1620">
        <v>-21.1647</v>
      </c>
      <c r="L1620">
        <v>149.13480000000001</v>
      </c>
      <c r="M1620" t="s">
        <v>235</v>
      </c>
      <c r="N1620" s="2">
        <f>Table1[[#This Row],[Capacity (MW)]]*8760*0.72*10^-6</f>
        <v>0.25228800000000001</v>
      </c>
      <c r="O1620" s="2" cm="1">
        <f t="array" ref="O1620">AVERAGE(VLOOKUP(_xlfn.TEXTSPLIT(Table1[[#This Row],[Fuel (no space after comma)]], ","), FuelList_Final_EF!$A$2:$B$32, 2, FALSE))</f>
        <v>118.17</v>
      </c>
      <c r="P1620" s="2">
        <f>(16112*Table1[[#This Row],[Generation (TWh)]]*10^9)/10^6</f>
        <v>4064864.2560000005</v>
      </c>
      <c r="Q1620" s="2">
        <f>Table1[[#This Row],[Emission Factor (kg CO2/ mmBtu)]]*Table1[[#This Row],[Fuel Consumption (mmBtu)]]*10^3</f>
        <v>480345009131.52008</v>
      </c>
      <c r="R1620" s="2">
        <f>(Table1[[#This Row],[CO2 Emissions (g CO2)]])/(Table1[[#This Row],[Generation (TWh)]]*10^9)</f>
        <v>1903.9550400000003</v>
      </c>
    </row>
    <row r="1621" spans="1:18">
      <c r="A1621" t="s">
        <v>1012</v>
      </c>
      <c r="B1621" t="s">
        <v>46</v>
      </c>
      <c r="C1621" t="str">
        <f>SUBSTITUTE(Table1[[#This Row],[Fuel]],", ",",")</f>
        <v>bioenergy: agricultural waste (solids)</v>
      </c>
      <c r="D1621" t="s">
        <v>46</v>
      </c>
      <c r="G1621">
        <v>50</v>
      </c>
      <c r="H1621" t="s">
        <v>27</v>
      </c>
      <c r="I1621">
        <v>1941</v>
      </c>
      <c r="J1621" t="s">
        <v>21</v>
      </c>
      <c r="K1621">
        <v>-22.997399999999999</v>
      </c>
      <c r="L1621">
        <v>-47.520200000000003</v>
      </c>
      <c r="M1621" t="s">
        <v>49</v>
      </c>
      <c r="N1621" s="2">
        <f>Table1[[#This Row],[Capacity (MW)]]*8760*0.72*10^-6</f>
        <v>0.31535999999999997</v>
      </c>
      <c r="O1621" s="2" cm="1">
        <f t="array" ref="O1621">AVERAGE(VLOOKUP(_xlfn.TEXTSPLIT(Table1[[#This Row],[Fuel (no space after comma)]], ","), FuelList_Final_EF!$A$2:$B$32, 2, FALSE))</f>
        <v>118.17</v>
      </c>
      <c r="P1621" s="2">
        <f>(16112*Table1[[#This Row],[Generation (TWh)]]*10^9)/10^6</f>
        <v>5081080.32</v>
      </c>
      <c r="Q1621" s="2">
        <f>Table1[[#This Row],[Emission Factor (kg CO2/ mmBtu)]]*Table1[[#This Row],[Fuel Consumption (mmBtu)]]*10^3</f>
        <v>600431261414.40015</v>
      </c>
      <c r="R1621" s="2">
        <f>(Table1[[#This Row],[CO2 Emissions (g CO2)]])/(Table1[[#This Row],[Generation (TWh)]]*10^9)</f>
        <v>1903.9550400000005</v>
      </c>
    </row>
    <row r="1622" spans="1:18" hidden="1">
      <c r="A1622" t="s">
        <v>1013</v>
      </c>
      <c r="B1622" t="s">
        <v>19</v>
      </c>
      <c r="C1622" t="str">
        <f>SUBSTITUTE(Table1[[#This Row],[Fuel]],", ",",")</f>
        <v>bioenergy: refuse (municipal and industrial wastes)</v>
      </c>
      <c r="D1622" t="s">
        <v>19</v>
      </c>
      <c r="G1622">
        <v>100</v>
      </c>
      <c r="H1622" t="s">
        <v>97</v>
      </c>
      <c r="I1622">
        <v>2026</v>
      </c>
      <c r="J1622" t="s">
        <v>21</v>
      </c>
      <c r="K1622">
        <v>30.313305400000001</v>
      </c>
      <c r="L1622">
        <v>31.740574200000001</v>
      </c>
      <c r="M1622" t="s">
        <v>30</v>
      </c>
      <c r="N1622" s="2">
        <f>Table1[[#This Row],[Capacity (MW)]]*8760*0.72*10^-6</f>
        <v>0.63071999999999995</v>
      </c>
      <c r="O1622" s="2" cm="1">
        <f t="array" ref="O1622">AVERAGE(VLOOKUP(_xlfn.TEXTSPLIT(Table1[[#This Row],[Fuel (no space after comma)]], ","), FuelList_Final_EF!$A$2:$B$32, 2, FALSE))</f>
        <v>105.42962572482868</v>
      </c>
      <c r="P1622" s="2">
        <f>(16112*Table1[[#This Row],[Generation (TWh)]]*10^9)/10^6</f>
        <v>10162160.640000001</v>
      </c>
      <c r="Q1622" s="2">
        <f>Table1[[#This Row],[Emission Factor (kg CO2/ mmBtu)]]*Table1[[#This Row],[Fuel Consumption (mmBtu)]]*10^3</f>
        <v>1071392792830.7855</v>
      </c>
      <c r="R1622" s="2">
        <f>(Table1[[#This Row],[CO2 Emissions (g CO2)]])/(Table1[[#This Row],[Generation (TWh)]]*10^9)</f>
        <v>1698.6821296784397</v>
      </c>
    </row>
    <row r="1623" spans="1:18" hidden="1">
      <c r="A1623" t="s">
        <v>1014</v>
      </c>
      <c r="B1623" t="s">
        <v>25</v>
      </c>
      <c r="C1623" t="str">
        <f>SUBSTITUTE(Table1[[#This Row],[Fuel]],", ",",")</f>
        <v>bioenergy: wood &amp; other biomass (solids)</v>
      </c>
      <c r="D1623" t="s">
        <v>25</v>
      </c>
      <c r="G1623">
        <v>52</v>
      </c>
      <c r="H1623" t="s">
        <v>27</v>
      </c>
      <c r="I1623">
        <v>1982</v>
      </c>
      <c r="J1623" t="s">
        <v>21</v>
      </c>
      <c r="K1623">
        <v>56.457900000000002</v>
      </c>
      <c r="L1623">
        <v>10.0466</v>
      </c>
      <c r="M1623" t="s">
        <v>83</v>
      </c>
      <c r="N1623" s="2">
        <f>Table1[[#This Row],[Capacity (MW)]]*8760*0.72*10^-6</f>
        <v>0.32797439999999994</v>
      </c>
      <c r="O1623" s="2" cm="1">
        <f t="array" ref="O1623">AVERAGE(VLOOKUP(_xlfn.TEXTSPLIT(Table1[[#This Row],[Fuel (no space after comma)]], ","), FuelList_Final_EF!$A$2:$B$32, 2, FALSE))</f>
        <v>93.8</v>
      </c>
      <c r="P1623" s="2">
        <f>(16112*Table1[[#This Row],[Generation (TWh)]]*10^9)/10^6</f>
        <v>5284323.5327999992</v>
      </c>
      <c r="Q1623" s="2">
        <f>Table1[[#This Row],[Emission Factor (kg CO2/ mmBtu)]]*Table1[[#This Row],[Fuel Consumption (mmBtu)]]*10^3</f>
        <v>495669547376.63989</v>
      </c>
      <c r="R1623" s="2">
        <f>(Table1[[#This Row],[CO2 Emissions (g CO2)]])/(Table1[[#This Row],[Generation (TWh)]]*10^9)</f>
        <v>1511.3055999999999</v>
      </c>
    </row>
    <row r="1624" spans="1:18" hidden="1">
      <c r="A1624" t="s">
        <v>1015</v>
      </c>
      <c r="B1624" t="s">
        <v>1016</v>
      </c>
      <c r="C1624" t="str">
        <f>SUBSTITUTE(Table1[[#This Row],[Fuel]],", ",",")</f>
        <v>bioenergy: wood &amp; other biomass (solids),bioenergy: wastewater and sewage sludge (solids or biogas)</v>
      </c>
      <c r="D1624" t="s">
        <v>25</v>
      </c>
      <c r="E1624" t="s">
        <v>42</v>
      </c>
      <c r="G1624">
        <v>76</v>
      </c>
      <c r="H1624" t="s">
        <v>27</v>
      </c>
      <c r="I1624">
        <v>2006</v>
      </c>
      <c r="J1624" t="s">
        <v>21</v>
      </c>
      <c r="K1624">
        <v>61.118000000000002</v>
      </c>
      <c r="L1624">
        <v>21.478000000000002</v>
      </c>
      <c r="M1624" t="s">
        <v>28</v>
      </c>
      <c r="N1624" s="2">
        <f>Table1[[#This Row],[Capacity (MW)]]*8760*0.72*10^-6</f>
        <v>0.47934719999999992</v>
      </c>
      <c r="O1624" s="2" cm="1">
        <f t="array" ref="O1624">AVERAGE(VLOOKUP(_xlfn.TEXTSPLIT(Table1[[#This Row],[Fuel (no space after comma)]], ","), FuelList_Final_EF!$A$2:$B$32, 2, FALSE))</f>
        <v>75.682287822878223</v>
      </c>
      <c r="P1624" s="2">
        <f>(16112*Table1[[#This Row],[Generation (TWh)]]*10^9)/10^6</f>
        <v>7723242.0863999994</v>
      </c>
      <c r="Q1624" s="2">
        <f>Table1[[#This Row],[Emission Factor (kg CO2/ mmBtu)]]*Table1[[#This Row],[Fuel Consumption (mmBtu)]]*10^3</f>
        <v>584512630508.69128</v>
      </c>
      <c r="R1624" s="2">
        <f>(Table1[[#This Row],[CO2 Emissions (g CO2)]])/(Table1[[#This Row],[Generation (TWh)]]*10^9)</f>
        <v>1219.3930214022141</v>
      </c>
    </row>
    <row r="1625" spans="1:18" hidden="1">
      <c r="A1625" t="s">
        <v>1017</v>
      </c>
      <c r="B1625" t="s">
        <v>19</v>
      </c>
      <c r="C1625" t="str">
        <f>SUBSTITUTE(Table1[[#This Row],[Fuel]],", ",",")</f>
        <v>bioenergy: refuse (municipal and industrial wastes)</v>
      </c>
      <c r="D1625" t="s">
        <v>19</v>
      </c>
      <c r="G1625">
        <v>50</v>
      </c>
      <c r="H1625" t="s">
        <v>20</v>
      </c>
      <c r="I1625">
        <v>2025</v>
      </c>
      <c r="J1625" t="s">
        <v>21</v>
      </c>
      <c r="K1625">
        <v>54.625700000000002</v>
      </c>
      <c r="L1625">
        <v>-1.1391</v>
      </c>
      <c r="M1625" t="s">
        <v>22</v>
      </c>
      <c r="N1625" s="2">
        <f>Table1[[#This Row],[Capacity (MW)]]*8760*0.72*10^-6</f>
        <v>0.31535999999999997</v>
      </c>
      <c r="O1625" s="2" cm="1">
        <f t="array" ref="O1625">AVERAGE(VLOOKUP(_xlfn.TEXTSPLIT(Table1[[#This Row],[Fuel (no space after comma)]], ","), FuelList_Final_EF!$A$2:$B$32, 2, FALSE))</f>
        <v>105.42962572482868</v>
      </c>
      <c r="P1625" s="2">
        <f>(16112*Table1[[#This Row],[Generation (TWh)]]*10^9)/10^6</f>
        <v>5081080.32</v>
      </c>
      <c r="Q1625" s="2">
        <f>Table1[[#This Row],[Emission Factor (kg CO2/ mmBtu)]]*Table1[[#This Row],[Fuel Consumption (mmBtu)]]*10^3</f>
        <v>535696396415.39276</v>
      </c>
      <c r="R1625" s="2">
        <f>(Table1[[#This Row],[CO2 Emissions (g CO2)]])/(Table1[[#This Row],[Generation (TWh)]]*10^9)</f>
        <v>1698.6821296784397</v>
      </c>
    </row>
    <row r="1626" spans="1:18" hidden="1">
      <c r="A1626" t="s">
        <v>1018</v>
      </c>
      <c r="B1626" t="s">
        <v>25</v>
      </c>
      <c r="C1626" t="str">
        <f>SUBSTITUTE(Table1[[#This Row],[Fuel]],", ",",")</f>
        <v>bioenergy: wood &amp; other biomass (solids)</v>
      </c>
      <c r="D1626" t="s">
        <v>25</v>
      </c>
      <c r="G1626">
        <v>40</v>
      </c>
      <c r="H1626" t="s">
        <v>27</v>
      </c>
      <c r="I1626">
        <v>1992</v>
      </c>
      <c r="J1626" t="s">
        <v>21</v>
      </c>
      <c r="K1626">
        <v>44.431699999999999</v>
      </c>
      <c r="L1626">
        <v>-70.161900000000003</v>
      </c>
      <c r="M1626" t="s">
        <v>62</v>
      </c>
      <c r="N1626" s="2">
        <f>Table1[[#This Row],[Capacity (MW)]]*8760*0.72*10^-6</f>
        <v>0.25228800000000001</v>
      </c>
      <c r="O1626" s="2" cm="1">
        <f t="array" ref="O1626">AVERAGE(VLOOKUP(_xlfn.TEXTSPLIT(Table1[[#This Row],[Fuel (no space after comma)]], ","), FuelList_Final_EF!$A$2:$B$32, 2, FALSE))</f>
        <v>93.8</v>
      </c>
      <c r="P1626" s="2">
        <f>(16112*Table1[[#This Row],[Generation (TWh)]]*10^9)/10^6</f>
        <v>4064864.2560000005</v>
      </c>
      <c r="Q1626" s="2">
        <f>Table1[[#This Row],[Emission Factor (kg CO2/ mmBtu)]]*Table1[[#This Row],[Fuel Consumption (mmBtu)]]*10^3</f>
        <v>381284267212.80005</v>
      </c>
      <c r="R1626" s="2">
        <f>(Table1[[#This Row],[CO2 Emissions (g CO2)]])/(Table1[[#This Row],[Generation (TWh)]]*10^9)</f>
        <v>1511.3056000000001</v>
      </c>
    </row>
    <row r="1627" spans="1:18" hidden="1">
      <c r="A1627" t="s">
        <v>1019</v>
      </c>
      <c r="B1627" t="s">
        <v>1020</v>
      </c>
      <c r="C1627" t="str">
        <f>SUBSTITUTE(Table1[[#This Row],[Fuel]],", ",",")</f>
        <v>bioenergy: wood &amp; other biomass (solids),fossil gas: unknown</v>
      </c>
      <c r="D1627" t="s">
        <v>25</v>
      </c>
      <c r="E1627" t="s">
        <v>259</v>
      </c>
      <c r="G1627">
        <v>47</v>
      </c>
      <c r="H1627" t="s">
        <v>27</v>
      </c>
      <c r="I1627">
        <v>1989</v>
      </c>
      <c r="J1627" t="s">
        <v>21</v>
      </c>
      <c r="K1627">
        <v>45.140599999999999</v>
      </c>
      <c r="L1627">
        <v>-70.425600000000003</v>
      </c>
      <c r="M1627" t="s">
        <v>62</v>
      </c>
      <c r="N1627" s="2">
        <f>Table1[[#This Row],[Capacity (MW)]]*8760*0.72*10^-6</f>
        <v>0.29643839999999994</v>
      </c>
      <c r="O1627" s="2" cm="1">
        <f t="array" ref="O1627">AVERAGE(VLOOKUP(_xlfn.TEXTSPLIT(Table1[[#This Row],[Fuel (no space after comma)]], ","), FuelList_Final_EF!$A$2:$B$32, 2, FALSE))</f>
        <v>77.086454928834996</v>
      </c>
      <c r="P1627" s="2">
        <f>(16112*Table1[[#This Row],[Generation (TWh)]]*10^9)/10^6</f>
        <v>4776215.5007999986</v>
      </c>
      <c r="Q1627" s="2">
        <f>Table1[[#This Row],[Emission Factor (kg CO2/ mmBtu)]]*Table1[[#This Row],[Fuel Consumption (mmBtu)]]*10^3</f>
        <v>368181520932.82214</v>
      </c>
      <c r="R1627" s="2">
        <f>(Table1[[#This Row],[CO2 Emissions (g CO2)]])/(Table1[[#This Row],[Generation (TWh)]]*10^9)</f>
        <v>1242.0169618133893</v>
      </c>
    </row>
    <row r="1628" spans="1:18">
      <c r="A1628" t="s">
        <v>1021</v>
      </c>
      <c r="B1628" t="s">
        <v>19</v>
      </c>
      <c r="C1628" t="str">
        <f>SUBSTITUTE(Table1[[#This Row],[Fuel]],", ",",")</f>
        <v>bioenergy: refuse (municipal and industrial wastes)</v>
      </c>
      <c r="D1628" t="s">
        <v>19</v>
      </c>
      <c r="G1628">
        <v>50</v>
      </c>
      <c r="H1628" t="s">
        <v>71</v>
      </c>
      <c r="I1628" t="s">
        <v>21</v>
      </c>
      <c r="J1628" t="s">
        <v>21</v>
      </c>
      <c r="K1628">
        <v>-27.6402</v>
      </c>
      <c r="L1628">
        <v>152.80959999999999</v>
      </c>
      <c r="M1628" t="s">
        <v>235</v>
      </c>
      <c r="N1628" s="2">
        <f>Table1[[#This Row],[Capacity (MW)]]*8760*0.72*10^-6</f>
        <v>0.31535999999999997</v>
      </c>
      <c r="O1628" s="2" cm="1">
        <f t="array" ref="O1628">AVERAGE(VLOOKUP(_xlfn.TEXTSPLIT(Table1[[#This Row],[Fuel (no space after comma)]], ","), FuelList_Final_EF!$A$2:$B$32, 2, FALSE))</f>
        <v>105.42962572482868</v>
      </c>
      <c r="P1628" s="2">
        <f>(16112*Table1[[#This Row],[Generation (TWh)]]*10^9)/10^6</f>
        <v>5081080.32</v>
      </c>
      <c r="Q1628" s="2">
        <f>Table1[[#This Row],[Emission Factor (kg CO2/ mmBtu)]]*Table1[[#This Row],[Fuel Consumption (mmBtu)]]*10^3</f>
        <v>535696396415.39276</v>
      </c>
      <c r="R1628" s="2">
        <f>(Table1[[#This Row],[CO2 Emissions (g CO2)]])/(Table1[[#This Row],[Generation (TWh)]]*10^9)</f>
        <v>1698.6821296784397</v>
      </c>
    </row>
    <row r="1629" spans="1:18" hidden="1">
      <c r="A1629" t="s">
        <v>1022</v>
      </c>
      <c r="B1629" t="s">
        <v>46</v>
      </c>
      <c r="C1629" t="str">
        <f>SUBSTITUTE(Table1[[#This Row],[Fuel]],", ",",")</f>
        <v>bioenergy: agricultural waste (solids)</v>
      </c>
      <c r="D1629" t="s">
        <v>46</v>
      </c>
      <c r="G1629">
        <v>40.53</v>
      </c>
      <c r="H1629" t="s">
        <v>27</v>
      </c>
      <c r="I1629">
        <v>2017</v>
      </c>
      <c r="J1629" t="s">
        <v>21</v>
      </c>
      <c r="K1629">
        <v>36.213143000000002</v>
      </c>
      <c r="L1629">
        <v>136.24134900000001</v>
      </c>
      <c r="M1629" t="s">
        <v>51</v>
      </c>
      <c r="N1629" s="2">
        <f>Table1[[#This Row],[Capacity (MW)]]*8760*0.72*10^-6</f>
        <v>0.25563081599999998</v>
      </c>
      <c r="O1629" s="2" cm="1">
        <f t="array" ref="O1629">AVERAGE(VLOOKUP(_xlfn.TEXTSPLIT(Table1[[#This Row],[Fuel (no space after comma)]], ","), FuelList_Final_EF!$A$2:$B$32, 2, FALSE))</f>
        <v>118.17</v>
      </c>
      <c r="P1629" s="2">
        <f>(16112*Table1[[#This Row],[Generation (TWh)]]*10^9)/10^6</f>
        <v>4118723.7073919997</v>
      </c>
      <c r="Q1629" s="2">
        <f>Table1[[#This Row],[Emission Factor (kg CO2/ mmBtu)]]*Table1[[#This Row],[Fuel Consumption (mmBtu)]]*10^3</f>
        <v>486709580502.51263</v>
      </c>
      <c r="R1629" s="2">
        <f>(Table1[[#This Row],[CO2 Emissions (g CO2)]])/(Table1[[#This Row],[Generation (TWh)]]*10^9)</f>
        <v>1903.9550400000003</v>
      </c>
    </row>
    <row r="1630" spans="1:18" hidden="1">
      <c r="A1630" t="s">
        <v>1023</v>
      </c>
      <c r="B1630" t="s">
        <v>19</v>
      </c>
      <c r="C1630" t="str">
        <f>SUBSTITUTE(Table1[[#This Row],[Fuel]],", ",",")</f>
        <v>bioenergy: refuse (municipal and industrial wastes)</v>
      </c>
      <c r="D1630" t="s">
        <v>19</v>
      </c>
      <c r="G1630">
        <v>33</v>
      </c>
      <c r="H1630" t="s">
        <v>27</v>
      </c>
      <c r="I1630">
        <v>1989</v>
      </c>
      <c r="J1630" t="s">
        <v>21</v>
      </c>
      <c r="K1630">
        <v>22.700199999999999</v>
      </c>
      <c r="L1630">
        <v>120.3695</v>
      </c>
      <c r="M1630" t="s">
        <v>171</v>
      </c>
      <c r="N1630" s="2">
        <f>Table1[[#This Row],[Capacity (MW)]]*8760*0.72*10^-6</f>
        <v>0.20813760000000001</v>
      </c>
      <c r="O1630" s="2" cm="1">
        <f t="array" ref="O1630">AVERAGE(VLOOKUP(_xlfn.TEXTSPLIT(Table1[[#This Row],[Fuel (no space after comma)]], ","), FuelList_Final_EF!$A$2:$B$32, 2, FALSE))</f>
        <v>105.42962572482868</v>
      </c>
      <c r="P1630" s="2">
        <f>(16112*Table1[[#This Row],[Generation (TWh)]]*10^9)/10^6</f>
        <v>3353513.0112000001</v>
      </c>
      <c r="Q1630" s="2">
        <f>Table1[[#This Row],[Emission Factor (kg CO2/ mmBtu)]]*Table1[[#This Row],[Fuel Consumption (mmBtu)]]*10^3</f>
        <v>353559621634.15918</v>
      </c>
      <c r="R1630" s="2">
        <f>(Table1[[#This Row],[CO2 Emissions (g CO2)]])/(Table1[[#This Row],[Generation (TWh)]]*10^9)</f>
        <v>1698.6821296784397</v>
      </c>
    </row>
    <row r="1631" spans="1:18" hidden="1">
      <c r="A1631" t="s">
        <v>1024</v>
      </c>
      <c r="B1631" t="s">
        <v>46</v>
      </c>
      <c r="C1631" t="str">
        <f>SUBSTITUTE(Table1[[#This Row],[Fuel]],", ",",")</f>
        <v>bioenergy: agricultural waste (solids)</v>
      </c>
      <c r="D1631" t="s">
        <v>46</v>
      </c>
      <c r="G1631">
        <v>65</v>
      </c>
      <c r="H1631" t="s">
        <v>94</v>
      </c>
      <c r="I1631">
        <v>2008</v>
      </c>
      <c r="J1631" t="s">
        <v>21</v>
      </c>
      <c r="K1631">
        <v>-21.2164</v>
      </c>
      <c r="L1631">
        <v>-50.207900000000002</v>
      </c>
      <c r="M1631" t="s">
        <v>49</v>
      </c>
      <c r="N1631" s="2">
        <f>Table1[[#This Row],[Capacity (MW)]]*8760*0.72*10^-6</f>
        <v>0.409968</v>
      </c>
      <c r="O1631" s="2" cm="1">
        <f t="array" ref="O1631">AVERAGE(VLOOKUP(_xlfn.TEXTSPLIT(Table1[[#This Row],[Fuel (no space after comma)]], ","), FuelList_Final_EF!$A$2:$B$32, 2, FALSE))</f>
        <v>118.17</v>
      </c>
      <c r="P1631" s="2">
        <f>(16112*Table1[[#This Row],[Generation (TWh)]]*10^9)/10^6</f>
        <v>6605404.4160000002</v>
      </c>
      <c r="Q1631" s="2">
        <f>Table1[[#This Row],[Emission Factor (kg CO2/ mmBtu)]]*Table1[[#This Row],[Fuel Consumption (mmBtu)]]*10^3</f>
        <v>780560639838.72009</v>
      </c>
      <c r="R1631" s="2">
        <f>(Table1[[#This Row],[CO2 Emissions (g CO2)]])/(Table1[[#This Row],[Generation (TWh)]]*10^9)</f>
        <v>1903.9550400000003</v>
      </c>
    </row>
    <row r="1632" spans="1:18" hidden="1">
      <c r="A1632" t="s">
        <v>1024</v>
      </c>
      <c r="B1632" t="s">
        <v>46</v>
      </c>
      <c r="C1632" t="str">
        <f>SUBSTITUTE(Table1[[#This Row],[Fuel]],", ",",")</f>
        <v>bioenergy: agricultural waste (solids)</v>
      </c>
      <c r="D1632" t="s">
        <v>46</v>
      </c>
      <c r="G1632">
        <v>92</v>
      </c>
      <c r="H1632" t="s">
        <v>94</v>
      </c>
      <c r="I1632">
        <v>2012</v>
      </c>
      <c r="J1632" t="s">
        <v>21</v>
      </c>
      <c r="K1632">
        <v>-21.2164</v>
      </c>
      <c r="L1632">
        <v>-50.207900000000002</v>
      </c>
      <c r="M1632" t="s">
        <v>49</v>
      </c>
      <c r="N1632" s="2">
        <f>Table1[[#This Row],[Capacity (MW)]]*8760*0.72*10^-6</f>
        <v>0.58026239999999996</v>
      </c>
      <c r="O1632" s="2" cm="1">
        <f t="array" ref="O1632">AVERAGE(VLOOKUP(_xlfn.TEXTSPLIT(Table1[[#This Row],[Fuel (no space after comma)]], ","), FuelList_Final_EF!$A$2:$B$32, 2, FALSE))</f>
        <v>118.17</v>
      </c>
      <c r="P1632" s="2">
        <f>(16112*Table1[[#This Row],[Generation (TWh)]]*10^9)/10^6</f>
        <v>9349187.7887999993</v>
      </c>
      <c r="Q1632" s="2">
        <f>Table1[[#This Row],[Emission Factor (kg CO2/ mmBtu)]]*Table1[[#This Row],[Fuel Consumption (mmBtu)]]*10^3</f>
        <v>1104793521002.4961</v>
      </c>
      <c r="R1632" s="2">
        <f>(Table1[[#This Row],[CO2 Emissions (g CO2)]])/(Table1[[#This Row],[Generation (TWh)]]*10^9)</f>
        <v>1903.9550400000001</v>
      </c>
    </row>
    <row r="1633" spans="1:18" hidden="1">
      <c r="A1633" t="s">
        <v>225</v>
      </c>
      <c r="B1633" t="s">
        <v>728</v>
      </c>
      <c r="C1633" t="str">
        <f>SUBSTITUTE(Table1[[#This Row],[Fuel]],", ",",")</f>
        <v>bioenergy: paper mill wastes,fossil gas: natural gas,fossil liquids: unknown</v>
      </c>
      <c r="D1633" t="s">
        <v>61</v>
      </c>
      <c r="E1633" t="s">
        <v>69</v>
      </c>
      <c r="F1633" t="s">
        <v>217</v>
      </c>
      <c r="G1633">
        <v>44</v>
      </c>
      <c r="H1633" t="s">
        <v>27</v>
      </c>
      <c r="I1633">
        <v>1976</v>
      </c>
      <c r="J1633" t="s">
        <v>21</v>
      </c>
      <c r="K1633">
        <v>34.353299999999997</v>
      </c>
      <c r="L1633">
        <v>-78.213700000000003</v>
      </c>
      <c r="M1633" t="s">
        <v>62</v>
      </c>
      <c r="N1633" s="2">
        <f>Table1[[#This Row],[Capacity (MW)]]*8760*0.72*10^-6</f>
        <v>0.27751679999999995</v>
      </c>
      <c r="O1633" s="2" cm="1">
        <f t="array" ref="O1633">AVERAGE(VLOOKUP(_xlfn.TEXTSPLIT(Table1[[#This Row],[Fuel (no space after comma)]], ","), FuelList_Final_EF!$A$2:$B$32, 2, FALSE))</f>
        <v>79.46140512734469</v>
      </c>
      <c r="P1633" s="2">
        <f>(16112*Table1[[#This Row],[Generation (TWh)]]*10^9)/10^6</f>
        <v>4471350.6815999988</v>
      </c>
      <c r="Q1633" s="2">
        <f>Table1[[#This Row],[Emission Factor (kg CO2/ mmBtu)]]*Table1[[#This Row],[Fuel Consumption (mmBtu)]]*10^3</f>
        <v>355299807977.04633</v>
      </c>
      <c r="R1633" s="2">
        <f>(Table1[[#This Row],[CO2 Emissions (g CO2)]])/(Table1[[#This Row],[Generation (TWh)]]*10^9)</f>
        <v>1280.2821594117777</v>
      </c>
    </row>
    <row r="1634" spans="1:18" hidden="1">
      <c r="A1634" t="s">
        <v>1025</v>
      </c>
      <c r="B1634" t="s">
        <v>25</v>
      </c>
      <c r="C1634" t="str">
        <f>SUBSTITUTE(Table1[[#This Row],[Fuel]],", ",",")</f>
        <v>bioenergy: wood &amp; other biomass (solids)</v>
      </c>
      <c r="D1634" t="s">
        <v>25</v>
      </c>
      <c r="G1634">
        <v>79</v>
      </c>
      <c r="H1634" t="s">
        <v>27</v>
      </c>
      <c r="I1634">
        <v>2009</v>
      </c>
      <c r="J1634" t="s">
        <v>21</v>
      </c>
      <c r="K1634">
        <v>-26.102</v>
      </c>
      <c r="L1634">
        <v>-50.3125</v>
      </c>
      <c r="M1634" t="s">
        <v>49</v>
      </c>
      <c r="N1634" s="2">
        <f>Table1[[#This Row],[Capacity (MW)]]*8760*0.72*10^-6</f>
        <v>0.49826879999999996</v>
      </c>
      <c r="O1634" s="2" cm="1">
        <f t="array" ref="O1634">AVERAGE(VLOOKUP(_xlfn.TEXTSPLIT(Table1[[#This Row],[Fuel (no space after comma)]], ","), FuelList_Final_EF!$A$2:$B$32, 2, FALSE))</f>
        <v>93.8</v>
      </c>
      <c r="P1634" s="2">
        <f>(16112*Table1[[#This Row],[Generation (TWh)]]*10^9)/10^6</f>
        <v>8028106.9056000002</v>
      </c>
      <c r="Q1634" s="2">
        <f>Table1[[#This Row],[Emission Factor (kg CO2/ mmBtu)]]*Table1[[#This Row],[Fuel Consumption (mmBtu)]]*10^3</f>
        <v>753036427745.28003</v>
      </c>
      <c r="R1634" s="2">
        <f>(Table1[[#This Row],[CO2 Emissions (g CO2)]])/(Table1[[#This Row],[Generation (TWh)]]*10^9)</f>
        <v>1511.3056000000001</v>
      </c>
    </row>
    <row r="1635" spans="1:18">
      <c r="A1635" t="s">
        <v>1026</v>
      </c>
      <c r="B1635" t="s">
        <v>46</v>
      </c>
      <c r="C1635" t="str">
        <f>SUBSTITUTE(Table1[[#This Row],[Fuel]],", ",",")</f>
        <v>bioenergy: agricultural waste (solids)</v>
      </c>
      <c r="D1635" t="s">
        <v>46</v>
      </c>
      <c r="G1635">
        <v>38</v>
      </c>
      <c r="H1635" t="s">
        <v>53</v>
      </c>
      <c r="I1635" t="s">
        <v>21</v>
      </c>
      <c r="J1635" t="s">
        <v>21</v>
      </c>
      <c r="K1635">
        <v>-15.914400000000001</v>
      </c>
      <c r="L1635">
        <v>-51.507800000000003</v>
      </c>
      <c r="M1635" t="s">
        <v>49</v>
      </c>
      <c r="N1635" s="2">
        <f>Table1[[#This Row],[Capacity (MW)]]*8760*0.72*10^-6</f>
        <v>0.23967359999999996</v>
      </c>
      <c r="O1635" s="2" cm="1">
        <f t="array" ref="O1635">AVERAGE(VLOOKUP(_xlfn.TEXTSPLIT(Table1[[#This Row],[Fuel (no space after comma)]], ","), FuelList_Final_EF!$A$2:$B$32, 2, FALSE))</f>
        <v>118.17</v>
      </c>
      <c r="P1635" s="2">
        <f>(16112*Table1[[#This Row],[Generation (TWh)]]*10^9)/10^6</f>
        <v>3861621.0431999997</v>
      </c>
      <c r="Q1635" s="2">
        <f>Table1[[#This Row],[Emission Factor (kg CO2/ mmBtu)]]*Table1[[#This Row],[Fuel Consumption (mmBtu)]]*10^3</f>
        <v>456327758674.94397</v>
      </c>
      <c r="R1635" s="2">
        <f>(Table1[[#This Row],[CO2 Emissions (g CO2)]])/(Table1[[#This Row],[Generation (TWh)]]*10^9)</f>
        <v>1903.9550400000001</v>
      </c>
    </row>
    <row r="1636" spans="1:18" hidden="1">
      <c r="A1636" t="s">
        <v>1027</v>
      </c>
      <c r="B1636" t="s">
        <v>46</v>
      </c>
      <c r="C1636" t="str">
        <f>SUBSTITUTE(Table1[[#This Row],[Fuel]],", ",",")</f>
        <v>bioenergy: agricultural waste (solids)</v>
      </c>
      <c r="D1636" t="s">
        <v>46</v>
      </c>
      <c r="G1636">
        <v>60</v>
      </c>
      <c r="H1636" t="s">
        <v>27</v>
      </c>
      <c r="I1636">
        <v>2009</v>
      </c>
      <c r="J1636" t="s">
        <v>21</v>
      </c>
      <c r="K1636">
        <v>-23.061800000000002</v>
      </c>
      <c r="L1636">
        <v>-49.126399999999997</v>
      </c>
      <c r="M1636" t="s">
        <v>49</v>
      </c>
      <c r="N1636" s="2">
        <f>Table1[[#This Row],[Capacity (MW)]]*8760*0.72*10^-6</f>
        <v>0.37843199999999999</v>
      </c>
      <c r="O1636" s="2" cm="1">
        <f t="array" ref="O1636">AVERAGE(VLOOKUP(_xlfn.TEXTSPLIT(Table1[[#This Row],[Fuel (no space after comma)]], ","), FuelList_Final_EF!$A$2:$B$32, 2, FALSE))</f>
        <v>118.17</v>
      </c>
      <c r="P1636" s="2">
        <f>(16112*Table1[[#This Row],[Generation (TWh)]]*10^9)/10^6</f>
        <v>6097296.3839999996</v>
      </c>
      <c r="Q1636" s="2">
        <f>Table1[[#This Row],[Emission Factor (kg CO2/ mmBtu)]]*Table1[[#This Row],[Fuel Consumption (mmBtu)]]*10^3</f>
        <v>720517513697.27991</v>
      </c>
      <c r="R1636" s="2">
        <f>(Table1[[#This Row],[CO2 Emissions (g CO2)]])/(Table1[[#This Row],[Generation (TWh)]]*10^9)</f>
        <v>1903.9550399999998</v>
      </c>
    </row>
    <row r="1637" spans="1:18" hidden="1">
      <c r="A1637" t="s">
        <v>1028</v>
      </c>
      <c r="B1637" t="s">
        <v>46</v>
      </c>
      <c r="C1637" t="str">
        <f>SUBSTITUTE(Table1[[#This Row],[Fuel]],", ",",")</f>
        <v>bioenergy: agricultural waste (solids)</v>
      </c>
      <c r="D1637" t="s">
        <v>46</v>
      </c>
      <c r="G1637">
        <v>40</v>
      </c>
      <c r="H1637" t="s">
        <v>27</v>
      </c>
      <c r="I1637">
        <v>2014</v>
      </c>
      <c r="J1637" t="s">
        <v>21</v>
      </c>
      <c r="K1637">
        <v>-21.352399999999999</v>
      </c>
      <c r="L1637">
        <v>-51.356400000000001</v>
      </c>
      <c r="M1637" t="s">
        <v>49</v>
      </c>
      <c r="N1637" s="2">
        <f>Table1[[#This Row],[Capacity (MW)]]*8760*0.72*10^-6</f>
        <v>0.25228800000000001</v>
      </c>
      <c r="O1637" s="2" cm="1">
        <f t="array" ref="O1637">AVERAGE(VLOOKUP(_xlfn.TEXTSPLIT(Table1[[#This Row],[Fuel (no space after comma)]], ","), FuelList_Final_EF!$A$2:$B$32, 2, FALSE))</f>
        <v>118.17</v>
      </c>
      <c r="P1637" s="2">
        <f>(16112*Table1[[#This Row],[Generation (TWh)]]*10^9)/10^6</f>
        <v>4064864.2560000005</v>
      </c>
      <c r="Q1637" s="2">
        <f>Table1[[#This Row],[Emission Factor (kg CO2/ mmBtu)]]*Table1[[#This Row],[Fuel Consumption (mmBtu)]]*10^3</f>
        <v>480345009131.52008</v>
      </c>
      <c r="R1637" s="2">
        <f>(Table1[[#This Row],[CO2 Emissions (g CO2)]])/(Table1[[#This Row],[Generation (TWh)]]*10^9)</f>
        <v>1903.9550400000003</v>
      </c>
    </row>
    <row r="1638" spans="1:18" hidden="1">
      <c r="A1638" t="s">
        <v>1028</v>
      </c>
      <c r="B1638" t="s">
        <v>46</v>
      </c>
      <c r="C1638" t="str">
        <f>SUBSTITUTE(Table1[[#This Row],[Fuel]],", ",",")</f>
        <v>bioenergy: agricultural waste (solids)</v>
      </c>
      <c r="D1638" t="s">
        <v>46</v>
      </c>
      <c r="G1638">
        <v>40</v>
      </c>
      <c r="H1638" t="s">
        <v>27</v>
      </c>
      <c r="I1638">
        <v>2014</v>
      </c>
      <c r="J1638" t="s">
        <v>21</v>
      </c>
      <c r="K1638">
        <v>-21.487400000000001</v>
      </c>
      <c r="L1638">
        <v>-51.360399999999998</v>
      </c>
      <c r="M1638" t="s">
        <v>49</v>
      </c>
      <c r="N1638" s="2">
        <f>Table1[[#This Row],[Capacity (MW)]]*8760*0.72*10^-6</f>
        <v>0.25228800000000001</v>
      </c>
      <c r="O1638" s="2" cm="1">
        <f t="array" ref="O1638">AVERAGE(VLOOKUP(_xlfn.TEXTSPLIT(Table1[[#This Row],[Fuel (no space after comma)]], ","), FuelList_Final_EF!$A$2:$B$32, 2, FALSE))</f>
        <v>118.17</v>
      </c>
      <c r="P1638" s="2">
        <f>(16112*Table1[[#This Row],[Generation (TWh)]]*10^9)/10^6</f>
        <v>4064864.2560000005</v>
      </c>
      <c r="Q1638" s="2">
        <f>Table1[[#This Row],[Emission Factor (kg CO2/ mmBtu)]]*Table1[[#This Row],[Fuel Consumption (mmBtu)]]*10^3</f>
        <v>480345009131.52008</v>
      </c>
      <c r="R1638" s="2">
        <f>(Table1[[#This Row],[CO2 Emissions (g CO2)]])/(Table1[[#This Row],[Generation (TWh)]]*10^9)</f>
        <v>1903.9550400000003</v>
      </c>
    </row>
    <row r="1639" spans="1:18" hidden="1">
      <c r="A1639" t="s">
        <v>1029</v>
      </c>
      <c r="B1639" t="s">
        <v>46</v>
      </c>
      <c r="C1639" t="str">
        <f>SUBSTITUTE(Table1[[#This Row],[Fuel]],", ",",")</f>
        <v>bioenergy: agricultural waste (solids)</v>
      </c>
      <c r="D1639" t="s">
        <v>46</v>
      </c>
      <c r="G1639">
        <v>36</v>
      </c>
      <c r="H1639" t="s">
        <v>27</v>
      </c>
      <c r="I1639">
        <v>2015</v>
      </c>
      <c r="J1639" t="s">
        <v>21</v>
      </c>
      <c r="K1639">
        <v>4.319</v>
      </c>
      <c r="L1639">
        <v>-76.088800000000006</v>
      </c>
      <c r="M1639" t="s">
        <v>365</v>
      </c>
      <c r="N1639" s="2">
        <f>Table1[[#This Row],[Capacity (MW)]]*8760*0.72*10^-6</f>
        <v>0.22705919999999996</v>
      </c>
      <c r="O1639" s="2" cm="1">
        <f t="array" ref="O1639">AVERAGE(VLOOKUP(_xlfn.TEXTSPLIT(Table1[[#This Row],[Fuel (no space after comma)]], ","), FuelList_Final_EF!$A$2:$B$32, 2, FALSE))</f>
        <v>118.17</v>
      </c>
      <c r="P1639" s="2">
        <f>(16112*Table1[[#This Row],[Generation (TWh)]]*10^9)/10^6</f>
        <v>3658377.8303999994</v>
      </c>
      <c r="Q1639" s="2">
        <f>Table1[[#This Row],[Emission Factor (kg CO2/ mmBtu)]]*Table1[[#This Row],[Fuel Consumption (mmBtu)]]*10^3</f>
        <v>432310508218.36792</v>
      </c>
      <c r="R1639" s="2">
        <f>(Table1[[#This Row],[CO2 Emissions (g CO2)]])/(Table1[[#This Row],[Generation (TWh)]]*10^9)</f>
        <v>1903.9550399999998</v>
      </c>
    </row>
    <row r="1640" spans="1:18" hidden="1">
      <c r="A1640" t="s">
        <v>135</v>
      </c>
      <c r="B1640" t="s">
        <v>25</v>
      </c>
      <c r="C1640" t="str">
        <f>SUBSTITUTE(Table1[[#This Row],[Fuel]],", ",",")</f>
        <v>bioenergy: wood &amp; other biomass (solids)</v>
      </c>
      <c r="D1640" t="s">
        <v>25</v>
      </c>
      <c r="G1640">
        <v>53</v>
      </c>
      <c r="H1640" t="s">
        <v>27</v>
      </c>
      <c r="I1640">
        <v>1974</v>
      </c>
      <c r="J1640" t="s">
        <v>21</v>
      </c>
      <c r="K1640">
        <v>-22.5945</v>
      </c>
      <c r="L1640">
        <v>-47.354199999999999</v>
      </c>
      <c r="M1640" t="s">
        <v>49</v>
      </c>
      <c r="N1640" s="2">
        <f>Table1[[#This Row],[Capacity (MW)]]*8760*0.72*10^-6</f>
        <v>0.33428159999999996</v>
      </c>
      <c r="O1640" s="2" cm="1">
        <f t="array" ref="O1640">AVERAGE(VLOOKUP(_xlfn.TEXTSPLIT(Table1[[#This Row],[Fuel (no space after comma)]], ","), FuelList_Final_EF!$A$2:$B$32, 2, FALSE))</f>
        <v>93.8</v>
      </c>
      <c r="P1640" s="2">
        <f>(16112*Table1[[#This Row],[Generation (TWh)]]*10^9)/10^6</f>
        <v>5385945.1391999992</v>
      </c>
      <c r="Q1640" s="2">
        <f>Table1[[#This Row],[Emission Factor (kg CO2/ mmBtu)]]*Table1[[#This Row],[Fuel Consumption (mmBtu)]]*10^3</f>
        <v>505201654056.9599</v>
      </c>
      <c r="R1640" s="2">
        <f>(Table1[[#This Row],[CO2 Emissions (g CO2)]])/(Table1[[#This Row],[Generation (TWh)]]*10^9)</f>
        <v>1511.3055999999999</v>
      </c>
    </row>
    <row r="1641" spans="1:18" hidden="1">
      <c r="A1641" t="s">
        <v>1030</v>
      </c>
      <c r="B1641" t="s">
        <v>19</v>
      </c>
      <c r="C1641" t="str">
        <f>SUBSTITUTE(Table1[[#This Row],[Fuel]],", ",",")</f>
        <v>bioenergy: refuse (municipal and industrial wastes)</v>
      </c>
      <c r="D1641" t="s">
        <v>19</v>
      </c>
      <c r="G1641">
        <v>49</v>
      </c>
      <c r="H1641" t="s">
        <v>53</v>
      </c>
      <c r="I1641">
        <v>2026</v>
      </c>
      <c r="J1641" t="s">
        <v>21</v>
      </c>
      <c r="K1641">
        <v>51.853299999999997</v>
      </c>
      <c r="L1641">
        <v>0.64700000000000002</v>
      </c>
      <c r="M1641" t="s">
        <v>22</v>
      </c>
      <c r="N1641" s="2">
        <f>Table1[[#This Row],[Capacity (MW)]]*8760*0.72*10^-6</f>
        <v>0.30905279999999996</v>
      </c>
      <c r="O1641" s="2" cm="1">
        <f t="array" ref="O1641">AVERAGE(VLOOKUP(_xlfn.TEXTSPLIT(Table1[[#This Row],[Fuel (no space after comma)]], ","), FuelList_Final_EF!$A$2:$B$32, 2, FALSE))</f>
        <v>105.42962572482868</v>
      </c>
      <c r="P1641" s="2">
        <f>(16112*Table1[[#This Row],[Generation (TWh)]]*10^9)/10^6</f>
        <v>4979458.7135999994</v>
      </c>
      <c r="Q1641" s="2">
        <f>Table1[[#This Row],[Emission Factor (kg CO2/ mmBtu)]]*Table1[[#This Row],[Fuel Consumption (mmBtu)]]*10^3</f>
        <v>524982468487.08484</v>
      </c>
      <c r="R1641" s="2">
        <f>(Table1[[#This Row],[CO2 Emissions (g CO2)]])/(Table1[[#This Row],[Generation (TWh)]]*10^9)</f>
        <v>1698.6821296784399</v>
      </c>
    </row>
    <row r="1642" spans="1:18" hidden="1">
      <c r="A1642" t="s">
        <v>225</v>
      </c>
      <c r="B1642" t="s">
        <v>145</v>
      </c>
      <c r="C1642" t="str">
        <f>SUBSTITUTE(Table1[[#This Row],[Fuel]],", ",",")</f>
        <v>bioenergy: paper mill wastes,bioenergy: wood &amp; other biomass (solids),fossil gas: natural gas</v>
      </c>
      <c r="D1642" t="s">
        <v>61</v>
      </c>
      <c r="E1642" t="s">
        <v>25</v>
      </c>
      <c r="F1642" t="s">
        <v>69</v>
      </c>
      <c r="G1642">
        <v>37</v>
      </c>
      <c r="H1642" t="s">
        <v>27</v>
      </c>
      <c r="I1642">
        <v>1985</v>
      </c>
      <c r="J1642" t="s">
        <v>21</v>
      </c>
      <c r="K1642">
        <v>32.426000000000002</v>
      </c>
      <c r="L1642">
        <v>-86.870900000000006</v>
      </c>
      <c r="M1642" t="s">
        <v>62</v>
      </c>
      <c r="N1642" s="2">
        <f>Table1[[#This Row],[Capacity (MW)]]*8760*0.72*10^-6</f>
        <v>0.23336639999999997</v>
      </c>
      <c r="O1642" s="2" cm="1">
        <f t="array" ref="O1642">AVERAGE(VLOOKUP(_xlfn.TEXTSPLIT(Table1[[#This Row],[Fuel (no space after comma)]], ","), FuelList_Final_EF!$A$2:$B$32, 2, FALSE))</f>
        <v>82.444811105253905</v>
      </c>
      <c r="P1642" s="2">
        <f>(16112*Table1[[#This Row],[Generation (TWh)]]*10^9)/10^6</f>
        <v>3759999.4367999998</v>
      </c>
      <c r="Q1642" s="2">
        <f>Table1[[#This Row],[Emission Factor (kg CO2/ mmBtu)]]*Table1[[#This Row],[Fuel Consumption (mmBtu)]]*10^3</f>
        <v>309992443322.83704</v>
      </c>
      <c r="R1642" s="2">
        <f>(Table1[[#This Row],[CO2 Emissions (g CO2)]])/(Table1[[#This Row],[Generation (TWh)]]*10^9)</f>
        <v>1328.3507965278509</v>
      </c>
    </row>
    <row r="1643" spans="1:18" hidden="1">
      <c r="A1643" t="s">
        <v>1031</v>
      </c>
      <c r="B1643" t="s">
        <v>19</v>
      </c>
      <c r="C1643" t="str">
        <f>SUBSTITUTE(Table1[[#This Row],[Fuel]],", ",",")</f>
        <v>bioenergy: refuse (municipal and industrial wastes)</v>
      </c>
      <c r="D1643" t="s">
        <v>19</v>
      </c>
      <c r="G1643">
        <v>62</v>
      </c>
      <c r="H1643" t="s">
        <v>27</v>
      </c>
      <c r="I1643">
        <v>2012</v>
      </c>
      <c r="J1643" t="s">
        <v>21</v>
      </c>
      <c r="K1643">
        <v>51.5047</v>
      </c>
      <c r="L1643">
        <v>0.1552</v>
      </c>
      <c r="M1643" t="s">
        <v>22</v>
      </c>
      <c r="N1643" s="2">
        <f>Table1[[#This Row],[Capacity (MW)]]*8760*0.72*10^-6</f>
        <v>0.39104639999999996</v>
      </c>
      <c r="O1643" s="2" cm="1">
        <f t="array" ref="O1643">AVERAGE(VLOOKUP(_xlfn.TEXTSPLIT(Table1[[#This Row],[Fuel (no space after comma)]], ","), FuelList_Final_EF!$A$2:$B$32, 2, FALSE))</f>
        <v>105.42962572482868</v>
      </c>
      <c r="P1643" s="2">
        <f>(16112*Table1[[#This Row],[Generation (TWh)]]*10^9)/10^6</f>
        <v>6300539.5967999995</v>
      </c>
      <c r="Q1643" s="2">
        <f>Table1[[#This Row],[Emission Factor (kg CO2/ mmBtu)]]*Table1[[#This Row],[Fuel Consumption (mmBtu)]]*10^3</f>
        <v>664263531555.08691</v>
      </c>
      <c r="R1643" s="2">
        <f>(Table1[[#This Row],[CO2 Emissions (g CO2)]])/(Table1[[#This Row],[Generation (TWh)]]*10^9)</f>
        <v>1698.6821296784397</v>
      </c>
    </row>
    <row r="1644" spans="1:18" hidden="1">
      <c r="A1644" t="s">
        <v>1031</v>
      </c>
      <c r="B1644" t="s">
        <v>19</v>
      </c>
      <c r="C1644" t="str">
        <f>SUBSTITUTE(Table1[[#This Row],[Fuel]],", ",",")</f>
        <v>bioenergy: refuse (municipal and industrial wastes)</v>
      </c>
      <c r="D1644" t="s">
        <v>19</v>
      </c>
      <c r="G1644">
        <v>64</v>
      </c>
      <c r="H1644" t="s">
        <v>53</v>
      </c>
      <c r="I1644">
        <v>2026</v>
      </c>
      <c r="J1644" t="s">
        <v>21</v>
      </c>
      <c r="K1644">
        <v>51.5047</v>
      </c>
      <c r="L1644">
        <v>0.1552</v>
      </c>
      <c r="M1644" t="s">
        <v>22</v>
      </c>
      <c r="N1644" s="2">
        <f>Table1[[#This Row],[Capacity (MW)]]*8760*0.72*10^-6</f>
        <v>0.40366079999999999</v>
      </c>
      <c r="O1644" s="2" cm="1">
        <f t="array" ref="O1644">AVERAGE(VLOOKUP(_xlfn.TEXTSPLIT(Table1[[#This Row],[Fuel (no space after comma)]], ","), FuelList_Final_EF!$A$2:$B$32, 2, FALSE))</f>
        <v>105.42962572482868</v>
      </c>
      <c r="P1644" s="2">
        <f>(16112*Table1[[#This Row],[Generation (TWh)]]*10^9)/10^6</f>
        <v>6503782.8095999993</v>
      </c>
      <c r="Q1644" s="2">
        <f>Table1[[#This Row],[Emission Factor (kg CO2/ mmBtu)]]*Table1[[#This Row],[Fuel Consumption (mmBtu)]]*10^3</f>
        <v>685691387411.70264</v>
      </c>
      <c r="R1644" s="2">
        <f>(Table1[[#This Row],[CO2 Emissions (g CO2)]])/(Table1[[#This Row],[Generation (TWh)]]*10^9)</f>
        <v>1698.6821296784394</v>
      </c>
    </row>
    <row r="1645" spans="1:18" hidden="1">
      <c r="A1645" t="s">
        <v>21</v>
      </c>
      <c r="B1645" t="s">
        <v>68</v>
      </c>
      <c r="C1645" t="str">
        <f>SUBSTITUTE(Table1[[#This Row],[Fuel]],", ",",")</f>
        <v>bioenergy: wood &amp; other biomass (solids),fossil gas: natural gas</v>
      </c>
      <c r="D1645" t="s">
        <v>25</v>
      </c>
      <c r="E1645" t="s">
        <v>69</v>
      </c>
      <c r="G1645">
        <v>40</v>
      </c>
      <c r="H1645" t="s">
        <v>27</v>
      </c>
      <c r="I1645">
        <v>2013</v>
      </c>
      <c r="J1645" t="s">
        <v>21</v>
      </c>
      <c r="K1645">
        <v>32.7714</v>
      </c>
      <c r="L1645">
        <v>-83.628100000000003</v>
      </c>
      <c r="M1645" t="s">
        <v>62</v>
      </c>
      <c r="N1645" s="2">
        <f>Table1[[#This Row],[Capacity (MW)]]*8760*0.72*10^-6</f>
        <v>0.25228800000000001</v>
      </c>
      <c r="O1645" s="2" cm="1">
        <f t="array" ref="O1645">AVERAGE(VLOOKUP(_xlfn.TEXTSPLIT(Table1[[#This Row],[Fuel (no space after comma)]], ","), FuelList_Final_EF!$A$2:$B$32, 2, FALSE))</f>
        <v>73.430000000000007</v>
      </c>
      <c r="P1645" s="2">
        <f>(16112*Table1[[#This Row],[Generation (TWh)]]*10^9)/10^6</f>
        <v>4064864.2560000005</v>
      </c>
      <c r="Q1645" s="2">
        <f>Table1[[#This Row],[Emission Factor (kg CO2/ mmBtu)]]*Table1[[#This Row],[Fuel Consumption (mmBtu)]]*10^3</f>
        <v>298482982318.08008</v>
      </c>
      <c r="R1645" s="2">
        <f>(Table1[[#This Row],[CO2 Emissions (g CO2)]])/(Table1[[#This Row],[Generation (TWh)]]*10^9)</f>
        <v>1183.1041600000003</v>
      </c>
    </row>
    <row r="1646" spans="1:18" hidden="1">
      <c r="A1646" t="s">
        <v>1032</v>
      </c>
      <c r="B1646" t="s">
        <v>105</v>
      </c>
      <c r="C1646" t="str">
        <f>SUBSTITUTE(Table1[[#This Row],[Fuel]],", ",",")</f>
        <v>bioenergy: agricultural waste (solids),bioenergy: wood &amp; other biomass (solids)</v>
      </c>
      <c r="D1646" t="s">
        <v>46</v>
      </c>
      <c r="E1646" t="s">
        <v>25</v>
      </c>
      <c r="G1646">
        <v>30</v>
      </c>
      <c r="H1646" t="s">
        <v>27</v>
      </c>
      <c r="I1646">
        <v>2002</v>
      </c>
      <c r="J1646" t="s">
        <v>21</v>
      </c>
      <c r="K1646">
        <v>-27.7378</v>
      </c>
      <c r="L1646">
        <v>153.3261</v>
      </c>
      <c r="M1646" t="s">
        <v>235</v>
      </c>
      <c r="N1646" s="2">
        <f>Table1[[#This Row],[Capacity (MW)]]*8760*0.72*10^-6</f>
        <v>0.189216</v>
      </c>
      <c r="O1646" s="2" cm="1">
        <f t="array" ref="O1646">AVERAGE(VLOOKUP(_xlfn.TEXTSPLIT(Table1[[#This Row],[Fuel (no space after comma)]], ","), FuelList_Final_EF!$A$2:$B$32, 2, FALSE))</f>
        <v>105.985</v>
      </c>
      <c r="P1646" s="2">
        <f>(16112*Table1[[#This Row],[Generation (TWh)]]*10^9)/10^6</f>
        <v>3048648.1919999998</v>
      </c>
      <c r="Q1646" s="2">
        <f>Table1[[#This Row],[Emission Factor (kg CO2/ mmBtu)]]*Table1[[#This Row],[Fuel Consumption (mmBtu)]]*10^3</f>
        <v>323110978629.12</v>
      </c>
      <c r="R1646" s="2">
        <f>(Table1[[#This Row],[CO2 Emissions (g CO2)]])/(Table1[[#This Row],[Generation (TWh)]]*10^9)</f>
        <v>1707.63032</v>
      </c>
    </row>
    <row r="1647" spans="1:18" hidden="1">
      <c r="A1647" t="s">
        <v>225</v>
      </c>
      <c r="B1647" t="s">
        <v>263</v>
      </c>
      <c r="C1647" t="str">
        <f>SUBSTITUTE(Table1[[#This Row],[Fuel]],", ",",")</f>
        <v>bioenergy: paper mill wastes,bioenergy: wood &amp; other biomass (solids),coal: bituminous</v>
      </c>
      <c r="D1647" t="s">
        <v>61</v>
      </c>
      <c r="E1647" t="s">
        <v>25</v>
      </c>
      <c r="F1647" t="s">
        <v>90</v>
      </c>
      <c r="G1647">
        <v>38</v>
      </c>
      <c r="H1647" t="s">
        <v>27</v>
      </c>
      <c r="I1647">
        <v>1989</v>
      </c>
      <c r="J1647" t="s">
        <v>21</v>
      </c>
      <c r="K1647">
        <v>34.252800000000001</v>
      </c>
      <c r="L1647">
        <v>-85.327500000000001</v>
      </c>
      <c r="M1647" t="s">
        <v>62</v>
      </c>
      <c r="N1647" s="2">
        <f>Table1[[#This Row],[Capacity (MW)]]*8760*0.72*10^-6</f>
        <v>0.23967359999999996</v>
      </c>
      <c r="O1647" s="2" cm="1">
        <f t="array" ref="O1647">AVERAGE(VLOOKUP(_xlfn.TEXTSPLIT(Table1[[#This Row],[Fuel (no space after comma)]], ","), FuelList_Final_EF!$A$2:$B$32, 2, FALSE))</f>
        <v>98.00361975048321</v>
      </c>
      <c r="P1647" s="2">
        <f>(16112*Table1[[#This Row],[Generation (TWh)]]*10^9)/10^6</f>
        <v>3861621.0431999997</v>
      </c>
      <c r="Q1647" s="2">
        <f>Table1[[#This Row],[Emission Factor (kg CO2/ mmBtu)]]*Table1[[#This Row],[Fuel Consumption (mmBtu)]]*10^3</f>
        <v>378452840338.23706</v>
      </c>
      <c r="R1647" s="2">
        <f>(Table1[[#This Row],[CO2 Emissions (g CO2)]])/(Table1[[#This Row],[Generation (TWh)]]*10^9)</f>
        <v>1579.0343214197856</v>
      </c>
    </row>
    <row r="1648" spans="1:18" hidden="1">
      <c r="A1648" t="s">
        <v>54</v>
      </c>
      <c r="B1648" t="s">
        <v>19</v>
      </c>
      <c r="C1648" t="str">
        <f>SUBSTITUTE(Table1[[#This Row],[Fuel]],", ",",")</f>
        <v>bioenergy: refuse (municipal and industrial wastes)</v>
      </c>
      <c r="D1648" t="s">
        <v>19</v>
      </c>
      <c r="G1648">
        <v>60</v>
      </c>
      <c r="H1648" t="s">
        <v>27</v>
      </c>
      <c r="I1648">
        <v>2022</v>
      </c>
      <c r="J1648" t="s">
        <v>21</v>
      </c>
      <c r="K1648">
        <v>52.058999999999997</v>
      </c>
      <c r="L1648">
        <v>-0.52070000000000005</v>
      </c>
      <c r="M1648" t="s">
        <v>22</v>
      </c>
      <c r="N1648" s="2">
        <f>Table1[[#This Row],[Capacity (MW)]]*8760*0.72*10^-6</f>
        <v>0.37843199999999999</v>
      </c>
      <c r="O1648" s="2" cm="1">
        <f t="array" ref="O1648">AVERAGE(VLOOKUP(_xlfn.TEXTSPLIT(Table1[[#This Row],[Fuel (no space after comma)]], ","), FuelList_Final_EF!$A$2:$B$32, 2, FALSE))</f>
        <v>105.42962572482868</v>
      </c>
      <c r="P1648" s="2">
        <f>(16112*Table1[[#This Row],[Generation (TWh)]]*10^9)/10^6</f>
        <v>6097296.3839999996</v>
      </c>
      <c r="Q1648" s="2">
        <f>Table1[[#This Row],[Emission Factor (kg CO2/ mmBtu)]]*Table1[[#This Row],[Fuel Consumption (mmBtu)]]*10^3</f>
        <v>642835675698.47131</v>
      </c>
      <c r="R1648" s="2">
        <f>(Table1[[#This Row],[CO2 Emissions (g CO2)]])/(Table1[[#This Row],[Generation (TWh)]]*10^9)</f>
        <v>1698.6821296784397</v>
      </c>
    </row>
    <row r="1649" spans="1:18" hidden="1">
      <c r="A1649" t="s">
        <v>1033</v>
      </c>
      <c r="B1649" t="s">
        <v>25</v>
      </c>
      <c r="C1649" t="str">
        <f>SUBSTITUTE(Table1[[#This Row],[Fuel]],", ",",")</f>
        <v>bioenergy: wood &amp; other biomass (solids)</v>
      </c>
      <c r="D1649" t="s">
        <v>25</v>
      </c>
      <c r="G1649">
        <v>57</v>
      </c>
      <c r="H1649" t="s">
        <v>27</v>
      </c>
      <c r="I1649">
        <v>1999</v>
      </c>
      <c r="J1649" t="s">
        <v>21</v>
      </c>
      <c r="K1649">
        <v>50.403500000000001</v>
      </c>
      <c r="L1649">
        <v>11.700699999999999</v>
      </c>
      <c r="M1649" t="s">
        <v>154</v>
      </c>
      <c r="N1649" s="2">
        <f>Table1[[#This Row],[Capacity (MW)]]*8760*0.72*10^-6</f>
        <v>0.35951039999999995</v>
      </c>
      <c r="O1649" s="2" cm="1">
        <f t="array" ref="O1649">AVERAGE(VLOOKUP(_xlfn.TEXTSPLIT(Table1[[#This Row],[Fuel (no space after comma)]], ","), FuelList_Final_EF!$A$2:$B$32, 2, FALSE))</f>
        <v>93.8</v>
      </c>
      <c r="P1649" s="2">
        <f>(16112*Table1[[#This Row],[Generation (TWh)]]*10^9)/10^6</f>
        <v>5792431.5647999989</v>
      </c>
      <c r="Q1649" s="2">
        <f>Table1[[#This Row],[Emission Factor (kg CO2/ mmBtu)]]*Table1[[#This Row],[Fuel Consumption (mmBtu)]]*10^3</f>
        <v>543330080778.23987</v>
      </c>
      <c r="R1649" s="2">
        <f>(Table1[[#This Row],[CO2 Emissions (g CO2)]])/(Table1[[#This Row],[Generation (TWh)]]*10^9)</f>
        <v>1511.3055999999999</v>
      </c>
    </row>
    <row r="1650" spans="1:18" hidden="1">
      <c r="A1650" t="s">
        <v>1034</v>
      </c>
      <c r="B1650" t="s">
        <v>68</v>
      </c>
      <c r="C1650" t="str">
        <f>SUBSTITUTE(Table1[[#This Row],[Fuel]],", ",",")</f>
        <v>bioenergy: wood &amp; other biomass (solids),fossil gas: natural gas</v>
      </c>
      <c r="D1650" t="s">
        <v>25</v>
      </c>
      <c r="E1650" t="s">
        <v>69</v>
      </c>
      <c r="G1650">
        <v>58</v>
      </c>
      <c r="H1650" t="s">
        <v>27</v>
      </c>
      <c r="I1650">
        <v>2013</v>
      </c>
      <c r="J1650" t="s">
        <v>21</v>
      </c>
      <c r="K1650">
        <v>44.887799999999999</v>
      </c>
      <c r="L1650">
        <v>-89.6297</v>
      </c>
      <c r="M1650" t="s">
        <v>62</v>
      </c>
      <c r="N1650" s="2">
        <f>Table1[[#This Row],[Capacity (MW)]]*8760*0.72*10^-6</f>
        <v>0.36581759999999997</v>
      </c>
      <c r="O1650" s="2" cm="1">
        <f t="array" ref="O1650">AVERAGE(VLOOKUP(_xlfn.TEXTSPLIT(Table1[[#This Row],[Fuel (no space after comma)]], ","), FuelList_Final_EF!$A$2:$B$32, 2, FALSE))</f>
        <v>73.430000000000007</v>
      </c>
      <c r="P1650" s="2">
        <f>(16112*Table1[[#This Row],[Generation (TWh)]]*10^9)/10^6</f>
        <v>5894053.1711999988</v>
      </c>
      <c r="Q1650" s="2">
        <f>Table1[[#This Row],[Emission Factor (kg CO2/ mmBtu)]]*Table1[[#This Row],[Fuel Consumption (mmBtu)]]*10^3</f>
        <v>432800324361.21594</v>
      </c>
      <c r="R1650" s="2">
        <f>(Table1[[#This Row],[CO2 Emissions (g CO2)]])/(Table1[[#This Row],[Generation (TWh)]]*10^9)</f>
        <v>1183.1041600000001</v>
      </c>
    </row>
    <row r="1651" spans="1:18" hidden="1">
      <c r="A1651" t="s">
        <v>1035</v>
      </c>
      <c r="B1651" t="s">
        <v>19</v>
      </c>
      <c r="C1651" t="str">
        <f>SUBSTITUTE(Table1[[#This Row],[Fuel]],", ",",")</f>
        <v>bioenergy: refuse (municipal and industrial wastes)</v>
      </c>
      <c r="D1651" t="s">
        <v>19</v>
      </c>
      <c r="G1651">
        <v>40</v>
      </c>
      <c r="H1651" t="s">
        <v>27</v>
      </c>
      <c r="I1651">
        <v>2014</v>
      </c>
      <c r="J1651" t="s">
        <v>21</v>
      </c>
      <c r="K1651">
        <v>53.325699999999998</v>
      </c>
      <c r="L1651">
        <v>-2.7524000000000002</v>
      </c>
      <c r="M1651" t="s">
        <v>22</v>
      </c>
      <c r="N1651" s="2">
        <f>Table1[[#This Row],[Capacity (MW)]]*8760*0.72*10^-6</f>
        <v>0.25228800000000001</v>
      </c>
      <c r="O1651" s="2" cm="1">
        <f t="array" ref="O1651">AVERAGE(VLOOKUP(_xlfn.TEXTSPLIT(Table1[[#This Row],[Fuel (no space after comma)]], ","), FuelList_Final_EF!$A$2:$B$32, 2, FALSE))</f>
        <v>105.42962572482868</v>
      </c>
      <c r="P1651" s="2">
        <f>(16112*Table1[[#This Row],[Generation (TWh)]]*10^9)/10^6</f>
        <v>4064864.2560000005</v>
      </c>
      <c r="Q1651" s="2">
        <f>Table1[[#This Row],[Emission Factor (kg CO2/ mmBtu)]]*Table1[[#This Row],[Fuel Consumption (mmBtu)]]*10^3</f>
        <v>428557117132.31427</v>
      </c>
      <c r="R1651" s="2">
        <f>(Table1[[#This Row],[CO2 Emissions (g CO2)]])/(Table1[[#This Row],[Generation (TWh)]]*10^9)</f>
        <v>1698.6821296784401</v>
      </c>
    </row>
    <row r="1652" spans="1:18" hidden="1">
      <c r="A1652" t="s">
        <v>1036</v>
      </c>
      <c r="B1652" t="s">
        <v>19</v>
      </c>
      <c r="C1652" t="str">
        <f>SUBSTITUTE(Table1[[#This Row],[Fuel]],", ",",")</f>
        <v>bioenergy: refuse (municipal and industrial wastes)</v>
      </c>
      <c r="D1652" t="s">
        <v>19</v>
      </c>
      <c r="G1652">
        <v>40</v>
      </c>
      <c r="H1652" t="s">
        <v>27</v>
      </c>
      <c r="I1652">
        <v>2015</v>
      </c>
      <c r="J1652" t="s">
        <v>21</v>
      </c>
      <c r="K1652">
        <v>53.325699999999998</v>
      </c>
      <c r="L1652">
        <v>-2.7524000000000002</v>
      </c>
      <c r="M1652" t="s">
        <v>22</v>
      </c>
      <c r="N1652" s="2">
        <f>Table1[[#This Row],[Capacity (MW)]]*8760*0.72*10^-6</f>
        <v>0.25228800000000001</v>
      </c>
      <c r="O1652" s="2" cm="1">
        <f t="array" ref="O1652">AVERAGE(VLOOKUP(_xlfn.TEXTSPLIT(Table1[[#This Row],[Fuel (no space after comma)]], ","), FuelList_Final_EF!$A$2:$B$32, 2, FALSE))</f>
        <v>105.42962572482868</v>
      </c>
      <c r="P1652" s="2">
        <f>(16112*Table1[[#This Row],[Generation (TWh)]]*10^9)/10^6</f>
        <v>4064864.2560000005</v>
      </c>
      <c r="Q1652" s="2">
        <f>Table1[[#This Row],[Emission Factor (kg CO2/ mmBtu)]]*Table1[[#This Row],[Fuel Consumption (mmBtu)]]*10^3</f>
        <v>428557117132.31427</v>
      </c>
      <c r="R1652" s="2">
        <f>(Table1[[#This Row],[CO2 Emissions (g CO2)]])/(Table1[[#This Row],[Generation (TWh)]]*10^9)</f>
        <v>1698.6821296784401</v>
      </c>
    </row>
    <row r="1653" spans="1:18" hidden="1">
      <c r="A1653" t="s">
        <v>1037</v>
      </c>
      <c r="B1653" t="s">
        <v>134</v>
      </c>
      <c r="C1653" t="str">
        <f>SUBSTITUTE(Table1[[#This Row],[Fuel]],", ",",")</f>
        <v>bioenergy: unknown,fossil gas: natural gas</v>
      </c>
      <c r="D1653" t="s">
        <v>96</v>
      </c>
      <c r="E1653" t="s">
        <v>69</v>
      </c>
      <c r="G1653">
        <v>35</v>
      </c>
      <c r="H1653" t="s">
        <v>20</v>
      </c>
      <c r="I1653">
        <v>2025</v>
      </c>
      <c r="J1653" t="s">
        <v>21</v>
      </c>
      <c r="K1653">
        <v>57.692399999999999</v>
      </c>
      <c r="L1653">
        <v>11.890499999999999</v>
      </c>
      <c r="M1653" t="s">
        <v>34</v>
      </c>
      <c r="N1653" s="2">
        <f>Table1[[#This Row],[Capacity (MW)]]*8760*0.72*10^-6</f>
        <v>0.220752</v>
      </c>
      <c r="O1653" s="2" cm="1">
        <f t="array" ref="O1653">AVERAGE(VLOOKUP(_xlfn.TEXTSPLIT(Table1[[#This Row],[Fuel (no space after comma)]], ","), FuelList_Final_EF!$A$2:$B$32, 2, FALSE))</f>
        <v>62.922803008799328</v>
      </c>
      <c r="P1653" s="2">
        <f>(16112*Table1[[#This Row],[Generation (TWh)]]*10^9)/10^6</f>
        <v>3556756.2239999999</v>
      </c>
      <c r="Q1653" s="2">
        <f>Table1[[#This Row],[Emission Factor (kg CO2/ mmBtu)]]*Table1[[#This Row],[Fuel Consumption (mmBtu)]]*10^3</f>
        <v>223801071233.07294</v>
      </c>
      <c r="R1653" s="2">
        <f>(Table1[[#This Row],[CO2 Emissions (g CO2)]])/(Table1[[#This Row],[Generation (TWh)]]*10^9)</f>
        <v>1013.8122020777748</v>
      </c>
    </row>
    <row r="1654" spans="1:18" hidden="1">
      <c r="A1654" t="s">
        <v>1037</v>
      </c>
      <c r="B1654" t="s">
        <v>25</v>
      </c>
      <c r="C1654" t="str">
        <f>SUBSTITUTE(Table1[[#This Row],[Fuel]],", ",",")</f>
        <v>bioenergy: wood &amp; other biomass (solids)</v>
      </c>
      <c r="D1654" t="s">
        <v>25</v>
      </c>
      <c r="G1654">
        <v>39</v>
      </c>
      <c r="H1654" t="s">
        <v>20</v>
      </c>
      <c r="I1654">
        <v>2025</v>
      </c>
      <c r="J1654" t="s">
        <v>21</v>
      </c>
      <c r="K1654">
        <v>57.692399999999999</v>
      </c>
      <c r="L1654">
        <v>11.890499999999999</v>
      </c>
      <c r="M1654" t="s">
        <v>34</v>
      </c>
      <c r="N1654" s="2">
        <f>Table1[[#This Row],[Capacity (MW)]]*8760*0.72*10^-6</f>
        <v>0.24598079999999997</v>
      </c>
      <c r="O1654" s="2" cm="1">
        <f t="array" ref="O1654">AVERAGE(VLOOKUP(_xlfn.TEXTSPLIT(Table1[[#This Row],[Fuel (no space after comma)]], ","), FuelList_Final_EF!$A$2:$B$32, 2, FALSE))</f>
        <v>93.8</v>
      </c>
      <c r="P1654" s="2">
        <f>(16112*Table1[[#This Row],[Generation (TWh)]]*10^9)/10^6</f>
        <v>3963242.6495999997</v>
      </c>
      <c r="Q1654" s="2">
        <f>Table1[[#This Row],[Emission Factor (kg CO2/ mmBtu)]]*Table1[[#This Row],[Fuel Consumption (mmBtu)]]*10^3</f>
        <v>371752160532.47992</v>
      </c>
      <c r="R1654" s="2">
        <f>(Table1[[#This Row],[CO2 Emissions (g CO2)]])/(Table1[[#This Row],[Generation (TWh)]]*10^9)</f>
        <v>1511.3055999999999</v>
      </c>
    </row>
    <row r="1655" spans="1:18" hidden="1">
      <c r="A1655" t="s">
        <v>21</v>
      </c>
      <c r="B1655" t="s">
        <v>46</v>
      </c>
      <c r="C1655" t="str">
        <f>SUBSTITUTE(Table1[[#This Row],[Fuel]],", ",",")</f>
        <v>bioenergy: agricultural waste (solids)</v>
      </c>
      <c r="D1655" t="s">
        <v>46</v>
      </c>
      <c r="G1655">
        <v>50</v>
      </c>
      <c r="H1655" t="s">
        <v>27</v>
      </c>
      <c r="I1655">
        <v>2016</v>
      </c>
      <c r="J1655" t="s">
        <v>21</v>
      </c>
      <c r="K1655">
        <v>32.997100000000003</v>
      </c>
      <c r="L1655">
        <v>131.89189999999999</v>
      </c>
      <c r="M1655" t="s">
        <v>51</v>
      </c>
      <c r="N1655" s="2">
        <f>Table1[[#This Row],[Capacity (MW)]]*8760*0.72*10^-6</f>
        <v>0.31535999999999997</v>
      </c>
      <c r="O1655" s="2" cm="1">
        <f t="array" ref="O1655">AVERAGE(VLOOKUP(_xlfn.TEXTSPLIT(Table1[[#This Row],[Fuel (no space after comma)]], ","), FuelList_Final_EF!$A$2:$B$32, 2, FALSE))</f>
        <v>118.17</v>
      </c>
      <c r="P1655" s="2">
        <f>(16112*Table1[[#This Row],[Generation (TWh)]]*10^9)/10^6</f>
        <v>5081080.32</v>
      </c>
      <c r="Q1655" s="2">
        <f>Table1[[#This Row],[Emission Factor (kg CO2/ mmBtu)]]*Table1[[#This Row],[Fuel Consumption (mmBtu)]]*10^3</f>
        <v>600431261414.40015</v>
      </c>
      <c r="R1655" s="2">
        <f>(Table1[[#This Row],[CO2 Emissions (g CO2)]])/(Table1[[#This Row],[Generation (TWh)]]*10^9)</f>
        <v>1903.9550400000005</v>
      </c>
    </row>
    <row r="1656" spans="1:18">
      <c r="A1656" t="s">
        <v>1038</v>
      </c>
      <c r="B1656" t="s">
        <v>25</v>
      </c>
      <c r="C1656" t="str">
        <f>SUBSTITUTE(Table1[[#This Row],[Fuel]],", ",",")</f>
        <v>bioenergy: wood &amp; other biomass (solids)</v>
      </c>
      <c r="D1656" t="s">
        <v>25</v>
      </c>
      <c r="G1656">
        <v>43</v>
      </c>
      <c r="H1656" t="s">
        <v>27</v>
      </c>
      <c r="I1656" t="s">
        <v>21</v>
      </c>
      <c r="J1656" t="s">
        <v>21</v>
      </c>
      <c r="K1656">
        <v>48.746499999999997</v>
      </c>
      <c r="L1656">
        <v>-72.512799999999999</v>
      </c>
      <c r="M1656" t="s">
        <v>79</v>
      </c>
      <c r="N1656" s="2">
        <f>Table1[[#This Row],[Capacity (MW)]]*8760*0.72*10^-6</f>
        <v>0.27120959999999994</v>
      </c>
      <c r="O1656" s="2" cm="1">
        <f t="array" ref="O1656">AVERAGE(VLOOKUP(_xlfn.TEXTSPLIT(Table1[[#This Row],[Fuel (no space after comma)]], ","), FuelList_Final_EF!$A$2:$B$32, 2, FALSE))</f>
        <v>93.8</v>
      </c>
      <c r="P1656" s="2">
        <f>(16112*Table1[[#This Row],[Generation (TWh)]]*10^9)/10^6</f>
        <v>4369729.0751999989</v>
      </c>
      <c r="Q1656" s="2">
        <f>Table1[[#This Row],[Emission Factor (kg CO2/ mmBtu)]]*Table1[[#This Row],[Fuel Consumption (mmBtu)]]*10^3</f>
        <v>409880587253.75989</v>
      </c>
      <c r="R1656" s="2">
        <f>(Table1[[#This Row],[CO2 Emissions (g CO2)]])/(Table1[[#This Row],[Generation (TWh)]]*10^9)</f>
        <v>1511.3055999999999</v>
      </c>
    </row>
    <row r="1657" spans="1:18" hidden="1">
      <c r="A1657" t="s">
        <v>227</v>
      </c>
      <c r="B1657" t="s">
        <v>1039</v>
      </c>
      <c r="C1657" t="str">
        <f>SUBSTITUTE(Table1[[#This Row],[Fuel]],", ",",")</f>
        <v>bioenergy: ethanol</v>
      </c>
      <c r="D1657" t="s">
        <v>1039</v>
      </c>
      <c r="G1657">
        <v>41</v>
      </c>
      <c r="H1657" t="s">
        <v>27</v>
      </c>
      <c r="I1657">
        <v>2019</v>
      </c>
      <c r="J1657" t="s">
        <v>21</v>
      </c>
      <c r="K1657">
        <v>-21.318503</v>
      </c>
      <c r="L1657">
        <v>55.450411600000002</v>
      </c>
      <c r="M1657" t="s">
        <v>1040</v>
      </c>
      <c r="N1657" s="2">
        <f>Table1[[#This Row],[Capacity (MW)]]*8760*0.72*10^-6</f>
        <v>0.25859519999999997</v>
      </c>
      <c r="O1657" s="2" cm="1">
        <f t="array" ref="O1657">AVERAGE(VLOOKUP(_xlfn.TEXTSPLIT(Table1[[#This Row],[Fuel (no space after comma)]], ","), FuelList_Final_EF!$A$2:$B$32, 2, FALSE))</f>
        <v>68.44</v>
      </c>
      <c r="P1657" s="2">
        <f>(16112*Table1[[#This Row],[Generation (TWh)]]*10^9)/10^6</f>
        <v>4166485.8624</v>
      </c>
      <c r="Q1657" s="2">
        <f>Table1[[#This Row],[Emission Factor (kg CO2/ mmBtu)]]*Table1[[#This Row],[Fuel Consumption (mmBtu)]]*10^3</f>
        <v>285154292422.65601</v>
      </c>
      <c r="R1657" s="2">
        <f>(Table1[[#This Row],[CO2 Emissions (g CO2)]])/(Table1[[#This Row],[Generation (TWh)]]*10^9)</f>
        <v>1102.7052800000001</v>
      </c>
    </row>
    <row r="1658" spans="1:18" hidden="1">
      <c r="A1658" t="s">
        <v>1041</v>
      </c>
      <c r="B1658" t="s">
        <v>25</v>
      </c>
      <c r="C1658" t="str">
        <f>SUBSTITUTE(Table1[[#This Row],[Fuel]],", ",",")</f>
        <v>bioenergy: wood &amp; other biomass (solids)</v>
      </c>
      <c r="D1658" t="s">
        <v>25</v>
      </c>
      <c r="G1658">
        <v>75</v>
      </c>
      <c r="H1658" t="s">
        <v>53</v>
      </c>
      <c r="I1658">
        <v>2025</v>
      </c>
      <c r="J1658" t="s">
        <v>21</v>
      </c>
      <c r="K1658">
        <v>34.333199999999998</v>
      </c>
      <c r="L1658">
        <v>133.8853</v>
      </c>
      <c r="M1658" t="s">
        <v>51</v>
      </c>
      <c r="N1658" s="2">
        <f>Table1[[#This Row],[Capacity (MW)]]*8760*0.72*10^-6</f>
        <v>0.47303999999999996</v>
      </c>
      <c r="O1658" s="2" cm="1">
        <f t="array" ref="O1658">AVERAGE(VLOOKUP(_xlfn.TEXTSPLIT(Table1[[#This Row],[Fuel (no space after comma)]], ","), FuelList_Final_EF!$A$2:$B$32, 2, FALSE))</f>
        <v>93.8</v>
      </c>
      <c r="P1658" s="2">
        <f>(16112*Table1[[#This Row],[Generation (TWh)]]*10^9)/10^6</f>
        <v>7621620.4800000004</v>
      </c>
      <c r="Q1658" s="2">
        <f>Table1[[#This Row],[Emission Factor (kg CO2/ mmBtu)]]*Table1[[#This Row],[Fuel Consumption (mmBtu)]]*10^3</f>
        <v>714908001024</v>
      </c>
      <c r="R1658" s="2">
        <f>(Table1[[#This Row],[CO2 Emissions (g CO2)]])/(Table1[[#This Row],[Generation (TWh)]]*10^9)</f>
        <v>1511.3056000000001</v>
      </c>
    </row>
    <row r="1659" spans="1:18" hidden="1">
      <c r="A1659" t="s">
        <v>1042</v>
      </c>
      <c r="B1659" t="s">
        <v>25</v>
      </c>
      <c r="C1659" t="str">
        <f>SUBSTITUTE(Table1[[#This Row],[Fuel]],", ",",")</f>
        <v>bioenergy: wood &amp; other biomass (solids)</v>
      </c>
      <c r="D1659" t="s">
        <v>25</v>
      </c>
      <c r="G1659">
        <v>50</v>
      </c>
      <c r="H1659" t="s">
        <v>27</v>
      </c>
      <c r="I1659">
        <v>2018</v>
      </c>
      <c r="J1659" t="s">
        <v>21</v>
      </c>
      <c r="K1659">
        <v>38.960599999999999</v>
      </c>
      <c r="L1659">
        <v>139.83029999999999</v>
      </c>
      <c r="M1659" t="s">
        <v>51</v>
      </c>
      <c r="N1659" s="2">
        <f>Table1[[#This Row],[Capacity (MW)]]*8760*0.72*10^-6</f>
        <v>0.31535999999999997</v>
      </c>
      <c r="O1659" s="2" cm="1">
        <f t="array" ref="O1659">AVERAGE(VLOOKUP(_xlfn.TEXTSPLIT(Table1[[#This Row],[Fuel (no space after comma)]], ","), FuelList_Final_EF!$A$2:$B$32, 2, FALSE))</f>
        <v>93.8</v>
      </c>
      <c r="P1659" s="2">
        <f>(16112*Table1[[#This Row],[Generation (TWh)]]*10^9)/10^6</f>
        <v>5081080.32</v>
      </c>
      <c r="Q1659" s="2">
        <f>Table1[[#This Row],[Emission Factor (kg CO2/ mmBtu)]]*Table1[[#This Row],[Fuel Consumption (mmBtu)]]*10^3</f>
        <v>476605334016.00006</v>
      </c>
      <c r="R1659" s="2">
        <f>(Table1[[#This Row],[CO2 Emissions (g CO2)]])/(Table1[[#This Row],[Generation (TWh)]]*10^9)</f>
        <v>1511.3056000000001</v>
      </c>
    </row>
    <row r="1660" spans="1:18" hidden="1">
      <c r="A1660" t="s">
        <v>1043</v>
      </c>
      <c r="B1660" t="s">
        <v>1044</v>
      </c>
      <c r="C1660" t="str">
        <f>SUBSTITUTE(Table1[[#This Row],[Fuel]],", ",",")</f>
        <v>bioenergy: agricultural waste (solids),bioenergy: wood &amp; other biomass (solids),coal: unknown</v>
      </c>
      <c r="D1660" t="s">
        <v>46</v>
      </c>
      <c r="E1660" t="s">
        <v>25</v>
      </c>
      <c r="F1660" t="s">
        <v>65</v>
      </c>
      <c r="G1660">
        <v>35</v>
      </c>
      <c r="H1660" t="s">
        <v>27</v>
      </c>
      <c r="I1660">
        <v>2008</v>
      </c>
      <c r="J1660" t="s">
        <v>21</v>
      </c>
      <c r="K1660">
        <v>9.8256999999999994</v>
      </c>
      <c r="L1660">
        <v>78.364500000000007</v>
      </c>
      <c r="M1660" t="s">
        <v>66</v>
      </c>
      <c r="N1660" s="2">
        <f>Table1[[#This Row],[Capacity (MW)]]*8760*0.72*10^-6</f>
        <v>0.220752</v>
      </c>
      <c r="O1660" s="2" cm="1">
        <f t="array" ref="O1660">AVERAGE(VLOOKUP(_xlfn.TEXTSPLIT(Table1[[#This Row],[Fuel (no space after comma)]], ","), FuelList_Final_EF!$A$2:$B$32, 2, FALSE))</f>
        <v>104.3590036900369</v>
      </c>
      <c r="P1660" s="2">
        <f>(16112*Table1[[#This Row],[Generation (TWh)]]*10^9)/10^6</f>
        <v>3556756.2239999999</v>
      </c>
      <c r="Q1660" s="2">
        <f>Table1[[#This Row],[Emission Factor (kg CO2/ mmBtu)]]*Table1[[#This Row],[Fuel Consumption (mmBtu)]]*10^3</f>
        <v>371179535904.97766</v>
      </c>
      <c r="R1660" s="2">
        <f>(Table1[[#This Row],[CO2 Emissions (g CO2)]])/(Table1[[#This Row],[Generation (TWh)]]*10^9)</f>
        <v>1681.4322674538744</v>
      </c>
    </row>
    <row r="1661" spans="1:18" hidden="1">
      <c r="A1661" t="s">
        <v>1043</v>
      </c>
      <c r="B1661" t="s">
        <v>1044</v>
      </c>
      <c r="C1661" t="str">
        <f>SUBSTITUTE(Table1[[#This Row],[Fuel]],", ",",")</f>
        <v>bioenergy: agricultural waste (solids),bioenergy: wood &amp; other biomass (solids),coal: unknown</v>
      </c>
      <c r="D1661" t="s">
        <v>46</v>
      </c>
      <c r="E1661" t="s">
        <v>25</v>
      </c>
      <c r="F1661" t="s">
        <v>65</v>
      </c>
      <c r="G1661">
        <v>32</v>
      </c>
      <c r="H1661" t="s">
        <v>27</v>
      </c>
      <c r="I1661">
        <v>2003</v>
      </c>
      <c r="J1661" t="s">
        <v>21</v>
      </c>
      <c r="K1661">
        <v>11.474600000000001</v>
      </c>
      <c r="L1661">
        <v>77.572000000000003</v>
      </c>
      <c r="M1661" t="s">
        <v>66</v>
      </c>
      <c r="N1661" s="2">
        <f>Table1[[#This Row],[Capacity (MW)]]*8760*0.72*10^-6</f>
        <v>0.20183039999999999</v>
      </c>
      <c r="O1661" s="2" cm="1">
        <f t="array" ref="O1661">AVERAGE(VLOOKUP(_xlfn.TEXTSPLIT(Table1[[#This Row],[Fuel (no space after comma)]], ","), FuelList_Final_EF!$A$2:$B$32, 2, FALSE))</f>
        <v>104.3590036900369</v>
      </c>
      <c r="P1661" s="2">
        <f>(16112*Table1[[#This Row],[Generation (TWh)]]*10^9)/10^6</f>
        <v>3251891.4047999997</v>
      </c>
      <c r="Q1661" s="2">
        <f>Table1[[#This Row],[Emission Factor (kg CO2/ mmBtu)]]*Table1[[#This Row],[Fuel Consumption (mmBtu)]]*10^3</f>
        <v>339364147113.12244</v>
      </c>
      <c r="R1661" s="2">
        <f>(Table1[[#This Row],[CO2 Emissions (g CO2)]])/(Table1[[#This Row],[Generation (TWh)]]*10^9)</f>
        <v>1681.4322674538744</v>
      </c>
    </row>
    <row r="1662" spans="1:18" hidden="1">
      <c r="A1662" t="s">
        <v>396</v>
      </c>
      <c r="B1662" t="s">
        <v>25</v>
      </c>
      <c r="C1662" t="str">
        <f>SUBSTITUTE(Table1[[#This Row],[Fuel]],", ",",")</f>
        <v>bioenergy: wood &amp; other biomass (solids)</v>
      </c>
      <c r="D1662" t="s">
        <v>25</v>
      </c>
      <c r="G1662">
        <v>40</v>
      </c>
      <c r="H1662" t="s">
        <v>53</v>
      </c>
      <c r="I1662">
        <v>2025</v>
      </c>
      <c r="J1662" t="s">
        <v>21</v>
      </c>
      <c r="K1662">
        <v>-28.056000000000001</v>
      </c>
      <c r="L1662">
        <v>-56.008299999999998</v>
      </c>
      <c r="M1662" t="s">
        <v>397</v>
      </c>
      <c r="N1662" s="2">
        <f>Table1[[#This Row],[Capacity (MW)]]*8760*0.72*10^-6</f>
        <v>0.25228800000000001</v>
      </c>
      <c r="O1662" s="2" cm="1">
        <f t="array" ref="O1662">AVERAGE(VLOOKUP(_xlfn.TEXTSPLIT(Table1[[#This Row],[Fuel (no space after comma)]], ","), FuelList_Final_EF!$A$2:$B$32, 2, FALSE))</f>
        <v>93.8</v>
      </c>
      <c r="P1662" s="2">
        <f>(16112*Table1[[#This Row],[Generation (TWh)]]*10^9)/10^6</f>
        <v>4064864.2560000005</v>
      </c>
      <c r="Q1662" s="2">
        <f>Table1[[#This Row],[Emission Factor (kg CO2/ mmBtu)]]*Table1[[#This Row],[Fuel Consumption (mmBtu)]]*10^3</f>
        <v>381284267212.80005</v>
      </c>
      <c r="R1662" s="2">
        <f>(Table1[[#This Row],[CO2 Emissions (g CO2)]])/(Table1[[#This Row],[Generation (TWh)]]*10^9)</f>
        <v>1511.3056000000001</v>
      </c>
    </row>
    <row r="1663" spans="1:18" hidden="1">
      <c r="A1663" t="s">
        <v>880</v>
      </c>
      <c r="B1663" t="s">
        <v>46</v>
      </c>
      <c r="C1663" t="str">
        <f>SUBSTITUTE(Table1[[#This Row],[Fuel]],", ",",")</f>
        <v>bioenergy: agricultural waste (solids)</v>
      </c>
      <c r="D1663" t="s">
        <v>46</v>
      </c>
      <c r="G1663">
        <v>62</v>
      </c>
      <c r="H1663" t="s">
        <v>27</v>
      </c>
      <c r="I1663">
        <v>2016</v>
      </c>
      <c r="J1663" t="s">
        <v>21</v>
      </c>
      <c r="K1663">
        <v>14.3796</v>
      </c>
      <c r="L1663">
        <v>-91.7727</v>
      </c>
      <c r="M1663" t="s">
        <v>708</v>
      </c>
      <c r="N1663" s="2">
        <f>Table1[[#This Row],[Capacity (MW)]]*8760*0.72*10^-6</f>
        <v>0.39104639999999996</v>
      </c>
      <c r="O1663" s="2" cm="1">
        <f t="array" ref="O1663">AVERAGE(VLOOKUP(_xlfn.TEXTSPLIT(Table1[[#This Row],[Fuel (no space after comma)]], ","), FuelList_Final_EF!$A$2:$B$32, 2, FALSE))</f>
        <v>118.17</v>
      </c>
      <c r="P1663" s="2">
        <f>(16112*Table1[[#This Row],[Generation (TWh)]]*10^9)/10^6</f>
        <v>6300539.5967999995</v>
      </c>
      <c r="Q1663" s="2">
        <f>Table1[[#This Row],[Emission Factor (kg CO2/ mmBtu)]]*Table1[[#This Row],[Fuel Consumption (mmBtu)]]*10^3</f>
        <v>744534764153.85596</v>
      </c>
      <c r="R1663" s="2">
        <f>(Table1[[#This Row],[CO2 Emissions (g CO2)]])/(Table1[[#This Row],[Generation (TWh)]]*10^9)</f>
        <v>1903.9550400000003</v>
      </c>
    </row>
    <row r="1664" spans="1:18" hidden="1">
      <c r="A1664" t="s">
        <v>1045</v>
      </c>
      <c r="B1664" t="s">
        <v>105</v>
      </c>
      <c r="C1664" t="str">
        <f>SUBSTITUTE(Table1[[#This Row],[Fuel]],", ",",")</f>
        <v>bioenergy: agricultural waste (solids),bioenergy: wood &amp; other biomass (solids)</v>
      </c>
      <c r="D1664" t="s">
        <v>46</v>
      </c>
      <c r="E1664" t="s">
        <v>25</v>
      </c>
      <c r="G1664">
        <v>30</v>
      </c>
      <c r="H1664" t="s">
        <v>27</v>
      </c>
      <c r="I1664">
        <v>2017</v>
      </c>
      <c r="J1664" t="s">
        <v>21</v>
      </c>
      <c r="K1664">
        <v>18.4663</v>
      </c>
      <c r="L1664">
        <v>-69.330699999999993</v>
      </c>
      <c r="M1664" t="s">
        <v>1046</v>
      </c>
      <c r="N1664" s="2">
        <f>Table1[[#This Row],[Capacity (MW)]]*8760*0.72*10^-6</f>
        <v>0.189216</v>
      </c>
      <c r="O1664" s="2" cm="1">
        <f t="array" ref="O1664">AVERAGE(VLOOKUP(_xlfn.TEXTSPLIT(Table1[[#This Row],[Fuel (no space after comma)]], ","), FuelList_Final_EF!$A$2:$B$32, 2, FALSE))</f>
        <v>105.985</v>
      </c>
      <c r="P1664" s="2">
        <f>(16112*Table1[[#This Row],[Generation (TWh)]]*10^9)/10^6</f>
        <v>3048648.1919999998</v>
      </c>
      <c r="Q1664" s="2">
        <f>Table1[[#This Row],[Emission Factor (kg CO2/ mmBtu)]]*Table1[[#This Row],[Fuel Consumption (mmBtu)]]*10^3</f>
        <v>323110978629.12</v>
      </c>
      <c r="R1664" s="2">
        <f>(Table1[[#This Row],[CO2 Emissions (g CO2)]])/(Table1[[#This Row],[Generation (TWh)]]*10^9)</f>
        <v>1707.63032</v>
      </c>
    </row>
    <row r="1665" spans="1:18">
      <c r="A1665" t="s">
        <v>1045</v>
      </c>
      <c r="B1665" t="s">
        <v>105</v>
      </c>
      <c r="C1665" t="str">
        <f>SUBSTITUTE(Table1[[#This Row],[Fuel]],", ",",")</f>
        <v>bioenergy: agricultural waste (solids),bioenergy: wood &amp; other biomass (solids)</v>
      </c>
      <c r="D1665" t="s">
        <v>46</v>
      </c>
      <c r="E1665" t="s">
        <v>25</v>
      </c>
      <c r="G1665">
        <v>35</v>
      </c>
      <c r="H1665" t="s">
        <v>172</v>
      </c>
      <c r="I1665" t="s">
        <v>21</v>
      </c>
      <c r="J1665" t="s">
        <v>21</v>
      </c>
      <c r="K1665">
        <v>18.4663</v>
      </c>
      <c r="L1665">
        <v>-69.330699999999993</v>
      </c>
      <c r="M1665" t="s">
        <v>1046</v>
      </c>
      <c r="N1665" s="2">
        <f>Table1[[#This Row],[Capacity (MW)]]*8760*0.72*10^-6</f>
        <v>0.220752</v>
      </c>
      <c r="O1665" s="2" cm="1">
        <f t="array" ref="O1665">AVERAGE(VLOOKUP(_xlfn.TEXTSPLIT(Table1[[#This Row],[Fuel (no space after comma)]], ","), FuelList_Final_EF!$A$2:$B$32, 2, FALSE))</f>
        <v>105.985</v>
      </c>
      <c r="P1665" s="2">
        <f>(16112*Table1[[#This Row],[Generation (TWh)]]*10^9)/10^6</f>
        <v>3556756.2239999999</v>
      </c>
      <c r="Q1665" s="2">
        <f>Table1[[#This Row],[Emission Factor (kg CO2/ mmBtu)]]*Table1[[#This Row],[Fuel Consumption (mmBtu)]]*10^3</f>
        <v>376962808400.64001</v>
      </c>
      <c r="R1665" s="2">
        <f>(Table1[[#This Row],[CO2 Emissions (g CO2)]])/(Table1[[#This Row],[Generation (TWh)]]*10^9)</f>
        <v>1707.63032</v>
      </c>
    </row>
    <row r="1666" spans="1:18" hidden="1">
      <c r="A1666" t="s">
        <v>1047</v>
      </c>
      <c r="B1666" t="s">
        <v>25</v>
      </c>
      <c r="C1666" t="str">
        <f>SUBSTITUTE(Table1[[#This Row],[Fuel]],", ",",")</f>
        <v>bioenergy: wood &amp; other biomass (solids)</v>
      </c>
      <c r="D1666" t="s">
        <v>25</v>
      </c>
      <c r="G1666">
        <v>30</v>
      </c>
      <c r="H1666" t="s">
        <v>27</v>
      </c>
      <c r="I1666">
        <v>1996</v>
      </c>
      <c r="J1666" t="s">
        <v>21</v>
      </c>
      <c r="K1666">
        <v>56.867800000000003</v>
      </c>
      <c r="L1666">
        <v>14.835599999999999</v>
      </c>
      <c r="M1666" t="s">
        <v>34</v>
      </c>
      <c r="N1666" s="2">
        <f>Table1[[#This Row],[Capacity (MW)]]*8760*0.72*10^-6</f>
        <v>0.189216</v>
      </c>
      <c r="O1666" s="2" cm="1">
        <f t="array" ref="O1666">AVERAGE(VLOOKUP(_xlfn.TEXTSPLIT(Table1[[#This Row],[Fuel (no space after comma)]], ","), FuelList_Final_EF!$A$2:$B$32, 2, FALSE))</f>
        <v>93.8</v>
      </c>
      <c r="P1666" s="2">
        <f>(16112*Table1[[#This Row],[Generation (TWh)]]*10^9)/10^6</f>
        <v>3048648.1919999998</v>
      </c>
      <c r="Q1666" s="2">
        <f>Table1[[#This Row],[Emission Factor (kg CO2/ mmBtu)]]*Table1[[#This Row],[Fuel Consumption (mmBtu)]]*10^3</f>
        <v>285963200409.59998</v>
      </c>
      <c r="R1666" s="2">
        <f>(Table1[[#This Row],[CO2 Emissions (g CO2)]])/(Table1[[#This Row],[Generation (TWh)]]*10^9)</f>
        <v>1511.3055999999999</v>
      </c>
    </row>
    <row r="1667" spans="1:18" hidden="1">
      <c r="A1667" t="s">
        <v>1047</v>
      </c>
      <c r="B1667" t="s">
        <v>25</v>
      </c>
      <c r="C1667" t="str">
        <f>SUBSTITUTE(Table1[[#This Row],[Fuel]],", ",",")</f>
        <v>bioenergy: wood &amp; other biomass (solids)</v>
      </c>
      <c r="D1667" t="s">
        <v>25</v>
      </c>
      <c r="G1667">
        <v>39</v>
      </c>
      <c r="H1667" t="s">
        <v>27</v>
      </c>
      <c r="I1667">
        <v>2015</v>
      </c>
      <c r="J1667" t="s">
        <v>21</v>
      </c>
      <c r="K1667">
        <v>56.867800000000003</v>
      </c>
      <c r="L1667">
        <v>14.835599999999999</v>
      </c>
      <c r="M1667" t="s">
        <v>34</v>
      </c>
      <c r="N1667" s="2">
        <f>Table1[[#This Row],[Capacity (MW)]]*8760*0.72*10^-6</f>
        <v>0.24598079999999997</v>
      </c>
      <c r="O1667" s="2" cm="1">
        <f t="array" ref="O1667">AVERAGE(VLOOKUP(_xlfn.TEXTSPLIT(Table1[[#This Row],[Fuel (no space after comma)]], ","), FuelList_Final_EF!$A$2:$B$32, 2, FALSE))</f>
        <v>93.8</v>
      </c>
      <c r="P1667" s="2">
        <f>(16112*Table1[[#This Row],[Generation (TWh)]]*10^9)/10^6</f>
        <v>3963242.6495999997</v>
      </c>
      <c r="Q1667" s="2">
        <f>Table1[[#This Row],[Emission Factor (kg CO2/ mmBtu)]]*Table1[[#This Row],[Fuel Consumption (mmBtu)]]*10^3</f>
        <v>371752160532.47992</v>
      </c>
      <c r="R1667" s="2">
        <f>(Table1[[#This Row],[CO2 Emissions (g CO2)]])/(Table1[[#This Row],[Generation (TWh)]]*10^9)</f>
        <v>1511.3055999999999</v>
      </c>
    </row>
    <row r="1668" spans="1:18" hidden="1">
      <c r="A1668" t="s">
        <v>829</v>
      </c>
      <c r="B1668" t="s">
        <v>25</v>
      </c>
      <c r="C1668" t="str">
        <f>SUBSTITUTE(Table1[[#This Row],[Fuel]],", ",",")</f>
        <v>bioenergy: wood &amp; other biomass (solids)</v>
      </c>
      <c r="D1668" t="s">
        <v>25</v>
      </c>
      <c r="G1668">
        <v>30</v>
      </c>
      <c r="H1668" t="s">
        <v>27</v>
      </c>
      <c r="I1668">
        <v>2002</v>
      </c>
      <c r="J1668" t="s">
        <v>21</v>
      </c>
      <c r="K1668">
        <v>42.593499999999999</v>
      </c>
      <c r="L1668">
        <v>-1.2786</v>
      </c>
      <c r="M1668" t="s">
        <v>328</v>
      </c>
      <c r="N1668" s="2">
        <f>Table1[[#This Row],[Capacity (MW)]]*8760*0.72*10^-6</f>
        <v>0.189216</v>
      </c>
      <c r="O1668" s="2" cm="1">
        <f t="array" ref="O1668">AVERAGE(VLOOKUP(_xlfn.TEXTSPLIT(Table1[[#This Row],[Fuel (no space after comma)]], ","), FuelList_Final_EF!$A$2:$B$32, 2, FALSE))</f>
        <v>93.8</v>
      </c>
      <c r="P1668" s="2">
        <f>(16112*Table1[[#This Row],[Generation (TWh)]]*10^9)/10^6</f>
        <v>3048648.1919999998</v>
      </c>
      <c r="Q1668" s="2">
        <f>Table1[[#This Row],[Emission Factor (kg CO2/ mmBtu)]]*Table1[[#This Row],[Fuel Consumption (mmBtu)]]*10^3</f>
        <v>285963200409.59998</v>
      </c>
      <c r="R1668" s="2">
        <f>(Table1[[#This Row],[CO2 Emissions (g CO2)]])/(Table1[[#This Row],[Generation (TWh)]]*10^9)</f>
        <v>1511.3055999999999</v>
      </c>
    </row>
    <row r="1669" spans="1:18">
      <c r="A1669" t="s">
        <v>1048</v>
      </c>
      <c r="B1669" t="s">
        <v>19</v>
      </c>
      <c r="C1669" t="str">
        <f>SUBSTITUTE(Table1[[#This Row],[Fuel]],", ",",")</f>
        <v>bioenergy: refuse (municipal and industrial wastes)</v>
      </c>
      <c r="D1669" t="s">
        <v>19</v>
      </c>
      <c r="G1669">
        <v>74</v>
      </c>
      <c r="H1669" t="s">
        <v>27</v>
      </c>
      <c r="I1669" t="s">
        <v>21</v>
      </c>
      <c r="J1669" t="s">
        <v>21</v>
      </c>
      <c r="K1669">
        <v>42.619</v>
      </c>
      <c r="L1669">
        <v>141.80090000000001</v>
      </c>
      <c r="M1669" t="s">
        <v>51</v>
      </c>
      <c r="N1669" s="2">
        <f>Table1[[#This Row],[Capacity (MW)]]*8760*0.72*10^-6</f>
        <v>0.46673279999999995</v>
      </c>
      <c r="O1669" s="2" cm="1">
        <f t="array" ref="O1669">AVERAGE(VLOOKUP(_xlfn.TEXTSPLIT(Table1[[#This Row],[Fuel (no space after comma)]], ","), FuelList_Final_EF!$A$2:$B$32, 2, FALSE))</f>
        <v>105.42962572482868</v>
      </c>
      <c r="P1669" s="2">
        <f>(16112*Table1[[#This Row],[Generation (TWh)]]*10^9)/10^6</f>
        <v>7519998.8735999996</v>
      </c>
      <c r="Q1669" s="2">
        <f>Table1[[#This Row],[Emission Factor (kg CO2/ mmBtu)]]*Table1[[#This Row],[Fuel Consumption (mmBtu)]]*10^3</f>
        <v>792830666694.78113</v>
      </c>
      <c r="R1669" s="2">
        <f>(Table1[[#This Row],[CO2 Emissions (g CO2)]])/(Table1[[#This Row],[Generation (TWh)]]*10^9)</f>
        <v>1698.6821296784397</v>
      </c>
    </row>
    <row r="1670" spans="1:18" hidden="1">
      <c r="A1670" t="s">
        <v>1049</v>
      </c>
      <c r="B1670" t="s">
        <v>46</v>
      </c>
      <c r="C1670" t="str">
        <f>SUBSTITUTE(Table1[[#This Row],[Fuel]],", ",",")</f>
        <v>bioenergy: agricultural waste (solids)</v>
      </c>
      <c r="D1670" t="s">
        <v>46</v>
      </c>
      <c r="G1670">
        <v>42</v>
      </c>
      <c r="H1670" t="s">
        <v>27</v>
      </c>
      <c r="I1670">
        <v>2002</v>
      </c>
      <c r="J1670" t="s">
        <v>21</v>
      </c>
      <c r="K1670">
        <v>-21.337199999999999</v>
      </c>
      <c r="L1670">
        <v>-48.292999999999999</v>
      </c>
      <c r="M1670" t="s">
        <v>49</v>
      </c>
      <c r="N1670" s="2">
        <f>Table1[[#This Row],[Capacity (MW)]]*8760*0.72*10^-6</f>
        <v>0.26490239999999993</v>
      </c>
      <c r="O1670" s="2" cm="1">
        <f t="array" ref="O1670">AVERAGE(VLOOKUP(_xlfn.TEXTSPLIT(Table1[[#This Row],[Fuel (no space after comma)]], ","), FuelList_Final_EF!$A$2:$B$32, 2, FALSE))</f>
        <v>118.17</v>
      </c>
      <c r="P1670" s="2">
        <f>(16112*Table1[[#This Row],[Generation (TWh)]]*10^9)/10^6</f>
        <v>4268107.468799999</v>
      </c>
      <c r="Q1670" s="2">
        <f>Table1[[#This Row],[Emission Factor (kg CO2/ mmBtu)]]*Table1[[#This Row],[Fuel Consumption (mmBtu)]]*10^3</f>
        <v>504362259588.09589</v>
      </c>
      <c r="R1670" s="2">
        <f>(Table1[[#This Row],[CO2 Emissions (g CO2)]])/(Table1[[#This Row],[Generation (TWh)]]*10^9)</f>
        <v>1903.9550400000001</v>
      </c>
    </row>
    <row r="1671" spans="1:18" hidden="1">
      <c r="A1671" t="s">
        <v>1050</v>
      </c>
      <c r="B1671" t="s">
        <v>707</v>
      </c>
      <c r="C1671" t="str">
        <f>SUBSTITUTE(Table1[[#This Row],[Fuel]],", ",",")</f>
        <v>bioenergy: agricultural waste (solids),coal: unknown,fossil liquids: fuel oil</v>
      </c>
      <c r="D1671" t="s">
        <v>46</v>
      </c>
      <c r="E1671" t="s">
        <v>65</v>
      </c>
      <c r="F1671" t="s">
        <v>606</v>
      </c>
      <c r="G1671">
        <v>40</v>
      </c>
      <c r="H1671" t="s">
        <v>27</v>
      </c>
      <c r="I1671">
        <v>1984</v>
      </c>
      <c r="J1671" t="s">
        <v>21</v>
      </c>
      <c r="K1671">
        <v>14.243399999999999</v>
      </c>
      <c r="L1671">
        <v>-90.845699999999994</v>
      </c>
      <c r="M1671" t="s">
        <v>708</v>
      </c>
      <c r="N1671" s="2">
        <f>Table1[[#This Row],[Capacity (MW)]]*8760*0.72*10^-6</f>
        <v>0.25228800000000001</v>
      </c>
      <c r="O1671" s="2" cm="1">
        <f t="array" ref="O1671">AVERAGE(VLOOKUP(_xlfn.TEXTSPLIT(Table1[[#This Row],[Fuel (no space after comma)]], ","), FuelList_Final_EF!$A$2:$B$32, 2, FALSE))</f>
        <v>99.127897789294423</v>
      </c>
      <c r="P1671" s="2">
        <f>(16112*Table1[[#This Row],[Generation (TWh)]]*10^9)/10^6</f>
        <v>4064864.2560000005</v>
      </c>
      <c r="Q1671" s="2">
        <f>Table1[[#This Row],[Emission Factor (kg CO2/ mmBtu)]]*Table1[[#This Row],[Fuel Consumption (mmBtu)]]*10^3</f>
        <v>402941448496.12439</v>
      </c>
      <c r="R1671" s="2">
        <f>(Table1[[#This Row],[CO2 Emissions (g CO2)]])/(Table1[[#This Row],[Generation (TWh)]]*10^9)</f>
        <v>1597.1486891811121</v>
      </c>
    </row>
    <row r="1672" spans="1:18" hidden="1">
      <c r="A1672" t="s">
        <v>1050</v>
      </c>
      <c r="B1672" t="s">
        <v>707</v>
      </c>
      <c r="C1672" t="str">
        <f>SUBSTITUTE(Table1[[#This Row],[Fuel]],", ",",")</f>
        <v>bioenergy: agricultural waste (solids),coal: unknown,fossil liquids: fuel oil</v>
      </c>
      <c r="D1672" t="s">
        <v>46</v>
      </c>
      <c r="E1672" t="s">
        <v>65</v>
      </c>
      <c r="F1672" t="s">
        <v>606</v>
      </c>
      <c r="G1672">
        <v>64</v>
      </c>
      <c r="H1672" t="s">
        <v>27</v>
      </c>
      <c r="I1672">
        <v>2014</v>
      </c>
      <c r="J1672" t="s">
        <v>21</v>
      </c>
      <c r="K1672">
        <v>14.243399999999999</v>
      </c>
      <c r="L1672">
        <v>-90.845699999999994</v>
      </c>
      <c r="M1672" t="s">
        <v>708</v>
      </c>
      <c r="N1672" s="2">
        <f>Table1[[#This Row],[Capacity (MW)]]*8760*0.72*10^-6</f>
        <v>0.40366079999999999</v>
      </c>
      <c r="O1672" s="2" cm="1">
        <f t="array" ref="O1672">AVERAGE(VLOOKUP(_xlfn.TEXTSPLIT(Table1[[#This Row],[Fuel (no space after comma)]], ","), FuelList_Final_EF!$A$2:$B$32, 2, FALSE))</f>
        <v>99.127897789294423</v>
      </c>
      <c r="P1672" s="2">
        <f>(16112*Table1[[#This Row],[Generation (TWh)]]*10^9)/10^6</f>
        <v>6503782.8095999993</v>
      </c>
      <c r="Q1672" s="2">
        <f>Table1[[#This Row],[Emission Factor (kg CO2/ mmBtu)]]*Table1[[#This Row],[Fuel Consumption (mmBtu)]]*10^3</f>
        <v>644706317593.79883</v>
      </c>
      <c r="R1672" s="2">
        <f>(Table1[[#This Row],[CO2 Emissions (g CO2)]])/(Table1[[#This Row],[Generation (TWh)]]*10^9)</f>
        <v>1597.1486891811116</v>
      </c>
    </row>
    <row r="1673" spans="1:18" hidden="1">
      <c r="A1673" t="s">
        <v>1051</v>
      </c>
      <c r="B1673" t="s">
        <v>46</v>
      </c>
      <c r="C1673" t="str">
        <f>SUBSTITUTE(Table1[[#This Row],[Fuel]],", ",",")</f>
        <v>bioenergy: agricultural waste (solids)</v>
      </c>
      <c r="D1673" t="s">
        <v>46</v>
      </c>
      <c r="G1673">
        <v>30</v>
      </c>
      <c r="H1673" t="s">
        <v>27</v>
      </c>
      <c r="I1673">
        <v>2002</v>
      </c>
      <c r="J1673" t="s">
        <v>21</v>
      </c>
      <c r="K1673">
        <v>-22.105599999999999</v>
      </c>
      <c r="L1673">
        <v>-48.481699999999996</v>
      </c>
      <c r="M1673" t="s">
        <v>49</v>
      </c>
      <c r="N1673" s="2">
        <f>Table1[[#This Row],[Capacity (MW)]]*8760*0.72*10^-6</f>
        <v>0.189216</v>
      </c>
      <c r="O1673" s="2" cm="1">
        <f t="array" ref="O1673">AVERAGE(VLOOKUP(_xlfn.TEXTSPLIT(Table1[[#This Row],[Fuel (no space after comma)]], ","), FuelList_Final_EF!$A$2:$B$32, 2, FALSE))</f>
        <v>118.17</v>
      </c>
      <c r="P1673" s="2">
        <f>(16112*Table1[[#This Row],[Generation (TWh)]]*10^9)/10^6</f>
        <v>3048648.1919999998</v>
      </c>
      <c r="Q1673" s="2">
        <f>Table1[[#This Row],[Emission Factor (kg CO2/ mmBtu)]]*Table1[[#This Row],[Fuel Consumption (mmBtu)]]*10^3</f>
        <v>360258756848.63995</v>
      </c>
      <c r="R1673" s="2">
        <f>(Table1[[#This Row],[CO2 Emissions (g CO2)]])/(Table1[[#This Row],[Generation (TWh)]]*10^9)</f>
        <v>1903.9550399999998</v>
      </c>
    </row>
    <row r="1674" spans="1:18" hidden="1">
      <c r="A1674" t="s">
        <v>1052</v>
      </c>
      <c r="B1674" t="s">
        <v>46</v>
      </c>
      <c r="C1674" t="str">
        <f>SUBSTITUTE(Table1[[#This Row],[Fuel]],", ",",")</f>
        <v>bioenergy: agricultural waste (solids)</v>
      </c>
      <c r="D1674" t="s">
        <v>46</v>
      </c>
      <c r="G1674">
        <v>55</v>
      </c>
      <c r="H1674" t="s">
        <v>27</v>
      </c>
      <c r="I1674">
        <v>2016</v>
      </c>
      <c r="J1674" t="s">
        <v>21</v>
      </c>
      <c r="K1674">
        <v>-22.104700000000001</v>
      </c>
      <c r="L1674">
        <v>-48.481400000000001</v>
      </c>
      <c r="M1674" t="s">
        <v>49</v>
      </c>
      <c r="N1674" s="2">
        <f>Table1[[#This Row],[Capacity (MW)]]*8760*0.72*10^-6</f>
        <v>0.34689599999999998</v>
      </c>
      <c r="O1674" s="2" cm="1">
        <f t="array" ref="O1674">AVERAGE(VLOOKUP(_xlfn.TEXTSPLIT(Table1[[#This Row],[Fuel (no space after comma)]], ","), FuelList_Final_EF!$A$2:$B$32, 2, FALSE))</f>
        <v>118.17</v>
      </c>
      <c r="P1674" s="2">
        <f>(16112*Table1[[#This Row],[Generation (TWh)]]*10^9)/10^6</f>
        <v>5589188.352</v>
      </c>
      <c r="Q1674" s="2">
        <f>Table1[[#This Row],[Emission Factor (kg CO2/ mmBtu)]]*Table1[[#This Row],[Fuel Consumption (mmBtu)]]*10^3</f>
        <v>660474387555.83997</v>
      </c>
      <c r="R1674" s="2">
        <f>(Table1[[#This Row],[CO2 Emissions (g CO2)]])/(Table1[[#This Row],[Generation (TWh)]]*10^9)</f>
        <v>1903.9550399999998</v>
      </c>
    </row>
    <row r="1675" spans="1:18" hidden="1">
      <c r="A1675" t="s">
        <v>1053</v>
      </c>
      <c r="B1675" t="s">
        <v>46</v>
      </c>
      <c r="C1675" t="str">
        <f>SUBSTITUTE(Table1[[#This Row],[Fuel]],", ",",")</f>
        <v>bioenergy: agricultural waste (solids)</v>
      </c>
      <c r="D1675" t="s">
        <v>46</v>
      </c>
      <c r="G1675">
        <v>84</v>
      </c>
      <c r="H1675" t="s">
        <v>27</v>
      </c>
      <c r="I1675">
        <v>2009</v>
      </c>
      <c r="J1675" t="s">
        <v>21</v>
      </c>
      <c r="K1675">
        <v>-21.762799999999999</v>
      </c>
      <c r="L1675">
        <v>-48.0839</v>
      </c>
      <c r="M1675" t="s">
        <v>49</v>
      </c>
      <c r="N1675" s="2">
        <f>Table1[[#This Row],[Capacity (MW)]]*8760*0.72*10^-6</f>
        <v>0.52980479999999985</v>
      </c>
      <c r="O1675" s="2" cm="1">
        <f t="array" ref="O1675">AVERAGE(VLOOKUP(_xlfn.TEXTSPLIT(Table1[[#This Row],[Fuel (no space after comma)]], ","), FuelList_Final_EF!$A$2:$B$32, 2, FALSE))</f>
        <v>118.17</v>
      </c>
      <c r="P1675" s="2">
        <f>(16112*Table1[[#This Row],[Generation (TWh)]]*10^9)/10^6</f>
        <v>8536214.937599998</v>
      </c>
      <c r="Q1675" s="2">
        <f>Table1[[#This Row],[Emission Factor (kg CO2/ mmBtu)]]*Table1[[#This Row],[Fuel Consumption (mmBtu)]]*10^3</f>
        <v>1008724519176.1918</v>
      </c>
      <c r="R1675" s="2">
        <f>(Table1[[#This Row],[CO2 Emissions (g CO2)]])/(Table1[[#This Row],[Generation (TWh)]]*10^9)</f>
        <v>1903.9550400000001</v>
      </c>
    </row>
    <row r="1676" spans="1:18" hidden="1">
      <c r="A1676" t="s">
        <v>843</v>
      </c>
      <c r="B1676" t="s">
        <v>46</v>
      </c>
      <c r="C1676" t="str">
        <f>SUBSTITUTE(Table1[[#This Row],[Fuel]],", ",",")</f>
        <v>bioenergy: agricultural waste (solids)</v>
      </c>
      <c r="D1676" t="s">
        <v>46</v>
      </c>
      <c r="G1676">
        <v>58</v>
      </c>
      <c r="H1676" t="s">
        <v>27</v>
      </c>
      <c r="I1676">
        <v>2002</v>
      </c>
      <c r="J1676" t="s">
        <v>21</v>
      </c>
      <c r="K1676">
        <v>-21.105699999999999</v>
      </c>
      <c r="L1676">
        <v>-48.067999999999998</v>
      </c>
      <c r="M1676" t="s">
        <v>49</v>
      </c>
      <c r="N1676" s="2">
        <f>Table1[[#This Row],[Capacity (MW)]]*8760*0.72*10^-6</f>
        <v>0.36581759999999997</v>
      </c>
      <c r="O1676" s="2" cm="1">
        <f t="array" ref="O1676">AVERAGE(VLOOKUP(_xlfn.TEXTSPLIT(Table1[[#This Row],[Fuel (no space after comma)]], ","), FuelList_Final_EF!$A$2:$B$32, 2, FALSE))</f>
        <v>118.17</v>
      </c>
      <c r="P1676" s="2">
        <f>(16112*Table1[[#This Row],[Generation (TWh)]]*10^9)/10^6</f>
        <v>5894053.1711999988</v>
      </c>
      <c r="Q1676" s="2">
        <f>Table1[[#This Row],[Emission Factor (kg CO2/ mmBtu)]]*Table1[[#This Row],[Fuel Consumption (mmBtu)]]*10^3</f>
        <v>696500263240.70386</v>
      </c>
      <c r="R1676" s="2">
        <f>(Table1[[#This Row],[CO2 Emissions (g CO2)]])/(Table1[[#This Row],[Generation (TWh)]]*10^9)</f>
        <v>1903.9550399999998</v>
      </c>
    </row>
    <row r="1677" spans="1:18" hidden="1">
      <c r="A1677" t="s">
        <v>385</v>
      </c>
      <c r="B1677" t="s">
        <v>46</v>
      </c>
      <c r="C1677" t="str">
        <f>SUBSTITUTE(Table1[[#This Row],[Fuel]],", ",",")</f>
        <v>bioenergy: agricultural waste (solids)</v>
      </c>
      <c r="D1677" t="s">
        <v>46</v>
      </c>
      <c r="G1677">
        <v>44</v>
      </c>
      <c r="H1677" t="s">
        <v>27</v>
      </c>
      <c r="I1677">
        <v>2007</v>
      </c>
      <c r="J1677" t="s">
        <v>21</v>
      </c>
      <c r="K1677">
        <v>-21.508600000000001</v>
      </c>
      <c r="L1677">
        <v>-49.212400000000002</v>
      </c>
      <c r="M1677" t="s">
        <v>49</v>
      </c>
      <c r="N1677" s="2">
        <f>Table1[[#This Row],[Capacity (MW)]]*8760*0.72*10^-6</f>
        <v>0.27751679999999995</v>
      </c>
      <c r="O1677" s="2" cm="1">
        <f t="array" ref="O1677">AVERAGE(VLOOKUP(_xlfn.TEXTSPLIT(Table1[[#This Row],[Fuel (no space after comma)]], ","), FuelList_Final_EF!$A$2:$B$32, 2, FALSE))</f>
        <v>118.17</v>
      </c>
      <c r="P1677" s="2">
        <f>(16112*Table1[[#This Row],[Generation (TWh)]]*10^9)/10^6</f>
        <v>4471350.6815999988</v>
      </c>
      <c r="Q1677" s="2">
        <f>Table1[[#This Row],[Emission Factor (kg CO2/ mmBtu)]]*Table1[[#This Row],[Fuel Consumption (mmBtu)]]*10^3</f>
        <v>528379510044.67188</v>
      </c>
      <c r="R1677" s="2">
        <f>(Table1[[#This Row],[CO2 Emissions (g CO2)]])/(Table1[[#This Row],[Generation (TWh)]]*10^9)</f>
        <v>1903.9550400000001</v>
      </c>
    </row>
    <row r="1678" spans="1:18" hidden="1">
      <c r="A1678" t="s">
        <v>1054</v>
      </c>
      <c r="B1678" t="s">
        <v>46</v>
      </c>
      <c r="C1678" t="str">
        <f>SUBSTITUTE(Table1[[#This Row],[Fuel]],", ",",")</f>
        <v>bioenergy: agricultural waste (solids)</v>
      </c>
      <c r="D1678" t="s">
        <v>46</v>
      </c>
      <c r="G1678">
        <v>82</v>
      </c>
      <c r="H1678" t="s">
        <v>27</v>
      </c>
      <c r="I1678">
        <v>2010</v>
      </c>
      <c r="J1678" t="s">
        <v>21</v>
      </c>
      <c r="K1678">
        <v>-19.302299999999999</v>
      </c>
      <c r="L1678">
        <v>-47.463999999999999</v>
      </c>
      <c r="M1678" t="s">
        <v>49</v>
      </c>
      <c r="N1678" s="2">
        <f>Table1[[#This Row],[Capacity (MW)]]*8760*0.72*10^-6</f>
        <v>0.51719039999999994</v>
      </c>
      <c r="O1678" s="2" cm="1">
        <f t="array" ref="O1678">AVERAGE(VLOOKUP(_xlfn.TEXTSPLIT(Table1[[#This Row],[Fuel (no space after comma)]], ","), FuelList_Final_EF!$A$2:$B$32, 2, FALSE))</f>
        <v>118.17</v>
      </c>
      <c r="P1678" s="2">
        <f>(16112*Table1[[#This Row],[Generation (TWh)]]*10^9)/10^6</f>
        <v>8332971.7248</v>
      </c>
      <c r="Q1678" s="2">
        <f>Table1[[#This Row],[Emission Factor (kg CO2/ mmBtu)]]*Table1[[#This Row],[Fuel Consumption (mmBtu)]]*10^3</f>
        <v>984707268719.61609</v>
      </c>
      <c r="R1678" s="2">
        <f>(Table1[[#This Row],[CO2 Emissions (g CO2)]])/(Table1[[#This Row],[Generation (TWh)]]*10^9)</f>
        <v>1903.9550400000003</v>
      </c>
    </row>
    <row r="1679" spans="1:18" hidden="1">
      <c r="A1679" t="s">
        <v>1055</v>
      </c>
      <c r="B1679" t="s">
        <v>707</v>
      </c>
      <c r="C1679" t="str">
        <f>SUBSTITUTE(Table1[[#This Row],[Fuel]],", ",",")</f>
        <v>bioenergy: agricultural waste (solids),coal: unknown,fossil liquids: fuel oil</v>
      </c>
      <c r="D1679" t="s">
        <v>46</v>
      </c>
      <c r="E1679" t="s">
        <v>65</v>
      </c>
      <c r="F1679" t="s">
        <v>606</v>
      </c>
      <c r="G1679">
        <v>45</v>
      </c>
      <c r="H1679" t="s">
        <v>27</v>
      </c>
      <c r="I1679">
        <v>2015</v>
      </c>
      <c r="J1679" t="s">
        <v>21</v>
      </c>
      <c r="K1679">
        <v>14.345800000000001</v>
      </c>
      <c r="L1679">
        <v>-91.064700000000002</v>
      </c>
      <c r="M1679" t="s">
        <v>708</v>
      </c>
      <c r="N1679" s="2">
        <f>Table1[[#This Row],[Capacity (MW)]]*8760*0.72*10^-6</f>
        <v>0.28382399999999997</v>
      </c>
      <c r="O1679" s="2" cm="1">
        <f t="array" ref="O1679">AVERAGE(VLOOKUP(_xlfn.TEXTSPLIT(Table1[[#This Row],[Fuel (no space after comma)]], ","), FuelList_Final_EF!$A$2:$B$32, 2, FALSE))</f>
        <v>99.127897789294423</v>
      </c>
      <c r="P1679" s="2">
        <f>(16112*Table1[[#This Row],[Generation (TWh)]]*10^9)/10^6</f>
        <v>4572972.2879999988</v>
      </c>
      <c r="Q1679" s="2">
        <f>Table1[[#This Row],[Emission Factor (kg CO2/ mmBtu)]]*Table1[[#This Row],[Fuel Consumption (mmBtu)]]*10^3</f>
        <v>453309129558.13977</v>
      </c>
      <c r="R1679" s="2">
        <f>(Table1[[#This Row],[CO2 Emissions (g CO2)]])/(Table1[[#This Row],[Generation (TWh)]]*10^9)</f>
        <v>1597.1486891811119</v>
      </c>
    </row>
    <row r="1680" spans="1:18" hidden="1">
      <c r="A1680" t="s">
        <v>1056</v>
      </c>
      <c r="B1680" t="s">
        <v>46</v>
      </c>
      <c r="C1680" t="str">
        <f>SUBSTITUTE(Table1[[#This Row],[Fuel]],", ",",")</f>
        <v>bioenergy: agricultural waste (solids)</v>
      </c>
      <c r="D1680" t="s">
        <v>46</v>
      </c>
      <c r="G1680">
        <v>30</v>
      </c>
      <c r="H1680" t="s">
        <v>27</v>
      </c>
      <c r="I1680">
        <v>2010</v>
      </c>
      <c r="J1680" t="s">
        <v>21</v>
      </c>
      <c r="K1680">
        <v>-21.4666</v>
      </c>
      <c r="L1680">
        <v>-54.382800000000003</v>
      </c>
      <c r="M1680" t="s">
        <v>49</v>
      </c>
      <c r="N1680" s="2">
        <f>Table1[[#This Row],[Capacity (MW)]]*8760*0.72*10^-6</f>
        <v>0.189216</v>
      </c>
      <c r="O1680" s="2" cm="1">
        <f t="array" ref="O1680">AVERAGE(VLOOKUP(_xlfn.TEXTSPLIT(Table1[[#This Row],[Fuel (no space after comma)]], ","), FuelList_Final_EF!$A$2:$B$32, 2, FALSE))</f>
        <v>118.17</v>
      </c>
      <c r="P1680" s="2">
        <f>(16112*Table1[[#This Row],[Generation (TWh)]]*10^9)/10^6</f>
        <v>3048648.1919999998</v>
      </c>
      <c r="Q1680" s="2">
        <f>Table1[[#This Row],[Emission Factor (kg CO2/ mmBtu)]]*Table1[[#This Row],[Fuel Consumption (mmBtu)]]*10^3</f>
        <v>360258756848.63995</v>
      </c>
      <c r="R1680" s="2">
        <f>(Table1[[#This Row],[CO2 Emissions (g CO2)]])/(Table1[[#This Row],[Generation (TWh)]]*10^9)</f>
        <v>1903.9550399999998</v>
      </c>
    </row>
    <row r="1681" spans="1:18" hidden="1">
      <c r="A1681" t="s">
        <v>1056</v>
      </c>
      <c r="B1681" t="s">
        <v>46</v>
      </c>
      <c r="C1681" t="str">
        <f>SUBSTITUTE(Table1[[#This Row],[Fuel]],", ",",")</f>
        <v>bioenergy: agricultural waste (solids)</v>
      </c>
      <c r="D1681" t="s">
        <v>46</v>
      </c>
      <c r="G1681">
        <v>50</v>
      </c>
      <c r="H1681" t="s">
        <v>27</v>
      </c>
      <c r="I1681">
        <v>2010</v>
      </c>
      <c r="J1681" t="s">
        <v>21</v>
      </c>
      <c r="K1681">
        <v>-21.4666</v>
      </c>
      <c r="L1681">
        <v>-54.382800000000003</v>
      </c>
      <c r="M1681" t="s">
        <v>49</v>
      </c>
      <c r="N1681" s="2">
        <f>Table1[[#This Row],[Capacity (MW)]]*8760*0.72*10^-6</f>
        <v>0.31535999999999997</v>
      </c>
      <c r="O1681" s="2" cm="1">
        <f t="array" ref="O1681">AVERAGE(VLOOKUP(_xlfn.TEXTSPLIT(Table1[[#This Row],[Fuel (no space after comma)]], ","), FuelList_Final_EF!$A$2:$B$32, 2, FALSE))</f>
        <v>118.17</v>
      </c>
      <c r="P1681" s="2">
        <f>(16112*Table1[[#This Row],[Generation (TWh)]]*10^9)/10^6</f>
        <v>5081080.32</v>
      </c>
      <c r="Q1681" s="2">
        <f>Table1[[#This Row],[Emission Factor (kg CO2/ mmBtu)]]*Table1[[#This Row],[Fuel Consumption (mmBtu)]]*10^3</f>
        <v>600431261414.40015</v>
      </c>
      <c r="R1681" s="2">
        <f>(Table1[[#This Row],[CO2 Emissions (g CO2)]])/(Table1[[#This Row],[Generation (TWh)]]*10^9)</f>
        <v>1903.9550400000005</v>
      </c>
    </row>
    <row r="1682" spans="1:18" hidden="1">
      <c r="A1682" t="s">
        <v>1056</v>
      </c>
      <c r="B1682" t="s">
        <v>46</v>
      </c>
      <c r="C1682" t="str">
        <f>SUBSTITUTE(Table1[[#This Row],[Fuel]],", ",",")</f>
        <v>bioenergy: agricultural waste (solids)</v>
      </c>
      <c r="D1682" t="s">
        <v>46</v>
      </c>
      <c r="G1682">
        <v>50</v>
      </c>
      <c r="H1682" t="s">
        <v>27</v>
      </c>
      <c r="I1682">
        <v>2012</v>
      </c>
      <c r="J1682" t="s">
        <v>21</v>
      </c>
      <c r="K1682">
        <v>-21.4666</v>
      </c>
      <c r="L1682">
        <v>-54.382800000000003</v>
      </c>
      <c r="M1682" t="s">
        <v>49</v>
      </c>
      <c r="N1682" s="2">
        <f>Table1[[#This Row],[Capacity (MW)]]*8760*0.72*10^-6</f>
        <v>0.31535999999999997</v>
      </c>
      <c r="O1682" s="2" cm="1">
        <f t="array" ref="O1682">AVERAGE(VLOOKUP(_xlfn.TEXTSPLIT(Table1[[#This Row],[Fuel (no space after comma)]], ","), FuelList_Final_EF!$A$2:$B$32, 2, FALSE))</f>
        <v>118.17</v>
      </c>
      <c r="P1682" s="2">
        <f>(16112*Table1[[#This Row],[Generation (TWh)]]*10^9)/10^6</f>
        <v>5081080.32</v>
      </c>
      <c r="Q1682" s="2">
        <f>Table1[[#This Row],[Emission Factor (kg CO2/ mmBtu)]]*Table1[[#This Row],[Fuel Consumption (mmBtu)]]*10^3</f>
        <v>600431261414.40015</v>
      </c>
      <c r="R1682" s="2">
        <f>(Table1[[#This Row],[CO2 Emissions (g CO2)]])/(Table1[[#This Row],[Generation (TWh)]]*10^9)</f>
        <v>1903.9550400000005</v>
      </c>
    </row>
    <row r="1683" spans="1:18" hidden="1">
      <c r="A1683" t="s">
        <v>1057</v>
      </c>
      <c r="B1683" t="s">
        <v>46</v>
      </c>
      <c r="C1683" t="str">
        <f>SUBSTITUTE(Table1[[#This Row],[Fuel]],", ",",")</f>
        <v>bioenergy: agricultural waste (solids)</v>
      </c>
      <c r="D1683" t="s">
        <v>46</v>
      </c>
      <c r="G1683">
        <v>36</v>
      </c>
      <c r="H1683" t="s">
        <v>27</v>
      </c>
      <c r="I1683">
        <v>2009</v>
      </c>
      <c r="J1683" t="s">
        <v>21</v>
      </c>
      <c r="K1683">
        <v>-22.875599999999999</v>
      </c>
      <c r="L1683">
        <v>-52.180799999999998</v>
      </c>
      <c r="M1683" t="s">
        <v>49</v>
      </c>
      <c r="N1683" s="2">
        <f>Table1[[#This Row],[Capacity (MW)]]*8760*0.72*10^-6</f>
        <v>0.22705919999999996</v>
      </c>
      <c r="O1683" s="2" cm="1">
        <f t="array" ref="O1683">AVERAGE(VLOOKUP(_xlfn.TEXTSPLIT(Table1[[#This Row],[Fuel (no space after comma)]], ","), FuelList_Final_EF!$A$2:$B$32, 2, FALSE))</f>
        <v>118.17</v>
      </c>
      <c r="P1683" s="2">
        <f>(16112*Table1[[#This Row],[Generation (TWh)]]*10^9)/10^6</f>
        <v>3658377.8303999994</v>
      </c>
      <c r="Q1683" s="2">
        <f>Table1[[#This Row],[Emission Factor (kg CO2/ mmBtu)]]*Table1[[#This Row],[Fuel Consumption (mmBtu)]]*10^3</f>
        <v>432310508218.36792</v>
      </c>
      <c r="R1683" s="2">
        <f>(Table1[[#This Row],[CO2 Emissions (g CO2)]])/(Table1[[#This Row],[Generation (TWh)]]*10^9)</f>
        <v>1903.9550399999998</v>
      </c>
    </row>
    <row r="1684" spans="1:18" hidden="1">
      <c r="A1684" t="s">
        <v>1057</v>
      </c>
      <c r="B1684" t="s">
        <v>46</v>
      </c>
      <c r="C1684" t="str">
        <f>SUBSTITUTE(Table1[[#This Row],[Fuel]],", ",",")</f>
        <v>bioenergy: agricultural waste (solids)</v>
      </c>
      <c r="D1684" t="s">
        <v>46</v>
      </c>
      <c r="G1684">
        <v>50</v>
      </c>
      <c r="H1684" t="s">
        <v>27</v>
      </c>
      <c r="I1684">
        <v>2006</v>
      </c>
      <c r="J1684" t="s">
        <v>21</v>
      </c>
      <c r="K1684">
        <v>-23.748000000000001</v>
      </c>
      <c r="L1684">
        <v>-52.8733</v>
      </c>
      <c r="M1684" t="s">
        <v>49</v>
      </c>
      <c r="N1684" s="2">
        <f>Table1[[#This Row],[Capacity (MW)]]*8760*0.72*10^-6</f>
        <v>0.31535999999999997</v>
      </c>
      <c r="O1684" s="2" cm="1">
        <f t="array" ref="O1684">AVERAGE(VLOOKUP(_xlfn.TEXTSPLIT(Table1[[#This Row],[Fuel (no space after comma)]], ","), FuelList_Final_EF!$A$2:$B$32, 2, FALSE))</f>
        <v>118.17</v>
      </c>
      <c r="P1684" s="2">
        <f>(16112*Table1[[#This Row],[Generation (TWh)]]*10^9)/10^6</f>
        <v>5081080.32</v>
      </c>
      <c r="Q1684" s="2">
        <f>Table1[[#This Row],[Emission Factor (kg CO2/ mmBtu)]]*Table1[[#This Row],[Fuel Consumption (mmBtu)]]*10^3</f>
        <v>600431261414.40015</v>
      </c>
      <c r="R1684" s="2">
        <f>(Table1[[#This Row],[CO2 Emissions (g CO2)]])/(Table1[[#This Row],[Generation (TWh)]]*10^9)</f>
        <v>1903.9550400000005</v>
      </c>
    </row>
    <row r="1685" spans="1:18" hidden="1">
      <c r="A1685" t="s">
        <v>1058</v>
      </c>
      <c r="B1685" t="s">
        <v>46</v>
      </c>
      <c r="C1685" t="str">
        <f>SUBSTITUTE(Table1[[#This Row],[Fuel]],", ",",")</f>
        <v>bioenergy: agricultural waste (solids)</v>
      </c>
      <c r="D1685" t="s">
        <v>46</v>
      </c>
      <c r="G1685">
        <v>41</v>
      </c>
      <c r="H1685" t="s">
        <v>27</v>
      </c>
      <c r="I1685">
        <v>2015</v>
      </c>
      <c r="J1685" t="s">
        <v>21</v>
      </c>
      <c r="K1685">
        <v>-18.770900000000001</v>
      </c>
      <c r="L1685">
        <v>-50.223999999999997</v>
      </c>
      <c r="M1685" t="s">
        <v>49</v>
      </c>
      <c r="N1685" s="2">
        <f>Table1[[#This Row],[Capacity (MW)]]*8760*0.72*10^-6</f>
        <v>0.25859519999999997</v>
      </c>
      <c r="O1685" s="2" cm="1">
        <f t="array" ref="O1685">AVERAGE(VLOOKUP(_xlfn.TEXTSPLIT(Table1[[#This Row],[Fuel (no space after comma)]], ","), FuelList_Final_EF!$A$2:$B$32, 2, FALSE))</f>
        <v>118.17</v>
      </c>
      <c r="P1685" s="2">
        <f>(16112*Table1[[#This Row],[Generation (TWh)]]*10^9)/10^6</f>
        <v>4166485.8624</v>
      </c>
      <c r="Q1685" s="2">
        <f>Table1[[#This Row],[Emission Factor (kg CO2/ mmBtu)]]*Table1[[#This Row],[Fuel Consumption (mmBtu)]]*10^3</f>
        <v>492353634359.80804</v>
      </c>
      <c r="R1685" s="2">
        <f>(Table1[[#This Row],[CO2 Emissions (g CO2)]])/(Table1[[#This Row],[Generation (TWh)]]*10^9)</f>
        <v>1903.9550400000003</v>
      </c>
    </row>
    <row r="1686" spans="1:18" hidden="1">
      <c r="A1686" t="s">
        <v>1059</v>
      </c>
      <c r="B1686" t="s">
        <v>46</v>
      </c>
      <c r="C1686" t="str">
        <f>SUBSTITUTE(Table1[[#This Row],[Fuel]],", ",",")</f>
        <v>bioenergy: agricultural waste (solids)</v>
      </c>
      <c r="D1686" t="s">
        <v>46</v>
      </c>
      <c r="G1686">
        <v>70</v>
      </c>
      <c r="H1686" t="s">
        <v>27</v>
      </c>
      <c r="I1686">
        <v>1997</v>
      </c>
      <c r="J1686" t="s">
        <v>21</v>
      </c>
      <c r="K1686">
        <v>-21.972000000000001</v>
      </c>
      <c r="L1686">
        <v>-46.796399999999998</v>
      </c>
      <c r="M1686" t="s">
        <v>49</v>
      </c>
      <c r="N1686" s="2">
        <f>Table1[[#This Row],[Capacity (MW)]]*8760*0.72*10^-6</f>
        <v>0.44150400000000001</v>
      </c>
      <c r="O1686" s="2" cm="1">
        <f t="array" ref="O1686">AVERAGE(VLOOKUP(_xlfn.TEXTSPLIT(Table1[[#This Row],[Fuel (no space after comma)]], ","), FuelList_Final_EF!$A$2:$B$32, 2, FALSE))</f>
        <v>118.17</v>
      </c>
      <c r="P1686" s="2">
        <f>(16112*Table1[[#This Row],[Generation (TWh)]]*10^9)/10^6</f>
        <v>7113512.4479999999</v>
      </c>
      <c r="Q1686" s="2">
        <f>Table1[[#This Row],[Emission Factor (kg CO2/ mmBtu)]]*Table1[[#This Row],[Fuel Consumption (mmBtu)]]*10^3</f>
        <v>840603765980.16003</v>
      </c>
      <c r="R1686" s="2">
        <f>(Table1[[#This Row],[CO2 Emissions (g CO2)]])/(Table1[[#This Row],[Generation (TWh)]]*10^9)</f>
        <v>1903.9550400000001</v>
      </c>
    </row>
    <row r="1687" spans="1:18" hidden="1">
      <c r="A1687" t="s">
        <v>1060</v>
      </c>
      <c r="B1687" t="s">
        <v>46</v>
      </c>
      <c r="C1687" t="str">
        <f>SUBSTITUTE(Table1[[#This Row],[Fuel]],", ",",")</f>
        <v>bioenergy: agricultural waste (solids)</v>
      </c>
      <c r="D1687" t="s">
        <v>46</v>
      </c>
      <c r="G1687">
        <v>41</v>
      </c>
      <c r="H1687" t="s">
        <v>27</v>
      </c>
      <c r="I1687">
        <v>1975</v>
      </c>
      <c r="J1687" t="s">
        <v>21</v>
      </c>
      <c r="K1687">
        <v>-22.426400000000001</v>
      </c>
      <c r="L1687">
        <v>-47.357500000000002</v>
      </c>
      <c r="M1687" t="s">
        <v>49</v>
      </c>
      <c r="N1687" s="2">
        <f>Table1[[#This Row],[Capacity (MW)]]*8760*0.72*10^-6</f>
        <v>0.25859519999999997</v>
      </c>
      <c r="O1687" s="2" cm="1">
        <f t="array" ref="O1687">AVERAGE(VLOOKUP(_xlfn.TEXTSPLIT(Table1[[#This Row],[Fuel (no space after comma)]], ","), FuelList_Final_EF!$A$2:$B$32, 2, FALSE))</f>
        <v>118.17</v>
      </c>
      <c r="P1687" s="2">
        <f>(16112*Table1[[#This Row],[Generation (TWh)]]*10^9)/10^6</f>
        <v>4166485.8624</v>
      </c>
      <c r="Q1687" s="2">
        <f>Table1[[#This Row],[Emission Factor (kg CO2/ mmBtu)]]*Table1[[#This Row],[Fuel Consumption (mmBtu)]]*10^3</f>
        <v>492353634359.80804</v>
      </c>
      <c r="R1687" s="2">
        <f>(Table1[[#This Row],[CO2 Emissions (g CO2)]])/(Table1[[#This Row],[Generation (TWh)]]*10^9)</f>
        <v>1903.9550400000003</v>
      </c>
    </row>
    <row r="1688" spans="1:18" hidden="1">
      <c r="A1688" t="s">
        <v>178</v>
      </c>
      <c r="B1688" t="s">
        <v>46</v>
      </c>
      <c r="C1688" t="str">
        <f>SUBSTITUTE(Table1[[#This Row],[Fuel]],", ",",")</f>
        <v>bioenergy: agricultural waste (solids)</v>
      </c>
      <c r="D1688" t="s">
        <v>46</v>
      </c>
      <c r="G1688">
        <v>50</v>
      </c>
      <c r="H1688" t="s">
        <v>27</v>
      </c>
      <c r="I1688">
        <v>2023</v>
      </c>
      <c r="J1688" t="s">
        <v>21</v>
      </c>
      <c r="K1688">
        <v>-22.491700000000002</v>
      </c>
      <c r="L1688">
        <v>-48.783700000000003</v>
      </c>
      <c r="M1688" t="s">
        <v>49</v>
      </c>
      <c r="N1688" s="2">
        <f>Table1[[#This Row],[Capacity (MW)]]*8760*0.72*10^-6</f>
        <v>0.31535999999999997</v>
      </c>
      <c r="O1688" s="2" cm="1">
        <f t="array" ref="O1688">AVERAGE(VLOOKUP(_xlfn.TEXTSPLIT(Table1[[#This Row],[Fuel (no space after comma)]], ","), FuelList_Final_EF!$A$2:$B$32, 2, FALSE))</f>
        <v>118.17</v>
      </c>
      <c r="P1688" s="2">
        <f>(16112*Table1[[#This Row],[Generation (TWh)]]*10^9)/10^6</f>
        <v>5081080.32</v>
      </c>
      <c r="Q1688" s="2">
        <f>Table1[[#This Row],[Emission Factor (kg CO2/ mmBtu)]]*Table1[[#This Row],[Fuel Consumption (mmBtu)]]*10^3</f>
        <v>600431261414.40015</v>
      </c>
      <c r="R1688" s="2">
        <f>(Table1[[#This Row],[CO2 Emissions (g CO2)]])/(Table1[[#This Row],[Generation (TWh)]]*10^9)</f>
        <v>1903.9550400000005</v>
      </c>
    </row>
    <row r="1689" spans="1:18" hidden="1">
      <c r="A1689" t="s">
        <v>502</v>
      </c>
      <c r="B1689" t="s">
        <v>46</v>
      </c>
      <c r="C1689" t="str">
        <f>SUBSTITUTE(Table1[[#This Row],[Fuel]],", ",",")</f>
        <v>bioenergy: agricultural waste (solids)</v>
      </c>
      <c r="D1689" t="s">
        <v>46</v>
      </c>
      <c r="G1689">
        <v>83</v>
      </c>
      <c r="H1689" t="s">
        <v>27</v>
      </c>
      <c r="I1689">
        <v>2008</v>
      </c>
      <c r="J1689" t="s">
        <v>21</v>
      </c>
      <c r="K1689">
        <v>-20.661899999999999</v>
      </c>
      <c r="L1689">
        <v>-48.533900000000003</v>
      </c>
      <c r="M1689" t="s">
        <v>49</v>
      </c>
      <c r="N1689" s="2">
        <f>Table1[[#This Row],[Capacity (MW)]]*8760*0.72*10^-6</f>
        <v>0.52349760000000001</v>
      </c>
      <c r="O1689" s="2" cm="1">
        <f t="array" ref="O1689">AVERAGE(VLOOKUP(_xlfn.TEXTSPLIT(Table1[[#This Row],[Fuel (no space after comma)]], ","), FuelList_Final_EF!$A$2:$B$32, 2, FALSE))</f>
        <v>118.17</v>
      </c>
      <c r="P1689" s="2">
        <f>(16112*Table1[[#This Row],[Generation (TWh)]]*10^9)/10^6</f>
        <v>8434593.3311999999</v>
      </c>
      <c r="Q1689" s="2">
        <f>Table1[[#This Row],[Emission Factor (kg CO2/ mmBtu)]]*Table1[[#This Row],[Fuel Consumption (mmBtu)]]*10^3</f>
        <v>996715893947.90393</v>
      </c>
      <c r="R1689" s="2">
        <f>(Table1[[#This Row],[CO2 Emissions (g CO2)]])/(Table1[[#This Row],[Generation (TWh)]]*10^9)</f>
        <v>1903.9550399999998</v>
      </c>
    </row>
    <row r="1690" spans="1:18">
      <c r="A1690" t="s">
        <v>1061</v>
      </c>
      <c r="B1690" t="s">
        <v>46</v>
      </c>
      <c r="C1690" t="str">
        <f>SUBSTITUTE(Table1[[#This Row],[Fuel]],", ",",")</f>
        <v>bioenergy: agricultural waste (solids)</v>
      </c>
      <c r="D1690" t="s">
        <v>46</v>
      </c>
      <c r="G1690">
        <v>42</v>
      </c>
      <c r="H1690" t="s">
        <v>27</v>
      </c>
      <c r="I1690">
        <v>1900</v>
      </c>
      <c r="J1690" t="s">
        <v>21</v>
      </c>
      <c r="K1690">
        <v>-21.487200000000001</v>
      </c>
      <c r="L1690">
        <v>-49.1858</v>
      </c>
      <c r="M1690" t="s">
        <v>49</v>
      </c>
      <c r="N1690" s="2">
        <f>Table1[[#This Row],[Capacity (MW)]]*8760*0.72*10^-6</f>
        <v>0.26490239999999993</v>
      </c>
      <c r="O1690" s="2" cm="1">
        <f t="array" ref="O1690">AVERAGE(VLOOKUP(_xlfn.TEXTSPLIT(Table1[[#This Row],[Fuel (no space after comma)]], ","), FuelList_Final_EF!$A$2:$B$32, 2, FALSE))</f>
        <v>118.17</v>
      </c>
      <c r="P1690" s="2">
        <f>(16112*Table1[[#This Row],[Generation (TWh)]]*10^9)/10^6</f>
        <v>4268107.468799999</v>
      </c>
      <c r="Q1690" s="2">
        <f>Table1[[#This Row],[Emission Factor (kg CO2/ mmBtu)]]*Table1[[#This Row],[Fuel Consumption (mmBtu)]]*10^3</f>
        <v>504362259588.09589</v>
      </c>
      <c r="R1690" s="2">
        <f>(Table1[[#This Row],[CO2 Emissions (g CO2)]])/(Table1[[#This Row],[Generation (TWh)]]*10^9)</f>
        <v>1903.9550400000001</v>
      </c>
    </row>
    <row r="1691" spans="1:18" hidden="1">
      <c r="A1691" t="s">
        <v>178</v>
      </c>
      <c r="B1691" t="s">
        <v>46</v>
      </c>
      <c r="C1691" t="str">
        <f>SUBSTITUTE(Table1[[#This Row],[Fuel]],", ",",")</f>
        <v>bioenergy: agricultural waste (solids)</v>
      </c>
      <c r="D1691" t="s">
        <v>46</v>
      </c>
      <c r="G1691">
        <v>55</v>
      </c>
      <c r="H1691" t="s">
        <v>27</v>
      </c>
      <c r="I1691">
        <v>2009</v>
      </c>
      <c r="J1691" t="s">
        <v>21</v>
      </c>
      <c r="K1691">
        <v>-22.483499999999999</v>
      </c>
      <c r="L1691">
        <v>-48.771000000000001</v>
      </c>
      <c r="M1691" t="s">
        <v>49</v>
      </c>
      <c r="N1691" s="2">
        <f>Table1[[#This Row],[Capacity (MW)]]*8760*0.72*10^-6</f>
        <v>0.34689599999999998</v>
      </c>
      <c r="O1691" s="2" cm="1">
        <f t="array" ref="O1691">AVERAGE(VLOOKUP(_xlfn.TEXTSPLIT(Table1[[#This Row],[Fuel (no space after comma)]], ","), FuelList_Final_EF!$A$2:$B$32, 2, FALSE))</f>
        <v>118.17</v>
      </c>
      <c r="P1691" s="2">
        <f>(16112*Table1[[#This Row],[Generation (TWh)]]*10^9)/10^6</f>
        <v>5589188.352</v>
      </c>
      <c r="Q1691" s="2">
        <f>Table1[[#This Row],[Emission Factor (kg CO2/ mmBtu)]]*Table1[[#This Row],[Fuel Consumption (mmBtu)]]*10^3</f>
        <v>660474387555.83997</v>
      </c>
      <c r="R1691" s="2">
        <f>(Table1[[#This Row],[CO2 Emissions (g CO2)]])/(Table1[[#This Row],[Generation (TWh)]]*10^9)</f>
        <v>1903.9550399999998</v>
      </c>
    </row>
    <row r="1692" spans="1:18" hidden="1">
      <c r="A1692" t="s">
        <v>1062</v>
      </c>
      <c r="B1692" t="s">
        <v>46</v>
      </c>
      <c r="C1692" t="str">
        <f>SUBSTITUTE(Table1[[#This Row],[Fuel]],", ",",")</f>
        <v>bioenergy: agricultural waste (solids)</v>
      </c>
      <c r="D1692" t="s">
        <v>46</v>
      </c>
      <c r="G1692">
        <v>56</v>
      </c>
      <c r="H1692" t="s">
        <v>27</v>
      </c>
      <c r="I1692">
        <v>2009</v>
      </c>
      <c r="J1692" t="s">
        <v>21</v>
      </c>
      <c r="K1692">
        <v>-15.1997</v>
      </c>
      <c r="L1692">
        <v>-43.884799999999998</v>
      </c>
      <c r="M1692" t="s">
        <v>49</v>
      </c>
      <c r="N1692" s="2">
        <f>Table1[[#This Row],[Capacity (MW)]]*8760*0.72*10^-6</f>
        <v>0.35320319999999999</v>
      </c>
      <c r="O1692" s="2" cm="1">
        <f t="array" ref="O1692">AVERAGE(VLOOKUP(_xlfn.TEXTSPLIT(Table1[[#This Row],[Fuel (no space after comma)]], ","), FuelList_Final_EF!$A$2:$B$32, 2, FALSE))</f>
        <v>118.17</v>
      </c>
      <c r="P1692" s="2">
        <f>(16112*Table1[[#This Row],[Generation (TWh)]]*10^9)/10^6</f>
        <v>5690809.9583999999</v>
      </c>
      <c r="Q1692" s="2">
        <f>Table1[[#This Row],[Emission Factor (kg CO2/ mmBtu)]]*Table1[[#This Row],[Fuel Consumption (mmBtu)]]*10^3</f>
        <v>672483012784.12793</v>
      </c>
      <c r="R1692" s="2">
        <f>(Table1[[#This Row],[CO2 Emissions (g CO2)]])/(Table1[[#This Row],[Generation (TWh)]]*10^9)</f>
        <v>1903.9550399999998</v>
      </c>
    </row>
    <row r="1693" spans="1:18" hidden="1">
      <c r="A1693" t="s">
        <v>1063</v>
      </c>
      <c r="B1693" t="s">
        <v>46</v>
      </c>
      <c r="C1693" t="str">
        <f>SUBSTITUTE(Table1[[#This Row],[Fuel]],", ",",")</f>
        <v>bioenergy: agricultural waste (solids)</v>
      </c>
      <c r="D1693" t="s">
        <v>46</v>
      </c>
      <c r="G1693">
        <v>70</v>
      </c>
      <c r="H1693" t="s">
        <v>27</v>
      </c>
      <c r="I1693">
        <v>1999</v>
      </c>
      <c r="J1693" t="s">
        <v>21</v>
      </c>
      <c r="K1693">
        <v>-21.8856</v>
      </c>
      <c r="L1693">
        <v>-47.305300000000003</v>
      </c>
      <c r="M1693" t="s">
        <v>49</v>
      </c>
      <c r="N1693" s="2">
        <f>Table1[[#This Row],[Capacity (MW)]]*8760*0.72*10^-6</f>
        <v>0.44150400000000001</v>
      </c>
      <c r="O1693" s="2" cm="1">
        <f t="array" ref="O1693">AVERAGE(VLOOKUP(_xlfn.TEXTSPLIT(Table1[[#This Row],[Fuel (no space after comma)]], ","), FuelList_Final_EF!$A$2:$B$32, 2, FALSE))</f>
        <v>118.17</v>
      </c>
      <c r="P1693" s="2">
        <f>(16112*Table1[[#This Row],[Generation (TWh)]]*10^9)/10^6</f>
        <v>7113512.4479999999</v>
      </c>
      <c r="Q1693" s="2">
        <f>Table1[[#This Row],[Emission Factor (kg CO2/ mmBtu)]]*Table1[[#This Row],[Fuel Consumption (mmBtu)]]*10^3</f>
        <v>840603765980.16003</v>
      </c>
      <c r="R1693" s="2">
        <f>(Table1[[#This Row],[CO2 Emissions (g CO2)]])/(Table1[[#This Row],[Generation (TWh)]]*10^9)</f>
        <v>1903.9550400000001</v>
      </c>
    </row>
    <row r="1694" spans="1:18" hidden="1">
      <c r="A1694" t="s">
        <v>1064</v>
      </c>
      <c r="B1694" t="s">
        <v>46</v>
      </c>
      <c r="C1694" t="str">
        <f>SUBSTITUTE(Table1[[#This Row],[Fuel]],", ",",")</f>
        <v>bioenergy: agricultural waste (solids)</v>
      </c>
      <c r="D1694" t="s">
        <v>46</v>
      </c>
      <c r="G1694">
        <v>40</v>
      </c>
      <c r="H1694" t="s">
        <v>53</v>
      </c>
      <c r="I1694">
        <v>2026</v>
      </c>
      <c r="J1694" t="s">
        <v>21</v>
      </c>
      <c r="K1694">
        <v>-21.3232</v>
      </c>
      <c r="L1694">
        <v>-48.121299999999998</v>
      </c>
      <c r="M1694" t="s">
        <v>49</v>
      </c>
      <c r="N1694" s="2">
        <f>Table1[[#This Row],[Capacity (MW)]]*8760*0.72*10^-6</f>
        <v>0.25228800000000001</v>
      </c>
      <c r="O1694" s="2" cm="1">
        <f t="array" ref="O1694">AVERAGE(VLOOKUP(_xlfn.TEXTSPLIT(Table1[[#This Row],[Fuel (no space after comma)]], ","), FuelList_Final_EF!$A$2:$B$32, 2, FALSE))</f>
        <v>118.17</v>
      </c>
      <c r="P1694" s="2">
        <f>(16112*Table1[[#This Row],[Generation (TWh)]]*10^9)/10^6</f>
        <v>4064864.2560000005</v>
      </c>
      <c r="Q1694" s="2">
        <f>Table1[[#This Row],[Emission Factor (kg CO2/ mmBtu)]]*Table1[[#This Row],[Fuel Consumption (mmBtu)]]*10^3</f>
        <v>480345009131.52008</v>
      </c>
      <c r="R1694" s="2">
        <f>(Table1[[#This Row],[CO2 Emissions (g CO2)]])/(Table1[[#This Row],[Generation (TWh)]]*10^9)</f>
        <v>1903.9550400000003</v>
      </c>
    </row>
    <row r="1695" spans="1:18" hidden="1">
      <c r="A1695" t="s">
        <v>1065</v>
      </c>
      <c r="B1695" t="s">
        <v>46</v>
      </c>
      <c r="C1695" t="str">
        <f>SUBSTITUTE(Table1[[#This Row],[Fuel]],", ",",")</f>
        <v>bioenergy: agricultural waste (solids)</v>
      </c>
      <c r="D1695" t="s">
        <v>46</v>
      </c>
      <c r="G1695">
        <v>44</v>
      </c>
      <c r="H1695" t="s">
        <v>27</v>
      </c>
      <c r="I1695">
        <v>2008</v>
      </c>
      <c r="J1695" t="s">
        <v>21</v>
      </c>
      <c r="K1695">
        <v>-18.5444</v>
      </c>
      <c r="L1695">
        <v>-50.436100000000003</v>
      </c>
      <c r="M1695" t="s">
        <v>49</v>
      </c>
      <c r="N1695" s="2">
        <f>Table1[[#This Row],[Capacity (MW)]]*8760*0.72*10^-6</f>
        <v>0.27751679999999995</v>
      </c>
      <c r="O1695" s="2" cm="1">
        <f t="array" ref="O1695">AVERAGE(VLOOKUP(_xlfn.TEXTSPLIT(Table1[[#This Row],[Fuel (no space after comma)]], ","), FuelList_Final_EF!$A$2:$B$32, 2, FALSE))</f>
        <v>118.17</v>
      </c>
      <c r="P1695" s="2">
        <f>(16112*Table1[[#This Row],[Generation (TWh)]]*10^9)/10^6</f>
        <v>4471350.6815999988</v>
      </c>
      <c r="Q1695" s="2">
        <f>Table1[[#This Row],[Emission Factor (kg CO2/ mmBtu)]]*Table1[[#This Row],[Fuel Consumption (mmBtu)]]*10^3</f>
        <v>528379510044.67188</v>
      </c>
      <c r="R1695" s="2">
        <f>(Table1[[#This Row],[CO2 Emissions (g CO2)]])/(Table1[[#This Row],[Generation (TWh)]]*10^9)</f>
        <v>1903.9550400000001</v>
      </c>
    </row>
    <row r="1696" spans="1:18" hidden="1">
      <c r="A1696" t="s">
        <v>1065</v>
      </c>
      <c r="B1696" t="s">
        <v>46</v>
      </c>
      <c r="C1696" t="str">
        <f>SUBSTITUTE(Table1[[#This Row],[Fuel]],", ",",")</f>
        <v>bioenergy: agricultural waste (solids)</v>
      </c>
      <c r="D1696" t="s">
        <v>46</v>
      </c>
      <c r="G1696">
        <v>40</v>
      </c>
      <c r="H1696" t="s">
        <v>27</v>
      </c>
      <c r="I1696">
        <v>2013</v>
      </c>
      <c r="J1696" t="s">
        <v>21</v>
      </c>
      <c r="K1696">
        <v>-21.317399999999999</v>
      </c>
      <c r="L1696">
        <v>-48.109900000000003</v>
      </c>
      <c r="M1696" t="s">
        <v>49</v>
      </c>
      <c r="N1696" s="2">
        <f>Table1[[#This Row],[Capacity (MW)]]*8760*0.72*10^-6</f>
        <v>0.25228800000000001</v>
      </c>
      <c r="O1696" s="2" cm="1">
        <f t="array" ref="O1696">AVERAGE(VLOOKUP(_xlfn.TEXTSPLIT(Table1[[#This Row],[Fuel (no space after comma)]], ","), FuelList_Final_EF!$A$2:$B$32, 2, FALSE))</f>
        <v>118.17</v>
      </c>
      <c r="P1696" s="2">
        <f>(16112*Table1[[#This Row],[Generation (TWh)]]*10^9)/10^6</f>
        <v>4064864.2560000005</v>
      </c>
      <c r="Q1696" s="2">
        <f>Table1[[#This Row],[Emission Factor (kg CO2/ mmBtu)]]*Table1[[#This Row],[Fuel Consumption (mmBtu)]]*10^3</f>
        <v>480345009131.52008</v>
      </c>
      <c r="R1696" s="2">
        <f>(Table1[[#This Row],[CO2 Emissions (g CO2)]])/(Table1[[#This Row],[Generation (TWh)]]*10^9)</f>
        <v>1903.9550400000003</v>
      </c>
    </row>
    <row r="1697" spans="1:18" hidden="1">
      <c r="A1697" t="s">
        <v>1065</v>
      </c>
      <c r="B1697" t="s">
        <v>46</v>
      </c>
      <c r="C1697" t="str">
        <f>SUBSTITUTE(Table1[[#This Row],[Fuel]],", ",",")</f>
        <v>bioenergy: agricultural waste (solids)</v>
      </c>
      <c r="D1697" t="s">
        <v>46</v>
      </c>
      <c r="G1697">
        <v>33</v>
      </c>
      <c r="H1697" t="s">
        <v>27</v>
      </c>
      <c r="I1697">
        <v>2010</v>
      </c>
      <c r="J1697" t="s">
        <v>21</v>
      </c>
      <c r="K1697">
        <v>-21.358000000000001</v>
      </c>
      <c r="L1697">
        <v>-48.065600000000003</v>
      </c>
      <c r="M1697" t="s">
        <v>49</v>
      </c>
      <c r="N1697" s="2">
        <f>Table1[[#This Row],[Capacity (MW)]]*8760*0.72*10^-6</f>
        <v>0.20813760000000001</v>
      </c>
      <c r="O1697" s="2" cm="1">
        <f t="array" ref="O1697">AVERAGE(VLOOKUP(_xlfn.TEXTSPLIT(Table1[[#This Row],[Fuel (no space after comma)]], ","), FuelList_Final_EF!$A$2:$B$32, 2, FALSE))</f>
        <v>118.17</v>
      </c>
      <c r="P1697" s="2">
        <f>(16112*Table1[[#This Row],[Generation (TWh)]]*10^9)/10^6</f>
        <v>3353513.0112000001</v>
      </c>
      <c r="Q1697" s="2">
        <f>Table1[[#This Row],[Emission Factor (kg CO2/ mmBtu)]]*Table1[[#This Row],[Fuel Consumption (mmBtu)]]*10^3</f>
        <v>396284632533.50403</v>
      </c>
      <c r="R1697" s="2">
        <f>(Table1[[#This Row],[CO2 Emissions (g CO2)]])/(Table1[[#This Row],[Generation (TWh)]]*10^9)</f>
        <v>1903.9550400000001</v>
      </c>
    </row>
    <row r="1698" spans="1:18" hidden="1">
      <c r="A1698" t="s">
        <v>1065</v>
      </c>
      <c r="B1698" t="s">
        <v>46</v>
      </c>
      <c r="C1698" t="str">
        <f>SUBSTITUTE(Table1[[#This Row],[Fuel]],", ",",")</f>
        <v>bioenergy: agricultural waste (solids)</v>
      </c>
      <c r="D1698" t="s">
        <v>46</v>
      </c>
      <c r="G1698">
        <v>40</v>
      </c>
      <c r="H1698" t="s">
        <v>27</v>
      </c>
      <c r="I1698">
        <v>2013</v>
      </c>
      <c r="J1698" t="s">
        <v>21</v>
      </c>
      <c r="K1698">
        <v>-21.358000000000001</v>
      </c>
      <c r="L1698">
        <v>-48.065600000000003</v>
      </c>
      <c r="M1698" t="s">
        <v>49</v>
      </c>
      <c r="N1698" s="2">
        <f>Table1[[#This Row],[Capacity (MW)]]*8760*0.72*10^-6</f>
        <v>0.25228800000000001</v>
      </c>
      <c r="O1698" s="2" cm="1">
        <f t="array" ref="O1698">AVERAGE(VLOOKUP(_xlfn.TEXTSPLIT(Table1[[#This Row],[Fuel (no space after comma)]], ","), FuelList_Final_EF!$A$2:$B$32, 2, FALSE))</f>
        <v>118.17</v>
      </c>
      <c r="P1698" s="2">
        <f>(16112*Table1[[#This Row],[Generation (TWh)]]*10^9)/10^6</f>
        <v>4064864.2560000005</v>
      </c>
      <c r="Q1698" s="2">
        <f>Table1[[#This Row],[Emission Factor (kg CO2/ mmBtu)]]*Table1[[#This Row],[Fuel Consumption (mmBtu)]]*10^3</f>
        <v>480345009131.52008</v>
      </c>
      <c r="R1698" s="2">
        <f>(Table1[[#This Row],[CO2 Emissions (g CO2)]])/(Table1[[#This Row],[Generation (TWh)]]*10^9)</f>
        <v>1903.9550400000003</v>
      </c>
    </row>
    <row r="1699" spans="1:18" hidden="1">
      <c r="A1699" t="s">
        <v>1066</v>
      </c>
      <c r="B1699" t="s">
        <v>19</v>
      </c>
      <c r="C1699" t="str">
        <f>SUBSTITUTE(Table1[[#This Row],[Fuel]],", ",",")</f>
        <v>bioenergy: refuse (municipal and industrial wastes)</v>
      </c>
      <c r="D1699" t="s">
        <v>19</v>
      </c>
      <c r="G1699">
        <v>42</v>
      </c>
      <c r="H1699" t="s">
        <v>27</v>
      </c>
      <c r="I1699">
        <v>1974</v>
      </c>
      <c r="J1699" t="s">
        <v>21</v>
      </c>
      <c r="K1699">
        <v>57.732199999999999</v>
      </c>
      <c r="L1699">
        <v>12.052899999999999</v>
      </c>
      <c r="M1699" t="s">
        <v>34</v>
      </c>
      <c r="N1699" s="2">
        <f>Table1[[#This Row],[Capacity (MW)]]*8760*0.72*10^-6</f>
        <v>0.26490239999999993</v>
      </c>
      <c r="O1699" s="2" cm="1">
        <f t="array" ref="O1699">AVERAGE(VLOOKUP(_xlfn.TEXTSPLIT(Table1[[#This Row],[Fuel (no space after comma)]], ","), FuelList_Final_EF!$A$2:$B$32, 2, FALSE))</f>
        <v>105.42962572482868</v>
      </c>
      <c r="P1699" s="2">
        <f>(16112*Table1[[#This Row],[Generation (TWh)]]*10^9)/10^6</f>
        <v>4268107.468799999</v>
      </c>
      <c r="Q1699" s="2">
        <f>Table1[[#This Row],[Emission Factor (kg CO2/ mmBtu)]]*Table1[[#This Row],[Fuel Consumption (mmBtu)]]*10^3</f>
        <v>449984972988.92981</v>
      </c>
      <c r="R1699" s="2">
        <f>(Table1[[#This Row],[CO2 Emissions (g CO2)]])/(Table1[[#This Row],[Generation (TWh)]]*10^9)</f>
        <v>1698.6821296784397</v>
      </c>
    </row>
    <row r="1700" spans="1:18">
      <c r="A1700" t="s">
        <v>21</v>
      </c>
      <c r="B1700" t="s">
        <v>25</v>
      </c>
      <c r="C1700" t="str">
        <f>SUBSTITUTE(Table1[[#This Row],[Fuel]],", ",",")</f>
        <v>bioenergy: wood &amp; other biomass (solids)</v>
      </c>
      <c r="D1700" t="s">
        <v>25</v>
      </c>
      <c r="G1700">
        <v>59</v>
      </c>
      <c r="H1700" t="s">
        <v>27</v>
      </c>
      <c r="I1700" t="s">
        <v>21</v>
      </c>
      <c r="J1700" t="s">
        <v>21</v>
      </c>
      <c r="K1700">
        <v>49.539400000000001</v>
      </c>
      <c r="L1700">
        <v>8.4588000000000001</v>
      </c>
      <c r="M1700" t="s">
        <v>154</v>
      </c>
      <c r="N1700" s="2">
        <f>Table1[[#This Row],[Capacity (MW)]]*8760*0.72*10^-6</f>
        <v>0.37212479999999998</v>
      </c>
      <c r="O1700" s="2" cm="1">
        <f t="array" ref="O1700">AVERAGE(VLOOKUP(_xlfn.TEXTSPLIT(Table1[[#This Row],[Fuel (no space after comma)]], ","), FuelList_Final_EF!$A$2:$B$32, 2, FALSE))</f>
        <v>93.8</v>
      </c>
      <c r="P1700" s="2">
        <f>(16112*Table1[[#This Row],[Generation (TWh)]]*10^9)/10^6</f>
        <v>5995674.7775999987</v>
      </c>
      <c r="Q1700" s="2">
        <f>Table1[[#This Row],[Emission Factor (kg CO2/ mmBtu)]]*Table1[[#This Row],[Fuel Consumption (mmBtu)]]*10^3</f>
        <v>562394294138.87988</v>
      </c>
      <c r="R1700" s="2">
        <f>(Table1[[#This Row],[CO2 Emissions (g CO2)]])/(Table1[[#This Row],[Generation (TWh)]]*10^9)</f>
        <v>1511.3055999999997</v>
      </c>
    </row>
    <row r="1701" spans="1:18" hidden="1">
      <c r="A1701" t="s">
        <v>1067</v>
      </c>
      <c r="B1701" t="s">
        <v>89</v>
      </c>
      <c r="C1701" t="str">
        <f>SUBSTITUTE(Table1[[#This Row],[Fuel]],", ",",")</f>
        <v>bioenergy: wood &amp; other biomass (solids),coal: bituminous</v>
      </c>
      <c r="D1701" t="s">
        <v>25</v>
      </c>
      <c r="E1701" t="s">
        <v>90</v>
      </c>
      <c r="G1701">
        <v>50</v>
      </c>
      <c r="H1701" t="s">
        <v>27</v>
      </c>
      <c r="I1701">
        <v>1955</v>
      </c>
      <c r="J1701" t="s">
        <v>21</v>
      </c>
      <c r="K1701">
        <v>43.096778</v>
      </c>
      <c r="L1701">
        <v>-70.784166999999997</v>
      </c>
      <c r="M1701" t="s">
        <v>62</v>
      </c>
      <c r="N1701" s="2">
        <f>Table1[[#This Row],[Capacity (MW)]]*8760*0.72*10^-6</f>
        <v>0.31535999999999997</v>
      </c>
      <c r="O1701" s="2" cm="1">
        <f t="array" ref="O1701">AVERAGE(VLOOKUP(_xlfn.TEXTSPLIT(Table1[[#This Row],[Fuel (no space after comma)]], ","), FuelList_Final_EF!$A$2:$B$32, 2, FALSE))</f>
        <v>96.768212967843965</v>
      </c>
      <c r="P1701" s="2">
        <f>(16112*Table1[[#This Row],[Generation (TWh)]]*10^9)/10^6</f>
        <v>5081080.32</v>
      </c>
      <c r="Q1701" s="2">
        <f>Table1[[#This Row],[Emission Factor (kg CO2/ mmBtu)]]*Table1[[#This Row],[Fuel Consumption (mmBtu)]]*10^3</f>
        <v>491687062512.48077</v>
      </c>
      <c r="R1701" s="2">
        <f>(Table1[[#This Row],[CO2 Emissions (g CO2)]])/(Table1[[#This Row],[Generation (TWh)]]*10^9)</f>
        <v>1559.1294473379021</v>
      </c>
    </row>
    <row r="1702" spans="1:18" hidden="1">
      <c r="A1702" t="s">
        <v>1068</v>
      </c>
      <c r="B1702" t="s">
        <v>25</v>
      </c>
      <c r="C1702" t="str">
        <f>SUBSTITUTE(Table1[[#This Row],[Fuel]],", ",",")</f>
        <v>bioenergy: wood &amp; other biomass (solids)</v>
      </c>
      <c r="D1702" t="s">
        <v>25</v>
      </c>
      <c r="G1702">
        <v>60</v>
      </c>
      <c r="H1702" t="s">
        <v>27</v>
      </c>
      <c r="I1702">
        <v>2015</v>
      </c>
      <c r="J1702" t="s">
        <v>21</v>
      </c>
      <c r="K1702">
        <v>35.977863999999997</v>
      </c>
      <c r="L1702">
        <v>126.638267</v>
      </c>
      <c r="M1702" t="s">
        <v>333</v>
      </c>
      <c r="N1702" s="2">
        <f>Table1[[#This Row],[Capacity (MW)]]*8760*0.72*10^-6</f>
        <v>0.37843199999999999</v>
      </c>
      <c r="O1702" s="2" cm="1">
        <f t="array" ref="O1702">AVERAGE(VLOOKUP(_xlfn.TEXTSPLIT(Table1[[#This Row],[Fuel (no space after comma)]], ","), FuelList_Final_EF!$A$2:$B$32, 2, FALSE))</f>
        <v>93.8</v>
      </c>
      <c r="P1702" s="2">
        <f>(16112*Table1[[#This Row],[Generation (TWh)]]*10^9)/10^6</f>
        <v>6097296.3839999996</v>
      </c>
      <c r="Q1702" s="2">
        <f>Table1[[#This Row],[Emission Factor (kg CO2/ mmBtu)]]*Table1[[#This Row],[Fuel Consumption (mmBtu)]]*10^3</f>
        <v>571926400819.19995</v>
      </c>
      <c r="R1702" s="2">
        <f>(Table1[[#This Row],[CO2 Emissions (g CO2)]])/(Table1[[#This Row],[Generation (TWh)]]*10^9)</f>
        <v>1511.3055999999999</v>
      </c>
    </row>
    <row r="1703" spans="1:18" hidden="1">
      <c r="A1703" t="s">
        <v>262</v>
      </c>
      <c r="B1703" t="s">
        <v>46</v>
      </c>
      <c r="C1703" t="str">
        <f>SUBSTITUTE(Table1[[#This Row],[Fuel]],", ",",")</f>
        <v>bioenergy: agricultural waste (solids)</v>
      </c>
      <c r="D1703" t="s">
        <v>46</v>
      </c>
      <c r="G1703">
        <v>60</v>
      </c>
      <c r="H1703" t="s">
        <v>27</v>
      </c>
      <c r="I1703">
        <v>2009</v>
      </c>
      <c r="J1703" t="s">
        <v>21</v>
      </c>
      <c r="K1703">
        <v>-20.581</v>
      </c>
      <c r="L1703">
        <v>-49.942399999999999</v>
      </c>
      <c r="M1703" t="s">
        <v>49</v>
      </c>
      <c r="N1703" s="2">
        <f>Table1[[#This Row],[Capacity (MW)]]*8760*0.72*10^-6</f>
        <v>0.37843199999999999</v>
      </c>
      <c r="O1703" s="2" cm="1">
        <f t="array" ref="O1703">AVERAGE(VLOOKUP(_xlfn.TEXTSPLIT(Table1[[#This Row],[Fuel (no space after comma)]], ","), FuelList_Final_EF!$A$2:$B$32, 2, FALSE))</f>
        <v>118.17</v>
      </c>
      <c r="P1703" s="2">
        <f>(16112*Table1[[#This Row],[Generation (TWh)]]*10^9)/10^6</f>
        <v>6097296.3839999996</v>
      </c>
      <c r="Q1703" s="2">
        <f>Table1[[#This Row],[Emission Factor (kg CO2/ mmBtu)]]*Table1[[#This Row],[Fuel Consumption (mmBtu)]]*10^3</f>
        <v>720517513697.27991</v>
      </c>
      <c r="R1703" s="2">
        <f>(Table1[[#This Row],[CO2 Emissions (g CO2)]])/(Table1[[#This Row],[Generation (TWh)]]*10^9)</f>
        <v>1903.9550399999998</v>
      </c>
    </row>
    <row r="1704" spans="1:18" hidden="1">
      <c r="A1704" t="s">
        <v>262</v>
      </c>
      <c r="B1704" t="s">
        <v>46</v>
      </c>
      <c r="C1704" t="str">
        <f>SUBSTITUTE(Table1[[#This Row],[Fuel]],", ",",")</f>
        <v>bioenergy: agricultural waste (solids)</v>
      </c>
      <c r="D1704" t="s">
        <v>46</v>
      </c>
      <c r="G1704">
        <v>30</v>
      </c>
      <c r="H1704" t="s">
        <v>27</v>
      </c>
      <c r="I1704">
        <v>2010</v>
      </c>
      <c r="J1704" t="s">
        <v>21</v>
      </c>
      <c r="K1704">
        <v>-20.581</v>
      </c>
      <c r="L1704">
        <v>-49.942399999999999</v>
      </c>
      <c r="M1704" t="s">
        <v>49</v>
      </c>
      <c r="N1704" s="2">
        <f>Table1[[#This Row],[Capacity (MW)]]*8760*0.72*10^-6</f>
        <v>0.189216</v>
      </c>
      <c r="O1704" s="2" cm="1">
        <f t="array" ref="O1704">AVERAGE(VLOOKUP(_xlfn.TEXTSPLIT(Table1[[#This Row],[Fuel (no space after comma)]], ","), FuelList_Final_EF!$A$2:$B$32, 2, FALSE))</f>
        <v>118.17</v>
      </c>
      <c r="P1704" s="2">
        <f>(16112*Table1[[#This Row],[Generation (TWh)]]*10^9)/10^6</f>
        <v>3048648.1919999998</v>
      </c>
      <c r="Q1704" s="2">
        <f>Table1[[#This Row],[Emission Factor (kg CO2/ mmBtu)]]*Table1[[#This Row],[Fuel Consumption (mmBtu)]]*10^3</f>
        <v>360258756848.63995</v>
      </c>
      <c r="R1704" s="2">
        <f>(Table1[[#This Row],[CO2 Emissions (g CO2)]])/(Table1[[#This Row],[Generation (TWh)]]*10^9)</f>
        <v>1903.9550399999998</v>
      </c>
    </row>
    <row r="1705" spans="1:18">
      <c r="A1705" t="s">
        <v>1069</v>
      </c>
      <c r="B1705" t="s">
        <v>46</v>
      </c>
      <c r="C1705" t="str">
        <f>SUBSTITUTE(Table1[[#This Row],[Fuel]],", ",",")</f>
        <v>bioenergy: agricultural waste (solids)</v>
      </c>
      <c r="D1705" t="s">
        <v>46</v>
      </c>
      <c r="G1705">
        <v>32</v>
      </c>
      <c r="H1705" t="s">
        <v>27</v>
      </c>
      <c r="I1705" t="s">
        <v>21</v>
      </c>
      <c r="J1705" t="s">
        <v>21</v>
      </c>
      <c r="K1705">
        <v>27.484000000000002</v>
      </c>
      <c r="L1705">
        <v>80.995999999999995</v>
      </c>
      <c r="M1705" t="s">
        <v>66</v>
      </c>
      <c r="N1705" s="2">
        <f>Table1[[#This Row],[Capacity (MW)]]*8760*0.72*10^-6</f>
        <v>0.20183039999999999</v>
      </c>
      <c r="O1705" s="2" cm="1">
        <f t="array" ref="O1705">AVERAGE(VLOOKUP(_xlfn.TEXTSPLIT(Table1[[#This Row],[Fuel (no space after comma)]], ","), FuelList_Final_EF!$A$2:$B$32, 2, FALSE))</f>
        <v>118.17</v>
      </c>
      <c r="P1705" s="2">
        <f>(16112*Table1[[#This Row],[Generation (TWh)]]*10^9)/10^6</f>
        <v>3251891.4047999997</v>
      </c>
      <c r="Q1705" s="2">
        <f>Table1[[#This Row],[Emission Factor (kg CO2/ mmBtu)]]*Table1[[#This Row],[Fuel Consumption (mmBtu)]]*10^3</f>
        <v>384276007305.21594</v>
      </c>
      <c r="R1705" s="2">
        <f>(Table1[[#This Row],[CO2 Emissions (g CO2)]])/(Table1[[#This Row],[Generation (TWh)]]*10^9)</f>
        <v>1903.9550399999998</v>
      </c>
    </row>
    <row r="1706" spans="1:18" hidden="1">
      <c r="A1706" t="s">
        <v>1070</v>
      </c>
      <c r="B1706" t="s">
        <v>210</v>
      </c>
      <c r="C1706" t="str">
        <f>SUBSTITUTE(Table1[[#This Row],[Fuel]],", ",",")</f>
        <v>bioenergy: wood &amp; other biomass (solids),bioenergy: agricultural waste (solids)</v>
      </c>
      <c r="D1706" t="s">
        <v>25</v>
      </c>
      <c r="E1706" t="s">
        <v>46</v>
      </c>
      <c r="G1706">
        <v>75</v>
      </c>
      <c r="H1706" t="s">
        <v>27</v>
      </c>
      <c r="I1706">
        <v>2023</v>
      </c>
      <c r="J1706" t="s">
        <v>21</v>
      </c>
      <c r="K1706">
        <v>38.256700000000002</v>
      </c>
      <c r="L1706">
        <v>141.005</v>
      </c>
      <c r="M1706" t="s">
        <v>51</v>
      </c>
      <c r="N1706" s="2">
        <f>Table1[[#This Row],[Capacity (MW)]]*8760*0.72*10^-6</f>
        <v>0.47303999999999996</v>
      </c>
      <c r="O1706" s="2" cm="1">
        <f t="array" ref="O1706">AVERAGE(VLOOKUP(_xlfn.TEXTSPLIT(Table1[[#This Row],[Fuel (no space after comma)]], ","), FuelList_Final_EF!$A$2:$B$32, 2, FALSE))</f>
        <v>105.985</v>
      </c>
      <c r="P1706" s="2">
        <f>(16112*Table1[[#This Row],[Generation (TWh)]]*10^9)/10^6</f>
        <v>7621620.4800000004</v>
      </c>
      <c r="Q1706" s="2">
        <f>Table1[[#This Row],[Emission Factor (kg CO2/ mmBtu)]]*Table1[[#This Row],[Fuel Consumption (mmBtu)]]*10^3</f>
        <v>807777446572.80005</v>
      </c>
      <c r="R1706" s="2">
        <f>(Table1[[#This Row],[CO2 Emissions (g CO2)]])/(Table1[[#This Row],[Generation (TWh)]]*10^9)</f>
        <v>1707.6303200000002</v>
      </c>
    </row>
    <row r="1707" spans="1:18" hidden="1">
      <c r="A1707" t="s">
        <v>1071</v>
      </c>
      <c r="B1707" t="s">
        <v>25</v>
      </c>
      <c r="C1707" t="str">
        <f>SUBSTITUTE(Table1[[#This Row],[Fuel]],", ",",")</f>
        <v>bioenergy: wood &amp; other biomass (solids)</v>
      </c>
      <c r="D1707" t="s">
        <v>25</v>
      </c>
      <c r="G1707">
        <v>112</v>
      </c>
      <c r="H1707" t="s">
        <v>53</v>
      </c>
      <c r="I1707">
        <v>2025</v>
      </c>
      <c r="J1707" t="s">
        <v>21</v>
      </c>
      <c r="K1707">
        <v>38.276000000000003</v>
      </c>
      <c r="L1707">
        <v>141.02340000000001</v>
      </c>
      <c r="M1707" t="s">
        <v>51</v>
      </c>
      <c r="N1707" s="2">
        <f>Table1[[#This Row],[Capacity (MW)]]*8760*0.72*10^-6</f>
        <v>0.70640639999999999</v>
      </c>
      <c r="O1707" s="2" cm="1">
        <f t="array" ref="O1707">AVERAGE(VLOOKUP(_xlfn.TEXTSPLIT(Table1[[#This Row],[Fuel (no space after comma)]], ","), FuelList_Final_EF!$A$2:$B$32, 2, FALSE))</f>
        <v>93.8</v>
      </c>
      <c r="P1707" s="2">
        <f>(16112*Table1[[#This Row],[Generation (TWh)]]*10^9)/10^6</f>
        <v>11381619.9168</v>
      </c>
      <c r="Q1707" s="2">
        <f>Table1[[#This Row],[Emission Factor (kg CO2/ mmBtu)]]*Table1[[#This Row],[Fuel Consumption (mmBtu)]]*10^3</f>
        <v>1067595948195.84</v>
      </c>
      <c r="R1707" s="2">
        <f>(Table1[[#This Row],[CO2 Emissions (g CO2)]])/(Table1[[#This Row],[Generation (TWh)]]*10^9)</f>
        <v>1511.3055999999999</v>
      </c>
    </row>
    <row r="1708" spans="1:18" hidden="1">
      <c r="A1708" t="s">
        <v>1072</v>
      </c>
      <c r="B1708" t="s">
        <v>25</v>
      </c>
      <c r="C1708" t="str">
        <f>SUBSTITUTE(Table1[[#This Row],[Fuel]],", ",",")</f>
        <v>bioenergy: wood &amp; other biomass (solids)</v>
      </c>
      <c r="D1708" t="s">
        <v>25</v>
      </c>
      <c r="G1708">
        <v>35</v>
      </c>
      <c r="H1708" t="s">
        <v>27</v>
      </c>
      <c r="I1708">
        <v>2002</v>
      </c>
      <c r="J1708" t="s">
        <v>21</v>
      </c>
      <c r="K1708">
        <v>48.383499999999998</v>
      </c>
      <c r="L1708">
        <v>-77.2239</v>
      </c>
      <c r="M1708" t="s">
        <v>79</v>
      </c>
      <c r="N1708" s="2">
        <f>Table1[[#This Row],[Capacity (MW)]]*8760*0.72*10^-6</f>
        <v>0.220752</v>
      </c>
      <c r="O1708" s="2" cm="1">
        <f t="array" ref="O1708">AVERAGE(VLOOKUP(_xlfn.TEXTSPLIT(Table1[[#This Row],[Fuel (no space after comma)]], ","), FuelList_Final_EF!$A$2:$B$32, 2, FALSE))</f>
        <v>93.8</v>
      </c>
      <c r="P1708" s="2">
        <f>(16112*Table1[[#This Row],[Generation (TWh)]]*10^9)/10^6</f>
        <v>3556756.2239999999</v>
      </c>
      <c r="Q1708" s="2">
        <f>Table1[[#This Row],[Emission Factor (kg CO2/ mmBtu)]]*Table1[[#This Row],[Fuel Consumption (mmBtu)]]*10^3</f>
        <v>333623733811.19995</v>
      </c>
      <c r="R1708" s="2">
        <f>(Table1[[#This Row],[CO2 Emissions (g CO2)]])/(Table1[[#This Row],[Generation (TWh)]]*10^9)</f>
        <v>1511.3055999999997</v>
      </c>
    </row>
    <row r="1709" spans="1:18" hidden="1">
      <c r="A1709" t="s">
        <v>1073</v>
      </c>
      <c r="B1709" t="s">
        <v>25</v>
      </c>
      <c r="C1709" t="str">
        <f>SUBSTITUTE(Table1[[#This Row],[Fuel]],", ",",")</f>
        <v>bioenergy: wood &amp; other biomass (solids)</v>
      </c>
      <c r="D1709" t="s">
        <v>25</v>
      </c>
      <c r="G1709">
        <v>39</v>
      </c>
      <c r="H1709" t="s">
        <v>27</v>
      </c>
      <c r="I1709">
        <v>2013</v>
      </c>
      <c r="J1709" t="s">
        <v>21</v>
      </c>
      <c r="K1709">
        <v>36.985999999999997</v>
      </c>
      <c r="L1709">
        <v>129.14580000000001</v>
      </c>
      <c r="M1709" t="s">
        <v>333</v>
      </c>
      <c r="N1709" s="2">
        <f>Table1[[#This Row],[Capacity (MW)]]*8760*0.72*10^-6</f>
        <v>0.24598079999999997</v>
      </c>
      <c r="O1709" s="2" cm="1">
        <f t="array" ref="O1709">AVERAGE(VLOOKUP(_xlfn.TEXTSPLIT(Table1[[#This Row],[Fuel (no space after comma)]], ","), FuelList_Final_EF!$A$2:$B$32, 2, FALSE))</f>
        <v>93.8</v>
      </c>
      <c r="P1709" s="2">
        <f>(16112*Table1[[#This Row],[Generation (TWh)]]*10^9)/10^6</f>
        <v>3963242.6495999997</v>
      </c>
      <c r="Q1709" s="2">
        <f>Table1[[#This Row],[Emission Factor (kg CO2/ mmBtu)]]*Table1[[#This Row],[Fuel Consumption (mmBtu)]]*10^3</f>
        <v>371752160532.47992</v>
      </c>
      <c r="R1709" s="2">
        <f>(Table1[[#This Row],[CO2 Emissions (g CO2)]])/(Table1[[#This Row],[Generation (TWh)]]*10^9)</f>
        <v>1511.3055999999999</v>
      </c>
    </row>
    <row r="1710" spans="1:18" hidden="1">
      <c r="A1710" t="s">
        <v>21</v>
      </c>
      <c r="B1710" t="s">
        <v>19</v>
      </c>
      <c r="C1710" t="str">
        <f>SUBSTITUTE(Table1[[#This Row],[Fuel]],", ",",")</f>
        <v>bioenergy: refuse (municipal and industrial wastes)</v>
      </c>
      <c r="D1710" t="s">
        <v>19</v>
      </c>
      <c r="G1710">
        <v>37</v>
      </c>
      <c r="H1710" t="s">
        <v>53</v>
      </c>
      <c r="I1710">
        <v>2024</v>
      </c>
      <c r="J1710" t="s">
        <v>21</v>
      </c>
      <c r="K1710">
        <v>21.129799999999999</v>
      </c>
      <c r="L1710">
        <v>105.4268</v>
      </c>
      <c r="M1710" t="s">
        <v>326</v>
      </c>
      <c r="N1710" s="2">
        <f>Table1[[#This Row],[Capacity (MW)]]*8760*0.72*10^-6</f>
        <v>0.23336639999999997</v>
      </c>
      <c r="O1710" s="2" cm="1">
        <f t="array" ref="O1710">AVERAGE(VLOOKUP(_xlfn.TEXTSPLIT(Table1[[#This Row],[Fuel (no space after comma)]], ","), FuelList_Final_EF!$A$2:$B$32, 2, FALSE))</f>
        <v>105.42962572482868</v>
      </c>
      <c r="P1710" s="2">
        <f>(16112*Table1[[#This Row],[Generation (TWh)]]*10^9)/10^6</f>
        <v>3759999.4367999998</v>
      </c>
      <c r="Q1710" s="2">
        <f>Table1[[#This Row],[Emission Factor (kg CO2/ mmBtu)]]*Table1[[#This Row],[Fuel Consumption (mmBtu)]]*10^3</f>
        <v>396415333347.39056</v>
      </c>
      <c r="R1710" s="2">
        <f>(Table1[[#This Row],[CO2 Emissions (g CO2)]])/(Table1[[#This Row],[Generation (TWh)]]*10^9)</f>
        <v>1698.6821296784397</v>
      </c>
    </row>
    <row r="1711" spans="1:18" hidden="1">
      <c r="A1711" t="s">
        <v>1074</v>
      </c>
      <c r="B1711" t="s">
        <v>19</v>
      </c>
      <c r="C1711" t="str">
        <f>SUBSTITUTE(Table1[[#This Row],[Fuel]],", ",",")</f>
        <v>bioenergy: refuse (municipal and industrial wastes)</v>
      </c>
      <c r="D1711" t="s">
        <v>19</v>
      </c>
      <c r="G1711">
        <v>38</v>
      </c>
      <c r="H1711" t="s">
        <v>27</v>
      </c>
      <c r="I1711">
        <v>2016</v>
      </c>
      <c r="J1711" t="s">
        <v>21</v>
      </c>
      <c r="K1711">
        <v>51.540599999999998</v>
      </c>
      <c r="L1711">
        <v>-2.6553</v>
      </c>
      <c r="M1711" t="s">
        <v>22</v>
      </c>
      <c r="N1711" s="2">
        <f>Table1[[#This Row],[Capacity (MW)]]*8760*0.72*10^-6</f>
        <v>0.23967359999999996</v>
      </c>
      <c r="O1711" s="2" cm="1">
        <f t="array" ref="O1711">AVERAGE(VLOOKUP(_xlfn.TEXTSPLIT(Table1[[#This Row],[Fuel (no space after comma)]], ","), FuelList_Final_EF!$A$2:$B$32, 2, FALSE))</f>
        <v>105.42962572482868</v>
      </c>
      <c r="P1711" s="2">
        <f>(16112*Table1[[#This Row],[Generation (TWh)]]*10^9)/10^6</f>
        <v>3861621.0431999997</v>
      </c>
      <c r="Q1711" s="2">
        <f>Table1[[#This Row],[Emission Factor (kg CO2/ mmBtu)]]*Table1[[#This Row],[Fuel Consumption (mmBtu)]]*10^3</f>
        <v>407129261275.69849</v>
      </c>
      <c r="R1711" s="2">
        <f>(Table1[[#This Row],[CO2 Emissions (g CO2)]])/(Table1[[#This Row],[Generation (TWh)]]*10^9)</f>
        <v>1698.6821296784399</v>
      </c>
    </row>
    <row r="1712" spans="1:18" hidden="1">
      <c r="A1712" t="s">
        <v>1068</v>
      </c>
      <c r="B1712" t="s">
        <v>25</v>
      </c>
      <c r="C1712" t="str">
        <f>SUBSTITUTE(Table1[[#This Row],[Fuel]],", ",",")</f>
        <v>bioenergy: wood &amp; other biomass (solids)</v>
      </c>
      <c r="D1712" t="s">
        <v>25</v>
      </c>
      <c r="G1712">
        <v>100</v>
      </c>
      <c r="H1712" t="s">
        <v>27</v>
      </c>
      <c r="I1712">
        <v>2021</v>
      </c>
      <c r="J1712" t="s">
        <v>21</v>
      </c>
      <c r="K1712">
        <v>35.947038999999997</v>
      </c>
      <c r="L1712">
        <v>126.53045710000001</v>
      </c>
      <c r="M1712" t="s">
        <v>333</v>
      </c>
      <c r="N1712" s="2">
        <f>Table1[[#This Row],[Capacity (MW)]]*8760*0.72*10^-6</f>
        <v>0.63071999999999995</v>
      </c>
      <c r="O1712" s="2" cm="1">
        <f t="array" ref="O1712">AVERAGE(VLOOKUP(_xlfn.TEXTSPLIT(Table1[[#This Row],[Fuel (no space after comma)]], ","), FuelList_Final_EF!$A$2:$B$32, 2, FALSE))</f>
        <v>93.8</v>
      </c>
      <c r="P1712" s="2">
        <f>(16112*Table1[[#This Row],[Generation (TWh)]]*10^9)/10^6</f>
        <v>10162160.640000001</v>
      </c>
      <c r="Q1712" s="2">
        <f>Table1[[#This Row],[Emission Factor (kg CO2/ mmBtu)]]*Table1[[#This Row],[Fuel Consumption (mmBtu)]]*10^3</f>
        <v>953210668032.00012</v>
      </c>
      <c r="R1712" s="2">
        <f>(Table1[[#This Row],[CO2 Emissions (g CO2)]])/(Table1[[#This Row],[Generation (TWh)]]*10^9)</f>
        <v>1511.3056000000001</v>
      </c>
    </row>
    <row r="1713" spans="1:18" hidden="1">
      <c r="A1713" t="s">
        <v>793</v>
      </c>
      <c r="B1713" t="s">
        <v>46</v>
      </c>
      <c r="C1713" t="str">
        <f>SUBSTITUTE(Table1[[#This Row],[Fuel]],", ",",")</f>
        <v>bioenergy: agricultural waste (solids)</v>
      </c>
      <c r="D1713" t="s">
        <v>46</v>
      </c>
      <c r="G1713">
        <v>30</v>
      </c>
      <c r="H1713" t="s">
        <v>27</v>
      </c>
      <c r="I1713">
        <v>2020</v>
      </c>
      <c r="J1713" t="s">
        <v>21</v>
      </c>
      <c r="K1713">
        <v>35.158099999999997</v>
      </c>
      <c r="L1713">
        <v>109.92529999999999</v>
      </c>
      <c r="M1713" t="s">
        <v>102</v>
      </c>
      <c r="N1713" s="2">
        <f>Table1[[#This Row],[Capacity (MW)]]*8760*0.72*10^-6</f>
        <v>0.189216</v>
      </c>
      <c r="O1713" s="2" cm="1">
        <f t="array" ref="O1713">AVERAGE(VLOOKUP(_xlfn.TEXTSPLIT(Table1[[#This Row],[Fuel (no space after comma)]], ","), FuelList_Final_EF!$A$2:$B$32, 2, FALSE))</f>
        <v>118.17</v>
      </c>
      <c r="P1713" s="2">
        <f>(16112*Table1[[#This Row],[Generation (TWh)]]*10^9)/10^6</f>
        <v>3048648.1919999998</v>
      </c>
      <c r="Q1713" s="2">
        <f>Table1[[#This Row],[Emission Factor (kg CO2/ mmBtu)]]*Table1[[#This Row],[Fuel Consumption (mmBtu)]]*10^3</f>
        <v>360258756848.63995</v>
      </c>
      <c r="R1713" s="2">
        <f>(Table1[[#This Row],[CO2 Emissions (g CO2)]])/(Table1[[#This Row],[Generation (TWh)]]*10^9)</f>
        <v>1903.9550399999998</v>
      </c>
    </row>
    <row r="1714" spans="1:18" hidden="1">
      <c r="A1714" t="s">
        <v>1075</v>
      </c>
      <c r="B1714" t="s">
        <v>105</v>
      </c>
      <c r="C1714" t="str">
        <f>SUBSTITUTE(Table1[[#This Row],[Fuel]],", ",",")</f>
        <v>bioenergy: agricultural waste (solids),bioenergy: wood &amp; other biomass (solids)</v>
      </c>
      <c r="D1714" t="s">
        <v>46</v>
      </c>
      <c r="E1714" t="s">
        <v>25</v>
      </c>
      <c r="G1714">
        <v>30</v>
      </c>
      <c r="H1714" t="s">
        <v>27</v>
      </c>
      <c r="I1714">
        <v>2021</v>
      </c>
      <c r="J1714" t="s">
        <v>21</v>
      </c>
      <c r="K1714">
        <v>34.72</v>
      </c>
      <c r="L1714">
        <v>109.93259999999999</v>
      </c>
      <c r="M1714" t="s">
        <v>102</v>
      </c>
      <c r="N1714" s="2">
        <f>Table1[[#This Row],[Capacity (MW)]]*8760*0.72*10^-6</f>
        <v>0.189216</v>
      </c>
      <c r="O1714" s="2" cm="1">
        <f t="array" ref="O1714">AVERAGE(VLOOKUP(_xlfn.TEXTSPLIT(Table1[[#This Row],[Fuel (no space after comma)]], ","), FuelList_Final_EF!$A$2:$B$32, 2, FALSE))</f>
        <v>105.985</v>
      </c>
      <c r="P1714" s="2">
        <f>(16112*Table1[[#This Row],[Generation (TWh)]]*10^9)/10^6</f>
        <v>3048648.1919999998</v>
      </c>
      <c r="Q1714" s="2">
        <f>Table1[[#This Row],[Emission Factor (kg CO2/ mmBtu)]]*Table1[[#This Row],[Fuel Consumption (mmBtu)]]*10^3</f>
        <v>323110978629.12</v>
      </c>
      <c r="R1714" s="2">
        <f>(Table1[[#This Row],[CO2 Emissions (g CO2)]])/(Table1[[#This Row],[Generation (TWh)]]*10^9)</f>
        <v>1707.63032</v>
      </c>
    </row>
    <row r="1715" spans="1:18">
      <c r="A1715" t="s">
        <v>1076</v>
      </c>
      <c r="B1715" t="s">
        <v>46</v>
      </c>
      <c r="C1715" t="str">
        <f>SUBSTITUTE(Table1[[#This Row],[Fuel]],", ",",")</f>
        <v>bioenergy: agricultural waste (solids)</v>
      </c>
      <c r="D1715" t="s">
        <v>46</v>
      </c>
      <c r="G1715">
        <v>20.100000000000001</v>
      </c>
      <c r="H1715" t="s">
        <v>138</v>
      </c>
      <c r="I1715" t="s">
        <v>21</v>
      </c>
      <c r="J1715" t="s">
        <v>21</v>
      </c>
      <c r="K1715">
        <v>35.857399999999998</v>
      </c>
      <c r="L1715">
        <v>109.3473</v>
      </c>
      <c r="M1715" t="s">
        <v>102</v>
      </c>
      <c r="N1715" s="2">
        <f>Table1[[#This Row],[Capacity (MW)]]*8760*0.72*10^-6</f>
        <v>0.12677472000000001</v>
      </c>
      <c r="O1715" s="2" cm="1">
        <f t="array" ref="O1715">AVERAGE(VLOOKUP(_xlfn.TEXTSPLIT(Table1[[#This Row],[Fuel (no space after comma)]], ","), FuelList_Final_EF!$A$2:$B$32, 2, FALSE))</f>
        <v>118.17</v>
      </c>
      <c r="P1715" s="2">
        <f>(16112*Table1[[#This Row],[Generation (TWh)]]*10^9)/10^6</f>
        <v>2042594.2886399999</v>
      </c>
      <c r="Q1715" s="2">
        <f>Table1[[#This Row],[Emission Factor (kg CO2/ mmBtu)]]*Table1[[#This Row],[Fuel Consumption (mmBtu)]]*10^3</f>
        <v>241373367088.58881</v>
      </c>
      <c r="R1715" s="2">
        <f>(Table1[[#This Row],[CO2 Emissions (g CO2)]])/(Table1[[#This Row],[Generation (TWh)]]*10^9)</f>
        <v>1903.9550400000001</v>
      </c>
    </row>
    <row r="1716" spans="1:18">
      <c r="A1716" t="s">
        <v>1077</v>
      </c>
      <c r="B1716" t="s">
        <v>46</v>
      </c>
      <c r="C1716" t="str">
        <f>SUBSTITUTE(Table1[[#This Row],[Fuel]],", ",",")</f>
        <v>bioenergy: agricultural waste (solids)</v>
      </c>
      <c r="D1716" t="s">
        <v>46</v>
      </c>
      <c r="G1716">
        <v>9.9</v>
      </c>
      <c r="H1716" t="s">
        <v>138</v>
      </c>
      <c r="I1716" t="s">
        <v>21</v>
      </c>
      <c r="J1716" t="s">
        <v>21</v>
      </c>
      <c r="K1716">
        <v>35.857399999999998</v>
      </c>
      <c r="L1716">
        <v>109.3473</v>
      </c>
      <c r="M1716" t="s">
        <v>102</v>
      </c>
      <c r="N1716" s="2">
        <f>Table1[[#This Row],[Capacity (MW)]]*8760*0.72*10^-6</f>
        <v>6.2441279999999995E-2</v>
      </c>
      <c r="O1716" s="2" cm="1">
        <f t="array" ref="O1716">AVERAGE(VLOOKUP(_xlfn.TEXTSPLIT(Table1[[#This Row],[Fuel (no space after comma)]], ","), FuelList_Final_EF!$A$2:$B$32, 2, FALSE))</f>
        <v>118.17</v>
      </c>
      <c r="P1716" s="2">
        <f>(16112*Table1[[#This Row],[Generation (TWh)]]*10^9)/10^6</f>
        <v>1006053.9033599999</v>
      </c>
      <c r="Q1716" s="2">
        <f>Table1[[#This Row],[Emission Factor (kg CO2/ mmBtu)]]*Table1[[#This Row],[Fuel Consumption (mmBtu)]]*10^3</f>
        <v>118885389760.05119</v>
      </c>
      <c r="R1716" s="2">
        <f>(Table1[[#This Row],[CO2 Emissions (g CO2)]])/(Table1[[#This Row],[Generation (TWh)]]*10^9)</f>
        <v>1903.9550400000001</v>
      </c>
    </row>
    <row r="1717" spans="1:18">
      <c r="A1717" t="s">
        <v>117</v>
      </c>
      <c r="B1717" t="s">
        <v>46</v>
      </c>
      <c r="C1717" t="str">
        <f>SUBSTITUTE(Table1[[#This Row],[Fuel]],", ",",")</f>
        <v>bioenergy: agricultural waste (solids)</v>
      </c>
      <c r="D1717" t="s">
        <v>46</v>
      </c>
      <c r="G1717">
        <v>30</v>
      </c>
      <c r="H1717" t="s">
        <v>138</v>
      </c>
      <c r="I1717" t="s">
        <v>21</v>
      </c>
      <c r="J1717" t="s">
        <v>21</v>
      </c>
      <c r="K1717">
        <v>34.762300000000003</v>
      </c>
      <c r="L1717">
        <v>109.24079999999999</v>
      </c>
      <c r="M1717" t="s">
        <v>102</v>
      </c>
      <c r="N1717" s="2">
        <f>Table1[[#This Row],[Capacity (MW)]]*8760*0.72*10^-6</f>
        <v>0.189216</v>
      </c>
      <c r="O1717" s="2" cm="1">
        <f t="array" ref="O1717">AVERAGE(VLOOKUP(_xlfn.TEXTSPLIT(Table1[[#This Row],[Fuel (no space after comma)]], ","), FuelList_Final_EF!$A$2:$B$32, 2, FALSE))</f>
        <v>118.17</v>
      </c>
      <c r="P1717" s="2">
        <f>(16112*Table1[[#This Row],[Generation (TWh)]]*10^9)/10^6</f>
        <v>3048648.1919999998</v>
      </c>
      <c r="Q1717" s="2">
        <f>Table1[[#This Row],[Emission Factor (kg CO2/ mmBtu)]]*Table1[[#This Row],[Fuel Consumption (mmBtu)]]*10^3</f>
        <v>360258756848.63995</v>
      </c>
      <c r="R1717" s="2">
        <f>(Table1[[#This Row],[CO2 Emissions (g CO2)]])/(Table1[[#This Row],[Generation (TWh)]]*10^9)</f>
        <v>1903.9550399999998</v>
      </c>
    </row>
    <row r="1718" spans="1:18">
      <c r="A1718" t="s">
        <v>1078</v>
      </c>
      <c r="B1718" t="s">
        <v>105</v>
      </c>
      <c r="C1718" t="str">
        <f>SUBSTITUTE(Table1[[#This Row],[Fuel]],", ",",")</f>
        <v>bioenergy: agricultural waste (solids),bioenergy: wood &amp; other biomass (solids)</v>
      </c>
      <c r="D1718" t="s">
        <v>46</v>
      </c>
      <c r="E1718" t="s">
        <v>25</v>
      </c>
      <c r="G1718">
        <v>11.1</v>
      </c>
      <c r="H1718" t="s">
        <v>138</v>
      </c>
      <c r="I1718" t="s">
        <v>21</v>
      </c>
      <c r="J1718" t="s">
        <v>21</v>
      </c>
      <c r="K1718">
        <v>34.488100000000003</v>
      </c>
      <c r="L1718">
        <v>108.4177</v>
      </c>
      <c r="M1718" t="s">
        <v>102</v>
      </c>
      <c r="N1718" s="2">
        <f>Table1[[#This Row],[Capacity (MW)]]*8760*0.72*10^-6</f>
        <v>7.0009919999999989E-2</v>
      </c>
      <c r="O1718" s="2" cm="1">
        <f t="array" ref="O1718">AVERAGE(VLOOKUP(_xlfn.TEXTSPLIT(Table1[[#This Row],[Fuel (no space after comma)]], ","), FuelList_Final_EF!$A$2:$B$32, 2, FALSE))</f>
        <v>105.985</v>
      </c>
      <c r="P1718" s="2">
        <f>(16112*Table1[[#This Row],[Generation (TWh)]]*10^9)/10^6</f>
        <v>1127999.8310400001</v>
      </c>
      <c r="Q1718" s="2">
        <f>Table1[[#This Row],[Emission Factor (kg CO2/ mmBtu)]]*Table1[[#This Row],[Fuel Consumption (mmBtu)]]*10^3</f>
        <v>119551062092.7744</v>
      </c>
      <c r="R1718" s="2">
        <f>(Table1[[#This Row],[CO2 Emissions (g CO2)]])/(Table1[[#This Row],[Generation (TWh)]]*10^9)</f>
        <v>1707.6303200000004</v>
      </c>
    </row>
    <row r="1719" spans="1:18">
      <c r="A1719" t="s">
        <v>1079</v>
      </c>
      <c r="B1719" t="s">
        <v>105</v>
      </c>
      <c r="C1719" t="str">
        <f>SUBSTITUTE(Table1[[#This Row],[Fuel]],", ",",")</f>
        <v>bioenergy: agricultural waste (solids),bioenergy: wood &amp; other biomass (solids)</v>
      </c>
      <c r="D1719" t="s">
        <v>46</v>
      </c>
      <c r="E1719" t="s">
        <v>25</v>
      </c>
      <c r="G1719">
        <v>7.5</v>
      </c>
      <c r="H1719" t="s">
        <v>138</v>
      </c>
      <c r="I1719" t="s">
        <v>21</v>
      </c>
      <c r="J1719" t="s">
        <v>21</v>
      </c>
      <c r="K1719">
        <v>34.488100000000003</v>
      </c>
      <c r="L1719">
        <v>108.4177</v>
      </c>
      <c r="M1719" t="s">
        <v>102</v>
      </c>
      <c r="N1719" s="2">
        <f>Table1[[#This Row],[Capacity (MW)]]*8760*0.72*10^-6</f>
        <v>4.7303999999999999E-2</v>
      </c>
      <c r="O1719" s="2" cm="1">
        <f t="array" ref="O1719">AVERAGE(VLOOKUP(_xlfn.TEXTSPLIT(Table1[[#This Row],[Fuel (no space after comma)]], ","), FuelList_Final_EF!$A$2:$B$32, 2, FALSE))</f>
        <v>105.985</v>
      </c>
      <c r="P1719" s="2">
        <f>(16112*Table1[[#This Row],[Generation (TWh)]]*10^9)/10^6</f>
        <v>762162.04799999995</v>
      </c>
      <c r="Q1719" s="2">
        <f>Table1[[#This Row],[Emission Factor (kg CO2/ mmBtu)]]*Table1[[#This Row],[Fuel Consumption (mmBtu)]]*10^3</f>
        <v>80777744657.279999</v>
      </c>
      <c r="R1719" s="2">
        <f>(Table1[[#This Row],[CO2 Emissions (g CO2)]])/(Table1[[#This Row],[Generation (TWh)]]*10^9)</f>
        <v>1707.63032</v>
      </c>
    </row>
    <row r="1720" spans="1:18">
      <c r="A1720" t="s">
        <v>1080</v>
      </c>
      <c r="B1720" t="s">
        <v>105</v>
      </c>
      <c r="C1720" t="str">
        <f>SUBSTITUTE(Table1[[#This Row],[Fuel]],", ",",")</f>
        <v>bioenergy: agricultural waste (solids),bioenergy: wood &amp; other biomass (solids)</v>
      </c>
      <c r="D1720" t="s">
        <v>46</v>
      </c>
      <c r="E1720" t="s">
        <v>25</v>
      </c>
      <c r="G1720">
        <v>7.5</v>
      </c>
      <c r="H1720" t="s">
        <v>138</v>
      </c>
      <c r="I1720" t="s">
        <v>21</v>
      </c>
      <c r="J1720" t="s">
        <v>21</v>
      </c>
      <c r="K1720">
        <v>34.488100000000003</v>
      </c>
      <c r="L1720">
        <v>108.4177</v>
      </c>
      <c r="M1720" t="s">
        <v>102</v>
      </c>
      <c r="N1720" s="2">
        <f>Table1[[#This Row],[Capacity (MW)]]*8760*0.72*10^-6</f>
        <v>4.7303999999999999E-2</v>
      </c>
      <c r="O1720" s="2" cm="1">
        <f t="array" ref="O1720">AVERAGE(VLOOKUP(_xlfn.TEXTSPLIT(Table1[[#This Row],[Fuel (no space after comma)]], ","), FuelList_Final_EF!$A$2:$B$32, 2, FALSE))</f>
        <v>105.985</v>
      </c>
      <c r="P1720" s="2">
        <f>(16112*Table1[[#This Row],[Generation (TWh)]]*10^9)/10^6</f>
        <v>762162.04799999995</v>
      </c>
      <c r="Q1720" s="2">
        <f>Table1[[#This Row],[Emission Factor (kg CO2/ mmBtu)]]*Table1[[#This Row],[Fuel Consumption (mmBtu)]]*10^3</f>
        <v>80777744657.279999</v>
      </c>
      <c r="R1720" s="2">
        <f>(Table1[[#This Row],[CO2 Emissions (g CO2)]])/(Table1[[#This Row],[Generation (TWh)]]*10^9)</f>
        <v>1707.63032</v>
      </c>
    </row>
    <row r="1721" spans="1:18">
      <c r="A1721" t="s">
        <v>1081</v>
      </c>
      <c r="B1721" t="s">
        <v>105</v>
      </c>
      <c r="C1721" t="str">
        <f>SUBSTITUTE(Table1[[#This Row],[Fuel]],", ",",")</f>
        <v>bioenergy: agricultural waste (solids),bioenergy: wood &amp; other biomass (solids)</v>
      </c>
      <c r="D1721" t="s">
        <v>46</v>
      </c>
      <c r="E1721" t="s">
        <v>25</v>
      </c>
      <c r="G1721">
        <v>4.2</v>
      </c>
      <c r="H1721" t="s">
        <v>138</v>
      </c>
      <c r="I1721" t="s">
        <v>21</v>
      </c>
      <c r="J1721" t="s">
        <v>21</v>
      </c>
      <c r="K1721">
        <v>34.488100000000003</v>
      </c>
      <c r="L1721">
        <v>108.4177</v>
      </c>
      <c r="M1721" t="s">
        <v>102</v>
      </c>
      <c r="N1721" s="2">
        <f>Table1[[#This Row],[Capacity (MW)]]*8760*0.72*10^-6</f>
        <v>2.6490239999999998E-2</v>
      </c>
      <c r="O1721" s="2" cm="1">
        <f t="array" ref="O1721">AVERAGE(VLOOKUP(_xlfn.TEXTSPLIT(Table1[[#This Row],[Fuel (no space after comma)]], ","), FuelList_Final_EF!$A$2:$B$32, 2, FALSE))</f>
        <v>105.985</v>
      </c>
      <c r="P1721" s="2">
        <f>(16112*Table1[[#This Row],[Generation (TWh)]]*10^9)/10^6</f>
        <v>426810.74687999993</v>
      </c>
      <c r="Q1721" s="2">
        <f>Table1[[#This Row],[Emission Factor (kg CO2/ mmBtu)]]*Table1[[#This Row],[Fuel Consumption (mmBtu)]]*10^3</f>
        <v>45235537008.076797</v>
      </c>
      <c r="R1721" s="2">
        <f>(Table1[[#This Row],[CO2 Emissions (g CO2)]])/(Table1[[#This Row],[Generation (TWh)]]*10^9)</f>
        <v>1707.63032</v>
      </c>
    </row>
    <row r="1722" spans="1:18">
      <c r="A1722" t="s">
        <v>1078</v>
      </c>
      <c r="B1722" t="s">
        <v>105</v>
      </c>
      <c r="C1722" t="str">
        <f>SUBSTITUTE(Table1[[#This Row],[Fuel]],", ",",")</f>
        <v>bioenergy: agricultural waste (solids),bioenergy: wood &amp; other biomass (solids)</v>
      </c>
      <c r="D1722" t="s">
        <v>46</v>
      </c>
      <c r="E1722" t="s">
        <v>25</v>
      </c>
      <c r="G1722">
        <v>11.1</v>
      </c>
      <c r="H1722" t="s">
        <v>138</v>
      </c>
      <c r="I1722" t="s">
        <v>21</v>
      </c>
      <c r="J1722" t="s">
        <v>21</v>
      </c>
      <c r="K1722">
        <v>34.488100000000003</v>
      </c>
      <c r="L1722">
        <v>108.4177</v>
      </c>
      <c r="M1722" t="s">
        <v>102</v>
      </c>
      <c r="N1722" s="2">
        <f>Table1[[#This Row],[Capacity (MW)]]*8760*0.72*10^-6</f>
        <v>7.0009919999999989E-2</v>
      </c>
      <c r="O1722" s="2" cm="1">
        <f t="array" ref="O1722">AVERAGE(VLOOKUP(_xlfn.TEXTSPLIT(Table1[[#This Row],[Fuel (no space after comma)]], ","), FuelList_Final_EF!$A$2:$B$32, 2, FALSE))</f>
        <v>105.985</v>
      </c>
      <c r="P1722" s="2">
        <f>(16112*Table1[[#This Row],[Generation (TWh)]]*10^9)/10^6</f>
        <v>1127999.8310400001</v>
      </c>
      <c r="Q1722" s="2">
        <f>Table1[[#This Row],[Emission Factor (kg CO2/ mmBtu)]]*Table1[[#This Row],[Fuel Consumption (mmBtu)]]*10^3</f>
        <v>119551062092.7744</v>
      </c>
      <c r="R1722" s="2">
        <f>(Table1[[#This Row],[CO2 Emissions (g CO2)]])/(Table1[[#This Row],[Generation (TWh)]]*10^9)</f>
        <v>1707.6303200000004</v>
      </c>
    </row>
    <row r="1723" spans="1:18">
      <c r="A1723" t="s">
        <v>1079</v>
      </c>
      <c r="B1723" t="s">
        <v>105</v>
      </c>
      <c r="C1723" t="str">
        <f>SUBSTITUTE(Table1[[#This Row],[Fuel]],", ",",")</f>
        <v>bioenergy: agricultural waste (solids),bioenergy: wood &amp; other biomass (solids)</v>
      </c>
      <c r="D1723" t="s">
        <v>46</v>
      </c>
      <c r="E1723" t="s">
        <v>25</v>
      </c>
      <c r="G1723">
        <v>7.5</v>
      </c>
      <c r="H1723" t="s">
        <v>138</v>
      </c>
      <c r="I1723" t="s">
        <v>21</v>
      </c>
      <c r="J1723" t="s">
        <v>21</v>
      </c>
      <c r="K1723">
        <v>34.488100000000003</v>
      </c>
      <c r="L1723">
        <v>108.4177</v>
      </c>
      <c r="M1723" t="s">
        <v>102</v>
      </c>
      <c r="N1723" s="2">
        <f>Table1[[#This Row],[Capacity (MW)]]*8760*0.72*10^-6</f>
        <v>4.7303999999999999E-2</v>
      </c>
      <c r="O1723" s="2" cm="1">
        <f t="array" ref="O1723">AVERAGE(VLOOKUP(_xlfn.TEXTSPLIT(Table1[[#This Row],[Fuel (no space after comma)]], ","), FuelList_Final_EF!$A$2:$B$32, 2, FALSE))</f>
        <v>105.985</v>
      </c>
      <c r="P1723" s="2">
        <f>(16112*Table1[[#This Row],[Generation (TWh)]]*10^9)/10^6</f>
        <v>762162.04799999995</v>
      </c>
      <c r="Q1723" s="2">
        <f>Table1[[#This Row],[Emission Factor (kg CO2/ mmBtu)]]*Table1[[#This Row],[Fuel Consumption (mmBtu)]]*10^3</f>
        <v>80777744657.279999</v>
      </c>
      <c r="R1723" s="2">
        <f>(Table1[[#This Row],[CO2 Emissions (g CO2)]])/(Table1[[#This Row],[Generation (TWh)]]*10^9)</f>
        <v>1707.63032</v>
      </c>
    </row>
    <row r="1724" spans="1:18">
      <c r="A1724" t="s">
        <v>1080</v>
      </c>
      <c r="B1724" t="s">
        <v>105</v>
      </c>
      <c r="C1724" t="str">
        <f>SUBSTITUTE(Table1[[#This Row],[Fuel]],", ",",")</f>
        <v>bioenergy: agricultural waste (solids),bioenergy: wood &amp; other biomass (solids)</v>
      </c>
      <c r="D1724" t="s">
        <v>46</v>
      </c>
      <c r="E1724" t="s">
        <v>25</v>
      </c>
      <c r="G1724">
        <v>7.5</v>
      </c>
      <c r="H1724" t="s">
        <v>138</v>
      </c>
      <c r="I1724" t="s">
        <v>21</v>
      </c>
      <c r="J1724" t="s">
        <v>21</v>
      </c>
      <c r="K1724">
        <v>34.488100000000003</v>
      </c>
      <c r="L1724">
        <v>108.4177</v>
      </c>
      <c r="M1724" t="s">
        <v>102</v>
      </c>
      <c r="N1724" s="2">
        <f>Table1[[#This Row],[Capacity (MW)]]*8760*0.72*10^-6</f>
        <v>4.7303999999999999E-2</v>
      </c>
      <c r="O1724" s="2" cm="1">
        <f t="array" ref="O1724">AVERAGE(VLOOKUP(_xlfn.TEXTSPLIT(Table1[[#This Row],[Fuel (no space after comma)]], ","), FuelList_Final_EF!$A$2:$B$32, 2, FALSE))</f>
        <v>105.985</v>
      </c>
      <c r="P1724" s="2">
        <f>(16112*Table1[[#This Row],[Generation (TWh)]]*10^9)/10^6</f>
        <v>762162.04799999995</v>
      </c>
      <c r="Q1724" s="2">
        <f>Table1[[#This Row],[Emission Factor (kg CO2/ mmBtu)]]*Table1[[#This Row],[Fuel Consumption (mmBtu)]]*10^3</f>
        <v>80777744657.279999</v>
      </c>
      <c r="R1724" s="2">
        <f>(Table1[[#This Row],[CO2 Emissions (g CO2)]])/(Table1[[#This Row],[Generation (TWh)]]*10^9)</f>
        <v>1707.63032</v>
      </c>
    </row>
    <row r="1725" spans="1:18">
      <c r="A1725" t="s">
        <v>1081</v>
      </c>
      <c r="B1725" t="s">
        <v>105</v>
      </c>
      <c r="C1725" t="str">
        <f>SUBSTITUTE(Table1[[#This Row],[Fuel]],", ",",")</f>
        <v>bioenergy: agricultural waste (solids),bioenergy: wood &amp; other biomass (solids)</v>
      </c>
      <c r="D1725" t="s">
        <v>46</v>
      </c>
      <c r="E1725" t="s">
        <v>25</v>
      </c>
      <c r="G1725">
        <v>4.2</v>
      </c>
      <c r="H1725" t="s">
        <v>138</v>
      </c>
      <c r="I1725" t="s">
        <v>21</v>
      </c>
      <c r="J1725" t="s">
        <v>21</v>
      </c>
      <c r="K1725">
        <v>34.488100000000003</v>
      </c>
      <c r="L1725">
        <v>108.4177</v>
      </c>
      <c r="M1725" t="s">
        <v>102</v>
      </c>
      <c r="N1725" s="2">
        <f>Table1[[#This Row],[Capacity (MW)]]*8760*0.72*10^-6</f>
        <v>2.6490239999999998E-2</v>
      </c>
      <c r="O1725" s="2" cm="1">
        <f t="array" ref="O1725">AVERAGE(VLOOKUP(_xlfn.TEXTSPLIT(Table1[[#This Row],[Fuel (no space after comma)]], ","), FuelList_Final_EF!$A$2:$B$32, 2, FALSE))</f>
        <v>105.985</v>
      </c>
      <c r="P1725" s="2">
        <f>(16112*Table1[[#This Row],[Generation (TWh)]]*10^9)/10^6</f>
        <v>426810.74687999993</v>
      </c>
      <c r="Q1725" s="2">
        <f>Table1[[#This Row],[Emission Factor (kg CO2/ mmBtu)]]*Table1[[#This Row],[Fuel Consumption (mmBtu)]]*10^3</f>
        <v>45235537008.076797</v>
      </c>
      <c r="R1725" s="2">
        <f>(Table1[[#This Row],[CO2 Emissions (g CO2)]])/(Table1[[#This Row],[Generation (TWh)]]*10^9)</f>
        <v>1707.63032</v>
      </c>
    </row>
    <row r="1726" spans="1:18" hidden="1">
      <c r="A1726" t="s">
        <v>1082</v>
      </c>
      <c r="B1726" t="s">
        <v>19</v>
      </c>
      <c r="C1726" t="str">
        <f>SUBSTITUTE(Table1[[#This Row],[Fuel]],", ",",")</f>
        <v>bioenergy: refuse (municipal and industrial wastes)</v>
      </c>
      <c r="D1726" t="s">
        <v>19</v>
      </c>
      <c r="G1726">
        <v>3</v>
      </c>
      <c r="H1726" t="s">
        <v>27</v>
      </c>
      <c r="I1726">
        <v>2020</v>
      </c>
      <c r="J1726" t="s">
        <v>21</v>
      </c>
      <c r="K1726">
        <v>34.135899999999999</v>
      </c>
      <c r="L1726">
        <v>109.1938</v>
      </c>
      <c r="M1726" t="s">
        <v>102</v>
      </c>
      <c r="N1726" s="2">
        <f>Table1[[#This Row],[Capacity (MW)]]*8760*0.72*10^-6</f>
        <v>1.8921599999999997E-2</v>
      </c>
      <c r="O1726" s="2" cm="1">
        <f t="array" ref="O1726">AVERAGE(VLOOKUP(_xlfn.TEXTSPLIT(Table1[[#This Row],[Fuel (no space after comma)]], ","), FuelList_Final_EF!$A$2:$B$32, 2, FALSE))</f>
        <v>105.42962572482868</v>
      </c>
      <c r="P1726" s="2">
        <f>(16112*Table1[[#This Row],[Generation (TWh)]]*10^9)/10^6</f>
        <v>304864.81919999991</v>
      </c>
      <c r="Q1726" s="2">
        <f>Table1[[#This Row],[Emission Factor (kg CO2/ mmBtu)]]*Table1[[#This Row],[Fuel Consumption (mmBtu)]]*10^3</f>
        <v>32141783784.923557</v>
      </c>
      <c r="R1726" s="2">
        <f>(Table1[[#This Row],[CO2 Emissions (g CO2)]])/(Table1[[#This Row],[Generation (TWh)]]*10^9)</f>
        <v>1698.6821296784397</v>
      </c>
    </row>
    <row r="1727" spans="1:18" hidden="1">
      <c r="A1727" t="s">
        <v>514</v>
      </c>
      <c r="B1727" t="s">
        <v>19</v>
      </c>
      <c r="C1727" t="str">
        <f>SUBSTITUTE(Table1[[#This Row],[Fuel]],", ",",")</f>
        <v>bioenergy: refuse (municipal and industrial wastes)</v>
      </c>
      <c r="D1727" t="s">
        <v>19</v>
      </c>
      <c r="G1727">
        <v>27</v>
      </c>
      <c r="H1727" t="s">
        <v>27</v>
      </c>
      <c r="I1727">
        <v>2020</v>
      </c>
      <c r="J1727" t="s">
        <v>21</v>
      </c>
      <c r="K1727">
        <v>34.135899999999999</v>
      </c>
      <c r="L1727">
        <v>109.1938</v>
      </c>
      <c r="M1727" t="s">
        <v>102</v>
      </c>
      <c r="N1727" s="2">
        <f>Table1[[#This Row],[Capacity (MW)]]*8760*0.72*10^-6</f>
        <v>0.17029439999999998</v>
      </c>
      <c r="O1727" s="2" cm="1">
        <f t="array" ref="O1727">AVERAGE(VLOOKUP(_xlfn.TEXTSPLIT(Table1[[#This Row],[Fuel (no space after comma)]], ","), FuelList_Final_EF!$A$2:$B$32, 2, FALSE))</f>
        <v>105.42962572482868</v>
      </c>
      <c r="P1727" s="2">
        <f>(16112*Table1[[#This Row],[Generation (TWh)]]*10^9)/10^6</f>
        <v>2743783.3727999995</v>
      </c>
      <c r="Q1727" s="2">
        <f>Table1[[#This Row],[Emission Factor (kg CO2/ mmBtu)]]*Table1[[#This Row],[Fuel Consumption (mmBtu)]]*10^3</f>
        <v>289276054064.31201</v>
      </c>
      <c r="R1727" s="2">
        <f>(Table1[[#This Row],[CO2 Emissions (g CO2)]])/(Table1[[#This Row],[Generation (TWh)]]*10^9)</f>
        <v>1698.6821296784397</v>
      </c>
    </row>
    <row r="1728" spans="1:18" hidden="1">
      <c r="A1728" t="s">
        <v>514</v>
      </c>
      <c r="B1728" t="s">
        <v>19</v>
      </c>
      <c r="C1728" t="str">
        <f>SUBSTITUTE(Table1[[#This Row],[Fuel]],", ",",")</f>
        <v>bioenergy: refuse (municipal and industrial wastes)</v>
      </c>
      <c r="D1728" t="s">
        <v>19</v>
      </c>
      <c r="G1728">
        <v>27</v>
      </c>
      <c r="H1728" t="s">
        <v>27</v>
      </c>
      <c r="I1728">
        <v>2020</v>
      </c>
      <c r="J1728" t="s">
        <v>21</v>
      </c>
      <c r="K1728">
        <v>34.135899999999999</v>
      </c>
      <c r="L1728">
        <v>109.1938</v>
      </c>
      <c r="M1728" t="s">
        <v>102</v>
      </c>
      <c r="N1728" s="2">
        <f>Table1[[#This Row],[Capacity (MW)]]*8760*0.72*10^-6</f>
        <v>0.17029439999999998</v>
      </c>
      <c r="O1728" s="2" cm="1">
        <f t="array" ref="O1728">AVERAGE(VLOOKUP(_xlfn.TEXTSPLIT(Table1[[#This Row],[Fuel (no space after comma)]], ","), FuelList_Final_EF!$A$2:$B$32, 2, FALSE))</f>
        <v>105.42962572482868</v>
      </c>
      <c r="P1728" s="2">
        <f>(16112*Table1[[#This Row],[Generation (TWh)]]*10^9)/10^6</f>
        <v>2743783.3727999995</v>
      </c>
      <c r="Q1728" s="2">
        <f>Table1[[#This Row],[Emission Factor (kg CO2/ mmBtu)]]*Table1[[#This Row],[Fuel Consumption (mmBtu)]]*10^3</f>
        <v>289276054064.31201</v>
      </c>
      <c r="R1728" s="2">
        <f>(Table1[[#This Row],[CO2 Emissions (g CO2)]])/(Table1[[#This Row],[Generation (TWh)]]*10^9)</f>
        <v>1698.6821296784397</v>
      </c>
    </row>
    <row r="1729" spans="1:18" hidden="1">
      <c r="A1729" t="s">
        <v>1082</v>
      </c>
      <c r="B1729" t="s">
        <v>19</v>
      </c>
      <c r="C1729" t="str">
        <f>SUBSTITUTE(Table1[[#This Row],[Fuel]],", ",",")</f>
        <v>bioenergy: refuse (municipal and industrial wastes)</v>
      </c>
      <c r="D1729" t="s">
        <v>19</v>
      </c>
      <c r="G1729">
        <v>3</v>
      </c>
      <c r="H1729" t="s">
        <v>27</v>
      </c>
      <c r="I1729">
        <v>2020</v>
      </c>
      <c r="J1729" t="s">
        <v>21</v>
      </c>
      <c r="K1729">
        <v>34.135899999999999</v>
      </c>
      <c r="L1729">
        <v>109.1938</v>
      </c>
      <c r="M1729" t="s">
        <v>102</v>
      </c>
      <c r="N1729" s="2">
        <f>Table1[[#This Row],[Capacity (MW)]]*8760*0.72*10^-6</f>
        <v>1.8921599999999997E-2</v>
      </c>
      <c r="O1729" s="2" cm="1">
        <f t="array" ref="O1729">AVERAGE(VLOOKUP(_xlfn.TEXTSPLIT(Table1[[#This Row],[Fuel (no space after comma)]], ","), FuelList_Final_EF!$A$2:$B$32, 2, FALSE))</f>
        <v>105.42962572482868</v>
      </c>
      <c r="P1729" s="2">
        <f>(16112*Table1[[#This Row],[Generation (TWh)]]*10^9)/10^6</f>
        <v>304864.81919999991</v>
      </c>
      <c r="Q1729" s="2">
        <f>Table1[[#This Row],[Emission Factor (kg CO2/ mmBtu)]]*Table1[[#This Row],[Fuel Consumption (mmBtu)]]*10^3</f>
        <v>32141783784.923557</v>
      </c>
      <c r="R1729" s="2">
        <f>(Table1[[#This Row],[CO2 Emissions (g CO2)]])/(Table1[[#This Row],[Generation (TWh)]]*10^9)</f>
        <v>1698.6821296784397</v>
      </c>
    </row>
    <row r="1730" spans="1:18" hidden="1">
      <c r="A1730" t="s">
        <v>1083</v>
      </c>
      <c r="B1730" t="s">
        <v>19</v>
      </c>
      <c r="C1730" t="str">
        <f>SUBSTITUTE(Table1[[#This Row],[Fuel]],", ",",")</f>
        <v>bioenergy: refuse (municipal and industrial wastes)</v>
      </c>
      <c r="D1730" t="s">
        <v>19</v>
      </c>
      <c r="G1730">
        <v>35</v>
      </c>
      <c r="H1730" t="s">
        <v>27</v>
      </c>
      <c r="I1730">
        <v>2020</v>
      </c>
      <c r="J1730" t="s">
        <v>21</v>
      </c>
      <c r="K1730">
        <v>34.617600000000003</v>
      </c>
      <c r="L1730">
        <v>108.5591</v>
      </c>
      <c r="M1730" t="s">
        <v>102</v>
      </c>
      <c r="N1730" s="2">
        <f>Table1[[#This Row],[Capacity (MW)]]*8760*0.72*10^-6</f>
        <v>0.220752</v>
      </c>
      <c r="O1730" s="2" cm="1">
        <f t="array" ref="O1730">AVERAGE(VLOOKUP(_xlfn.TEXTSPLIT(Table1[[#This Row],[Fuel (no space after comma)]], ","), FuelList_Final_EF!$A$2:$B$32, 2, FALSE))</f>
        <v>105.42962572482868</v>
      </c>
      <c r="P1730" s="2">
        <f>(16112*Table1[[#This Row],[Generation (TWh)]]*10^9)/10^6</f>
        <v>3556756.2239999999</v>
      </c>
      <c r="Q1730" s="2">
        <f>Table1[[#This Row],[Emission Factor (kg CO2/ mmBtu)]]*Table1[[#This Row],[Fuel Consumption (mmBtu)]]*10^3</f>
        <v>374987477490.7749</v>
      </c>
      <c r="R1730" s="2">
        <f>(Table1[[#This Row],[CO2 Emissions (g CO2)]])/(Table1[[#This Row],[Generation (TWh)]]*10^9)</f>
        <v>1698.6821296784397</v>
      </c>
    </row>
    <row r="1731" spans="1:18" hidden="1">
      <c r="A1731" t="s">
        <v>492</v>
      </c>
      <c r="B1731" t="s">
        <v>105</v>
      </c>
      <c r="C1731" t="str">
        <f>SUBSTITUTE(Table1[[#This Row],[Fuel]],", ",",")</f>
        <v>bioenergy: agricultural waste (solids),bioenergy: wood &amp; other biomass (solids)</v>
      </c>
      <c r="D1731" t="s">
        <v>46</v>
      </c>
      <c r="E1731" t="s">
        <v>25</v>
      </c>
      <c r="G1731">
        <v>40</v>
      </c>
      <c r="H1731" t="s">
        <v>27</v>
      </c>
      <c r="I1731">
        <v>2018</v>
      </c>
      <c r="J1731" t="s">
        <v>21</v>
      </c>
      <c r="K1731">
        <v>35.780500000000004</v>
      </c>
      <c r="L1731">
        <v>109.4004</v>
      </c>
      <c r="M1731" t="s">
        <v>102</v>
      </c>
      <c r="N1731" s="2">
        <f>Table1[[#This Row],[Capacity (MW)]]*8760*0.72*10^-6</f>
        <v>0.25228800000000001</v>
      </c>
      <c r="O1731" s="2" cm="1">
        <f t="array" ref="O1731">AVERAGE(VLOOKUP(_xlfn.TEXTSPLIT(Table1[[#This Row],[Fuel (no space after comma)]], ","), FuelList_Final_EF!$A$2:$B$32, 2, FALSE))</f>
        <v>105.985</v>
      </c>
      <c r="P1731" s="2">
        <f>(16112*Table1[[#This Row],[Generation (TWh)]]*10^9)/10^6</f>
        <v>4064864.2560000005</v>
      </c>
      <c r="Q1731" s="2">
        <f>Table1[[#This Row],[Emission Factor (kg CO2/ mmBtu)]]*Table1[[#This Row],[Fuel Consumption (mmBtu)]]*10^3</f>
        <v>430814638172.16003</v>
      </c>
      <c r="R1731" s="2">
        <f>(Table1[[#This Row],[CO2 Emissions (g CO2)]])/(Table1[[#This Row],[Generation (TWh)]]*10^9)</f>
        <v>1707.6303200000002</v>
      </c>
    </row>
    <row r="1732" spans="1:18" hidden="1">
      <c r="A1732" t="s">
        <v>533</v>
      </c>
      <c r="B1732" t="s">
        <v>46</v>
      </c>
      <c r="C1732" t="str">
        <f>SUBSTITUTE(Table1[[#This Row],[Fuel]],", ",",")</f>
        <v>bioenergy: agricultural waste (solids)</v>
      </c>
      <c r="D1732" t="s">
        <v>46</v>
      </c>
      <c r="G1732">
        <v>30</v>
      </c>
      <c r="H1732" t="s">
        <v>27</v>
      </c>
      <c r="I1732">
        <v>2017</v>
      </c>
      <c r="J1732" t="s">
        <v>21</v>
      </c>
      <c r="K1732">
        <v>33.138500000000001</v>
      </c>
      <c r="L1732">
        <v>106.7608</v>
      </c>
      <c r="M1732" t="s">
        <v>102</v>
      </c>
      <c r="N1732" s="2">
        <f>Table1[[#This Row],[Capacity (MW)]]*8760*0.72*10^-6</f>
        <v>0.189216</v>
      </c>
      <c r="O1732" s="2" cm="1">
        <f t="array" ref="O1732">AVERAGE(VLOOKUP(_xlfn.TEXTSPLIT(Table1[[#This Row],[Fuel (no space after comma)]], ","), FuelList_Final_EF!$A$2:$B$32, 2, FALSE))</f>
        <v>118.17</v>
      </c>
      <c r="P1732" s="2">
        <f>(16112*Table1[[#This Row],[Generation (TWh)]]*10^9)/10^6</f>
        <v>3048648.1919999998</v>
      </c>
      <c r="Q1732" s="2">
        <f>Table1[[#This Row],[Emission Factor (kg CO2/ mmBtu)]]*Table1[[#This Row],[Fuel Consumption (mmBtu)]]*10^3</f>
        <v>360258756848.63995</v>
      </c>
      <c r="R1732" s="2">
        <f>(Table1[[#This Row],[CO2 Emissions (g CO2)]])/(Table1[[#This Row],[Generation (TWh)]]*10^9)</f>
        <v>1903.9550399999998</v>
      </c>
    </row>
    <row r="1733" spans="1:18" hidden="1">
      <c r="A1733" t="s">
        <v>106</v>
      </c>
      <c r="B1733" t="s">
        <v>105</v>
      </c>
      <c r="C1733" t="str">
        <f>SUBSTITUTE(Table1[[#This Row],[Fuel]],", ",",")</f>
        <v>bioenergy: agricultural waste (solids),bioenergy: wood &amp; other biomass (solids)</v>
      </c>
      <c r="D1733" t="s">
        <v>46</v>
      </c>
      <c r="E1733" t="s">
        <v>25</v>
      </c>
      <c r="G1733">
        <v>30</v>
      </c>
      <c r="H1733" t="s">
        <v>27</v>
      </c>
      <c r="I1733">
        <v>2024</v>
      </c>
      <c r="J1733" t="s">
        <v>21</v>
      </c>
      <c r="K1733">
        <v>34.522500000000001</v>
      </c>
      <c r="L1733">
        <v>108.27070000000001</v>
      </c>
      <c r="M1733" t="s">
        <v>102</v>
      </c>
      <c r="N1733" s="2">
        <f>Table1[[#This Row],[Capacity (MW)]]*8760*0.72*10^-6</f>
        <v>0.189216</v>
      </c>
      <c r="O1733" s="2" cm="1">
        <f t="array" ref="O1733">AVERAGE(VLOOKUP(_xlfn.TEXTSPLIT(Table1[[#This Row],[Fuel (no space after comma)]], ","), FuelList_Final_EF!$A$2:$B$32, 2, FALSE))</f>
        <v>105.985</v>
      </c>
      <c r="P1733" s="2">
        <f>(16112*Table1[[#This Row],[Generation (TWh)]]*10^9)/10^6</f>
        <v>3048648.1919999998</v>
      </c>
      <c r="Q1733" s="2">
        <f>Table1[[#This Row],[Emission Factor (kg CO2/ mmBtu)]]*Table1[[#This Row],[Fuel Consumption (mmBtu)]]*10^3</f>
        <v>323110978629.12</v>
      </c>
      <c r="R1733" s="2">
        <f>(Table1[[#This Row],[CO2 Emissions (g CO2)]])/(Table1[[#This Row],[Generation (TWh)]]*10^9)</f>
        <v>1707.63032</v>
      </c>
    </row>
    <row r="1734" spans="1:18" hidden="1">
      <c r="A1734" t="s">
        <v>1084</v>
      </c>
      <c r="B1734" t="s">
        <v>19</v>
      </c>
      <c r="C1734" t="str">
        <f>SUBSTITUTE(Table1[[#This Row],[Fuel]],", ",",")</f>
        <v>bioenergy: refuse (municipal and industrial wastes)</v>
      </c>
      <c r="D1734" t="s">
        <v>19</v>
      </c>
      <c r="G1734">
        <v>1.5</v>
      </c>
      <c r="H1734" t="s">
        <v>27</v>
      </c>
      <c r="I1734">
        <v>2022</v>
      </c>
      <c r="J1734" t="s">
        <v>21</v>
      </c>
      <c r="K1734">
        <v>34.248399999999997</v>
      </c>
      <c r="L1734">
        <v>109.0904</v>
      </c>
      <c r="M1734" t="s">
        <v>102</v>
      </c>
      <c r="N1734" s="2">
        <f>Table1[[#This Row],[Capacity (MW)]]*8760*0.72*10^-6</f>
        <v>9.4607999999999984E-3</v>
      </c>
      <c r="O1734" s="2" cm="1">
        <f t="array" ref="O1734">AVERAGE(VLOOKUP(_xlfn.TEXTSPLIT(Table1[[#This Row],[Fuel (no space after comma)]], ","), FuelList_Final_EF!$A$2:$B$32, 2, FALSE))</f>
        <v>105.42962572482868</v>
      </c>
      <c r="P1734" s="2">
        <f>(16112*Table1[[#This Row],[Generation (TWh)]]*10^9)/10^6</f>
        <v>152432.40959999996</v>
      </c>
      <c r="Q1734" s="2">
        <f>Table1[[#This Row],[Emission Factor (kg CO2/ mmBtu)]]*Table1[[#This Row],[Fuel Consumption (mmBtu)]]*10^3</f>
        <v>16070891892.461779</v>
      </c>
      <c r="R1734" s="2">
        <f>(Table1[[#This Row],[CO2 Emissions (g CO2)]])/(Table1[[#This Row],[Generation (TWh)]]*10^9)</f>
        <v>1698.6821296784397</v>
      </c>
    </row>
    <row r="1735" spans="1:18" hidden="1">
      <c r="A1735" t="s">
        <v>1085</v>
      </c>
      <c r="B1735" t="s">
        <v>19</v>
      </c>
      <c r="C1735" t="str">
        <f>SUBSTITUTE(Table1[[#This Row],[Fuel]],", ",",")</f>
        <v>bioenergy: refuse (municipal and industrial wastes)</v>
      </c>
      <c r="D1735" t="s">
        <v>19</v>
      </c>
      <c r="G1735">
        <v>0.6</v>
      </c>
      <c r="H1735" t="s">
        <v>27</v>
      </c>
      <c r="I1735">
        <v>2022</v>
      </c>
      <c r="J1735" t="s">
        <v>21</v>
      </c>
      <c r="K1735">
        <v>34.248399999999997</v>
      </c>
      <c r="L1735">
        <v>109.0904</v>
      </c>
      <c r="M1735" t="s">
        <v>102</v>
      </c>
      <c r="N1735" s="2">
        <f>Table1[[#This Row],[Capacity (MW)]]*8760*0.72*10^-6</f>
        <v>3.7843199999999994E-3</v>
      </c>
      <c r="O1735" s="2" cm="1">
        <f t="array" ref="O1735">AVERAGE(VLOOKUP(_xlfn.TEXTSPLIT(Table1[[#This Row],[Fuel (no space after comma)]], ","), FuelList_Final_EF!$A$2:$B$32, 2, FALSE))</f>
        <v>105.42962572482868</v>
      </c>
      <c r="P1735" s="2">
        <f>(16112*Table1[[#This Row],[Generation (TWh)]]*10^9)/10^6</f>
        <v>60972.963839999989</v>
      </c>
      <c r="Q1735" s="2">
        <f>Table1[[#This Row],[Emission Factor (kg CO2/ mmBtu)]]*Table1[[#This Row],[Fuel Consumption (mmBtu)]]*10^3</f>
        <v>6428356756.9847116</v>
      </c>
      <c r="R1735" s="2">
        <f>(Table1[[#This Row],[CO2 Emissions (g CO2)]])/(Table1[[#This Row],[Generation (TWh)]]*10^9)</f>
        <v>1698.6821296784397</v>
      </c>
    </row>
    <row r="1736" spans="1:18" hidden="1">
      <c r="A1736" t="s">
        <v>482</v>
      </c>
      <c r="B1736" t="s">
        <v>19</v>
      </c>
      <c r="C1736" t="str">
        <f>SUBSTITUTE(Table1[[#This Row],[Fuel]],", ",",")</f>
        <v>bioenergy: refuse (municipal and industrial wastes)</v>
      </c>
      <c r="D1736" t="s">
        <v>19</v>
      </c>
      <c r="G1736">
        <v>7.5</v>
      </c>
      <c r="H1736" t="s">
        <v>27</v>
      </c>
      <c r="I1736">
        <v>2022</v>
      </c>
      <c r="J1736" t="s">
        <v>21</v>
      </c>
      <c r="K1736">
        <v>34.248399999999997</v>
      </c>
      <c r="L1736">
        <v>109.0904</v>
      </c>
      <c r="M1736" t="s">
        <v>102</v>
      </c>
      <c r="N1736" s="2">
        <f>Table1[[#This Row],[Capacity (MW)]]*8760*0.72*10^-6</f>
        <v>4.7303999999999999E-2</v>
      </c>
      <c r="O1736" s="2" cm="1">
        <f t="array" ref="O1736">AVERAGE(VLOOKUP(_xlfn.TEXTSPLIT(Table1[[#This Row],[Fuel (no space after comma)]], ","), FuelList_Final_EF!$A$2:$B$32, 2, FALSE))</f>
        <v>105.42962572482868</v>
      </c>
      <c r="P1736" s="2">
        <f>(16112*Table1[[#This Row],[Generation (TWh)]]*10^9)/10^6</f>
        <v>762162.04799999995</v>
      </c>
      <c r="Q1736" s="2">
        <f>Table1[[#This Row],[Emission Factor (kg CO2/ mmBtu)]]*Table1[[#This Row],[Fuel Consumption (mmBtu)]]*10^3</f>
        <v>80354459462.308914</v>
      </c>
      <c r="R1736" s="2">
        <f>(Table1[[#This Row],[CO2 Emissions (g CO2)]])/(Table1[[#This Row],[Generation (TWh)]]*10^9)</f>
        <v>1698.6821296784397</v>
      </c>
    </row>
    <row r="1737" spans="1:18" hidden="1">
      <c r="A1737" t="s">
        <v>1086</v>
      </c>
      <c r="B1737" t="s">
        <v>19</v>
      </c>
      <c r="C1737" t="str">
        <f>SUBSTITUTE(Table1[[#This Row],[Fuel]],", ",",")</f>
        <v>bioenergy: refuse (municipal and industrial wastes)</v>
      </c>
      <c r="D1737" t="s">
        <v>19</v>
      </c>
      <c r="G1737">
        <v>20.399999999999999</v>
      </c>
      <c r="H1737" t="s">
        <v>27</v>
      </c>
      <c r="I1737">
        <v>2022</v>
      </c>
      <c r="J1737" t="s">
        <v>21</v>
      </c>
      <c r="K1737">
        <v>34.248399999999997</v>
      </c>
      <c r="L1737">
        <v>109.0904</v>
      </c>
      <c r="M1737" t="s">
        <v>102</v>
      </c>
      <c r="N1737" s="2">
        <f>Table1[[#This Row],[Capacity (MW)]]*8760*0.72*10^-6</f>
        <v>0.12866687999999998</v>
      </c>
      <c r="O1737" s="2" cm="1">
        <f t="array" ref="O1737">AVERAGE(VLOOKUP(_xlfn.TEXTSPLIT(Table1[[#This Row],[Fuel (no space after comma)]], ","), FuelList_Final_EF!$A$2:$B$32, 2, FALSE))</f>
        <v>105.42962572482868</v>
      </c>
      <c r="P1737" s="2">
        <f>(16112*Table1[[#This Row],[Generation (TWh)]]*10^9)/10^6</f>
        <v>2073080.7705599996</v>
      </c>
      <c r="Q1737" s="2">
        <f>Table1[[#This Row],[Emission Factor (kg CO2/ mmBtu)]]*Table1[[#This Row],[Fuel Consumption (mmBtu)]]*10^3</f>
        <v>218564129737.48019</v>
      </c>
      <c r="R1737" s="2">
        <f>(Table1[[#This Row],[CO2 Emissions (g CO2)]])/(Table1[[#This Row],[Generation (TWh)]]*10^9)</f>
        <v>1698.6821296784397</v>
      </c>
    </row>
    <row r="1738" spans="1:18" hidden="1">
      <c r="A1738" t="s">
        <v>1084</v>
      </c>
      <c r="B1738" t="s">
        <v>19</v>
      </c>
      <c r="C1738" t="str">
        <f>SUBSTITUTE(Table1[[#This Row],[Fuel]],", ",",")</f>
        <v>bioenergy: refuse (municipal and industrial wastes)</v>
      </c>
      <c r="D1738" t="s">
        <v>19</v>
      </c>
      <c r="G1738">
        <v>1.5</v>
      </c>
      <c r="H1738" t="s">
        <v>27</v>
      </c>
      <c r="I1738">
        <v>2022</v>
      </c>
      <c r="J1738" t="s">
        <v>21</v>
      </c>
      <c r="K1738">
        <v>34.248399999999997</v>
      </c>
      <c r="L1738">
        <v>109.0904</v>
      </c>
      <c r="M1738" t="s">
        <v>102</v>
      </c>
      <c r="N1738" s="2">
        <f>Table1[[#This Row],[Capacity (MW)]]*8760*0.72*10^-6</f>
        <v>9.4607999999999984E-3</v>
      </c>
      <c r="O1738" s="2" cm="1">
        <f t="array" ref="O1738">AVERAGE(VLOOKUP(_xlfn.TEXTSPLIT(Table1[[#This Row],[Fuel (no space after comma)]], ","), FuelList_Final_EF!$A$2:$B$32, 2, FALSE))</f>
        <v>105.42962572482868</v>
      </c>
      <c r="P1738" s="2">
        <f>(16112*Table1[[#This Row],[Generation (TWh)]]*10^9)/10^6</f>
        <v>152432.40959999996</v>
      </c>
      <c r="Q1738" s="2">
        <f>Table1[[#This Row],[Emission Factor (kg CO2/ mmBtu)]]*Table1[[#This Row],[Fuel Consumption (mmBtu)]]*10^3</f>
        <v>16070891892.461779</v>
      </c>
      <c r="R1738" s="2">
        <f>(Table1[[#This Row],[CO2 Emissions (g CO2)]])/(Table1[[#This Row],[Generation (TWh)]]*10^9)</f>
        <v>1698.6821296784397</v>
      </c>
    </row>
    <row r="1739" spans="1:18" hidden="1">
      <c r="A1739" t="s">
        <v>482</v>
      </c>
      <c r="B1739" t="s">
        <v>19</v>
      </c>
      <c r="C1739" t="str">
        <f>SUBSTITUTE(Table1[[#This Row],[Fuel]],", ",",")</f>
        <v>bioenergy: refuse (municipal and industrial wastes)</v>
      </c>
      <c r="D1739" t="s">
        <v>19</v>
      </c>
      <c r="G1739">
        <v>7.5</v>
      </c>
      <c r="H1739" t="s">
        <v>27</v>
      </c>
      <c r="I1739">
        <v>2022</v>
      </c>
      <c r="J1739" t="s">
        <v>21</v>
      </c>
      <c r="K1739">
        <v>34.248399999999997</v>
      </c>
      <c r="L1739">
        <v>109.0904</v>
      </c>
      <c r="M1739" t="s">
        <v>102</v>
      </c>
      <c r="N1739" s="2">
        <f>Table1[[#This Row],[Capacity (MW)]]*8760*0.72*10^-6</f>
        <v>4.7303999999999999E-2</v>
      </c>
      <c r="O1739" s="2" cm="1">
        <f t="array" ref="O1739">AVERAGE(VLOOKUP(_xlfn.TEXTSPLIT(Table1[[#This Row],[Fuel (no space after comma)]], ","), FuelList_Final_EF!$A$2:$B$32, 2, FALSE))</f>
        <v>105.42962572482868</v>
      </c>
      <c r="P1739" s="2">
        <f>(16112*Table1[[#This Row],[Generation (TWh)]]*10^9)/10^6</f>
        <v>762162.04799999995</v>
      </c>
      <c r="Q1739" s="2">
        <f>Table1[[#This Row],[Emission Factor (kg CO2/ mmBtu)]]*Table1[[#This Row],[Fuel Consumption (mmBtu)]]*10^3</f>
        <v>80354459462.308914</v>
      </c>
      <c r="R1739" s="2">
        <f>(Table1[[#This Row],[CO2 Emissions (g CO2)]])/(Table1[[#This Row],[Generation (TWh)]]*10^9)</f>
        <v>1698.6821296784397</v>
      </c>
    </row>
    <row r="1740" spans="1:18" hidden="1">
      <c r="A1740" t="s">
        <v>1086</v>
      </c>
      <c r="B1740" t="s">
        <v>19</v>
      </c>
      <c r="C1740" t="str">
        <f>SUBSTITUTE(Table1[[#This Row],[Fuel]],", ",",")</f>
        <v>bioenergy: refuse (municipal and industrial wastes)</v>
      </c>
      <c r="D1740" t="s">
        <v>19</v>
      </c>
      <c r="G1740">
        <v>20.399999999999999</v>
      </c>
      <c r="H1740" t="s">
        <v>27</v>
      </c>
      <c r="I1740">
        <v>2022</v>
      </c>
      <c r="J1740" t="s">
        <v>21</v>
      </c>
      <c r="K1740">
        <v>34.248399999999997</v>
      </c>
      <c r="L1740">
        <v>109.0904</v>
      </c>
      <c r="M1740" t="s">
        <v>102</v>
      </c>
      <c r="N1740" s="2">
        <f>Table1[[#This Row],[Capacity (MW)]]*8760*0.72*10^-6</f>
        <v>0.12866687999999998</v>
      </c>
      <c r="O1740" s="2" cm="1">
        <f t="array" ref="O1740">AVERAGE(VLOOKUP(_xlfn.TEXTSPLIT(Table1[[#This Row],[Fuel (no space after comma)]], ","), FuelList_Final_EF!$A$2:$B$32, 2, FALSE))</f>
        <v>105.42962572482868</v>
      </c>
      <c r="P1740" s="2">
        <f>(16112*Table1[[#This Row],[Generation (TWh)]]*10^9)/10^6</f>
        <v>2073080.7705599996</v>
      </c>
      <c r="Q1740" s="2">
        <f>Table1[[#This Row],[Emission Factor (kg CO2/ mmBtu)]]*Table1[[#This Row],[Fuel Consumption (mmBtu)]]*10^3</f>
        <v>218564129737.48019</v>
      </c>
      <c r="R1740" s="2">
        <f>(Table1[[#This Row],[CO2 Emissions (g CO2)]])/(Table1[[#This Row],[Generation (TWh)]]*10^9)</f>
        <v>1698.6821296784397</v>
      </c>
    </row>
    <row r="1741" spans="1:18" hidden="1">
      <c r="A1741" t="s">
        <v>1085</v>
      </c>
      <c r="B1741" t="s">
        <v>19</v>
      </c>
      <c r="C1741" t="str">
        <f>SUBSTITUTE(Table1[[#This Row],[Fuel]],", ",",")</f>
        <v>bioenergy: refuse (municipal and industrial wastes)</v>
      </c>
      <c r="D1741" t="s">
        <v>19</v>
      </c>
      <c r="G1741">
        <v>0.6</v>
      </c>
      <c r="H1741" t="s">
        <v>27</v>
      </c>
      <c r="I1741">
        <v>2022</v>
      </c>
      <c r="J1741" t="s">
        <v>21</v>
      </c>
      <c r="K1741">
        <v>34.248399999999997</v>
      </c>
      <c r="L1741">
        <v>109.0904</v>
      </c>
      <c r="M1741" t="s">
        <v>102</v>
      </c>
      <c r="N1741" s="2">
        <f>Table1[[#This Row],[Capacity (MW)]]*8760*0.72*10^-6</f>
        <v>3.7843199999999994E-3</v>
      </c>
      <c r="O1741" s="2" cm="1">
        <f t="array" ref="O1741">AVERAGE(VLOOKUP(_xlfn.TEXTSPLIT(Table1[[#This Row],[Fuel (no space after comma)]], ","), FuelList_Final_EF!$A$2:$B$32, 2, FALSE))</f>
        <v>105.42962572482868</v>
      </c>
      <c r="P1741" s="2">
        <f>(16112*Table1[[#This Row],[Generation (TWh)]]*10^9)/10^6</f>
        <v>60972.963839999989</v>
      </c>
      <c r="Q1741" s="2">
        <f>Table1[[#This Row],[Emission Factor (kg CO2/ mmBtu)]]*Table1[[#This Row],[Fuel Consumption (mmBtu)]]*10^3</f>
        <v>6428356756.9847116</v>
      </c>
      <c r="R1741" s="2">
        <f>(Table1[[#This Row],[CO2 Emissions (g CO2)]])/(Table1[[#This Row],[Generation (TWh)]]*10^9)</f>
        <v>1698.6821296784397</v>
      </c>
    </row>
    <row r="1742" spans="1:18" hidden="1">
      <c r="A1742" t="s">
        <v>592</v>
      </c>
      <c r="B1742" t="s">
        <v>19</v>
      </c>
      <c r="C1742" t="str">
        <f>SUBSTITUTE(Table1[[#This Row],[Fuel]],", ",",")</f>
        <v>bioenergy: refuse (municipal and industrial wastes)</v>
      </c>
      <c r="D1742" t="s">
        <v>19</v>
      </c>
      <c r="G1742">
        <v>19.5</v>
      </c>
      <c r="H1742" t="s">
        <v>27</v>
      </c>
      <c r="I1742">
        <v>2019</v>
      </c>
      <c r="J1742" t="s">
        <v>21</v>
      </c>
      <c r="K1742">
        <v>34.466200000000001</v>
      </c>
      <c r="L1742">
        <v>108.8845</v>
      </c>
      <c r="M1742" t="s">
        <v>102</v>
      </c>
      <c r="N1742" s="2">
        <f>Table1[[#This Row],[Capacity (MW)]]*8760*0.72*10^-6</f>
        <v>0.12299039999999999</v>
      </c>
      <c r="O1742" s="2" cm="1">
        <f t="array" ref="O1742">AVERAGE(VLOOKUP(_xlfn.TEXTSPLIT(Table1[[#This Row],[Fuel (no space after comma)]], ","), FuelList_Final_EF!$A$2:$B$32, 2, FALSE))</f>
        <v>105.42962572482868</v>
      </c>
      <c r="P1742" s="2">
        <f>(16112*Table1[[#This Row],[Generation (TWh)]]*10^9)/10^6</f>
        <v>1981621.3247999998</v>
      </c>
      <c r="Q1742" s="2">
        <f>Table1[[#This Row],[Emission Factor (kg CO2/ mmBtu)]]*Table1[[#This Row],[Fuel Consumption (mmBtu)]]*10^3</f>
        <v>208921594602.00314</v>
      </c>
      <c r="R1742" s="2">
        <f>(Table1[[#This Row],[CO2 Emissions (g CO2)]])/(Table1[[#This Row],[Generation (TWh)]]*10^9)</f>
        <v>1698.6821296784397</v>
      </c>
    </row>
    <row r="1743" spans="1:18" hidden="1">
      <c r="A1743" t="s">
        <v>1087</v>
      </c>
      <c r="B1743" t="s">
        <v>19</v>
      </c>
      <c r="C1743" t="str">
        <f>SUBSTITUTE(Table1[[#This Row],[Fuel]],", ",",")</f>
        <v>bioenergy: refuse (municipal and industrial wastes)</v>
      </c>
      <c r="D1743" t="s">
        <v>19</v>
      </c>
      <c r="G1743">
        <v>10.5</v>
      </c>
      <c r="H1743" t="s">
        <v>27</v>
      </c>
      <c r="I1743">
        <v>2019</v>
      </c>
      <c r="J1743" t="s">
        <v>21</v>
      </c>
      <c r="K1743">
        <v>34.466200000000001</v>
      </c>
      <c r="L1743">
        <v>108.8845</v>
      </c>
      <c r="M1743" t="s">
        <v>102</v>
      </c>
      <c r="N1743" s="2">
        <f>Table1[[#This Row],[Capacity (MW)]]*8760*0.72*10^-6</f>
        <v>6.6225599999999982E-2</v>
      </c>
      <c r="O1743" s="2" cm="1">
        <f t="array" ref="O1743">AVERAGE(VLOOKUP(_xlfn.TEXTSPLIT(Table1[[#This Row],[Fuel (no space after comma)]], ","), FuelList_Final_EF!$A$2:$B$32, 2, FALSE))</f>
        <v>105.42962572482868</v>
      </c>
      <c r="P1743" s="2">
        <f>(16112*Table1[[#This Row],[Generation (TWh)]]*10^9)/10^6</f>
        <v>1067026.8671999997</v>
      </c>
      <c r="Q1743" s="2">
        <f>Table1[[#This Row],[Emission Factor (kg CO2/ mmBtu)]]*Table1[[#This Row],[Fuel Consumption (mmBtu)]]*10^3</f>
        <v>112496243247.23245</v>
      </c>
      <c r="R1743" s="2">
        <f>(Table1[[#This Row],[CO2 Emissions (g CO2)]])/(Table1[[#This Row],[Generation (TWh)]]*10^9)</f>
        <v>1698.6821296784397</v>
      </c>
    </row>
    <row r="1744" spans="1:18" hidden="1">
      <c r="A1744" t="s">
        <v>592</v>
      </c>
      <c r="B1744" t="s">
        <v>19</v>
      </c>
      <c r="C1744" t="str">
        <f>SUBSTITUTE(Table1[[#This Row],[Fuel]],", ",",")</f>
        <v>bioenergy: refuse (municipal and industrial wastes)</v>
      </c>
      <c r="D1744" t="s">
        <v>19</v>
      </c>
      <c r="G1744">
        <v>19.5</v>
      </c>
      <c r="H1744" t="s">
        <v>27</v>
      </c>
      <c r="I1744">
        <v>2019</v>
      </c>
      <c r="J1744" t="s">
        <v>21</v>
      </c>
      <c r="K1744">
        <v>34.466200000000001</v>
      </c>
      <c r="L1744">
        <v>108.8845</v>
      </c>
      <c r="M1744" t="s">
        <v>102</v>
      </c>
      <c r="N1744" s="2">
        <f>Table1[[#This Row],[Capacity (MW)]]*8760*0.72*10^-6</f>
        <v>0.12299039999999999</v>
      </c>
      <c r="O1744" s="2" cm="1">
        <f t="array" ref="O1744">AVERAGE(VLOOKUP(_xlfn.TEXTSPLIT(Table1[[#This Row],[Fuel (no space after comma)]], ","), FuelList_Final_EF!$A$2:$B$32, 2, FALSE))</f>
        <v>105.42962572482868</v>
      </c>
      <c r="P1744" s="2">
        <f>(16112*Table1[[#This Row],[Generation (TWh)]]*10^9)/10^6</f>
        <v>1981621.3247999998</v>
      </c>
      <c r="Q1744" s="2">
        <f>Table1[[#This Row],[Emission Factor (kg CO2/ mmBtu)]]*Table1[[#This Row],[Fuel Consumption (mmBtu)]]*10^3</f>
        <v>208921594602.00314</v>
      </c>
      <c r="R1744" s="2">
        <f>(Table1[[#This Row],[CO2 Emissions (g CO2)]])/(Table1[[#This Row],[Generation (TWh)]]*10^9)</f>
        <v>1698.6821296784397</v>
      </c>
    </row>
    <row r="1745" spans="1:18" hidden="1">
      <c r="A1745" t="s">
        <v>1087</v>
      </c>
      <c r="B1745" t="s">
        <v>19</v>
      </c>
      <c r="C1745" t="str">
        <f>SUBSTITUTE(Table1[[#This Row],[Fuel]],", ",",")</f>
        <v>bioenergy: refuse (municipal and industrial wastes)</v>
      </c>
      <c r="D1745" t="s">
        <v>19</v>
      </c>
      <c r="G1745">
        <v>10.5</v>
      </c>
      <c r="H1745" t="s">
        <v>27</v>
      </c>
      <c r="I1745">
        <v>2019</v>
      </c>
      <c r="J1745" t="s">
        <v>21</v>
      </c>
      <c r="K1745">
        <v>34.466200000000001</v>
      </c>
      <c r="L1745">
        <v>108.8845</v>
      </c>
      <c r="M1745" t="s">
        <v>102</v>
      </c>
      <c r="N1745" s="2">
        <f>Table1[[#This Row],[Capacity (MW)]]*8760*0.72*10^-6</f>
        <v>6.6225599999999982E-2</v>
      </c>
      <c r="O1745" s="2" cm="1">
        <f t="array" ref="O1745">AVERAGE(VLOOKUP(_xlfn.TEXTSPLIT(Table1[[#This Row],[Fuel (no space after comma)]], ","), FuelList_Final_EF!$A$2:$B$32, 2, FALSE))</f>
        <v>105.42962572482868</v>
      </c>
      <c r="P1745" s="2">
        <f>(16112*Table1[[#This Row],[Generation (TWh)]]*10^9)/10^6</f>
        <v>1067026.8671999997</v>
      </c>
      <c r="Q1745" s="2">
        <f>Table1[[#This Row],[Emission Factor (kg CO2/ mmBtu)]]*Table1[[#This Row],[Fuel Consumption (mmBtu)]]*10^3</f>
        <v>112496243247.23245</v>
      </c>
      <c r="R1745" s="2">
        <f>(Table1[[#This Row],[CO2 Emissions (g CO2)]])/(Table1[[#This Row],[Generation (TWh)]]*10^9)</f>
        <v>1698.6821296784397</v>
      </c>
    </row>
    <row r="1746" spans="1:18">
      <c r="A1746" t="s">
        <v>1088</v>
      </c>
      <c r="B1746" t="s">
        <v>46</v>
      </c>
      <c r="C1746" t="str">
        <f>SUBSTITUTE(Table1[[#This Row],[Fuel]],", ",",")</f>
        <v>bioenergy: agricultural waste (solids)</v>
      </c>
      <c r="D1746" t="s">
        <v>46</v>
      </c>
      <c r="G1746">
        <v>32</v>
      </c>
      <c r="H1746" t="s">
        <v>20</v>
      </c>
      <c r="I1746" t="s">
        <v>21</v>
      </c>
      <c r="J1746" t="s">
        <v>21</v>
      </c>
      <c r="K1746">
        <v>32.588700000000003</v>
      </c>
      <c r="L1746">
        <v>73.454599999999999</v>
      </c>
      <c r="M1746" t="s">
        <v>160</v>
      </c>
      <c r="N1746" s="2">
        <f>Table1[[#This Row],[Capacity (MW)]]*8760*0.72*10^-6</f>
        <v>0.20183039999999999</v>
      </c>
      <c r="O1746" s="2" cm="1">
        <f t="array" ref="O1746">AVERAGE(VLOOKUP(_xlfn.TEXTSPLIT(Table1[[#This Row],[Fuel (no space after comma)]], ","), FuelList_Final_EF!$A$2:$B$32, 2, FALSE))</f>
        <v>118.17</v>
      </c>
      <c r="P1746" s="2">
        <f>(16112*Table1[[#This Row],[Generation (TWh)]]*10^9)/10^6</f>
        <v>3251891.4047999997</v>
      </c>
      <c r="Q1746" s="2">
        <f>Table1[[#This Row],[Emission Factor (kg CO2/ mmBtu)]]*Table1[[#This Row],[Fuel Consumption (mmBtu)]]*10^3</f>
        <v>384276007305.21594</v>
      </c>
      <c r="R1746" s="2">
        <f>(Table1[[#This Row],[CO2 Emissions (g CO2)]])/(Table1[[#This Row],[Generation (TWh)]]*10^9)</f>
        <v>1903.9550399999998</v>
      </c>
    </row>
    <row r="1747" spans="1:18" hidden="1">
      <c r="A1747" t="s">
        <v>623</v>
      </c>
      <c r="B1747" t="s">
        <v>105</v>
      </c>
      <c r="C1747" t="str">
        <f>SUBSTITUTE(Table1[[#This Row],[Fuel]],", ",",")</f>
        <v>bioenergy: agricultural waste (solids),bioenergy: wood &amp; other biomass (solids)</v>
      </c>
      <c r="D1747" t="s">
        <v>46</v>
      </c>
      <c r="E1747" t="s">
        <v>25</v>
      </c>
      <c r="G1747">
        <v>5.7</v>
      </c>
      <c r="H1747" t="s">
        <v>27</v>
      </c>
      <c r="I1747">
        <v>2017</v>
      </c>
      <c r="J1747" t="s">
        <v>21</v>
      </c>
      <c r="K1747">
        <v>35.076300000000003</v>
      </c>
      <c r="L1747">
        <v>116.0232</v>
      </c>
      <c r="M1747" t="s">
        <v>102</v>
      </c>
      <c r="N1747" s="2">
        <f>Table1[[#This Row],[Capacity (MW)]]*8760*0.72*10^-6</f>
        <v>3.5951039999999997E-2</v>
      </c>
      <c r="O1747" s="2" cm="1">
        <f t="array" ref="O1747">AVERAGE(VLOOKUP(_xlfn.TEXTSPLIT(Table1[[#This Row],[Fuel (no space after comma)]], ","), FuelList_Final_EF!$A$2:$B$32, 2, FALSE))</f>
        <v>105.985</v>
      </c>
      <c r="P1747" s="2">
        <f>(16112*Table1[[#This Row],[Generation (TWh)]]*10^9)/10^6</f>
        <v>579243.15647999989</v>
      </c>
      <c r="Q1747" s="2">
        <f>Table1[[#This Row],[Emission Factor (kg CO2/ mmBtu)]]*Table1[[#This Row],[Fuel Consumption (mmBtu)]]*10^3</f>
        <v>61391085939.532784</v>
      </c>
      <c r="R1747" s="2">
        <f>(Table1[[#This Row],[CO2 Emissions (g CO2)]])/(Table1[[#This Row],[Generation (TWh)]]*10^9)</f>
        <v>1707.6303199999995</v>
      </c>
    </row>
    <row r="1748" spans="1:18" hidden="1">
      <c r="A1748" t="s">
        <v>633</v>
      </c>
      <c r="B1748" t="s">
        <v>105</v>
      </c>
      <c r="C1748" t="str">
        <f>SUBSTITUTE(Table1[[#This Row],[Fuel]],", ",",")</f>
        <v>bioenergy: agricultural waste (solids),bioenergy: wood &amp; other biomass (solids)</v>
      </c>
      <c r="D1748" t="s">
        <v>46</v>
      </c>
      <c r="E1748" t="s">
        <v>25</v>
      </c>
      <c r="G1748">
        <v>24.3</v>
      </c>
      <c r="H1748" t="s">
        <v>27</v>
      </c>
      <c r="I1748">
        <v>2017</v>
      </c>
      <c r="J1748" t="s">
        <v>21</v>
      </c>
      <c r="K1748">
        <v>35.076300000000003</v>
      </c>
      <c r="L1748">
        <v>116.0232</v>
      </c>
      <c r="M1748" t="s">
        <v>102</v>
      </c>
      <c r="N1748" s="2">
        <f>Table1[[#This Row],[Capacity (MW)]]*8760*0.72*10^-6</f>
        <v>0.15326495999999998</v>
      </c>
      <c r="O1748" s="2" cm="1">
        <f t="array" ref="O1748">AVERAGE(VLOOKUP(_xlfn.TEXTSPLIT(Table1[[#This Row],[Fuel (no space after comma)]], ","), FuelList_Final_EF!$A$2:$B$32, 2, FALSE))</f>
        <v>105.985</v>
      </c>
      <c r="P1748" s="2">
        <f>(16112*Table1[[#This Row],[Generation (TWh)]]*10^9)/10^6</f>
        <v>2469405.0355199995</v>
      </c>
      <c r="Q1748" s="2">
        <f>Table1[[#This Row],[Emission Factor (kg CO2/ mmBtu)]]*Table1[[#This Row],[Fuel Consumption (mmBtu)]]*10^3</f>
        <v>261719892689.58716</v>
      </c>
      <c r="R1748" s="2">
        <f>(Table1[[#This Row],[CO2 Emissions (g CO2)]])/(Table1[[#This Row],[Generation (TWh)]]*10^9)</f>
        <v>1707.63032</v>
      </c>
    </row>
    <row r="1749" spans="1:18" hidden="1">
      <c r="A1749" t="s">
        <v>1089</v>
      </c>
      <c r="B1749" t="s">
        <v>105</v>
      </c>
      <c r="C1749" t="str">
        <f>SUBSTITUTE(Table1[[#This Row],[Fuel]],", ",",")</f>
        <v>bioenergy: agricultural waste (solids),bioenergy: wood &amp; other biomass (solids)</v>
      </c>
      <c r="D1749" t="s">
        <v>46</v>
      </c>
      <c r="E1749" t="s">
        <v>25</v>
      </c>
      <c r="G1749">
        <v>3</v>
      </c>
      <c r="H1749" t="s">
        <v>27</v>
      </c>
      <c r="I1749">
        <v>2021</v>
      </c>
      <c r="J1749" t="s">
        <v>21</v>
      </c>
      <c r="K1749">
        <v>35.809100000000001</v>
      </c>
      <c r="L1749">
        <v>116.39749999999999</v>
      </c>
      <c r="M1749" t="s">
        <v>102</v>
      </c>
      <c r="N1749" s="2">
        <f>Table1[[#This Row],[Capacity (MW)]]*8760*0.72*10^-6</f>
        <v>1.8921599999999997E-2</v>
      </c>
      <c r="O1749" s="2" cm="1">
        <f t="array" ref="O1749">AVERAGE(VLOOKUP(_xlfn.TEXTSPLIT(Table1[[#This Row],[Fuel (no space after comma)]], ","), FuelList_Final_EF!$A$2:$B$32, 2, FALSE))</f>
        <v>105.985</v>
      </c>
      <c r="P1749" s="2">
        <f>(16112*Table1[[#This Row],[Generation (TWh)]]*10^9)/10^6</f>
        <v>304864.81919999991</v>
      </c>
      <c r="Q1749" s="2">
        <f>Table1[[#This Row],[Emission Factor (kg CO2/ mmBtu)]]*Table1[[#This Row],[Fuel Consumption (mmBtu)]]*10^3</f>
        <v>32311097862.911991</v>
      </c>
      <c r="R1749" s="2">
        <f>(Table1[[#This Row],[CO2 Emissions (g CO2)]])/(Table1[[#This Row],[Generation (TWh)]]*10^9)</f>
        <v>1707.6303199999998</v>
      </c>
    </row>
    <row r="1750" spans="1:18" hidden="1">
      <c r="A1750" t="s">
        <v>1090</v>
      </c>
      <c r="B1750" t="s">
        <v>105</v>
      </c>
      <c r="C1750" t="str">
        <f>SUBSTITUTE(Table1[[#This Row],[Fuel]],", ",",")</f>
        <v>bioenergy: agricultural waste (solids),bioenergy: wood &amp; other biomass (solids)</v>
      </c>
      <c r="D1750" t="s">
        <v>46</v>
      </c>
      <c r="E1750" t="s">
        <v>25</v>
      </c>
      <c r="G1750">
        <v>27</v>
      </c>
      <c r="H1750" t="s">
        <v>27</v>
      </c>
      <c r="I1750">
        <v>2021</v>
      </c>
      <c r="J1750" t="s">
        <v>21</v>
      </c>
      <c r="K1750">
        <v>35.809100000000001</v>
      </c>
      <c r="L1750">
        <v>116.39749999999999</v>
      </c>
      <c r="M1750" t="s">
        <v>102</v>
      </c>
      <c r="N1750" s="2">
        <f>Table1[[#This Row],[Capacity (MW)]]*8760*0.72*10^-6</f>
        <v>0.17029439999999998</v>
      </c>
      <c r="O1750" s="2" cm="1">
        <f t="array" ref="O1750">AVERAGE(VLOOKUP(_xlfn.TEXTSPLIT(Table1[[#This Row],[Fuel (no space after comma)]], ","), FuelList_Final_EF!$A$2:$B$32, 2, FALSE))</f>
        <v>105.985</v>
      </c>
      <c r="P1750" s="2">
        <f>(16112*Table1[[#This Row],[Generation (TWh)]]*10^9)/10^6</f>
        <v>2743783.3727999995</v>
      </c>
      <c r="Q1750" s="2">
        <f>Table1[[#This Row],[Emission Factor (kg CO2/ mmBtu)]]*Table1[[#This Row],[Fuel Consumption (mmBtu)]]*10^3</f>
        <v>290799880766.20795</v>
      </c>
      <c r="R1750" s="2">
        <f>(Table1[[#This Row],[CO2 Emissions (g CO2)]])/(Table1[[#This Row],[Generation (TWh)]]*10^9)</f>
        <v>1707.63032</v>
      </c>
    </row>
    <row r="1751" spans="1:18" hidden="1">
      <c r="A1751" t="s">
        <v>1091</v>
      </c>
      <c r="B1751" t="s">
        <v>105</v>
      </c>
      <c r="C1751" t="str">
        <f>SUBSTITUTE(Table1[[#This Row],[Fuel]],", ",",")</f>
        <v>bioenergy: agricultural waste (solids),bioenergy: wood &amp; other biomass (solids)</v>
      </c>
      <c r="D1751" t="s">
        <v>46</v>
      </c>
      <c r="E1751" t="s">
        <v>25</v>
      </c>
      <c r="G1751">
        <v>30</v>
      </c>
      <c r="H1751" t="s">
        <v>27</v>
      </c>
      <c r="I1751">
        <v>2020</v>
      </c>
      <c r="J1751" t="s">
        <v>21</v>
      </c>
      <c r="K1751">
        <v>35.317</v>
      </c>
      <c r="L1751">
        <v>118.0599</v>
      </c>
      <c r="M1751" t="s">
        <v>102</v>
      </c>
      <c r="N1751" s="2">
        <f>Table1[[#This Row],[Capacity (MW)]]*8760*0.72*10^-6</f>
        <v>0.189216</v>
      </c>
      <c r="O1751" s="2" cm="1">
        <f t="array" ref="O1751">AVERAGE(VLOOKUP(_xlfn.TEXTSPLIT(Table1[[#This Row],[Fuel (no space after comma)]], ","), FuelList_Final_EF!$A$2:$B$32, 2, FALSE))</f>
        <v>105.985</v>
      </c>
      <c r="P1751" s="2">
        <f>(16112*Table1[[#This Row],[Generation (TWh)]]*10^9)/10^6</f>
        <v>3048648.1919999998</v>
      </c>
      <c r="Q1751" s="2">
        <f>Table1[[#This Row],[Emission Factor (kg CO2/ mmBtu)]]*Table1[[#This Row],[Fuel Consumption (mmBtu)]]*10^3</f>
        <v>323110978629.12</v>
      </c>
      <c r="R1751" s="2">
        <f>(Table1[[#This Row],[CO2 Emissions (g CO2)]])/(Table1[[#This Row],[Generation (TWh)]]*10^9)</f>
        <v>1707.63032</v>
      </c>
    </row>
    <row r="1752" spans="1:18" hidden="1">
      <c r="A1752" t="s">
        <v>1092</v>
      </c>
      <c r="B1752" t="s">
        <v>105</v>
      </c>
      <c r="C1752" t="str">
        <f>SUBSTITUTE(Table1[[#This Row],[Fuel]],", ",",")</f>
        <v>bioenergy: agricultural waste (solids),bioenergy: wood &amp; other biomass (solids)</v>
      </c>
      <c r="D1752" t="s">
        <v>46</v>
      </c>
      <c r="E1752" t="s">
        <v>25</v>
      </c>
      <c r="G1752">
        <v>30</v>
      </c>
      <c r="H1752" t="s">
        <v>53</v>
      </c>
      <c r="I1752">
        <v>2024</v>
      </c>
      <c r="J1752" t="s">
        <v>21</v>
      </c>
      <c r="K1752">
        <v>36.490200000000002</v>
      </c>
      <c r="L1752">
        <v>119.7401</v>
      </c>
      <c r="M1752" t="s">
        <v>102</v>
      </c>
      <c r="N1752" s="2">
        <f>Table1[[#This Row],[Capacity (MW)]]*8760*0.72*10^-6</f>
        <v>0.189216</v>
      </c>
      <c r="O1752" s="2" cm="1">
        <f t="array" ref="O1752">AVERAGE(VLOOKUP(_xlfn.TEXTSPLIT(Table1[[#This Row],[Fuel (no space after comma)]], ","), FuelList_Final_EF!$A$2:$B$32, 2, FALSE))</f>
        <v>105.985</v>
      </c>
      <c r="P1752" s="2">
        <f>(16112*Table1[[#This Row],[Generation (TWh)]]*10^9)/10^6</f>
        <v>3048648.1919999998</v>
      </c>
      <c r="Q1752" s="2">
        <f>Table1[[#This Row],[Emission Factor (kg CO2/ mmBtu)]]*Table1[[#This Row],[Fuel Consumption (mmBtu)]]*10^3</f>
        <v>323110978629.12</v>
      </c>
      <c r="R1752" s="2">
        <f>(Table1[[#This Row],[CO2 Emissions (g CO2)]])/(Table1[[#This Row],[Generation (TWh)]]*10^9)</f>
        <v>1707.63032</v>
      </c>
    </row>
    <row r="1753" spans="1:18" hidden="1">
      <c r="A1753" t="s">
        <v>117</v>
      </c>
      <c r="B1753" t="s">
        <v>105</v>
      </c>
      <c r="C1753" t="str">
        <f>SUBSTITUTE(Table1[[#This Row],[Fuel]],", ",",")</f>
        <v>bioenergy: agricultural waste (solids),bioenergy: wood &amp; other biomass (solids)</v>
      </c>
      <c r="D1753" t="s">
        <v>46</v>
      </c>
      <c r="E1753" t="s">
        <v>25</v>
      </c>
      <c r="G1753">
        <v>30</v>
      </c>
      <c r="H1753" t="s">
        <v>27</v>
      </c>
      <c r="I1753">
        <v>2007</v>
      </c>
      <c r="J1753" t="s">
        <v>21</v>
      </c>
      <c r="K1753">
        <v>36.870199999999997</v>
      </c>
      <c r="L1753">
        <v>116.2261</v>
      </c>
      <c r="M1753" t="s">
        <v>102</v>
      </c>
      <c r="N1753" s="2">
        <f>Table1[[#This Row],[Capacity (MW)]]*8760*0.72*10^-6</f>
        <v>0.189216</v>
      </c>
      <c r="O1753" s="2" cm="1">
        <f t="array" ref="O1753">AVERAGE(VLOOKUP(_xlfn.TEXTSPLIT(Table1[[#This Row],[Fuel (no space after comma)]], ","), FuelList_Final_EF!$A$2:$B$32, 2, FALSE))</f>
        <v>105.985</v>
      </c>
      <c r="P1753" s="2">
        <f>(16112*Table1[[#This Row],[Generation (TWh)]]*10^9)/10^6</f>
        <v>3048648.1919999998</v>
      </c>
      <c r="Q1753" s="2">
        <f>Table1[[#This Row],[Emission Factor (kg CO2/ mmBtu)]]*Table1[[#This Row],[Fuel Consumption (mmBtu)]]*10^3</f>
        <v>323110978629.12</v>
      </c>
      <c r="R1753" s="2">
        <f>(Table1[[#This Row],[CO2 Emissions (g CO2)]])/(Table1[[#This Row],[Generation (TWh)]]*10^9)</f>
        <v>1707.63032</v>
      </c>
    </row>
    <row r="1754" spans="1:18" hidden="1">
      <c r="A1754" t="s">
        <v>1091</v>
      </c>
      <c r="B1754" t="s">
        <v>105</v>
      </c>
      <c r="C1754" t="str">
        <f>SUBSTITUTE(Table1[[#This Row],[Fuel]],", ",",")</f>
        <v>bioenergy: agricultural waste (solids),bioenergy: wood &amp; other biomass (solids)</v>
      </c>
      <c r="D1754" t="s">
        <v>46</v>
      </c>
      <c r="E1754" t="s">
        <v>25</v>
      </c>
      <c r="G1754">
        <v>30</v>
      </c>
      <c r="H1754" t="s">
        <v>27</v>
      </c>
      <c r="I1754">
        <v>2020</v>
      </c>
      <c r="J1754" t="s">
        <v>21</v>
      </c>
      <c r="K1754">
        <v>37.111600000000003</v>
      </c>
      <c r="L1754">
        <v>121.0304</v>
      </c>
      <c r="M1754" t="s">
        <v>102</v>
      </c>
      <c r="N1754" s="2">
        <f>Table1[[#This Row],[Capacity (MW)]]*8760*0.72*10^-6</f>
        <v>0.189216</v>
      </c>
      <c r="O1754" s="2" cm="1">
        <f t="array" ref="O1754">AVERAGE(VLOOKUP(_xlfn.TEXTSPLIT(Table1[[#This Row],[Fuel (no space after comma)]], ","), FuelList_Final_EF!$A$2:$B$32, 2, FALSE))</f>
        <v>105.985</v>
      </c>
      <c r="P1754" s="2">
        <f>(16112*Table1[[#This Row],[Generation (TWh)]]*10^9)/10^6</f>
        <v>3048648.1919999998</v>
      </c>
      <c r="Q1754" s="2">
        <f>Table1[[#This Row],[Emission Factor (kg CO2/ mmBtu)]]*Table1[[#This Row],[Fuel Consumption (mmBtu)]]*10^3</f>
        <v>323110978629.12</v>
      </c>
      <c r="R1754" s="2">
        <f>(Table1[[#This Row],[CO2 Emissions (g CO2)]])/(Table1[[#This Row],[Generation (TWh)]]*10^9)</f>
        <v>1707.63032</v>
      </c>
    </row>
    <row r="1755" spans="1:18" hidden="1">
      <c r="A1755" t="s">
        <v>54</v>
      </c>
      <c r="B1755" t="s">
        <v>105</v>
      </c>
      <c r="C1755" t="str">
        <f>SUBSTITUTE(Table1[[#This Row],[Fuel]],", ",",")</f>
        <v>bioenergy: agricultural waste (solids),bioenergy: wood &amp; other biomass (solids)</v>
      </c>
      <c r="D1755" t="s">
        <v>46</v>
      </c>
      <c r="E1755" t="s">
        <v>25</v>
      </c>
      <c r="G1755">
        <v>3.6</v>
      </c>
      <c r="H1755" t="s">
        <v>27</v>
      </c>
      <c r="I1755">
        <v>2016</v>
      </c>
      <c r="J1755" t="s">
        <v>21</v>
      </c>
      <c r="K1755">
        <v>35.277099999999997</v>
      </c>
      <c r="L1755">
        <v>115.40349999999999</v>
      </c>
      <c r="M1755" t="s">
        <v>102</v>
      </c>
      <c r="N1755" s="2">
        <f>Table1[[#This Row],[Capacity (MW)]]*8760*0.72*10^-6</f>
        <v>2.2705919999999997E-2</v>
      </c>
      <c r="O1755" s="2" cm="1">
        <f t="array" ref="O1755">AVERAGE(VLOOKUP(_xlfn.TEXTSPLIT(Table1[[#This Row],[Fuel (no space after comma)]], ","), FuelList_Final_EF!$A$2:$B$32, 2, FALSE))</f>
        <v>105.985</v>
      </c>
      <c r="P1755" s="2">
        <f>(16112*Table1[[#This Row],[Generation (TWh)]]*10^9)/10^6</f>
        <v>365837.78304000001</v>
      </c>
      <c r="Q1755" s="2">
        <f>Table1[[#This Row],[Emission Factor (kg CO2/ mmBtu)]]*Table1[[#This Row],[Fuel Consumption (mmBtu)]]*10^3</f>
        <v>38773317435.4944</v>
      </c>
      <c r="R1755" s="2">
        <f>(Table1[[#This Row],[CO2 Emissions (g CO2)]])/(Table1[[#This Row],[Generation (TWh)]]*10^9)</f>
        <v>1707.6303200000002</v>
      </c>
    </row>
    <row r="1756" spans="1:18" hidden="1">
      <c r="A1756" t="s">
        <v>1093</v>
      </c>
      <c r="B1756" t="s">
        <v>105</v>
      </c>
      <c r="C1756" t="str">
        <f>SUBSTITUTE(Table1[[#This Row],[Fuel]],", ",",")</f>
        <v>bioenergy: agricultural waste (solids),bioenergy: wood &amp; other biomass (solids)</v>
      </c>
      <c r="D1756" t="s">
        <v>46</v>
      </c>
      <c r="E1756" t="s">
        <v>25</v>
      </c>
      <c r="G1756">
        <v>5.3999999999999986</v>
      </c>
      <c r="H1756" t="s">
        <v>27</v>
      </c>
      <c r="I1756">
        <v>2016</v>
      </c>
      <c r="J1756" t="s">
        <v>21</v>
      </c>
      <c r="K1756">
        <v>35.277099999999997</v>
      </c>
      <c r="L1756">
        <v>115.40349999999999</v>
      </c>
      <c r="M1756" t="s">
        <v>102</v>
      </c>
      <c r="N1756" s="2">
        <f>Table1[[#This Row],[Capacity (MW)]]*8760*0.72*10^-6</f>
        <v>3.4058879999999986E-2</v>
      </c>
      <c r="O1756" s="2" cm="1">
        <f t="array" ref="O1756">AVERAGE(VLOOKUP(_xlfn.TEXTSPLIT(Table1[[#This Row],[Fuel (no space after comma)]], ","), FuelList_Final_EF!$A$2:$B$32, 2, FALSE))</f>
        <v>105.985</v>
      </c>
      <c r="P1756" s="2">
        <f>(16112*Table1[[#This Row],[Generation (TWh)]]*10^9)/10^6</f>
        <v>548756.67455999972</v>
      </c>
      <c r="Q1756" s="2">
        <f>Table1[[#This Row],[Emission Factor (kg CO2/ mmBtu)]]*Table1[[#This Row],[Fuel Consumption (mmBtu)]]*10^3</f>
        <v>58159976153.24157</v>
      </c>
      <c r="R1756" s="2">
        <f>(Table1[[#This Row],[CO2 Emissions (g CO2)]])/(Table1[[#This Row],[Generation (TWh)]]*10^9)</f>
        <v>1707.6303199999998</v>
      </c>
    </row>
    <row r="1757" spans="1:18" hidden="1">
      <c r="A1757" t="s">
        <v>633</v>
      </c>
      <c r="B1757" t="s">
        <v>105</v>
      </c>
      <c r="C1757" t="str">
        <f>SUBSTITUTE(Table1[[#This Row],[Fuel]],", ",",")</f>
        <v>bioenergy: agricultural waste (solids),bioenergy: wood &amp; other biomass (solids)</v>
      </c>
      <c r="D1757" t="s">
        <v>46</v>
      </c>
      <c r="E1757" t="s">
        <v>25</v>
      </c>
      <c r="G1757">
        <v>21</v>
      </c>
      <c r="H1757" t="s">
        <v>27</v>
      </c>
      <c r="I1757">
        <v>2016</v>
      </c>
      <c r="J1757" t="s">
        <v>21</v>
      </c>
      <c r="K1757">
        <v>35.277099999999997</v>
      </c>
      <c r="L1757">
        <v>115.40349999999999</v>
      </c>
      <c r="M1757" t="s">
        <v>102</v>
      </c>
      <c r="N1757" s="2">
        <f>Table1[[#This Row],[Capacity (MW)]]*8760*0.72*10^-6</f>
        <v>0.13245119999999996</v>
      </c>
      <c r="O1757" s="2" cm="1">
        <f t="array" ref="O1757">AVERAGE(VLOOKUP(_xlfn.TEXTSPLIT(Table1[[#This Row],[Fuel (no space after comma)]], ","), FuelList_Final_EF!$A$2:$B$32, 2, FALSE))</f>
        <v>105.985</v>
      </c>
      <c r="P1757" s="2">
        <f>(16112*Table1[[#This Row],[Generation (TWh)]]*10^9)/10^6</f>
        <v>2134053.7343999995</v>
      </c>
      <c r="Q1757" s="2">
        <f>Table1[[#This Row],[Emission Factor (kg CO2/ mmBtu)]]*Table1[[#This Row],[Fuel Consumption (mmBtu)]]*10^3</f>
        <v>226177685040.38394</v>
      </c>
      <c r="R1757" s="2">
        <f>(Table1[[#This Row],[CO2 Emissions (g CO2)]])/(Table1[[#This Row],[Generation (TWh)]]*10^9)</f>
        <v>1707.63032</v>
      </c>
    </row>
    <row r="1758" spans="1:18">
      <c r="A1758" t="s">
        <v>54</v>
      </c>
      <c r="B1758" t="s">
        <v>105</v>
      </c>
      <c r="C1758" t="str">
        <f>SUBSTITUTE(Table1[[#This Row],[Fuel]],", ",",")</f>
        <v>bioenergy: agricultural waste (solids),bioenergy: wood &amp; other biomass (solids)</v>
      </c>
      <c r="D1758" t="s">
        <v>46</v>
      </c>
      <c r="E1758" t="s">
        <v>25</v>
      </c>
      <c r="G1758">
        <v>3.6</v>
      </c>
      <c r="H1758" t="s">
        <v>53</v>
      </c>
      <c r="I1758" t="s">
        <v>21</v>
      </c>
      <c r="J1758" t="s">
        <v>21</v>
      </c>
      <c r="K1758">
        <v>35.277099999999997</v>
      </c>
      <c r="L1758">
        <v>115.40349999999999</v>
      </c>
      <c r="M1758" t="s">
        <v>102</v>
      </c>
      <c r="N1758" s="2">
        <f>Table1[[#This Row],[Capacity (MW)]]*8760*0.72*10^-6</f>
        <v>2.2705919999999997E-2</v>
      </c>
      <c r="O1758" s="2" cm="1">
        <f t="array" ref="O1758">AVERAGE(VLOOKUP(_xlfn.TEXTSPLIT(Table1[[#This Row],[Fuel (no space after comma)]], ","), FuelList_Final_EF!$A$2:$B$32, 2, FALSE))</f>
        <v>105.985</v>
      </c>
      <c r="P1758" s="2">
        <f>(16112*Table1[[#This Row],[Generation (TWh)]]*10^9)/10^6</f>
        <v>365837.78304000001</v>
      </c>
      <c r="Q1758" s="2">
        <f>Table1[[#This Row],[Emission Factor (kg CO2/ mmBtu)]]*Table1[[#This Row],[Fuel Consumption (mmBtu)]]*10^3</f>
        <v>38773317435.4944</v>
      </c>
      <c r="R1758" s="2">
        <f>(Table1[[#This Row],[CO2 Emissions (g CO2)]])/(Table1[[#This Row],[Generation (TWh)]]*10^9)</f>
        <v>1707.6303200000002</v>
      </c>
    </row>
    <row r="1759" spans="1:18">
      <c r="A1759" t="s">
        <v>1093</v>
      </c>
      <c r="B1759" t="s">
        <v>105</v>
      </c>
      <c r="C1759" t="str">
        <f>SUBSTITUTE(Table1[[#This Row],[Fuel]],", ",",")</f>
        <v>bioenergy: agricultural waste (solids),bioenergy: wood &amp; other biomass (solids)</v>
      </c>
      <c r="D1759" t="s">
        <v>46</v>
      </c>
      <c r="E1759" t="s">
        <v>25</v>
      </c>
      <c r="G1759">
        <v>5.3999999999999986</v>
      </c>
      <c r="H1759" t="s">
        <v>53</v>
      </c>
      <c r="I1759" t="s">
        <v>21</v>
      </c>
      <c r="J1759" t="s">
        <v>21</v>
      </c>
      <c r="K1759">
        <v>35.277099999999997</v>
      </c>
      <c r="L1759">
        <v>115.40349999999999</v>
      </c>
      <c r="M1759" t="s">
        <v>102</v>
      </c>
      <c r="N1759" s="2">
        <f>Table1[[#This Row],[Capacity (MW)]]*8760*0.72*10^-6</f>
        <v>3.4058879999999986E-2</v>
      </c>
      <c r="O1759" s="2" cm="1">
        <f t="array" ref="O1759">AVERAGE(VLOOKUP(_xlfn.TEXTSPLIT(Table1[[#This Row],[Fuel (no space after comma)]], ","), FuelList_Final_EF!$A$2:$B$32, 2, FALSE))</f>
        <v>105.985</v>
      </c>
      <c r="P1759" s="2">
        <f>(16112*Table1[[#This Row],[Generation (TWh)]]*10^9)/10^6</f>
        <v>548756.67455999972</v>
      </c>
      <c r="Q1759" s="2">
        <f>Table1[[#This Row],[Emission Factor (kg CO2/ mmBtu)]]*Table1[[#This Row],[Fuel Consumption (mmBtu)]]*10^3</f>
        <v>58159976153.24157</v>
      </c>
      <c r="R1759" s="2">
        <f>(Table1[[#This Row],[CO2 Emissions (g CO2)]])/(Table1[[#This Row],[Generation (TWh)]]*10^9)</f>
        <v>1707.6303199999998</v>
      </c>
    </row>
    <row r="1760" spans="1:18">
      <c r="A1760" t="s">
        <v>633</v>
      </c>
      <c r="B1760" t="s">
        <v>105</v>
      </c>
      <c r="C1760" t="str">
        <f>SUBSTITUTE(Table1[[#This Row],[Fuel]],", ",",")</f>
        <v>bioenergy: agricultural waste (solids),bioenergy: wood &amp; other biomass (solids)</v>
      </c>
      <c r="D1760" t="s">
        <v>46</v>
      </c>
      <c r="E1760" t="s">
        <v>25</v>
      </c>
      <c r="G1760">
        <v>21</v>
      </c>
      <c r="H1760" t="s">
        <v>53</v>
      </c>
      <c r="I1760" t="s">
        <v>21</v>
      </c>
      <c r="J1760" t="s">
        <v>21</v>
      </c>
      <c r="K1760">
        <v>35.277099999999997</v>
      </c>
      <c r="L1760">
        <v>115.40349999999999</v>
      </c>
      <c r="M1760" t="s">
        <v>102</v>
      </c>
      <c r="N1760" s="2">
        <f>Table1[[#This Row],[Capacity (MW)]]*8760*0.72*10^-6</f>
        <v>0.13245119999999996</v>
      </c>
      <c r="O1760" s="2" cm="1">
        <f t="array" ref="O1760">AVERAGE(VLOOKUP(_xlfn.TEXTSPLIT(Table1[[#This Row],[Fuel (no space after comma)]], ","), FuelList_Final_EF!$A$2:$B$32, 2, FALSE))</f>
        <v>105.985</v>
      </c>
      <c r="P1760" s="2">
        <f>(16112*Table1[[#This Row],[Generation (TWh)]]*10^9)/10^6</f>
        <v>2134053.7343999995</v>
      </c>
      <c r="Q1760" s="2">
        <f>Table1[[#This Row],[Emission Factor (kg CO2/ mmBtu)]]*Table1[[#This Row],[Fuel Consumption (mmBtu)]]*10^3</f>
        <v>226177685040.38394</v>
      </c>
      <c r="R1760" s="2">
        <f>(Table1[[#This Row],[CO2 Emissions (g CO2)]])/(Table1[[#This Row],[Generation (TWh)]]*10^9)</f>
        <v>1707.63032</v>
      </c>
    </row>
    <row r="1761" spans="1:18">
      <c r="A1761" t="s">
        <v>54</v>
      </c>
      <c r="B1761" t="s">
        <v>105</v>
      </c>
      <c r="C1761" t="str">
        <f>SUBSTITUTE(Table1[[#This Row],[Fuel]],", ",",")</f>
        <v>bioenergy: agricultural waste (solids),bioenergy: wood &amp; other biomass (solids)</v>
      </c>
      <c r="D1761" t="s">
        <v>46</v>
      </c>
      <c r="E1761" t="s">
        <v>25</v>
      </c>
      <c r="G1761">
        <v>30</v>
      </c>
      <c r="H1761" t="s">
        <v>53</v>
      </c>
      <c r="I1761" t="s">
        <v>21</v>
      </c>
      <c r="J1761" t="s">
        <v>21</v>
      </c>
      <c r="K1761">
        <v>36.077599999999997</v>
      </c>
      <c r="L1761">
        <v>120.0454</v>
      </c>
      <c r="M1761" t="s">
        <v>102</v>
      </c>
      <c r="N1761" s="2">
        <f>Table1[[#This Row],[Capacity (MW)]]*8760*0.72*10^-6</f>
        <v>0.189216</v>
      </c>
      <c r="O1761" s="2" cm="1">
        <f t="array" ref="O1761">AVERAGE(VLOOKUP(_xlfn.TEXTSPLIT(Table1[[#This Row],[Fuel (no space after comma)]], ","), FuelList_Final_EF!$A$2:$B$32, 2, FALSE))</f>
        <v>105.985</v>
      </c>
      <c r="P1761" s="2">
        <f>(16112*Table1[[#This Row],[Generation (TWh)]]*10^9)/10^6</f>
        <v>3048648.1919999998</v>
      </c>
      <c r="Q1761" s="2">
        <f>Table1[[#This Row],[Emission Factor (kg CO2/ mmBtu)]]*Table1[[#This Row],[Fuel Consumption (mmBtu)]]*10^3</f>
        <v>323110978629.12</v>
      </c>
      <c r="R1761" s="2">
        <f>(Table1[[#This Row],[CO2 Emissions (g CO2)]])/(Table1[[#This Row],[Generation (TWh)]]*10^9)</f>
        <v>1707.63032</v>
      </c>
    </row>
    <row r="1762" spans="1:18" hidden="1">
      <c r="A1762" t="s">
        <v>117</v>
      </c>
      <c r="B1762" t="s">
        <v>105</v>
      </c>
      <c r="C1762" t="str">
        <f>SUBSTITUTE(Table1[[#This Row],[Fuel]],", ",",")</f>
        <v>bioenergy: agricultural waste (solids),bioenergy: wood &amp; other biomass (solids)</v>
      </c>
      <c r="D1762" t="s">
        <v>46</v>
      </c>
      <c r="E1762" t="s">
        <v>25</v>
      </c>
      <c r="G1762">
        <v>30</v>
      </c>
      <c r="H1762" t="s">
        <v>27</v>
      </c>
      <c r="I1762">
        <v>2012</v>
      </c>
      <c r="J1762" t="s">
        <v>21</v>
      </c>
      <c r="K1762">
        <v>37.359400000000001</v>
      </c>
      <c r="L1762">
        <v>117.5859</v>
      </c>
      <c r="M1762" t="s">
        <v>102</v>
      </c>
      <c r="N1762" s="2">
        <f>Table1[[#This Row],[Capacity (MW)]]*8760*0.72*10^-6</f>
        <v>0.189216</v>
      </c>
      <c r="O1762" s="2" cm="1">
        <f t="array" ref="O1762">AVERAGE(VLOOKUP(_xlfn.TEXTSPLIT(Table1[[#This Row],[Fuel (no space after comma)]], ","), FuelList_Final_EF!$A$2:$B$32, 2, FALSE))</f>
        <v>105.985</v>
      </c>
      <c r="P1762" s="2">
        <f>(16112*Table1[[#This Row],[Generation (TWh)]]*10^9)/10^6</f>
        <v>3048648.1919999998</v>
      </c>
      <c r="Q1762" s="2">
        <f>Table1[[#This Row],[Emission Factor (kg CO2/ mmBtu)]]*Table1[[#This Row],[Fuel Consumption (mmBtu)]]*10^3</f>
        <v>323110978629.12</v>
      </c>
      <c r="R1762" s="2">
        <f>(Table1[[#This Row],[CO2 Emissions (g CO2)]])/(Table1[[#This Row],[Generation (TWh)]]*10^9)</f>
        <v>1707.63032</v>
      </c>
    </row>
    <row r="1763" spans="1:18" hidden="1">
      <c r="A1763" t="s">
        <v>1094</v>
      </c>
      <c r="B1763" t="s">
        <v>41</v>
      </c>
      <c r="C1763" t="str">
        <f>SUBSTITUTE(Table1[[#This Row],[Fuel]],", ",",")</f>
        <v>bioenergy: refuse (municipal and industrial wastes),bioenergy: wastewater and sewage sludge (solids or biogas)</v>
      </c>
      <c r="D1763" t="s">
        <v>19</v>
      </c>
      <c r="E1763" t="s">
        <v>42</v>
      </c>
      <c r="G1763">
        <v>17.5</v>
      </c>
      <c r="H1763" t="s">
        <v>27</v>
      </c>
      <c r="I1763">
        <v>2023</v>
      </c>
      <c r="J1763" t="s">
        <v>21</v>
      </c>
      <c r="K1763">
        <v>36.284726999999997</v>
      </c>
      <c r="L1763">
        <v>120.12591</v>
      </c>
      <c r="M1763" t="s">
        <v>102</v>
      </c>
      <c r="N1763" s="2">
        <f>Table1[[#This Row],[Capacity (MW)]]*8760*0.72*10^-6</f>
        <v>0.110376</v>
      </c>
      <c r="O1763" s="2" cm="1">
        <f t="array" ref="O1763">AVERAGE(VLOOKUP(_xlfn.TEXTSPLIT(Table1[[#This Row],[Fuel (no space after comma)]], ","), FuelList_Final_EF!$A$2:$B$32, 2, FALSE))</f>
        <v>81.497100685292565</v>
      </c>
      <c r="P1763" s="2">
        <f>(16112*Table1[[#This Row],[Generation (TWh)]]*10^9)/10^6</f>
        <v>1778378.112</v>
      </c>
      <c r="Q1763" s="2">
        <f>Table1[[#This Row],[Emission Factor (kg CO2/ mmBtu)]]*Table1[[#This Row],[Fuel Consumption (mmBtu)]]*10^3</f>
        <v>144932660050.18448</v>
      </c>
      <c r="R1763" s="2">
        <f>(Table1[[#This Row],[CO2 Emissions (g CO2)]])/(Table1[[#This Row],[Generation (TWh)]]*10^9)</f>
        <v>1313.0812862414336</v>
      </c>
    </row>
    <row r="1764" spans="1:18" hidden="1">
      <c r="A1764" t="s">
        <v>541</v>
      </c>
      <c r="B1764" t="s">
        <v>41</v>
      </c>
      <c r="C1764" t="str">
        <f>SUBSTITUTE(Table1[[#This Row],[Fuel]],", ",",")</f>
        <v>bioenergy: refuse (municipal and industrial wastes),bioenergy: wastewater and sewage sludge (solids or biogas)</v>
      </c>
      <c r="D1764" t="s">
        <v>19</v>
      </c>
      <c r="E1764" t="s">
        <v>42</v>
      </c>
      <c r="G1764">
        <v>17.5</v>
      </c>
      <c r="H1764" t="s">
        <v>27</v>
      </c>
      <c r="I1764">
        <v>2023</v>
      </c>
      <c r="J1764" t="s">
        <v>21</v>
      </c>
      <c r="K1764">
        <v>36.284726999999997</v>
      </c>
      <c r="L1764">
        <v>120.12591</v>
      </c>
      <c r="M1764" t="s">
        <v>102</v>
      </c>
      <c r="N1764" s="2">
        <f>Table1[[#This Row],[Capacity (MW)]]*8760*0.72*10^-6</f>
        <v>0.110376</v>
      </c>
      <c r="O1764" s="2" cm="1">
        <f t="array" ref="O1764">AVERAGE(VLOOKUP(_xlfn.TEXTSPLIT(Table1[[#This Row],[Fuel (no space after comma)]], ","), FuelList_Final_EF!$A$2:$B$32, 2, FALSE))</f>
        <v>81.497100685292565</v>
      </c>
      <c r="P1764" s="2">
        <f>(16112*Table1[[#This Row],[Generation (TWh)]]*10^9)/10^6</f>
        <v>1778378.112</v>
      </c>
      <c r="Q1764" s="2">
        <f>Table1[[#This Row],[Emission Factor (kg CO2/ mmBtu)]]*Table1[[#This Row],[Fuel Consumption (mmBtu)]]*10^3</f>
        <v>144932660050.18448</v>
      </c>
      <c r="R1764" s="2">
        <f>(Table1[[#This Row],[CO2 Emissions (g CO2)]])/(Table1[[#This Row],[Generation (TWh)]]*10^9)</f>
        <v>1313.0812862414336</v>
      </c>
    </row>
    <row r="1765" spans="1:18" hidden="1">
      <c r="A1765" t="s">
        <v>1095</v>
      </c>
      <c r="B1765" t="s">
        <v>19</v>
      </c>
      <c r="C1765" t="str">
        <f>SUBSTITUTE(Table1[[#This Row],[Fuel]],", ",",")</f>
        <v>bioenergy: refuse (municipal and industrial wastes)</v>
      </c>
      <c r="D1765" t="s">
        <v>19</v>
      </c>
      <c r="G1765">
        <v>0.6</v>
      </c>
      <c r="H1765" t="s">
        <v>27</v>
      </c>
      <c r="I1765">
        <v>2019</v>
      </c>
      <c r="J1765" t="s">
        <v>21</v>
      </c>
      <c r="K1765">
        <v>36.289000000000001</v>
      </c>
      <c r="L1765">
        <v>120.1572</v>
      </c>
      <c r="M1765" t="s">
        <v>102</v>
      </c>
      <c r="N1765" s="2">
        <f>Table1[[#This Row],[Capacity (MW)]]*8760*0.72*10^-6</f>
        <v>3.7843199999999994E-3</v>
      </c>
      <c r="O1765" s="2" cm="1">
        <f t="array" ref="O1765">AVERAGE(VLOOKUP(_xlfn.TEXTSPLIT(Table1[[#This Row],[Fuel (no space after comma)]], ","), FuelList_Final_EF!$A$2:$B$32, 2, FALSE))</f>
        <v>105.42962572482868</v>
      </c>
      <c r="P1765" s="2">
        <f>(16112*Table1[[#This Row],[Generation (TWh)]]*10^9)/10^6</f>
        <v>60972.963839999989</v>
      </c>
      <c r="Q1765" s="2">
        <f>Table1[[#This Row],[Emission Factor (kg CO2/ mmBtu)]]*Table1[[#This Row],[Fuel Consumption (mmBtu)]]*10^3</f>
        <v>6428356756.9847116</v>
      </c>
      <c r="R1765" s="2">
        <f>(Table1[[#This Row],[CO2 Emissions (g CO2)]])/(Table1[[#This Row],[Generation (TWh)]]*10^9)</f>
        <v>1698.6821296784397</v>
      </c>
    </row>
    <row r="1766" spans="1:18" hidden="1">
      <c r="A1766" t="s">
        <v>482</v>
      </c>
      <c r="B1766" t="s">
        <v>19</v>
      </c>
      <c r="C1766" t="str">
        <f>SUBSTITUTE(Table1[[#This Row],[Fuel]],", ",",")</f>
        <v>bioenergy: refuse (municipal and industrial wastes)</v>
      </c>
      <c r="D1766" t="s">
        <v>19</v>
      </c>
      <c r="G1766">
        <v>29.4</v>
      </c>
      <c r="H1766" t="s">
        <v>27</v>
      </c>
      <c r="I1766">
        <v>2019</v>
      </c>
      <c r="J1766" t="s">
        <v>21</v>
      </c>
      <c r="K1766">
        <v>36.289000000000001</v>
      </c>
      <c r="L1766">
        <v>120.1572</v>
      </c>
      <c r="M1766" t="s">
        <v>102</v>
      </c>
      <c r="N1766" s="2">
        <f>Table1[[#This Row],[Capacity (MW)]]*8760*0.72*10^-6</f>
        <v>0.18543167999999999</v>
      </c>
      <c r="O1766" s="2" cm="1">
        <f t="array" ref="O1766">AVERAGE(VLOOKUP(_xlfn.TEXTSPLIT(Table1[[#This Row],[Fuel (no space after comma)]], ","), FuelList_Final_EF!$A$2:$B$32, 2, FALSE))</f>
        <v>105.42962572482868</v>
      </c>
      <c r="P1766" s="2">
        <f>(16112*Table1[[#This Row],[Generation (TWh)]]*10^9)/10^6</f>
        <v>2987675.2281599995</v>
      </c>
      <c r="Q1766" s="2">
        <f>Table1[[#This Row],[Emission Factor (kg CO2/ mmBtu)]]*Table1[[#This Row],[Fuel Consumption (mmBtu)]]*10^3</f>
        <v>314989481092.25085</v>
      </c>
      <c r="R1766" s="2">
        <f>(Table1[[#This Row],[CO2 Emissions (g CO2)]])/(Table1[[#This Row],[Generation (TWh)]]*10^9)</f>
        <v>1698.6821296784392</v>
      </c>
    </row>
    <row r="1767" spans="1:18" hidden="1">
      <c r="A1767" t="s">
        <v>1095</v>
      </c>
      <c r="B1767" t="s">
        <v>19</v>
      </c>
      <c r="C1767" t="str">
        <f>SUBSTITUTE(Table1[[#This Row],[Fuel]],", ",",")</f>
        <v>bioenergy: refuse (municipal and industrial wastes)</v>
      </c>
      <c r="D1767" t="s">
        <v>19</v>
      </c>
      <c r="G1767">
        <v>0.6</v>
      </c>
      <c r="H1767" t="s">
        <v>27</v>
      </c>
      <c r="I1767">
        <v>2019</v>
      </c>
      <c r="J1767" t="s">
        <v>21</v>
      </c>
      <c r="K1767">
        <v>36.289000000000001</v>
      </c>
      <c r="L1767">
        <v>120.1572</v>
      </c>
      <c r="M1767" t="s">
        <v>102</v>
      </c>
      <c r="N1767" s="2">
        <f>Table1[[#This Row],[Capacity (MW)]]*8760*0.72*10^-6</f>
        <v>3.7843199999999994E-3</v>
      </c>
      <c r="O1767" s="2" cm="1">
        <f t="array" ref="O1767">AVERAGE(VLOOKUP(_xlfn.TEXTSPLIT(Table1[[#This Row],[Fuel (no space after comma)]], ","), FuelList_Final_EF!$A$2:$B$32, 2, FALSE))</f>
        <v>105.42962572482868</v>
      </c>
      <c r="P1767" s="2">
        <f>(16112*Table1[[#This Row],[Generation (TWh)]]*10^9)/10^6</f>
        <v>60972.963839999989</v>
      </c>
      <c r="Q1767" s="2">
        <f>Table1[[#This Row],[Emission Factor (kg CO2/ mmBtu)]]*Table1[[#This Row],[Fuel Consumption (mmBtu)]]*10^3</f>
        <v>6428356756.9847116</v>
      </c>
      <c r="R1767" s="2">
        <f>(Table1[[#This Row],[CO2 Emissions (g CO2)]])/(Table1[[#This Row],[Generation (TWh)]]*10^9)</f>
        <v>1698.6821296784397</v>
      </c>
    </row>
    <row r="1768" spans="1:18" hidden="1">
      <c r="A1768" t="s">
        <v>482</v>
      </c>
      <c r="B1768" t="s">
        <v>19</v>
      </c>
      <c r="C1768" t="str">
        <f>SUBSTITUTE(Table1[[#This Row],[Fuel]],", ",",")</f>
        <v>bioenergy: refuse (municipal and industrial wastes)</v>
      </c>
      <c r="D1768" t="s">
        <v>19</v>
      </c>
      <c r="G1768">
        <v>29.4</v>
      </c>
      <c r="H1768" t="s">
        <v>27</v>
      </c>
      <c r="I1768">
        <v>2019</v>
      </c>
      <c r="J1768" t="s">
        <v>21</v>
      </c>
      <c r="K1768">
        <v>36.289000000000001</v>
      </c>
      <c r="L1768">
        <v>120.1572</v>
      </c>
      <c r="M1768" t="s">
        <v>102</v>
      </c>
      <c r="N1768" s="2">
        <f>Table1[[#This Row],[Capacity (MW)]]*8760*0.72*10^-6</f>
        <v>0.18543167999999999</v>
      </c>
      <c r="O1768" s="2" cm="1">
        <f t="array" ref="O1768">AVERAGE(VLOOKUP(_xlfn.TEXTSPLIT(Table1[[#This Row],[Fuel (no space after comma)]], ","), FuelList_Final_EF!$A$2:$B$32, 2, FALSE))</f>
        <v>105.42962572482868</v>
      </c>
      <c r="P1768" s="2">
        <f>(16112*Table1[[#This Row],[Generation (TWh)]]*10^9)/10^6</f>
        <v>2987675.2281599995</v>
      </c>
      <c r="Q1768" s="2">
        <f>Table1[[#This Row],[Emission Factor (kg CO2/ mmBtu)]]*Table1[[#This Row],[Fuel Consumption (mmBtu)]]*10^3</f>
        <v>314989481092.25085</v>
      </c>
      <c r="R1768" s="2">
        <f>(Table1[[#This Row],[CO2 Emissions (g CO2)]])/(Table1[[#This Row],[Generation (TWh)]]*10^9)</f>
        <v>1698.6821296784392</v>
      </c>
    </row>
    <row r="1769" spans="1:18">
      <c r="A1769" t="s">
        <v>284</v>
      </c>
      <c r="B1769" t="s">
        <v>46</v>
      </c>
      <c r="C1769" t="str">
        <f>SUBSTITUTE(Table1[[#This Row],[Fuel]],", ",",")</f>
        <v>bioenergy: agricultural waste (solids)</v>
      </c>
      <c r="D1769" t="s">
        <v>46</v>
      </c>
      <c r="G1769">
        <v>30</v>
      </c>
      <c r="H1769" t="s">
        <v>71</v>
      </c>
      <c r="I1769" t="s">
        <v>21</v>
      </c>
      <c r="J1769" t="s">
        <v>21</v>
      </c>
      <c r="K1769">
        <v>35.422800000000002</v>
      </c>
      <c r="L1769">
        <v>116.36660000000001</v>
      </c>
      <c r="M1769" t="s">
        <v>102</v>
      </c>
      <c r="N1769" s="2">
        <f>Table1[[#This Row],[Capacity (MW)]]*8760*0.72*10^-6</f>
        <v>0.189216</v>
      </c>
      <c r="O1769" s="2" cm="1">
        <f t="array" ref="O1769">AVERAGE(VLOOKUP(_xlfn.TEXTSPLIT(Table1[[#This Row],[Fuel (no space after comma)]], ","), FuelList_Final_EF!$A$2:$B$32, 2, FALSE))</f>
        <v>118.17</v>
      </c>
      <c r="P1769" s="2">
        <f>(16112*Table1[[#This Row],[Generation (TWh)]]*10^9)/10^6</f>
        <v>3048648.1919999998</v>
      </c>
      <c r="Q1769" s="2">
        <f>Table1[[#This Row],[Emission Factor (kg CO2/ mmBtu)]]*Table1[[#This Row],[Fuel Consumption (mmBtu)]]*10^3</f>
        <v>360258756848.63995</v>
      </c>
      <c r="R1769" s="2">
        <f>(Table1[[#This Row],[CO2 Emissions (g CO2)]])/(Table1[[#This Row],[Generation (TWh)]]*10^9)</f>
        <v>1903.9550399999998</v>
      </c>
    </row>
    <row r="1770" spans="1:18" hidden="1">
      <c r="A1770" t="s">
        <v>54</v>
      </c>
      <c r="B1770" t="s">
        <v>46</v>
      </c>
      <c r="C1770" t="str">
        <f>SUBSTITUTE(Table1[[#This Row],[Fuel]],", ",",")</f>
        <v>bioenergy: agricultural waste (solids)</v>
      </c>
      <c r="D1770" t="s">
        <v>46</v>
      </c>
      <c r="G1770">
        <v>14.7</v>
      </c>
      <c r="H1770" t="s">
        <v>27</v>
      </c>
      <c r="I1770">
        <v>2020</v>
      </c>
      <c r="J1770" t="s">
        <v>21</v>
      </c>
      <c r="K1770">
        <v>36.179499999999997</v>
      </c>
      <c r="L1770">
        <v>117.5729</v>
      </c>
      <c r="M1770" t="s">
        <v>102</v>
      </c>
      <c r="N1770" s="2">
        <f>Table1[[#This Row],[Capacity (MW)]]*8760*0.72*10^-6</f>
        <v>9.2715839999999994E-2</v>
      </c>
      <c r="O1770" s="2" cm="1">
        <f t="array" ref="O1770">AVERAGE(VLOOKUP(_xlfn.TEXTSPLIT(Table1[[#This Row],[Fuel (no space after comma)]], ","), FuelList_Final_EF!$A$2:$B$32, 2, FALSE))</f>
        <v>118.17</v>
      </c>
      <c r="P1770" s="2">
        <f>(16112*Table1[[#This Row],[Generation (TWh)]]*10^9)/10^6</f>
        <v>1493837.6140799997</v>
      </c>
      <c r="Q1770" s="2">
        <f>Table1[[#This Row],[Emission Factor (kg CO2/ mmBtu)]]*Table1[[#This Row],[Fuel Consumption (mmBtu)]]*10^3</f>
        <v>176526790855.83356</v>
      </c>
      <c r="R1770" s="2">
        <f>(Table1[[#This Row],[CO2 Emissions (g CO2)]])/(Table1[[#This Row],[Generation (TWh)]]*10^9)</f>
        <v>1903.9550399999996</v>
      </c>
    </row>
    <row r="1771" spans="1:18" hidden="1">
      <c r="A1771" t="s">
        <v>1096</v>
      </c>
      <c r="B1771" t="s">
        <v>46</v>
      </c>
      <c r="C1771" t="str">
        <f>SUBSTITUTE(Table1[[#This Row],[Fuel]],", ",",")</f>
        <v>bioenergy: agricultural waste (solids)</v>
      </c>
      <c r="D1771" t="s">
        <v>46</v>
      </c>
      <c r="G1771">
        <v>15.3</v>
      </c>
      <c r="H1771" t="s">
        <v>27</v>
      </c>
      <c r="I1771">
        <v>2020</v>
      </c>
      <c r="J1771" t="s">
        <v>21</v>
      </c>
      <c r="K1771">
        <v>36.179499999999997</v>
      </c>
      <c r="L1771">
        <v>117.5729</v>
      </c>
      <c r="M1771" t="s">
        <v>102</v>
      </c>
      <c r="N1771" s="2">
        <f>Table1[[#This Row],[Capacity (MW)]]*8760*0.72*10^-6</f>
        <v>9.6500160000000001E-2</v>
      </c>
      <c r="O1771" s="2" cm="1">
        <f t="array" ref="O1771">AVERAGE(VLOOKUP(_xlfn.TEXTSPLIT(Table1[[#This Row],[Fuel (no space after comma)]], ","), FuelList_Final_EF!$A$2:$B$32, 2, FALSE))</f>
        <v>118.17</v>
      </c>
      <c r="P1771" s="2">
        <f>(16112*Table1[[#This Row],[Generation (TWh)]]*10^9)/10^6</f>
        <v>1554810.5779200001</v>
      </c>
      <c r="Q1771" s="2">
        <f>Table1[[#This Row],[Emission Factor (kg CO2/ mmBtu)]]*Table1[[#This Row],[Fuel Consumption (mmBtu)]]*10^3</f>
        <v>183731965992.8064</v>
      </c>
      <c r="R1771" s="2">
        <f>(Table1[[#This Row],[CO2 Emissions (g CO2)]])/(Table1[[#This Row],[Generation (TWh)]]*10^9)</f>
        <v>1903.9550400000001</v>
      </c>
    </row>
    <row r="1772" spans="1:18" hidden="1">
      <c r="A1772" t="s">
        <v>284</v>
      </c>
      <c r="B1772" t="s">
        <v>46</v>
      </c>
      <c r="C1772" t="str">
        <f>SUBSTITUTE(Table1[[#This Row],[Fuel]],", ",",")</f>
        <v>bioenergy: agricultural waste (solids)</v>
      </c>
      <c r="D1772" t="s">
        <v>46</v>
      </c>
      <c r="G1772">
        <v>30</v>
      </c>
      <c r="H1772" t="s">
        <v>27</v>
      </c>
      <c r="I1772">
        <v>2022</v>
      </c>
      <c r="J1772" t="s">
        <v>21</v>
      </c>
      <c r="K1772">
        <v>35.577100000000002</v>
      </c>
      <c r="L1772">
        <v>115.56870000000001</v>
      </c>
      <c r="M1772" t="s">
        <v>102</v>
      </c>
      <c r="N1772" s="2">
        <f>Table1[[#This Row],[Capacity (MW)]]*8760*0.72*10^-6</f>
        <v>0.189216</v>
      </c>
      <c r="O1772" s="2" cm="1">
        <f t="array" ref="O1772">AVERAGE(VLOOKUP(_xlfn.TEXTSPLIT(Table1[[#This Row],[Fuel (no space after comma)]], ","), FuelList_Final_EF!$A$2:$B$32, 2, FALSE))</f>
        <v>118.17</v>
      </c>
      <c r="P1772" s="2">
        <f>(16112*Table1[[#This Row],[Generation (TWh)]]*10^9)/10^6</f>
        <v>3048648.1919999998</v>
      </c>
      <c r="Q1772" s="2">
        <f>Table1[[#This Row],[Emission Factor (kg CO2/ mmBtu)]]*Table1[[#This Row],[Fuel Consumption (mmBtu)]]*10^3</f>
        <v>360258756848.63995</v>
      </c>
      <c r="R1772" s="2">
        <f>(Table1[[#This Row],[CO2 Emissions (g CO2)]])/(Table1[[#This Row],[Generation (TWh)]]*10^9)</f>
        <v>1903.9550399999998</v>
      </c>
    </row>
    <row r="1773" spans="1:18" hidden="1">
      <c r="A1773" t="s">
        <v>117</v>
      </c>
      <c r="B1773" t="s">
        <v>46</v>
      </c>
      <c r="C1773" t="str">
        <f>SUBSTITUTE(Table1[[#This Row],[Fuel]],", ",",")</f>
        <v>bioenergy: agricultural waste (solids)</v>
      </c>
      <c r="D1773" t="s">
        <v>46</v>
      </c>
      <c r="G1773">
        <v>30</v>
      </c>
      <c r="H1773" t="s">
        <v>27</v>
      </c>
      <c r="I1773">
        <v>2007</v>
      </c>
      <c r="J1773" t="s">
        <v>21</v>
      </c>
      <c r="K1773">
        <v>37.591099999999997</v>
      </c>
      <c r="L1773">
        <v>118.5428</v>
      </c>
      <c r="M1773" t="s">
        <v>102</v>
      </c>
      <c r="N1773" s="2">
        <f>Table1[[#This Row],[Capacity (MW)]]*8760*0.72*10^-6</f>
        <v>0.189216</v>
      </c>
      <c r="O1773" s="2" cm="1">
        <f t="array" ref="O1773">AVERAGE(VLOOKUP(_xlfn.TEXTSPLIT(Table1[[#This Row],[Fuel (no space after comma)]], ","), FuelList_Final_EF!$A$2:$B$32, 2, FALSE))</f>
        <v>118.17</v>
      </c>
      <c r="P1773" s="2">
        <f>(16112*Table1[[#This Row],[Generation (TWh)]]*10^9)/10^6</f>
        <v>3048648.1919999998</v>
      </c>
      <c r="Q1773" s="2">
        <f>Table1[[#This Row],[Emission Factor (kg CO2/ mmBtu)]]*Table1[[#This Row],[Fuel Consumption (mmBtu)]]*10^3</f>
        <v>360258756848.63995</v>
      </c>
      <c r="R1773" s="2">
        <f>(Table1[[#This Row],[CO2 Emissions (g CO2)]])/(Table1[[#This Row],[Generation (TWh)]]*10^9)</f>
        <v>1903.9550399999998</v>
      </c>
    </row>
    <row r="1774" spans="1:18" hidden="1">
      <c r="A1774" t="s">
        <v>492</v>
      </c>
      <c r="B1774" t="s">
        <v>46</v>
      </c>
      <c r="C1774" t="str">
        <f>SUBSTITUTE(Table1[[#This Row],[Fuel]],", ",",")</f>
        <v>bioenergy: agricultural waste (solids)</v>
      </c>
      <c r="D1774" t="s">
        <v>46</v>
      </c>
      <c r="G1774">
        <v>40</v>
      </c>
      <c r="H1774" t="s">
        <v>27</v>
      </c>
      <c r="I1774">
        <v>2017</v>
      </c>
      <c r="J1774" t="s">
        <v>21</v>
      </c>
      <c r="K1774">
        <v>36.785600000000002</v>
      </c>
      <c r="L1774">
        <v>120.51949999999999</v>
      </c>
      <c r="M1774" t="s">
        <v>102</v>
      </c>
      <c r="N1774" s="2">
        <f>Table1[[#This Row],[Capacity (MW)]]*8760*0.72*10^-6</f>
        <v>0.25228800000000001</v>
      </c>
      <c r="O1774" s="2" cm="1">
        <f t="array" ref="O1774">AVERAGE(VLOOKUP(_xlfn.TEXTSPLIT(Table1[[#This Row],[Fuel (no space after comma)]], ","), FuelList_Final_EF!$A$2:$B$32, 2, FALSE))</f>
        <v>118.17</v>
      </c>
      <c r="P1774" s="2">
        <f>(16112*Table1[[#This Row],[Generation (TWh)]]*10^9)/10^6</f>
        <v>4064864.2560000005</v>
      </c>
      <c r="Q1774" s="2">
        <f>Table1[[#This Row],[Emission Factor (kg CO2/ mmBtu)]]*Table1[[#This Row],[Fuel Consumption (mmBtu)]]*10^3</f>
        <v>480345009131.52008</v>
      </c>
      <c r="R1774" s="2">
        <f>(Table1[[#This Row],[CO2 Emissions (g CO2)]])/(Table1[[#This Row],[Generation (TWh)]]*10^9)</f>
        <v>1903.9550400000003</v>
      </c>
    </row>
    <row r="1775" spans="1:18" hidden="1">
      <c r="A1775" t="s">
        <v>1097</v>
      </c>
      <c r="B1775" t="s">
        <v>105</v>
      </c>
      <c r="C1775" t="str">
        <f>SUBSTITUTE(Table1[[#This Row],[Fuel]],", ",",")</f>
        <v>bioenergy: agricultural waste (solids),bioenergy: wood &amp; other biomass (solids)</v>
      </c>
      <c r="D1775" t="s">
        <v>46</v>
      </c>
      <c r="E1775" t="s">
        <v>25</v>
      </c>
      <c r="G1775">
        <v>9</v>
      </c>
      <c r="H1775" t="s">
        <v>27</v>
      </c>
      <c r="I1775">
        <v>2018</v>
      </c>
      <c r="J1775" t="s">
        <v>21</v>
      </c>
      <c r="K1775">
        <v>37.186500000000002</v>
      </c>
      <c r="L1775">
        <v>119.98990000000001</v>
      </c>
      <c r="M1775" t="s">
        <v>102</v>
      </c>
      <c r="N1775" s="2">
        <f>Table1[[#This Row],[Capacity (MW)]]*8760*0.72*10^-6</f>
        <v>5.676479999999999E-2</v>
      </c>
      <c r="O1775" s="2" cm="1">
        <f t="array" ref="O1775">AVERAGE(VLOOKUP(_xlfn.TEXTSPLIT(Table1[[#This Row],[Fuel (no space after comma)]], ","), FuelList_Final_EF!$A$2:$B$32, 2, FALSE))</f>
        <v>105.985</v>
      </c>
      <c r="P1775" s="2">
        <f>(16112*Table1[[#This Row],[Generation (TWh)]]*10^9)/10^6</f>
        <v>914594.45759999985</v>
      </c>
      <c r="Q1775" s="2">
        <f>Table1[[#This Row],[Emission Factor (kg CO2/ mmBtu)]]*Table1[[#This Row],[Fuel Consumption (mmBtu)]]*10^3</f>
        <v>96933293588.735977</v>
      </c>
      <c r="R1775" s="2">
        <f>(Table1[[#This Row],[CO2 Emissions (g CO2)]])/(Table1[[#This Row],[Generation (TWh)]]*10^9)</f>
        <v>1707.6303199999998</v>
      </c>
    </row>
    <row r="1776" spans="1:18" hidden="1">
      <c r="A1776" t="s">
        <v>1098</v>
      </c>
      <c r="B1776" t="s">
        <v>105</v>
      </c>
      <c r="C1776" t="str">
        <f>SUBSTITUTE(Table1[[#This Row],[Fuel]],", ",",")</f>
        <v>bioenergy: agricultural waste (solids),bioenergy: wood &amp; other biomass (solids)</v>
      </c>
      <c r="D1776" t="s">
        <v>46</v>
      </c>
      <c r="E1776" t="s">
        <v>25</v>
      </c>
      <c r="G1776">
        <v>9</v>
      </c>
      <c r="H1776" t="s">
        <v>27</v>
      </c>
      <c r="I1776">
        <v>2018</v>
      </c>
      <c r="J1776" t="s">
        <v>21</v>
      </c>
      <c r="K1776">
        <v>37.186500000000002</v>
      </c>
      <c r="L1776">
        <v>119.98990000000001</v>
      </c>
      <c r="M1776" t="s">
        <v>102</v>
      </c>
      <c r="N1776" s="2">
        <f>Table1[[#This Row],[Capacity (MW)]]*8760*0.72*10^-6</f>
        <v>5.676479999999999E-2</v>
      </c>
      <c r="O1776" s="2" cm="1">
        <f t="array" ref="O1776">AVERAGE(VLOOKUP(_xlfn.TEXTSPLIT(Table1[[#This Row],[Fuel (no space after comma)]], ","), FuelList_Final_EF!$A$2:$B$32, 2, FALSE))</f>
        <v>105.985</v>
      </c>
      <c r="P1776" s="2">
        <f>(16112*Table1[[#This Row],[Generation (TWh)]]*10^9)/10^6</f>
        <v>914594.45759999985</v>
      </c>
      <c r="Q1776" s="2">
        <f>Table1[[#This Row],[Emission Factor (kg CO2/ mmBtu)]]*Table1[[#This Row],[Fuel Consumption (mmBtu)]]*10^3</f>
        <v>96933293588.735977</v>
      </c>
      <c r="R1776" s="2">
        <f>(Table1[[#This Row],[CO2 Emissions (g CO2)]])/(Table1[[#This Row],[Generation (TWh)]]*10^9)</f>
        <v>1707.6303199999998</v>
      </c>
    </row>
    <row r="1777" spans="1:18" hidden="1">
      <c r="A1777" t="s">
        <v>108</v>
      </c>
      <c r="B1777" t="s">
        <v>105</v>
      </c>
      <c r="C1777" t="str">
        <f>SUBSTITUTE(Table1[[#This Row],[Fuel]],", ",",")</f>
        <v>bioenergy: agricultural waste (solids),bioenergy: wood &amp; other biomass (solids)</v>
      </c>
      <c r="D1777" t="s">
        <v>46</v>
      </c>
      <c r="E1777" t="s">
        <v>25</v>
      </c>
      <c r="G1777">
        <v>9</v>
      </c>
      <c r="H1777" t="s">
        <v>27</v>
      </c>
      <c r="I1777">
        <v>2018</v>
      </c>
      <c r="J1777" t="s">
        <v>21</v>
      </c>
      <c r="K1777">
        <v>37.186500000000002</v>
      </c>
      <c r="L1777">
        <v>119.98990000000001</v>
      </c>
      <c r="M1777" t="s">
        <v>102</v>
      </c>
      <c r="N1777" s="2">
        <f>Table1[[#This Row],[Capacity (MW)]]*8760*0.72*10^-6</f>
        <v>5.676479999999999E-2</v>
      </c>
      <c r="O1777" s="2" cm="1">
        <f t="array" ref="O1777">AVERAGE(VLOOKUP(_xlfn.TEXTSPLIT(Table1[[#This Row],[Fuel (no space after comma)]], ","), FuelList_Final_EF!$A$2:$B$32, 2, FALSE))</f>
        <v>105.985</v>
      </c>
      <c r="P1777" s="2">
        <f>(16112*Table1[[#This Row],[Generation (TWh)]]*10^9)/10^6</f>
        <v>914594.45759999985</v>
      </c>
      <c r="Q1777" s="2">
        <f>Table1[[#This Row],[Emission Factor (kg CO2/ mmBtu)]]*Table1[[#This Row],[Fuel Consumption (mmBtu)]]*10^3</f>
        <v>96933293588.735977</v>
      </c>
      <c r="R1777" s="2">
        <f>(Table1[[#This Row],[CO2 Emissions (g CO2)]])/(Table1[[#This Row],[Generation (TWh)]]*10^9)</f>
        <v>1707.6303199999998</v>
      </c>
    </row>
    <row r="1778" spans="1:18" hidden="1">
      <c r="A1778" t="s">
        <v>54</v>
      </c>
      <c r="B1778" t="s">
        <v>105</v>
      </c>
      <c r="C1778" t="str">
        <f>SUBSTITUTE(Table1[[#This Row],[Fuel]],", ",",")</f>
        <v>bioenergy: agricultural waste (solids),bioenergy: wood &amp; other biomass (solids)</v>
      </c>
      <c r="D1778" t="s">
        <v>46</v>
      </c>
      <c r="E1778" t="s">
        <v>25</v>
      </c>
      <c r="G1778">
        <v>3</v>
      </c>
      <c r="H1778" t="s">
        <v>27</v>
      </c>
      <c r="I1778">
        <v>2018</v>
      </c>
      <c r="J1778" t="s">
        <v>21</v>
      </c>
      <c r="K1778">
        <v>37.186500000000002</v>
      </c>
      <c r="L1778">
        <v>119.98990000000001</v>
      </c>
      <c r="M1778" t="s">
        <v>102</v>
      </c>
      <c r="N1778" s="2">
        <f>Table1[[#This Row],[Capacity (MW)]]*8760*0.72*10^-6</f>
        <v>1.8921599999999997E-2</v>
      </c>
      <c r="O1778" s="2" cm="1">
        <f t="array" ref="O1778">AVERAGE(VLOOKUP(_xlfn.TEXTSPLIT(Table1[[#This Row],[Fuel (no space after comma)]], ","), FuelList_Final_EF!$A$2:$B$32, 2, FALSE))</f>
        <v>105.985</v>
      </c>
      <c r="P1778" s="2">
        <f>(16112*Table1[[#This Row],[Generation (TWh)]]*10^9)/10^6</f>
        <v>304864.81919999991</v>
      </c>
      <c r="Q1778" s="2">
        <f>Table1[[#This Row],[Emission Factor (kg CO2/ mmBtu)]]*Table1[[#This Row],[Fuel Consumption (mmBtu)]]*10^3</f>
        <v>32311097862.911991</v>
      </c>
      <c r="R1778" s="2">
        <f>(Table1[[#This Row],[CO2 Emissions (g CO2)]])/(Table1[[#This Row],[Generation (TWh)]]*10^9)</f>
        <v>1707.6303199999998</v>
      </c>
    </row>
    <row r="1779" spans="1:18" hidden="1">
      <c r="A1779" t="s">
        <v>492</v>
      </c>
      <c r="B1779" t="s">
        <v>46</v>
      </c>
      <c r="C1779" t="str">
        <f>SUBSTITUTE(Table1[[#This Row],[Fuel]],", ",",")</f>
        <v>bioenergy: agricultural waste (solids)</v>
      </c>
      <c r="D1779" t="s">
        <v>46</v>
      </c>
      <c r="G1779">
        <v>19.600000000000001</v>
      </c>
      <c r="H1779" t="s">
        <v>27</v>
      </c>
      <c r="I1779">
        <v>2016</v>
      </c>
      <c r="J1779" t="s">
        <v>21</v>
      </c>
      <c r="K1779">
        <v>34.8444</v>
      </c>
      <c r="L1779">
        <v>117.99209999999999</v>
      </c>
      <c r="M1779" t="s">
        <v>102</v>
      </c>
      <c r="N1779" s="2">
        <f>Table1[[#This Row],[Capacity (MW)]]*8760*0.72*10^-6</f>
        <v>0.12362111999999999</v>
      </c>
      <c r="O1779" s="2" cm="1">
        <f t="array" ref="O1779">AVERAGE(VLOOKUP(_xlfn.TEXTSPLIT(Table1[[#This Row],[Fuel (no space after comma)]], ","), FuelList_Final_EF!$A$2:$B$32, 2, FALSE))</f>
        <v>118.17</v>
      </c>
      <c r="P1779" s="2">
        <f>(16112*Table1[[#This Row],[Generation (TWh)]]*10^9)/10^6</f>
        <v>1991783.4854399997</v>
      </c>
      <c r="Q1779" s="2">
        <f>Table1[[#This Row],[Emission Factor (kg CO2/ mmBtu)]]*Table1[[#This Row],[Fuel Consumption (mmBtu)]]*10^3</f>
        <v>235369054474.44476</v>
      </c>
      <c r="R1779" s="2">
        <f>(Table1[[#This Row],[CO2 Emissions (g CO2)]])/(Table1[[#This Row],[Generation (TWh)]]*10^9)</f>
        <v>1903.9550399999998</v>
      </c>
    </row>
    <row r="1780" spans="1:18" hidden="1">
      <c r="A1780" t="s">
        <v>1099</v>
      </c>
      <c r="B1780" t="s">
        <v>46</v>
      </c>
      <c r="C1780" t="str">
        <f>SUBSTITUTE(Table1[[#This Row],[Fuel]],", ",",")</f>
        <v>bioenergy: agricultural waste (solids)</v>
      </c>
      <c r="D1780" t="s">
        <v>46</v>
      </c>
      <c r="G1780">
        <v>20.399999999999999</v>
      </c>
      <c r="H1780" t="s">
        <v>27</v>
      </c>
      <c r="I1780">
        <v>2016</v>
      </c>
      <c r="J1780" t="s">
        <v>21</v>
      </c>
      <c r="K1780">
        <v>34.8444</v>
      </c>
      <c r="L1780">
        <v>117.99209999999999</v>
      </c>
      <c r="M1780" t="s">
        <v>102</v>
      </c>
      <c r="N1780" s="2">
        <f>Table1[[#This Row],[Capacity (MW)]]*8760*0.72*10^-6</f>
        <v>0.12866687999999998</v>
      </c>
      <c r="O1780" s="2" cm="1">
        <f t="array" ref="O1780">AVERAGE(VLOOKUP(_xlfn.TEXTSPLIT(Table1[[#This Row],[Fuel (no space after comma)]], ","), FuelList_Final_EF!$A$2:$B$32, 2, FALSE))</f>
        <v>118.17</v>
      </c>
      <c r="P1780" s="2">
        <f>(16112*Table1[[#This Row],[Generation (TWh)]]*10^9)/10^6</f>
        <v>2073080.7705599996</v>
      </c>
      <c r="Q1780" s="2">
        <f>Table1[[#This Row],[Emission Factor (kg CO2/ mmBtu)]]*Table1[[#This Row],[Fuel Consumption (mmBtu)]]*10^3</f>
        <v>244975954657.07516</v>
      </c>
      <c r="R1780" s="2">
        <f>(Table1[[#This Row],[CO2 Emissions (g CO2)]])/(Table1[[#This Row],[Generation (TWh)]]*10^9)</f>
        <v>1903.9550400000001</v>
      </c>
    </row>
    <row r="1781" spans="1:18" hidden="1">
      <c r="A1781" t="s">
        <v>1099</v>
      </c>
      <c r="B1781" t="s">
        <v>46</v>
      </c>
      <c r="C1781" t="str">
        <f>SUBSTITUTE(Table1[[#This Row],[Fuel]],", ",",")</f>
        <v>bioenergy: agricultural waste (solids)</v>
      </c>
      <c r="D1781" t="s">
        <v>46</v>
      </c>
      <c r="G1781">
        <v>20.399999999999999</v>
      </c>
      <c r="H1781" t="s">
        <v>27</v>
      </c>
      <c r="I1781">
        <v>2016</v>
      </c>
      <c r="J1781" t="s">
        <v>21</v>
      </c>
      <c r="K1781">
        <v>34.8444</v>
      </c>
      <c r="L1781">
        <v>117.99209999999999</v>
      </c>
      <c r="M1781" t="s">
        <v>102</v>
      </c>
      <c r="N1781" s="2">
        <f>Table1[[#This Row],[Capacity (MW)]]*8760*0.72*10^-6</f>
        <v>0.12866687999999998</v>
      </c>
      <c r="O1781" s="2" cm="1">
        <f t="array" ref="O1781">AVERAGE(VLOOKUP(_xlfn.TEXTSPLIT(Table1[[#This Row],[Fuel (no space after comma)]], ","), FuelList_Final_EF!$A$2:$B$32, 2, FALSE))</f>
        <v>118.17</v>
      </c>
      <c r="P1781" s="2">
        <f>(16112*Table1[[#This Row],[Generation (TWh)]]*10^9)/10^6</f>
        <v>2073080.7705599996</v>
      </c>
      <c r="Q1781" s="2">
        <f>Table1[[#This Row],[Emission Factor (kg CO2/ mmBtu)]]*Table1[[#This Row],[Fuel Consumption (mmBtu)]]*10^3</f>
        <v>244975954657.07516</v>
      </c>
      <c r="R1781" s="2">
        <f>(Table1[[#This Row],[CO2 Emissions (g CO2)]])/(Table1[[#This Row],[Generation (TWh)]]*10^9)</f>
        <v>1903.9550400000001</v>
      </c>
    </row>
    <row r="1782" spans="1:18" hidden="1">
      <c r="A1782" t="s">
        <v>492</v>
      </c>
      <c r="B1782" t="s">
        <v>46</v>
      </c>
      <c r="C1782" t="str">
        <f>SUBSTITUTE(Table1[[#This Row],[Fuel]],", ",",")</f>
        <v>bioenergy: agricultural waste (solids)</v>
      </c>
      <c r="D1782" t="s">
        <v>46</v>
      </c>
      <c r="G1782">
        <v>19.600000000000001</v>
      </c>
      <c r="H1782" t="s">
        <v>27</v>
      </c>
      <c r="I1782">
        <v>2016</v>
      </c>
      <c r="J1782" t="s">
        <v>21</v>
      </c>
      <c r="K1782">
        <v>34.8444</v>
      </c>
      <c r="L1782">
        <v>117.99209999999999</v>
      </c>
      <c r="M1782" t="s">
        <v>102</v>
      </c>
      <c r="N1782" s="2">
        <f>Table1[[#This Row],[Capacity (MW)]]*8760*0.72*10^-6</f>
        <v>0.12362111999999999</v>
      </c>
      <c r="O1782" s="2" cm="1">
        <f t="array" ref="O1782">AVERAGE(VLOOKUP(_xlfn.TEXTSPLIT(Table1[[#This Row],[Fuel (no space after comma)]], ","), FuelList_Final_EF!$A$2:$B$32, 2, FALSE))</f>
        <v>118.17</v>
      </c>
      <c r="P1782" s="2">
        <f>(16112*Table1[[#This Row],[Generation (TWh)]]*10^9)/10^6</f>
        <v>1991783.4854399997</v>
      </c>
      <c r="Q1782" s="2">
        <f>Table1[[#This Row],[Emission Factor (kg CO2/ mmBtu)]]*Table1[[#This Row],[Fuel Consumption (mmBtu)]]*10^3</f>
        <v>235369054474.44476</v>
      </c>
      <c r="R1782" s="2">
        <f>(Table1[[#This Row],[CO2 Emissions (g CO2)]])/(Table1[[#This Row],[Generation (TWh)]]*10^9)</f>
        <v>1903.9550399999998</v>
      </c>
    </row>
    <row r="1783" spans="1:18" hidden="1">
      <c r="A1783" t="s">
        <v>1091</v>
      </c>
      <c r="B1783" t="s">
        <v>105</v>
      </c>
      <c r="C1783" t="str">
        <f>SUBSTITUTE(Table1[[#This Row],[Fuel]],", ",",")</f>
        <v>bioenergy: agricultural waste (solids),bioenergy: wood &amp; other biomass (solids)</v>
      </c>
      <c r="D1783" t="s">
        <v>46</v>
      </c>
      <c r="E1783" t="s">
        <v>25</v>
      </c>
      <c r="G1783">
        <v>30</v>
      </c>
      <c r="H1783" t="s">
        <v>27</v>
      </c>
      <c r="I1783">
        <v>2020</v>
      </c>
      <c r="J1783" t="s">
        <v>21</v>
      </c>
      <c r="K1783">
        <v>35.81</v>
      </c>
      <c r="L1783">
        <v>116.0292</v>
      </c>
      <c r="M1783" t="s">
        <v>102</v>
      </c>
      <c r="N1783" s="2">
        <f>Table1[[#This Row],[Capacity (MW)]]*8760*0.72*10^-6</f>
        <v>0.189216</v>
      </c>
      <c r="O1783" s="2" cm="1">
        <f t="array" ref="O1783">AVERAGE(VLOOKUP(_xlfn.TEXTSPLIT(Table1[[#This Row],[Fuel (no space after comma)]], ","), FuelList_Final_EF!$A$2:$B$32, 2, FALSE))</f>
        <v>105.985</v>
      </c>
      <c r="P1783" s="2">
        <f>(16112*Table1[[#This Row],[Generation (TWh)]]*10^9)/10^6</f>
        <v>3048648.1919999998</v>
      </c>
      <c r="Q1783" s="2">
        <f>Table1[[#This Row],[Emission Factor (kg CO2/ mmBtu)]]*Table1[[#This Row],[Fuel Consumption (mmBtu)]]*10^3</f>
        <v>323110978629.12</v>
      </c>
      <c r="R1783" s="2">
        <f>(Table1[[#This Row],[CO2 Emissions (g CO2)]])/(Table1[[#This Row],[Generation (TWh)]]*10^9)</f>
        <v>1707.63032</v>
      </c>
    </row>
    <row r="1784" spans="1:18">
      <c r="A1784" t="s">
        <v>1100</v>
      </c>
      <c r="B1784" t="s">
        <v>96</v>
      </c>
      <c r="C1784" t="str">
        <f>SUBSTITUTE(Table1[[#This Row],[Fuel]],", ",",")</f>
        <v>bioenergy: unknown</v>
      </c>
      <c r="D1784" t="s">
        <v>96</v>
      </c>
      <c r="G1784">
        <v>50</v>
      </c>
      <c r="H1784" t="s">
        <v>27</v>
      </c>
      <c r="I1784" t="s">
        <v>21</v>
      </c>
      <c r="J1784" t="s">
        <v>21</v>
      </c>
      <c r="K1784">
        <v>36.794699999999999</v>
      </c>
      <c r="L1784">
        <v>115.742</v>
      </c>
      <c r="M1784" t="s">
        <v>102</v>
      </c>
      <c r="N1784" s="2">
        <f>Table1[[#This Row],[Capacity (MW)]]*8760*0.72*10^-6</f>
        <v>0.31535999999999997</v>
      </c>
      <c r="O1784" s="2" cm="1">
        <f t="array" ref="O1784">AVERAGE(VLOOKUP(_xlfn.TEXTSPLIT(Table1[[#This Row],[Fuel (no space after comma)]], ","), FuelList_Final_EF!$A$2:$B$32, 2, FALSE))</f>
        <v>72.785606017598653</v>
      </c>
      <c r="P1784" s="2">
        <f>(16112*Table1[[#This Row],[Generation (TWh)]]*10^9)/10^6</f>
        <v>5081080.32</v>
      </c>
      <c r="Q1784" s="2">
        <f>Table1[[#This Row],[Emission Factor (kg CO2/ mmBtu)]]*Table1[[#This Row],[Fuel Consumption (mmBtu)]]*10^3</f>
        <v>369829510315.29407</v>
      </c>
      <c r="R1784" s="2">
        <f>(Table1[[#This Row],[CO2 Emissions (g CO2)]])/(Table1[[#This Row],[Generation (TWh)]]*10^9)</f>
        <v>1172.7216841555494</v>
      </c>
    </row>
    <row r="1785" spans="1:18" hidden="1">
      <c r="A1785" t="s">
        <v>528</v>
      </c>
      <c r="B1785" t="s">
        <v>41</v>
      </c>
      <c r="C1785" t="str">
        <f>SUBSTITUTE(Table1[[#This Row],[Fuel]],", ",",")</f>
        <v>bioenergy: refuse (municipal and industrial wastes),bioenergy: wastewater and sewage sludge (solids or biogas)</v>
      </c>
      <c r="D1785" t="s">
        <v>19</v>
      </c>
      <c r="E1785" t="s">
        <v>42</v>
      </c>
      <c r="G1785">
        <v>30</v>
      </c>
      <c r="H1785" t="s">
        <v>27</v>
      </c>
      <c r="I1785">
        <v>2018</v>
      </c>
      <c r="J1785" t="s">
        <v>21</v>
      </c>
      <c r="K1785">
        <v>35.110500000000002</v>
      </c>
      <c r="L1785">
        <v>118.23220000000001</v>
      </c>
      <c r="M1785" t="s">
        <v>102</v>
      </c>
      <c r="N1785" s="2">
        <f>Table1[[#This Row],[Capacity (MW)]]*8760*0.72*10^-6</f>
        <v>0.189216</v>
      </c>
      <c r="O1785" s="2" cm="1">
        <f t="array" ref="O1785">AVERAGE(VLOOKUP(_xlfn.TEXTSPLIT(Table1[[#This Row],[Fuel (no space after comma)]], ","), FuelList_Final_EF!$A$2:$B$32, 2, FALSE))</f>
        <v>81.497100685292565</v>
      </c>
      <c r="P1785" s="2">
        <f>(16112*Table1[[#This Row],[Generation (TWh)]]*10^9)/10^6</f>
        <v>3048648.1919999998</v>
      </c>
      <c r="Q1785" s="2">
        <f>Table1[[#This Row],[Emission Factor (kg CO2/ mmBtu)]]*Table1[[#This Row],[Fuel Consumption (mmBtu)]]*10^3</f>
        <v>248455988657.45911</v>
      </c>
      <c r="R1785" s="2">
        <f>(Table1[[#This Row],[CO2 Emissions (g CO2)]])/(Table1[[#This Row],[Generation (TWh)]]*10^9)</f>
        <v>1313.0812862414336</v>
      </c>
    </row>
    <row r="1786" spans="1:18" hidden="1">
      <c r="A1786" t="s">
        <v>1101</v>
      </c>
      <c r="B1786" t="s">
        <v>19</v>
      </c>
      <c r="C1786" t="str">
        <f>SUBSTITUTE(Table1[[#This Row],[Fuel]],", ",",")</f>
        <v>bioenergy: refuse (municipal and industrial wastes)</v>
      </c>
      <c r="D1786" t="s">
        <v>19</v>
      </c>
      <c r="G1786">
        <v>35</v>
      </c>
      <c r="H1786" t="s">
        <v>27</v>
      </c>
      <c r="I1786">
        <v>2021</v>
      </c>
      <c r="J1786" t="s">
        <v>21</v>
      </c>
      <c r="K1786">
        <v>35.328299999999999</v>
      </c>
      <c r="L1786">
        <v>118.3094</v>
      </c>
      <c r="M1786" t="s">
        <v>102</v>
      </c>
      <c r="N1786" s="2">
        <f>Table1[[#This Row],[Capacity (MW)]]*8760*0.72*10^-6</f>
        <v>0.220752</v>
      </c>
      <c r="O1786" s="2" cm="1">
        <f t="array" ref="O1786">AVERAGE(VLOOKUP(_xlfn.TEXTSPLIT(Table1[[#This Row],[Fuel (no space after comma)]], ","), FuelList_Final_EF!$A$2:$B$32, 2, FALSE))</f>
        <v>105.42962572482868</v>
      </c>
      <c r="P1786" s="2">
        <f>(16112*Table1[[#This Row],[Generation (TWh)]]*10^9)/10^6</f>
        <v>3556756.2239999999</v>
      </c>
      <c r="Q1786" s="2">
        <f>Table1[[#This Row],[Emission Factor (kg CO2/ mmBtu)]]*Table1[[#This Row],[Fuel Consumption (mmBtu)]]*10^3</f>
        <v>374987477490.7749</v>
      </c>
      <c r="R1786" s="2">
        <f>(Table1[[#This Row],[CO2 Emissions (g CO2)]])/(Table1[[#This Row],[Generation (TWh)]]*10^9)</f>
        <v>1698.6821296784397</v>
      </c>
    </row>
    <row r="1787" spans="1:18" hidden="1">
      <c r="A1787" t="s">
        <v>117</v>
      </c>
      <c r="B1787" t="s">
        <v>105</v>
      </c>
      <c r="C1787" t="str">
        <f>SUBSTITUTE(Table1[[#This Row],[Fuel]],", ",",")</f>
        <v>bioenergy: agricultural waste (solids),bioenergy: wood &amp; other biomass (solids)</v>
      </c>
      <c r="D1787" t="s">
        <v>46</v>
      </c>
      <c r="E1787" t="s">
        <v>25</v>
      </c>
      <c r="G1787">
        <v>30</v>
      </c>
      <c r="H1787" t="s">
        <v>27</v>
      </c>
      <c r="I1787">
        <v>2011</v>
      </c>
      <c r="J1787" t="s">
        <v>21</v>
      </c>
      <c r="K1787">
        <v>35.107300000000002</v>
      </c>
      <c r="L1787">
        <v>118.35599999999999</v>
      </c>
      <c r="M1787" t="s">
        <v>102</v>
      </c>
      <c r="N1787" s="2">
        <f>Table1[[#This Row],[Capacity (MW)]]*8760*0.72*10^-6</f>
        <v>0.189216</v>
      </c>
      <c r="O1787" s="2" cm="1">
        <f t="array" ref="O1787">AVERAGE(VLOOKUP(_xlfn.TEXTSPLIT(Table1[[#This Row],[Fuel (no space after comma)]], ","), FuelList_Final_EF!$A$2:$B$32, 2, FALSE))</f>
        <v>105.985</v>
      </c>
      <c r="P1787" s="2">
        <f>(16112*Table1[[#This Row],[Generation (TWh)]]*10^9)/10^6</f>
        <v>3048648.1919999998</v>
      </c>
      <c r="Q1787" s="2">
        <f>Table1[[#This Row],[Emission Factor (kg CO2/ mmBtu)]]*Table1[[#This Row],[Fuel Consumption (mmBtu)]]*10^3</f>
        <v>323110978629.12</v>
      </c>
      <c r="R1787" s="2">
        <f>(Table1[[#This Row],[CO2 Emissions (g CO2)]])/(Table1[[#This Row],[Generation (TWh)]]*10^9)</f>
        <v>1707.63032</v>
      </c>
    </row>
    <row r="1788" spans="1:18">
      <c r="A1788" t="s">
        <v>54</v>
      </c>
      <c r="B1788" t="s">
        <v>46</v>
      </c>
      <c r="C1788" t="str">
        <f>SUBSTITUTE(Table1[[#This Row],[Fuel]],", ",",")</f>
        <v>bioenergy: agricultural waste (solids)</v>
      </c>
      <c r="D1788" t="s">
        <v>46</v>
      </c>
      <c r="G1788">
        <v>10</v>
      </c>
      <c r="H1788" t="s">
        <v>53</v>
      </c>
      <c r="I1788" t="s">
        <v>21</v>
      </c>
      <c r="J1788" t="s">
        <v>21</v>
      </c>
      <c r="K1788">
        <v>36.800800000000002</v>
      </c>
      <c r="L1788">
        <v>118.22369999999999</v>
      </c>
      <c r="M1788" t="s">
        <v>102</v>
      </c>
      <c r="N1788" s="2">
        <f>Table1[[#This Row],[Capacity (MW)]]*8760*0.72*10^-6</f>
        <v>6.3072000000000003E-2</v>
      </c>
      <c r="O1788" s="2" cm="1">
        <f t="array" ref="O1788">AVERAGE(VLOOKUP(_xlfn.TEXTSPLIT(Table1[[#This Row],[Fuel (no space after comma)]], ","), FuelList_Final_EF!$A$2:$B$32, 2, FALSE))</f>
        <v>118.17</v>
      </c>
      <c r="P1788" s="2">
        <f>(16112*Table1[[#This Row],[Generation (TWh)]]*10^9)/10^6</f>
        <v>1016216.0640000001</v>
      </c>
      <c r="Q1788" s="2">
        <f>Table1[[#This Row],[Emission Factor (kg CO2/ mmBtu)]]*Table1[[#This Row],[Fuel Consumption (mmBtu)]]*10^3</f>
        <v>120086252282.88002</v>
      </c>
      <c r="R1788" s="2">
        <f>(Table1[[#This Row],[CO2 Emissions (g CO2)]])/(Table1[[#This Row],[Generation (TWh)]]*10^9)</f>
        <v>1903.9550400000003</v>
      </c>
    </row>
    <row r="1789" spans="1:18">
      <c r="A1789" t="s">
        <v>1102</v>
      </c>
      <c r="B1789" t="s">
        <v>46</v>
      </c>
      <c r="C1789" t="str">
        <f>SUBSTITUTE(Table1[[#This Row],[Fuel]],", ",",")</f>
        <v>bioenergy: agricultural waste (solids)</v>
      </c>
      <c r="D1789" t="s">
        <v>46</v>
      </c>
      <c r="G1789">
        <v>5</v>
      </c>
      <c r="H1789" t="s">
        <v>53</v>
      </c>
      <c r="I1789" t="s">
        <v>21</v>
      </c>
      <c r="J1789" t="s">
        <v>21</v>
      </c>
      <c r="K1789">
        <v>36.800800000000002</v>
      </c>
      <c r="L1789">
        <v>118.22369999999999</v>
      </c>
      <c r="M1789" t="s">
        <v>102</v>
      </c>
      <c r="N1789" s="2">
        <f>Table1[[#This Row],[Capacity (MW)]]*8760*0.72*10^-6</f>
        <v>3.1536000000000002E-2</v>
      </c>
      <c r="O1789" s="2" cm="1">
        <f t="array" ref="O1789">AVERAGE(VLOOKUP(_xlfn.TEXTSPLIT(Table1[[#This Row],[Fuel (no space after comma)]], ","), FuelList_Final_EF!$A$2:$B$32, 2, FALSE))</f>
        <v>118.17</v>
      </c>
      <c r="P1789" s="2">
        <f>(16112*Table1[[#This Row],[Generation (TWh)]]*10^9)/10^6</f>
        <v>508108.03200000006</v>
      </c>
      <c r="Q1789" s="2">
        <f>Table1[[#This Row],[Emission Factor (kg CO2/ mmBtu)]]*Table1[[#This Row],[Fuel Consumption (mmBtu)]]*10^3</f>
        <v>60043126141.44001</v>
      </c>
      <c r="R1789" s="2">
        <f>(Table1[[#This Row],[CO2 Emissions (g CO2)]])/(Table1[[#This Row],[Generation (TWh)]]*10^9)</f>
        <v>1903.9550400000003</v>
      </c>
    </row>
    <row r="1790" spans="1:18">
      <c r="A1790" t="s">
        <v>1103</v>
      </c>
      <c r="B1790" t="s">
        <v>46</v>
      </c>
      <c r="C1790" t="str">
        <f>SUBSTITUTE(Table1[[#This Row],[Fuel]],", ",",")</f>
        <v>bioenergy: agricultural waste (solids)</v>
      </c>
      <c r="D1790" t="s">
        <v>46</v>
      </c>
      <c r="G1790">
        <v>35</v>
      </c>
      <c r="H1790" t="s">
        <v>53</v>
      </c>
      <c r="I1790" t="s">
        <v>21</v>
      </c>
      <c r="J1790" t="s">
        <v>21</v>
      </c>
      <c r="K1790">
        <v>36.800800000000002</v>
      </c>
      <c r="L1790">
        <v>118.22369999999999</v>
      </c>
      <c r="M1790" t="s">
        <v>102</v>
      </c>
      <c r="N1790" s="2">
        <f>Table1[[#This Row],[Capacity (MW)]]*8760*0.72*10^-6</f>
        <v>0.220752</v>
      </c>
      <c r="O1790" s="2" cm="1">
        <f t="array" ref="O1790">AVERAGE(VLOOKUP(_xlfn.TEXTSPLIT(Table1[[#This Row],[Fuel (no space after comma)]], ","), FuelList_Final_EF!$A$2:$B$32, 2, FALSE))</f>
        <v>118.17</v>
      </c>
      <c r="P1790" s="2">
        <f>(16112*Table1[[#This Row],[Generation (TWh)]]*10^9)/10^6</f>
        <v>3556756.2239999999</v>
      </c>
      <c r="Q1790" s="2">
        <f>Table1[[#This Row],[Emission Factor (kg CO2/ mmBtu)]]*Table1[[#This Row],[Fuel Consumption (mmBtu)]]*10^3</f>
        <v>420301882990.08002</v>
      </c>
      <c r="R1790" s="2">
        <f>(Table1[[#This Row],[CO2 Emissions (g CO2)]])/(Table1[[#This Row],[Generation (TWh)]]*10^9)</f>
        <v>1903.9550400000001</v>
      </c>
    </row>
    <row r="1791" spans="1:18" hidden="1">
      <c r="A1791" t="s">
        <v>539</v>
      </c>
      <c r="B1791" t="s">
        <v>19</v>
      </c>
      <c r="C1791" t="str">
        <f>SUBSTITUTE(Table1[[#This Row],[Fuel]],", ",",")</f>
        <v>bioenergy: refuse (municipal and industrial wastes)</v>
      </c>
      <c r="D1791" t="s">
        <v>19</v>
      </c>
      <c r="G1791">
        <v>10.5</v>
      </c>
      <c r="H1791" t="s">
        <v>27</v>
      </c>
      <c r="I1791">
        <v>2018</v>
      </c>
      <c r="J1791" t="s">
        <v>21</v>
      </c>
      <c r="K1791">
        <v>36.953400000000002</v>
      </c>
      <c r="L1791">
        <v>118.29770000000001</v>
      </c>
      <c r="M1791" t="s">
        <v>102</v>
      </c>
      <c r="N1791" s="2">
        <f>Table1[[#This Row],[Capacity (MW)]]*8760*0.72*10^-6</f>
        <v>6.6225599999999982E-2</v>
      </c>
      <c r="O1791" s="2" cm="1">
        <f t="array" ref="O1791">AVERAGE(VLOOKUP(_xlfn.TEXTSPLIT(Table1[[#This Row],[Fuel (no space after comma)]], ","), FuelList_Final_EF!$A$2:$B$32, 2, FALSE))</f>
        <v>105.42962572482868</v>
      </c>
      <c r="P1791" s="2">
        <f>(16112*Table1[[#This Row],[Generation (TWh)]]*10^9)/10^6</f>
        <v>1067026.8671999997</v>
      </c>
      <c r="Q1791" s="2">
        <f>Table1[[#This Row],[Emission Factor (kg CO2/ mmBtu)]]*Table1[[#This Row],[Fuel Consumption (mmBtu)]]*10^3</f>
        <v>112496243247.23245</v>
      </c>
      <c r="R1791" s="2">
        <f>(Table1[[#This Row],[CO2 Emissions (g CO2)]])/(Table1[[#This Row],[Generation (TWh)]]*10^9)</f>
        <v>1698.6821296784397</v>
      </c>
    </row>
    <row r="1792" spans="1:18" hidden="1">
      <c r="A1792" t="s">
        <v>1104</v>
      </c>
      <c r="B1792" t="s">
        <v>19</v>
      </c>
      <c r="C1792" t="str">
        <f>SUBSTITUTE(Table1[[#This Row],[Fuel]],", ",",")</f>
        <v>bioenergy: refuse (municipal and industrial wastes)</v>
      </c>
      <c r="D1792" t="s">
        <v>19</v>
      </c>
      <c r="G1792">
        <v>24.5</v>
      </c>
      <c r="H1792" t="s">
        <v>27</v>
      </c>
      <c r="I1792">
        <v>2018</v>
      </c>
      <c r="J1792" t="s">
        <v>21</v>
      </c>
      <c r="K1792">
        <v>36.953400000000002</v>
      </c>
      <c r="L1792">
        <v>118.29770000000001</v>
      </c>
      <c r="M1792" t="s">
        <v>102</v>
      </c>
      <c r="N1792" s="2">
        <f>Table1[[#This Row],[Capacity (MW)]]*8760*0.72*10^-6</f>
        <v>0.15452639999999998</v>
      </c>
      <c r="O1792" s="2" cm="1">
        <f t="array" ref="O1792">AVERAGE(VLOOKUP(_xlfn.TEXTSPLIT(Table1[[#This Row],[Fuel (no space after comma)]], ","), FuelList_Final_EF!$A$2:$B$32, 2, FALSE))</f>
        <v>105.42962572482868</v>
      </c>
      <c r="P1792" s="2">
        <f>(16112*Table1[[#This Row],[Generation (TWh)]]*10^9)/10^6</f>
        <v>2489729.3567999997</v>
      </c>
      <c r="Q1792" s="2">
        <f>Table1[[#This Row],[Emission Factor (kg CO2/ mmBtu)]]*Table1[[#This Row],[Fuel Consumption (mmBtu)]]*10^3</f>
        <v>262491234243.54242</v>
      </c>
      <c r="R1792" s="2">
        <f>(Table1[[#This Row],[CO2 Emissions (g CO2)]])/(Table1[[#This Row],[Generation (TWh)]]*10^9)</f>
        <v>1698.6821296784399</v>
      </c>
    </row>
    <row r="1793" spans="1:18" hidden="1">
      <c r="A1793" t="s">
        <v>539</v>
      </c>
      <c r="B1793" t="s">
        <v>19</v>
      </c>
      <c r="C1793" t="str">
        <f>SUBSTITUTE(Table1[[#This Row],[Fuel]],", ",",")</f>
        <v>bioenergy: refuse (municipal and industrial wastes)</v>
      </c>
      <c r="D1793" t="s">
        <v>19</v>
      </c>
      <c r="G1793">
        <v>10.5</v>
      </c>
      <c r="H1793" t="s">
        <v>27</v>
      </c>
      <c r="I1793">
        <v>2018</v>
      </c>
      <c r="J1793" t="s">
        <v>21</v>
      </c>
      <c r="K1793">
        <v>36.953400000000002</v>
      </c>
      <c r="L1793">
        <v>118.29770000000001</v>
      </c>
      <c r="M1793" t="s">
        <v>102</v>
      </c>
      <c r="N1793" s="2">
        <f>Table1[[#This Row],[Capacity (MW)]]*8760*0.72*10^-6</f>
        <v>6.6225599999999982E-2</v>
      </c>
      <c r="O1793" s="2" cm="1">
        <f t="array" ref="O1793">AVERAGE(VLOOKUP(_xlfn.TEXTSPLIT(Table1[[#This Row],[Fuel (no space after comma)]], ","), FuelList_Final_EF!$A$2:$B$32, 2, FALSE))</f>
        <v>105.42962572482868</v>
      </c>
      <c r="P1793" s="2">
        <f>(16112*Table1[[#This Row],[Generation (TWh)]]*10^9)/10^6</f>
        <v>1067026.8671999997</v>
      </c>
      <c r="Q1793" s="2">
        <f>Table1[[#This Row],[Emission Factor (kg CO2/ mmBtu)]]*Table1[[#This Row],[Fuel Consumption (mmBtu)]]*10^3</f>
        <v>112496243247.23245</v>
      </c>
      <c r="R1793" s="2">
        <f>(Table1[[#This Row],[CO2 Emissions (g CO2)]])/(Table1[[#This Row],[Generation (TWh)]]*10^9)</f>
        <v>1698.6821296784397</v>
      </c>
    </row>
    <row r="1794" spans="1:18" hidden="1">
      <c r="A1794" t="s">
        <v>1104</v>
      </c>
      <c r="B1794" t="s">
        <v>19</v>
      </c>
      <c r="C1794" t="str">
        <f>SUBSTITUTE(Table1[[#This Row],[Fuel]],", ",",")</f>
        <v>bioenergy: refuse (municipal and industrial wastes)</v>
      </c>
      <c r="D1794" t="s">
        <v>19</v>
      </c>
      <c r="G1794">
        <v>24.5</v>
      </c>
      <c r="H1794" t="s">
        <v>27</v>
      </c>
      <c r="I1794">
        <v>2018</v>
      </c>
      <c r="J1794" t="s">
        <v>21</v>
      </c>
      <c r="K1794">
        <v>36.953400000000002</v>
      </c>
      <c r="L1794">
        <v>118.29770000000001</v>
      </c>
      <c r="M1794" t="s">
        <v>102</v>
      </c>
      <c r="N1794" s="2">
        <f>Table1[[#This Row],[Capacity (MW)]]*8760*0.72*10^-6</f>
        <v>0.15452639999999998</v>
      </c>
      <c r="O1794" s="2" cm="1">
        <f t="array" ref="O1794">AVERAGE(VLOOKUP(_xlfn.TEXTSPLIT(Table1[[#This Row],[Fuel (no space after comma)]], ","), FuelList_Final_EF!$A$2:$B$32, 2, FALSE))</f>
        <v>105.42962572482868</v>
      </c>
      <c r="P1794" s="2">
        <f>(16112*Table1[[#This Row],[Generation (TWh)]]*10^9)/10^6</f>
        <v>2489729.3567999997</v>
      </c>
      <c r="Q1794" s="2">
        <f>Table1[[#This Row],[Emission Factor (kg CO2/ mmBtu)]]*Table1[[#This Row],[Fuel Consumption (mmBtu)]]*10^3</f>
        <v>262491234243.54242</v>
      </c>
      <c r="R1794" s="2">
        <f>(Table1[[#This Row],[CO2 Emissions (g CO2)]])/(Table1[[#This Row],[Generation (TWh)]]*10^9)</f>
        <v>1698.6821296784399</v>
      </c>
    </row>
    <row r="1795" spans="1:18" hidden="1">
      <c r="A1795" t="s">
        <v>21</v>
      </c>
      <c r="B1795" t="s">
        <v>46</v>
      </c>
      <c r="C1795" t="str">
        <f>SUBSTITUTE(Table1[[#This Row],[Fuel]],", ",",")</f>
        <v>bioenergy: agricultural waste (solids)</v>
      </c>
      <c r="D1795" t="s">
        <v>46</v>
      </c>
      <c r="G1795">
        <v>30</v>
      </c>
      <c r="H1795" t="s">
        <v>27</v>
      </c>
      <c r="I1795">
        <v>2021</v>
      </c>
      <c r="J1795" t="s">
        <v>21</v>
      </c>
      <c r="K1795">
        <v>35.855200000000004</v>
      </c>
      <c r="L1795">
        <v>117.2236</v>
      </c>
      <c r="M1795" t="s">
        <v>102</v>
      </c>
      <c r="N1795" s="2">
        <f>Table1[[#This Row],[Capacity (MW)]]*8760*0.72*10^-6</f>
        <v>0.189216</v>
      </c>
      <c r="O1795" s="2" cm="1">
        <f t="array" ref="O1795">AVERAGE(VLOOKUP(_xlfn.TEXTSPLIT(Table1[[#This Row],[Fuel (no space after comma)]], ","), FuelList_Final_EF!$A$2:$B$32, 2, FALSE))</f>
        <v>118.17</v>
      </c>
      <c r="P1795" s="2">
        <f>(16112*Table1[[#This Row],[Generation (TWh)]]*10^9)/10^6</f>
        <v>3048648.1919999998</v>
      </c>
      <c r="Q1795" s="2">
        <f>Table1[[#This Row],[Emission Factor (kg CO2/ mmBtu)]]*Table1[[#This Row],[Fuel Consumption (mmBtu)]]*10^3</f>
        <v>360258756848.63995</v>
      </c>
      <c r="R1795" s="2">
        <f>(Table1[[#This Row],[CO2 Emissions (g CO2)]])/(Table1[[#This Row],[Generation (TWh)]]*10^9)</f>
        <v>1903.9550399999998</v>
      </c>
    </row>
    <row r="1796" spans="1:18" hidden="1">
      <c r="A1796" t="s">
        <v>117</v>
      </c>
      <c r="B1796" t="s">
        <v>105</v>
      </c>
      <c r="C1796" t="str">
        <f>SUBSTITUTE(Table1[[#This Row],[Fuel]],", ",",")</f>
        <v>bioenergy: agricultural waste (solids),bioenergy: wood &amp; other biomass (solids)</v>
      </c>
      <c r="D1796" t="s">
        <v>46</v>
      </c>
      <c r="E1796" t="s">
        <v>25</v>
      </c>
      <c r="G1796">
        <v>30</v>
      </c>
      <c r="H1796" t="s">
        <v>27</v>
      </c>
      <c r="I1796">
        <v>2010</v>
      </c>
      <c r="J1796" t="s">
        <v>21</v>
      </c>
      <c r="K1796">
        <v>35.763800000000003</v>
      </c>
      <c r="L1796">
        <v>116.8068</v>
      </c>
      <c r="M1796" t="s">
        <v>102</v>
      </c>
      <c r="N1796" s="2">
        <f>Table1[[#This Row],[Capacity (MW)]]*8760*0.72*10^-6</f>
        <v>0.189216</v>
      </c>
      <c r="O1796" s="2" cm="1">
        <f t="array" ref="O1796">AVERAGE(VLOOKUP(_xlfn.TEXTSPLIT(Table1[[#This Row],[Fuel (no space after comma)]], ","), FuelList_Final_EF!$A$2:$B$32, 2, FALSE))</f>
        <v>105.985</v>
      </c>
      <c r="P1796" s="2">
        <f>(16112*Table1[[#This Row],[Generation (TWh)]]*10^9)/10^6</f>
        <v>3048648.1919999998</v>
      </c>
      <c r="Q1796" s="2">
        <f>Table1[[#This Row],[Emission Factor (kg CO2/ mmBtu)]]*Table1[[#This Row],[Fuel Consumption (mmBtu)]]*10^3</f>
        <v>323110978629.12</v>
      </c>
      <c r="R1796" s="2">
        <f>(Table1[[#This Row],[CO2 Emissions (g CO2)]])/(Table1[[#This Row],[Generation (TWh)]]*10^9)</f>
        <v>1707.63032</v>
      </c>
    </row>
    <row r="1797" spans="1:18" hidden="1">
      <c r="A1797" t="s">
        <v>1090</v>
      </c>
      <c r="B1797" t="s">
        <v>46</v>
      </c>
      <c r="C1797" t="str">
        <f>SUBSTITUTE(Table1[[#This Row],[Fuel]],", ",",")</f>
        <v>bioenergy: agricultural waste (solids)</v>
      </c>
      <c r="D1797" t="s">
        <v>46</v>
      </c>
      <c r="G1797">
        <v>30</v>
      </c>
      <c r="H1797" t="s">
        <v>27</v>
      </c>
      <c r="I1797">
        <v>2015</v>
      </c>
      <c r="J1797" t="s">
        <v>21</v>
      </c>
      <c r="K1797">
        <v>35.510399999999997</v>
      </c>
      <c r="L1797">
        <v>117.765</v>
      </c>
      <c r="M1797" t="s">
        <v>102</v>
      </c>
      <c r="N1797" s="2">
        <f>Table1[[#This Row],[Capacity (MW)]]*8760*0.72*10^-6</f>
        <v>0.189216</v>
      </c>
      <c r="O1797" s="2" cm="1">
        <f t="array" ref="O1797">AVERAGE(VLOOKUP(_xlfn.TEXTSPLIT(Table1[[#This Row],[Fuel (no space after comma)]], ","), FuelList_Final_EF!$A$2:$B$32, 2, FALSE))</f>
        <v>118.17</v>
      </c>
      <c r="P1797" s="2">
        <f>(16112*Table1[[#This Row],[Generation (TWh)]]*10^9)/10^6</f>
        <v>3048648.1919999998</v>
      </c>
      <c r="Q1797" s="2">
        <f>Table1[[#This Row],[Emission Factor (kg CO2/ mmBtu)]]*Table1[[#This Row],[Fuel Consumption (mmBtu)]]*10^3</f>
        <v>360258756848.63995</v>
      </c>
      <c r="R1797" s="2">
        <f>(Table1[[#This Row],[CO2 Emissions (g CO2)]])/(Table1[[#This Row],[Generation (TWh)]]*10^9)</f>
        <v>1903.9550399999998</v>
      </c>
    </row>
    <row r="1798" spans="1:18" hidden="1">
      <c r="A1798" t="s">
        <v>54</v>
      </c>
      <c r="B1798" t="s">
        <v>46</v>
      </c>
      <c r="C1798" t="str">
        <f>SUBSTITUTE(Table1[[#This Row],[Fuel]],", ",",")</f>
        <v>bioenergy: agricultural waste (solids)</v>
      </c>
      <c r="D1798" t="s">
        <v>46</v>
      </c>
      <c r="G1798">
        <v>12</v>
      </c>
      <c r="H1798" t="s">
        <v>27</v>
      </c>
      <c r="I1798">
        <v>2013</v>
      </c>
      <c r="J1798" t="s">
        <v>21</v>
      </c>
      <c r="K1798">
        <v>36.278300000000002</v>
      </c>
      <c r="L1798">
        <v>116.4331</v>
      </c>
      <c r="M1798" t="s">
        <v>102</v>
      </c>
      <c r="N1798" s="2">
        <f>Table1[[#This Row],[Capacity (MW)]]*8760*0.72*10^-6</f>
        <v>7.5686399999999987E-2</v>
      </c>
      <c r="O1798" s="2" cm="1">
        <f t="array" ref="O1798">AVERAGE(VLOOKUP(_xlfn.TEXTSPLIT(Table1[[#This Row],[Fuel (no space after comma)]], ","), FuelList_Final_EF!$A$2:$B$32, 2, FALSE))</f>
        <v>118.17</v>
      </c>
      <c r="P1798" s="2">
        <f>(16112*Table1[[#This Row],[Generation (TWh)]]*10^9)/10^6</f>
        <v>1219459.2767999996</v>
      </c>
      <c r="Q1798" s="2">
        <f>Table1[[#This Row],[Emission Factor (kg CO2/ mmBtu)]]*Table1[[#This Row],[Fuel Consumption (mmBtu)]]*10^3</f>
        <v>144103502739.45596</v>
      </c>
      <c r="R1798" s="2">
        <f>(Table1[[#This Row],[CO2 Emissions (g CO2)]])/(Table1[[#This Row],[Generation (TWh)]]*10^9)</f>
        <v>1903.9550399999998</v>
      </c>
    </row>
    <row r="1799" spans="1:18" hidden="1">
      <c r="A1799" t="s">
        <v>1105</v>
      </c>
      <c r="B1799" t="s">
        <v>46</v>
      </c>
      <c r="C1799" t="str">
        <f>SUBSTITUTE(Table1[[#This Row],[Fuel]],", ",",")</f>
        <v>bioenergy: agricultural waste (solids)</v>
      </c>
      <c r="D1799" t="s">
        <v>46</v>
      </c>
      <c r="G1799">
        <v>18</v>
      </c>
      <c r="H1799" t="s">
        <v>27</v>
      </c>
      <c r="I1799">
        <v>2013</v>
      </c>
      <c r="J1799" t="s">
        <v>21</v>
      </c>
      <c r="K1799">
        <v>36.278300000000002</v>
      </c>
      <c r="L1799">
        <v>116.4331</v>
      </c>
      <c r="M1799" t="s">
        <v>102</v>
      </c>
      <c r="N1799" s="2">
        <f>Table1[[#This Row],[Capacity (MW)]]*8760*0.72*10^-6</f>
        <v>0.11352959999999998</v>
      </c>
      <c r="O1799" s="2" cm="1">
        <f t="array" ref="O1799">AVERAGE(VLOOKUP(_xlfn.TEXTSPLIT(Table1[[#This Row],[Fuel (no space after comma)]], ","), FuelList_Final_EF!$A$2:$B$32, 2, FALSE))</f>
        <v>118.17</v>
      </c>
      <c r="P1799" s="2">
        <f>(16112*Table1[[#This Row],[Generation (TWh)]]*10^9)/10^6</f>
        <v>1829188.9151999997</v>
      </c>
      <c r="Q1799" s="2">
        <f>Table1[[#This Row],[Emission Factor (kg CO2/ mmBtu)]]*Table1[[#This Row],[Fuel Consumption (mmBtu)]]*10^3</f>
        <v>216155254109.18396</v>
      </c>
      <c r="R1799" s="2">
        <f>(Table1[[#This Row],[CO2 Emissions (g CO2)]])/(Table1[[#This Row],[Generation (TWh)]]*10^9)</f>
        <v>1903.9550399999998</v>
      </c>
    </row>
    <row r="1800" spans="1:18">
      <c r="A1800" t="s">
        <v>1106</v>
      </c>
      <c r="B1800" t="s">
        <v>96</v>
      </c>
      <c r="C1800" t="str">
        <f>SUBSTITUTE(Table1[[#This Row],[Fuel]],", ",",")</f>
        <v>bioenergy: unknown</v>
      </c>
      <c r="D1800" t="s">
        <v>96</v>
      </c>
      <c r="G1800">
        <v>30</v>
      </c>
      <c r="H1800" t="s">
        <v>97</v>
      </c>
      <c r="I1800" t="s">
        <v>21</v>
      </c>
      <c r="J1800" t="s">
        <v>21</v>
      </c>
      <c r="K1800">
        <v>37.2378</v>
      </c>
      <c r="L1800">
        <v>116.27160000000001</v>
      </c>
      <c r="M1800" t="s">
        <v>102</v>
      </c>
      <c r="N1800" s="2">
        <f>Table1[[#This Row],[Capacity (MW)]]*8760*0.72*10^-6</f>
        <v>0.189216</v>
      </c>
      <c r="O1800" s="2" cm="1">
        <f t="array" ref="O1800">AVERAGE(VLOOKUP(_xlfn.TEXTSPLIT(Table1[[#This Row],[Fuel (no space after comma)]], ","), FuelList_Final_EF!$A$2:$B$32, 2, FALSE))</f>
        <v>72.785606017598653</v>
      </c>
      <c r="P1800" s="2">
        <f>(16112*Table1[[#This Row],[Generation (TWh)]]*10^9)/10^6</f>
        <v>3048648.1919999998</v>
      </c>
      <c r="Q1800" s="2">
        <f>Table1[[#This Row],[Emission Factor (kg CO2/ mmBtu)]]*Table1[[#This Row],[Fuel Consumption (mmBtu)]]*10^3</f>
        <v>221897706189.17645</v>
      </c>
      <c r="R1800" s="2">
        <f>(Table1[[#This Row],[CO2 Emissions (g CO2)]])/(Table1[[#This Row],[Generation (TWh)]]*10^9)</f>
        <v>1172.7216841555494</v>
      </c>
    </row>
    <row r="1801" spans="1:18" hidden="1">
      <c r="A1801" t="s">
        <v>482</v>
      </c>
      <c r="B1801" t="s">
        <v>19</v>
      </c>
      <c r="C1801" t="str">
        <f>SUBSTITUTE(Table1[[#This Row],[Fuel]],", ",",")</f>
        <v>bioenergy: refuse (municipal and industrial wastes)</v>
      </c>
      <c r="D1801" t="s">
        <v>19</v>
      </c>
      <c r="G1801">
        <v>21</v>
      </c>
      <c r="H1801" t="s">
        <v>27</v>
      </c>
      <c r="I1801">
        <v>2019</v>
      </c>
      <c r="J1801" t="s">
        <v>21</v>
      </c>
      <c r="K1801">
        <v>35.938499999999998</v>
      </c>
      <c r="L1801">
        <v>119.96</v>
      </c>
      <c r="M1801" t="s">
        <v>102</v>
      </c>
      <c r="N1801" s="2">
        <f>Table1[[#This Row],[Capacity (MW)]]*8760*0.72*10^-6</f>
        <v>0.13245119999999996</v>
      </c>
      <c r="O1801" s="2" cm="1">
        <f t="array" ref="O1801">AVERAGE(VLOOKUP(_xlfn.TEXTSPLIT(Table1[[#This Row],[Fuel (no space after comma)]], ","), FuelList_Final_EF!$A$2:$B$32, 2, FALSE))</f>
        <v>105.42962572482868</v>
      </c>
      <c r="P1801" s="2">
        <f>(16112*Table1[[#This Row],[Generation (TWh)]]*10^9)/10^6</f>
        <v>2134053.7343999995</v>
      </c>
      <c r="Q1801" s="2">
        <f>Table1[[#This Row],[Emission Factor (kg CO2/ mmBtu)]]*Table1[[#This Row],[Fuel Consumption (mmBtu)]]*10^3</f>
        <v>224992486494.4649</v>
      </c>
      <c r="R1801" s="2">
        <f>(Table1[[#This Row],[CO2 Emissions (g CO2)]])/(Table1[[#This Row],[Generation (TWh)]]*10^9)</f>
        <v>1698.6821296784397</v>
      </c>
    </row>
    <row r="1802" spans="1:18" hidden="1">
      <c r="A1802" t="s">
        <v>1107</v>
      </c>
      <c r="B1802" t="s">
        <v>19</v>
      </c>
      <c r="C1802" t="str">
        <f>SUBSTITUTE(Table1[[#This Row],[Fuel]],", ",",")</f>
        <v>bioenergy: refuse (municipal and industrial wastes)</v>
      </c>
      <c r="D1802" t="s">
        <v>19</v>
      </c>
      <c r="G1802">
        <v>9</v>
      </c>
      <c r="H1802" t="s">
        <v>27</v>
      </c>
      <c r="I1802">
        <v>2019</v>
      </c>
      <c r="J1802" t="s">
        <v>21</v>
      </c>
      <c r="K1802">
        <v>35.938499999999998</v>
      </c>
      <c r="L1802">
        <v>119.96</v>
      </c>
      <c r="M1802" t="s">
        <v>102</v>
      </c>
      <c r="N1802" s="2">
        <f>Table1[[#This Row],[Capacity (MW)]]*8760*0.72*10^-6</f>
        <v>5.676479999999999E-2</v>
      </c>
      <c r="O1802" s="2" cm="1">
        <f t="array" ref="O1802">AVERAGE(VLOOKUP(_xlfn.TEXTSPLIT(Table1[[#This Row],[Fuel (no space after comma)]], ","), FuelList_Final_EF!$A$2:$B$32, 2, FALSE))</f>
        <v>105.42962572482868</v>
      </c>
      <c r="P1802" s="2">
        <f>(16112*Table1[[#This Row],[Generation (TWh)]]*10^9)/10^6</f>
        <v>914594.45759999985</v>
      </c>
      <c r="Q1802" s="2">
        <f>Table1[[#This Row],[Emission Factor (kg CO2/ mmBtu)]]*Table1[[#This Row],[Fuel Consumption (mmBtu)]]*10^3</f>
        <v>96425351354.770676</v>
      </c>
      <c r="R1802" s="2">
        <f>(Table1[[#This Row],[CO2 Emissions (g CO2)]])/(Table1[[#This Row],[Generation (TWh)]]*10^9)</f>
        <v>1698.6821296784397</v>
      </c>
    </row>
    <row r="1803" spans="1:18" hidden="1">
      <c r="A1803" t="s">
        <v>1107</v>
      </c>
      <c r="B1803" t="s">
        <v>19</v>
      </c>
      <c r="C1803" t="str">
        <f>SUBSTITUTE(Table1[[#This Row],[Fuel]],", ",",")</f>
        <v>bioenergy: refuse (municipal and industrial wastes)</v>
      </c>
      <c r="D1803" t="s">
        <v>19</v>
      </c>
      <c r="G1803">
        <v>9</v>
      </c>
      <c r="H1803" t="s">
        <v>27</v>
      </c>
      <c r="I1803">
        <v>2019</v>
      </c>
      <c r="J1803" t="s">
        <v>21</v>
      </c>
      <c r="K1803">
        <v>35.938499999999998</v>
      </c>
      <c r="L1803">
        <v>119.96</v>
      </c>
      <c r="M1803" t="s">
        <v>102</v>
      </c>
      <c r="N1803" s="2">
        <f>Table1[[#This Row],[Capacity (MW)]]*8760*0.72*10^-6</f>
        <v>5.676479999999999E-2</v>
      </c>
      <c r="O1803" s="2" cm="1">
        <f t="array" ref="O1803">AVERAGE(VLOOKUP(_xlfn.TEXTSPLIT(Table1[[#This Row],[Fuel (no space after comma)]], ","), FuelList_Final_EF!$A$2:$B$32, 2, FALSE))</f>
        <v>105.42962572482868</v>
      </c>
      <c r="P1803" s="2">
        <f>(16112*Table1[[#This Row],[Generation (TWh)]]*10^9)/10^6</f>
        <v>914594.45759999985</v>
      </c>
      <c r="Q1803" s="2">
        <f>Table1[[#This Row],[Emission Factor (kg CO2/ mmBtu)]]*Table1[[#This Row],[Fuel Consumption (mmBtu)]]*10^3</f>
        <v>96425351354.770676</v>
      </c>
      <c r="R1803" s="2">
        <f>(Table1[[#This Row],[CO2 Emissions (g CO2)]])/(Table1[[#This Row],[Generation (TWh)]]*10^9)</f>
        <v>1698.6821296784397</v>
      </c>
    </row>
    <row r="1804" spans="1:18" hidden="1">
      <c r="A1804" t="s">
        <v>482</v>
      </c>
      <c r="B1804" t="s">
        <v>19</v>
      </c>
      <c r="C1804" t="str">
        <f>SUBSTITUTE(Table1[[#This Row],[Fuel]],", ",",")</f>
        <v>bioenergy: refuse (municipal and industrial wastes)</v>
      </c>
      <c r="D1804" t="s">
        <v>19</v>
      </c>
      <c r="G1804">
        <v>21</v>
      </c>
      <c r="H1804" t="s">
        <v>27</v>
      </c>
      <c r="I1804">
        <v>2019</v>
      </c>
      <c r="J1804" t="s">
        <v>21</v>
      </c>
      <c r="K1804">
        <v>35.938499999999998</v>
      </c>
      <c r="L1804">
        <v>119.96</v>
      </c>
      <c r="M1804" t="s">
        <v>102</v>
      </c>
      <c r="N1804" s="2">
        <f>Table1[[#This Row],[Capacity (MW)]]*8760*0.72*10^-6</f>
        <v>0.13245119999999996</v>
      </c>
      <c r="O1804" s="2" cm="1">
        <f t="array" ref="O1804">AVERAGE(VLOOKUP(_xlfn.TEXTSPLIT(Table1[[#This Row],[Fuel (no space after comma)]], ","), FuelList_Final_EF!$A$2:$B$32, 2, FALSE))</f>
        <v>105.42962572482868</v>
      </c>
      <c r="P1804" s="2">
        <f>(16112*Table1[[#This Row],[Generation (TWh)]]*10^9)/10^6</f>
        <v>2134053.7343999995</v>
      </c>
      <c r="Q1804" s="2">
        <f>Table1[[#This Row],[Emission Factor (kg CO2/ mmBtu)]]*Table1[[#This Row],[Fuel Consumption (mmBtu)]]*10^3</f>
        <v>224992486494.4649</v>
      </c>
      <c r="R1804" s="2">
        <f>(Table1[[#This Row],[CO2 Emissions (g CO2)]])/(Table1[[#This Row],[Generation (TWh)]]*10^9)</f>
        <v>1698.6821296784397</v>
      </c>
    </row>
    <row r="1805" spans="1:18" hidden="1">
      <c r="A1805" t="s">
        <v>1108</v>
      </c>
      <c r="B1805" t="s">
        <v>105</v>
      </c>
      <c r="C1805" t="str">
        <f>SUBSTITUTE(Table1[[#This Row],[Fuel]],", ",",")</f>
        <v>bioenergy: agricultural waste (solids),bioenergy: wood &amp; other biomass (solids)</v>
      </c>
      <c r="D1805" t="s">
        <v>46</v>
      </c>
      <c r="E1805" t="s">
        <v>25</v>
      </c>
      <c r="G1805">
        <v>30</v>
      </c>
      <c r="H1805" t="s">
        <v>27</v>
      </c>
      <c r="I1805">
        <v>2019</v>
      </c>
      <c r="J1805" t="s">
        <v>21</v>
      </c>
      <c r="K1805">
        <v>36.012999999999998</v>
      </c>
      <c r="L1805">
        <v>120.1319</v>
      </c>
      <c r="M1805" t="s">
        <v>102</v>
      </c>
      <c r="N1805" s="2">
        <f>Table1[[#This Row],[Capacity (MW)]]*8760*0.72*10^-6</f>
        <v>0.189216</v>
      </c>
      <c r="O1805" s="2" cm="1">
        <f t="array" ref="O1805">AVERAGE(VLOOKUP(_xlfn.TEXTSPLIT(Table1[[#This Row],[Fuel (no space after comma)]], ","), FuelList_Final_EF!$A$2:$B$32, 2, FALSE))</f>
        <v>105.985</v>
      </c>
      <c r="P1805" s="2">
        <f>(16112*Table1[[#This Row],[Generation (TWh)]]*10^9)/10^6</f>
        <v>3048648.1919999998</v>
      </c>
      <c r="Q1805" s="2">
        <f>Table1[[#This Row],[Emission Factor (kg CO2/ mmBtu)]]*Table1[[#This Row],[Fuel Consumption (mmBtu)]]*10^3</f>
        <v>323110978629.12</v>
      </c>
      <c r="R1805" s="2">
        <f>(Table1[[#This Row],[CO2 Emissions (g CO2)]])/(Table1[[#This Row],[Generation (TWh)]]*10^9)</f>
        <v>1707.63032</v>
      </c>
    </row>
    <row r="1806" spans="1:18">
      <c r="A1806" t="s">
        <v>1109</v>
      </c>
      <c r="B1806" t="s">
        <v>42</v>
      </c>
      <c r="C1806" t="str">
        <f>SUBSTITUTE(Table1[[#This Row],[Fuel]],", ",",")</f>
        <v>bioenergy: wastewater and sewage sludge (solids or biogas)</v>
      </c>
      <c r="D1806" t="s">
        <v>42</v>
      </c>
      <c r="G1806">
        <v>30</v>
      </c>
      <c r="H1806" t="s">
        <v>27</v>
      </c>
      <c r="I1806" t="s">
        <v>21</v>
      </c>
      <c r="J1806" t="s">
        <v>21</v>
      </c>
      <c r="K1806">
        <v>35.9405</v>
      </c>
      <c r="L1806">
        <v>120.00109999999999</v>
      </c>
      <c r="M1806" t="s">
        <v>102</v>
      </c>
      <c r="N1806" s="2">
        <f>Table1[[#This Row],[Capacity (MW)]]*8760*0.72*10^-6</f>
        <v>0.189216</v>
      </c>
      <c r="O1806" s="2" cm="1">
        <f t="array" ref="O1806">AVERAGE(VLOOKUP(_xlfn.TEXTSPLIT(Table1[[#This Row],[Fuel (no space after comma)]], ","), FuelList_Final_EF!$A$2:$B$32, 2, FALSE))</f>
        <v>57.564575645756456</v>
      </c>
      <c r="P1806" s="2">
        <f>(16112*Table1[[#This Row],[Generation (TWh)]]*10^9)/10^6</f>
        <v>3048648.1919999998</v>
      </c>
      <c r="Q1806" s="2">
        <f>Table1[[#This Row],[Emission Factor (kg CO2/ mmBtu)]]*Table1[[#This Row],[Fuel Consumption (mmBtu)]]*10^3</f>
        <v>175494139465.68262</v>
      </c>
      <c r="R1806" s="2">
        <f>(Table1[[#This Row],[CO2 Emissions (g CO2)]])/(Table1[[#This Row],[Generation (TWh)]]*10^9)</f>
        <v>927.48044280442787</v>
      </c>
    </row>
    <row r="1807" spans="1:18" hidden="1">
      <c r="A1807" t="s">
        <v>1110</v>
      </c>
      <c r="B1807" t="s">
        <v>46</v>
      </c>
      <c r="C1807" t="str">
        <f>SUBSTITUTE(Table1[[#This Row],[Fuel]],", ",",")</f>
        <v>bioenergy: agricultural waste (solids)</v>
      </c>
      <c r="D1807" t="s">
        <v>46</v>
      </c>
      <c r="G1807">
        <v>30</v>
      </c>
      <c r="H1807" t="s">
        <v>94</v>
      </c>
      <c r="I1807">
        <v>2020</v>
      </c>
      <c r="J1807" t="s">
        <v>21</v>
      </c>
      <c r="K1807">
        <v>36.619900000000001</v>
      </c>
      <c r="L1807">
        <v>118.73260000000001</v>
      </c>
      <c r="M1807" t="s">
        <v>102</v>
      </c>
      <c r="N1807" s="2">
        <f>Table1[[#This Row],[Capacity (MW)]]*8760*0.72*10^-6</f>
        <v>0.189216</v>
      </c>
      <c r="O1807" s="2" cm="1">
        <f t="array" ref="O1807">AVERAGE(VLOOKUP(_xlfn.TEXTSPLIT(Table1[[#This Row],[Fuel (no space after comma)]], ","), FuelList_Final_EF!$A$2:$B$32, 2, FALSE))</f>
        <v>118.17</v>
      </c>
      <c r="P1807" s="2">
        <f>(16112*Table1[[#This Row],[Generation (TWh)]]*10^9)/10^6</f>
        <v>3048648.1919999998</v>
      </c>
      <c r="Q1807" s="2">
        <f>Table1[[#This Row],[Emission Factor (kg CO2/ mmBtu)]]*Table1[[#This Row],[Fuel Consumption (mmBtu)]]*10^3</f>
        <v>360258756848.63995</v>
      </c>
      <c r="R1807" s="2">
        <f>(Table1[[#This Row],[CO2 Emissions (g CO2)]])/(Table1[[#This Row],[Generation (TWh)]]*10^9)</f>
        <v>1903.9550399999998</v>
      </c>
    </row>
    <row r="1808" spans="1:18" hidden="1">
      <c r="A1808" t="s">
        <v>534</v>
      </c>
      <c r="B1808" t="s">
        <v>46</v>
      </c>
      <c r="C1808" t="str">
        <f>SUBSTITUTE(Table1[[#This Row],[Fuel]],", ",",")</f>
        <v>bioenergy: agricultural waste (solids)</v>
      </c>
      <c r="D1808" t="s">
        <v>46</v>
      </c>
      <c r="G1808">
        <v>21</v>
      </c>
      <c r="H1808" t="s">
        <v>27</v>
      </c>
      <c r="I1808">
        <v>2020</v>
      </c>
      <c r="J1808" t="s">
        <v>21</v>
      </c>
      <c r="K1808">
        <v>35.164700000000003</v>
      </c>
      <c r="L1808">
        <v>119.21639999999999</v>
      </c>
      <c r="M1808" t="s">
        <v>102</v>
      </c>
      <c r="N1808" s="2">
        <f>Table1[[#This Row],[Capacity (MW)]]*8760*0.72*10^-6</f>
        <v>0.13245119999999996</v>
      </c>
      <c r="O1808" s="2" cm="1">
        <f t="array" ref="O1808">AVERAGE(VLOOKUP(_xlfn.TEXTSPLIT(Table1[[#This Row],[Fuel (no space after comma)]], ","), FuelList_Final_EF!$A$2:$B$32, 2, FALSE))</f>
        <v>118.17</v>
      </c>
      <c r="P1808" s="2">
        <f>(16112*Table1[[#This Row],[Generation (TWh)]]*10^9)/10^6</f>
        <v>2134053.7343999995</v>
      </c>
      <c r="Q1808" s="2">
        <f>Table1[[#This Row],[Emission Factor (kg CO2/ mmBtu)]]*Table1[[#This Row],[Fuel Consumption (mmBtu)]]*10^3</f>
        <v>252181129794.04794</v>
      </c>
      <c r="R1808" s="2">
        <f>(Table1[[#This Row],[CO2 Emissions (g CO2)]])/(Table1[[#This Row],[Generation (TWh)]]*10^9)</f>
        <v>1903.9550400000001</v>
      </c>
    </row>
    <row r="1809" spans="1:18" hidden="1">
      <c r="A1809" t="s">
        <v>1111</v>
      </c>
      <c r="B1809" t="s">
        <v>46</v>
      </c>
      <c r="C1809" t="str">
        <f>SUBSTITUTE(Table1[[#This Row],[Fuel]],", ",",")</f>
        <v>bioenergy: agricultural waste (solids)</v>
      </c>
      <c r="D1809" t="s">
        <v>46</v>
      </c>
      <c r="G1809">
        <v>9</v>
      </c>
      <c r="H1809" t="s">
        <v>27</v>
      </c>
      <c r="I1809">
        <v>2020</v>
      </c>
      <c r="J1809" t="s">
        <v>21</v>
      </c>
      <c r="K1809">
        <v>35.164700000000003</v>
      </c>
      <c r="L1809">
        <v>119.21639999999999</v>
      </c>
      <c r="M1809" t="s">
        <v>102</v>
      </c>
      <c r="N1809" s="2">
        <f>Table1[[#This Row],[Capacity (MW)]]*8760*0.72*10^-6</f>
        <v>5.676479999999999E-2</v>
      </c>
      <c r="O1809" s="2" cm="1">
        <f t="array" ref="O1809">AVERAGE(VLOOKUP(_xlfn.TEXTSPLIT(Table1[[#This Row],[Fuel (no space after comma)]], ","), FuelList_Final_EF!$A$2:$B$32, 2, FALSE))</f>
        <v>118.17</v>
      </c>
      <c r="P1809" s="2">
        <f>(16112*Table1[[#This Row],[Generation (TWh)]]*10^9)/10^6</f>
        <v>914594.45759999985</v>
      </c>
      <c r="Q1809" s="2">
        <f>Table1[[#This Row],[Emission Factor (kg CO2/ mmBtu)]]*Table1[[#This Row],[Fuel Consumption (mmBtu)]]*10^3</f>
        <v>108077627054.59198</v>
      </c>
      <c r="R1809" s="2">
        <f>(Table1[[#This Row],[CO2 Emissions (g CO2)]])/(Table1[[#This Row],[Generation (TWh)]]*10^9)</f>
        <v>1903.9550399999998</v>
      </c>
    </row>
    <row r="1810" spans="1:18" hidden="1">
      <c r="A1810" t="s">
        <v>1112</v>
      </c>
      <c r="B1810" t="s">
        <v>105</v>
      </c>
      <c r="C1810" t="str">
        <f>SUBSTITUTE(Table1[[#This Row],[Fuel]],", ",",")</f>
        <v>bioenergy: agricultural waste (solids),bioenergy: wood &amp; other biomass (solids)</v>
      </c>
      <c r="D1810" t="s">
        <v>46</v>
      </c>
      <c r="E1810" t="s">
        <v>25</v>
      </c>
      <c r="G1810">
        <v>10.5</v>
      </c>
      <c r="H1810" t="s">
        <v>27</v>
      </c>
      <c r="I1810">
        <v>2021</v>
      </c>
      <c r="J1810" t="s">
        <v>21</v>
      </c>
      <c r="K1810">
        <v>37.381100000000004</v>
      </c>
      <c r="L1810">
        <v>122.59050000000001</v>
      </c>
      <c r="M1810" t="s">
        <v>102</v>
      </c>
      <c r="N1810" s="2">
        <f>Table1[[#This Row],[Capacity (MW)]]*8760*0.72*10^-6</f>
        <v>6.6225599999999982E-2</v>
      </c>
      <c r="O1810" s="2" cm="1">
        <f t="array" ref="O1810">AVERAGE(VLOOKUP(_xlfn.TEXTSPLIT(Table1[[#This Row],[Fuel (no space after comma)]], ","), FuelList_Final_EF!$A$2:$B$32, 2, FALSE))</f>
        <v>105.985</v>
      </c>
      <c r="P1810" s="2">
        <f>(16112*Table1[[#This Row],[Generation (TWh)]]*10^9)/10^6</f>
        <v>1067026.8671999997</v>
      </c>
      <c r="Q1810" s="2">
        <f>Table1[[#This Row],[Emission Factor (kg CO2/ mmBtu)]]*Table1[[#This Row],[Fuel Consumption (mmBtu)]]*10^3</f>
        <v>113088842520.19197</v>
      </c>
      <c r="R1810" s="2">
        <f>(Table1[[#This Row],[CO2 Emissions (g CO2)]])/(Table1[[#This Row],[Generation (TWh)]]*10^9)</f>
        <v>1707.63032</v>
      </c>
    </row>
    <row r="1811" spans="1:18" hidden="1">
      <c r="A1811" t="s">
        <v>770</v>
      </c>
      <c r="B1811" t="s">
        <v>105</v>
      </c>
      <c r="C1811" t="str">
        <f>SUBSTITUTE(Table1[[#This Row],[Fuel]],", ",",")</f>
        <v>bioenergy: agricultural waste (solids),bioenergy: wood &amp; other biomass (solids)</v>
      </c>
      <c r="D1811" t="s">
        <v>46</v>
      </c>
      <c r="E1811" t="s">
        <v>25</v>
      </c>
      <c r="G1811">
        <v>19.5</v>
      </c>
      <c r="H1811" t="s">
        <v>27</v>
      </c>
      <c r="I1811">
        <v>2021</v>
      </c>
      <c r="J1811" t="s">
        <v>21</v>
      </c>
      <c r="K1811">
        <v>37.381100000000004</v>
      </c>
      <c r="L1811">
        <v>122.59050000000001</v>
      </c>
      <c r="M1811" t="s">
        <v>102</v>
      </c>
      <c r="N1811" s="2">
        <f>Table1[[#This Row],[Capacity (MW)]]*8760*0.72*10^-6</f>
        <v>0.12299039999999999</v>
      </c>
      <c r="O1811" s="2" cm="1">
        <f t="array" ref="O1811">AVERAGE(VLOOKUP(_xlfn.TEXTSPLIT(Table1[[#This Row],[Fuel (no space after comma)]], ","), FuelList_Final_EF!$A$2:$B$32, 2, FALSE))</f>
        <v>105.985</v>
      </c>
      <c r="P1811" s="2">
        <f>(16112*Table1[[#This Row],[Generation (TWh)]]*10^9)/10^6</f>
        <v>1981621.3247999998</v>
      </c>
      <c r="Q1811" s="2">
        <f>Table1[[#This Row],[Emission Factor (kg CO2/ mmBtu)]]*Table1[[#This Row],[Fuel Consumption (mmBtu)]]*10^3</f>
        <v>210022136108.92801</v>
      </c>
      <c r="R1811" s="2">
        <f>(Table1[[#This Row],[CO2 Emissions (g CO2)]])/(Table1[[#This Row],[Generation (TWh)]]*10^9)</f>
        <v>1707.6303200000002</v>
      </c>
    </row>
    <row r="1812" spans="1:18" hidden="1">
      <c r="A1812" t="s">
        <v>117</v>
      </c>
      <c r="B1812" t="s">
        <v>105</v>
      </c>
      <c r="C1812" t="str">
        <f>SUBSTITUTE(Table1[[#This Row],[Fuel]],", ",",")</f>
        <v>bioenergy: agricultural waste (solids),bioenergy: wood &amp; other biomass (solids)</v>
      </c>
      <c r="D1812" t="s">
        <v>46</v>
      </c>
      <c r="E1812" t="s">
        <v>25</v>
      </c>
      <c r="G1812">
        <v>30</v>
      </c>
      <c r="H1812" t="s">
        <v>27</v>
      </c>
      <c r="I1812">
        <v>2006</v>
      </c>
      <c r="J1812" t="s">
        <v>21</v>
      </c>
      <c r="K1812">
        <v>34.795999999999999</v>
      </c>
      <c r="L1812">
        <v>116.0891</v>
      </c>
      <c r="M1812" t="s">
        <v>102</v>
      </c>
      <c r="N1812" s="2">
        <f>Table1[[#This Row],[Capacity (MW)]]*8760*0.72*10^-6</f>
        <v>0.189216</v>
      </c>
      <c r="O1812" s="2" cm="1">
        <f t="array" ref="O1812">AVERAGE(VLOOKUP(_xlfn.TEXTSPLIT(Table1[[#This Row],[Fuel (no space after comma)]], ","), FuelList_Final_EF!$A$2:$B$32, 2, FALSE))</f>
        <v>105.985</v>
      </c>
      <c r="P1812" s="2">
        <f>(16112*Table1[[#This Row],[Generation (TWh)]]*10^9)/10^6</f>
        <v>3048648.1919999998</v>
      </c>
      <c r="Q1812" s="2">
        <f>Table1[[#This Row],[Emission Factor (kg CO2/ mmBtu)]]*Table1[[#This Row],[Fuel Consumption (mmBtu)]]*10^3</f>
        <v>323110978629.12</v>
      </c>
      <c r="R1812" s="2">
        <f>(Table1[[#This Row],[CO2 Emissions (g CO2)]])/(Table1[[#This Row],[Generation (TWh)]]*10^9)</f>
        <v>1707.63032</v>
      </c>
    </row>
    <row r="1813" spans="1:18" hidden="1">
      <c r="A1813" t="s">
        <v>1096</v>
      </c>
      <c r="B1813" t="s">
        <v>105</v>
      </c>
      <c r="C1813" t="str">
        <f>SUBSTITUTE(Table1[[#This Row],[Fuel]],", ",",")</f>
        <v>bioenergy: agricultural waste (solids),bioenergy: wood &amp; other biomass (solids)</v>
      </c>
      <c r="D1813" t="s">
        <v>46</v>
      </c>
      <c r="E1813" t="s">
        <v>25</v>
      </c>
      <c r="G1813">
        <v>30</v>
      </c>
      <c r="H1813" t="s">
        <v>27</v>
      </c>
      <c r="I1813">
        <v>2014</v>
      </c>
      <c r="J1813" t="s">
        <v>21</v>
      </c>
      <c r="K1813">
        <v>37.148499999999999</v>
      </c>
      <c r="L1813">
        <v>117.1225</v>
      </c>
      <c r="M1813" t="s">
        <v>102</v>
      </c>
      <c r="N1813" s="2">
        <f>Table1[[#This Row],[Capacity (MW)]]*8760*0.72*10^-6</f>
        <v>0.189216</v>
      </c>
      <c r="O1813" s="2" cm="1">
        <f t="array" ref="O1813">AVERAGE(VLOOKUP(_xlfn.TEXTSPLIT(Table1[[#This Row],[Fuel (no space after comma)]], ","), FuelList_Final_EF!$A$2:$B$32, 2, FALSE))</f>
        <v>105.985</v>
      </c>
      <c r="P1813" s="2">
        <f>(16112*Table1[[#This Row],[Generation (TWh)]]*10^9)/10^6</f>
        <v>3048648.1919999998</v>
      </c>
      <c r="Q1813" s="2">
        <f>Table1[[#This Row],[Emission Factor (kg CO2/ mmBtu)]]*Table1[[#This Row],[Fuel Consumption (mmBtu)]]*10^3</f>
        <v>323110978629.12</v>
      </c>
      <c r="R1813" s="2">
        <f>(Table1[[#This Row],[CO2 Emissions (g CO2)]])/(Table1[[#This Row],[Generation (TWh)]]*10^9)</f>
        <v>1707.63032</v>
      </c>
    </row>
    <row r="1814" spans="1:18">
      <c r="A1814" t="s">
        <v>1113</v>
      </c>
      <c r="B1814" t="s">
        <v>105</v>
      </c>
      <c r="C1814" t="str">
        <f>SUBSTITUTE(Table1[[#This Row],[Fuel]],", ",",")</f>
        <v>bioenergy: agricultural waste (solids),bioenergy: wood &amp; other biomass (solids)</v>
      </c>
      <c r="D1814" t="s">
        <v>46</v>
      </c>
      <c r="E1814" t="s">
        <v>25</v>
      </c>
      <c r="G1814">
        <v>30</v>
      </c>
      <c r="H1814" t="s">
        <v>20</v>
      </c>
      <c r="I1814" t="s">
        <v>21</v>
      </c>
      <c r="J1814" t="s">
        <v>21</v>
      </c>
      <c r="K1814">
        <v>36.255699999999997</v>
      </c>
      <c r="L1814">
        <v>115.6818</v>
      </c>
      <c r="M1814" t="s">
        <v>102</v>
      </c>
      <c r="N1814" s="2">
        <f>Table1[[#This Row],[Capacity (MW)]]*8760*0.72*10^-6</f>
        <v>0.189216</v>
      </c>
      <c r="O1814" s="2" cm="1">
        <f t="array" ref="O1814">AVERAGE(VLOOKUP(_xlfn.TEXTSPLIT(Table1[[#This Row],[Fuel (no space after comma)]], ","), FuelList_Final_EF!$A$2:$B$32, 2, FALSE))</f>
        <v>105.985</v>
      </c>
      <c r="P1814" s="2">
        <f>(16112*Table1[[#This Row],[Generation (TWh)]]*10^9)/10^6</f>
        <v>3048648.1919999998</v>
      </c>
      <c r="Q1814" s="2">
        <f>Table1[[#This Row],[Emission Factor (kg CO2/ mmBtu)]]*Table1[[#This Row],[Fuel Consumption (mmBtu)]]*10^3</f>
        <v>323110978629.12</v>
      </c>
      <c r="R1814" s="2">
        <f>(Table1[[#This Row],[CO2 Emissions (g CO2)]])/(Table1[[#This Row],[Generation (TWh)]]*10^9)</f>
        <v>1707.63032</v>
      </c>
    </row>
    <row r="1815" spans="1:18" hidden="1">
      <c r="A1815" t="s">
        <v>1114</v>
      </c>
      <c r="B1815" t="s">
        <v>105</v>
      </c>
      <c r="C1815" t="str">
        <f>SUBSTITUTE(Table1[[#This Row],[Fuel]],", ",",")</f>
        <v>bioenergy: agricultural waste (solids),bioenergy: wood &amp; other biomass (solids)</v>
      </c>
      <c r="D1815" t="s">
        <v>46</v>
      </c>
      <c r="E1815" t="s">
        <v>25</v>
      </c>
      <c r="G1815">
        <v>0.6</v>
      </c>
      <c r="H1815" t="s">
        <v>27</v>
      </c>
      <c r="I1815">
        <v>2021</v>
      </c>
      <c r="J1815" t="s">
        <v>21</v>
      </c>
      <c r="K1815">
        <v>35.6509</v>
      </c>
      <c r="L1815">
        <v>117.3884</v>
      </c>
      <c r="M1815" t="s">
        <v>102</v>
      </c>
      <c r="N1815" s="2">
        <f>Table1[[#This Row],[Capacity (MW)]]*8760*0.72*10^-6</f>
        <v>3.7843199999999994E-3</v>
      </c>
      <c r="O1815" s="2" cm="1">
        <f t="array" ref="O1815">AVERAGE(VLOOKUP(_xlfn.TEXTSPLIT(Table1[[#This Row],[Fuel (no space after comma)]], ","), FuelList_Final_EF!$A$2:$B$32, 2, FALSE))</f>
        <v>105.985</v>
      </c>
      <c r="P1815" s="2">
        <f>(16112*Table1[[#This Row],[Generation (TWh)]]*10^9)/10^6</f>
        <v>60972.963839999989</v>
      </c>
      <c r="Q1815" s="2">
        <f>Table1[[#This Row],[Emission Factor (kg CO2/ mmBtu)]]*Table1[[#This Row],[Fuel Consumption (mmBtu)]]*10^3</f>
        <v>6462219572.5823984</v>
      </c>
      <c r="R1815" s="2">
        <f>(Table1[[#This Row],[CO2 Emissions (g CO2)]])/(Table1[[#This Row],[Generation (TWh)]]*10^9)</f>
        <v>1707.6303199999998</v>
      </c>
    </row>
    <row r="1816" spans="1:18" hidden="1">
      <c r="A1816" t="s">
        <v>651</v>
      </c>
      <c r="B1816" t="s">
        <v>105</v>
      </c>
      <c r="C1816" t="str">
        <f>SUBSTITUTE(Table1[[#This Row],[Fuel]],", ",",")</f>
        <v>bioenergy: agricultural waste (solids),bioenergy: wood &amp; other biomass (solids)</v>
      </c>
      <c r="D1816" t="s">
        <v>46</v>
      </c>
      <c r="E1816" t="s">
        <v>25</v>
      </c>
      <c r="G1816">
        <v>29.4</v>
      </c>
      <c r="H1816" t="s">
        <v>27</v>
      </c>
      <c r="I1816">
        <v>2021</v>
      </c>
      <c r="J1816" t="s">
        <v>21</v>
      </c>
      <c r="K1816">
        <v>35.6509</v>
      </c>
      <c r="L1816">
        <v>117.3884</v>
      </c>
      <c r="M1816" t="s">
        <v>102</v>
      </c>
      <c r="N1816" s="2">
        <f>Table1[[#This Row],[Capacity (MW)]]*8760*0.72*10^-6</f>
        <v>0.18543167999999999</v>
      </c>
      <c r="O1816" s="2" cm="1">
        <f t="array" ref="O1816">AVERAGE(VLOOKUP(_xlfn.TEXTSPLIT(Table1[[#This Row],[Fuel (no space after comma)]], ","), FuelList_Final_EF!$A$2:$B$32, 2, FALSE))</f>
        <v>105.985</v>
      </c>
      <c r="P1816" s="2">
        <f>(16112*Table1[[#This Row],[Generation (TWh)]]*10^9)/10^6</f>
        <v>2987675.2281599995</v>
      </c>
      <c r="Q1816" s="2">
        <f>Table1[[#This Row],[Emission Factor (kg CO2/ mmBtu)]]*Table1[[#This Row],[Fuel Consumption (mmBtu)]]*10^3</f>
        <v>316648759056.5376</v>
      </c>
      <c r="R1816" s="2">
        <f>(Table1[[#This Row],[CO2 Emissions (g CO2)]])/(Table1[[#This Row],[Generation (TWh)]]*10^9)</f>
        <v>1707.63032</v>
      </c>
    </row>
    <row r="1817" spans="1:18" hidden="1">
      <c r="A1817" t="s">
        <v>284</v>
      </c>
      <c r="B1817" t="s">
        <v>105</v>
      </c>
      <c r="C1817" t="str">
        <f>SUBSTITUTE(Table1[[#This Row],[Fuel]],", ",",")</f>
        <v>bioenergy: agricultural waste (solids),bioenergy: wood &amp; other biomass (solids)</v>
      </c>
      <c r="D1817" t="s">
        <v>46</v>
      </c>
      <c r="E1817" t="s">
        <v>25</v>
      </c>
      <c r="G1817">
        <v>30</v>
      </c>
      <c r="H1817" t="s">
        <v>27</v>
      </c>
      <c r="I1817">
        <v>2022</v>
      </c>
      <c r="J1817" t="s">
        <v>21</v>
      </c>
      <c r="K1817">
        <v>34.887500000000003</v>
      </c>
      <c r="L1817">
        <v>118.41549999999999</v>
      </c>
      <c r="M1817" t="s">
        <v>102</v>
      </c>
      <c r="N1817" s="2">
        <f>Table1[[#This Row],[Capacity (MW)]]*8760*0.72*10^-6</f>
        <v>0.189216</v>
      </c>
      <c r="O1817" s="2" cm="1">
        <f t="array" ref="O1817">AVERAGE(VLOOKUP(_xlfn.TEXTSPLIT(Table1[[#This Row],[Fuel (no space after comma)]], ","), FuelList_Final_EF!$A$2:$B$32, 2, FALSE))</f>
        <v>105.985</v>
      </c>
      <c r="P1817" s="2">
        <f>(16112*Table1[[#This Row],[Generation (TWh)]]*10^9)/10^6</f>
        <v>3048648.1919999998</v>
      </c>
      <c r="Q1817" s="2">
        <f>Table1[[#This Row],[Emission Factor (kg CO2/ mmBtu)]]*Table1[[#This Row],[Fuel Consumption (mmBtu)]]*10^3</f>
        <v>323110978629.12</v>
      </c>
      <c r="R1817" s="2">
        <f>(Table1[[#This Row],[CO2 Emissions (g CO2)]])/(Table1[[#This Row],[Generation (TWh)]]*10^9)</f>
        <v>1707.63032</v>
      </c>
    </row>
    <row r="1818" spans="1:18" hidden="1">
      <c r="A1818" t="s">
        <v>1115</v>
      </c>
      <c r="B1818" t="s">
        <v>210</v>
      </c>
      <c r="C1818" t="str">
        <f>SUBSTITUTE(Table1[[#This Row],[Fuel]],", ",",")</f>
        <v>bioenergy: wood &amp; other biomass (solids),bioenergy: agricultural waste (solids)</v>
      </c>
      <c r="D1818" t="s">
        <v>25</v>
      </c>
      <c r="E1818" t="s">
        <v>46</v>
      </c>
      <c r="G1818">
        <v>30</v>
      </c>
      <c r="H1818" t="s">
        <v>27</v>
      </c>
      <c r="I1818">
        <v>2016</v>
      </c>
      <c r="J1818" t="s">
        <v>21</v>
      </c>
      <c r="K1818">
        <v>34.935000000000002</v>
      </c>
      <c r="L1818">
        <v>117.1028</v>
      </c>
      <c r="M1818" t="s">
        <v>102</v>
      </c>
      <c r="N1818" s="2">
        <f>Table1[[#This Row],[Capacity (MW)]]*8760*0.72*10^-6</f>
        <v>0.189216</v>
      </c>
      <c r="O1818" s="2" cm="1">
        <f t="array" ref="O1818">AVERAGE(VLOOKUP(_xlfn.TEXTSPLIT(Table1[[#This Row],[Fuel (no space after comma)]], ","), FuelList_Final_EF!$A$2:$B$32, 2, FALSE))</f>
        <v>105.985</v>
      </c>
      <c r="P1818" s="2">
        <f>(16112*Table1[[#This Row],[Generation (TWh)]]*10^9)/10^6</f>
        <v>3048648.1919999998</v>
      </c>
      <c r="Q1818" s="2">
        <f>Table1[[#This Row],[Emission Factor (kg CO2/ mmBtu)]]*Table1[[#This Row],[Fuel Consumption (mmBtu)]]*10^3</f>
        <v>323110978629.12</v>
      </c>
      <c r="R1818" s="2">
        <f>(Table1[[#This Row],[CO2 Emissions (g CO2)]])/(Table1[[#This Row],[Generation (TWh)]]*10^9)</f>
        <v>1707.63032</v>
      </c>
    </row>
    <row r="1819" spans="1:18" hidden="1">
      <c r="A1819" t="s">
        <v>111</v>
      </c>
      <c r="B1819" t="s">
        <v>46</v>
      </c>
      <c r="C1819" t="str">
        <f>SUBSTITUTE(Table1[[#This Row],[Fuel]],", ",",")</f>
        <v>bioenergy: agricultural waste (solids)</v>
      </c>
      <c r="D1819" t="s">
        <v>46</v>
      </c>
      <c r="G1819">
        <v>30</v>
      </c>
      <c r="H1819" t="s">
        <v>27</v>
      </c>
      <c r="I1819">
        <v>2019</v>
      </c>
      <c r="J1819" t="s">
        <v>21</v>
      </c>
      <c r="K1819">
        <v>37.142600000000002</v>
      </c>
      <c r="L1819">
        <v>121.8652</v>
      </c>
      <c r="M1819" t="s">
        <v>102</v>
      </c>
      <c r="N1819" s="2">
        <f>Table1[[#This Row],[Capacity (MW)]]*8760*0.72*10^-6</f>
        <v>0.189216</v>
      </c>
      <c r="O1819" s="2" cm="1">
        <f t="array" ref="O1819">AVERAGE(VLOOKUP(_xlfn.TEXTSPLIT(Table1[[#This Row],[Fuel (no space after comma)]], ","), FuelList_Final_EF!$A$2:$B$32, 2, FALSE))</f>
        <v>118.17</v>
      </c>
      <c r="P1819" s="2">
        <f>(16112*Table1[[#This Row],[Generation (TWh)]]*10^9)/10^6</f>
        <v>3048648.1919999998</v>
      </c>
      <c r="Q1819" s="2">
        <f>Table1[[#This Row],[Emission Factor (kg CO2/ mmBtu)]]*Table1[[#This Row],[Fuel Consumption (mmBtu)]]*10^3</f>
        <v>360258756848.63995</v>
      </c>
      <c r="R1819" s="2">
        <f>(Table1[[#This Row],[CO2 Emissions (g CO2)]])/(Table1[[#This Row],[Generation (TWh)]]*10^9)</f>
        <v>1903.9550399999998</v>
      </c>
    </row>
    <row r="1820" spans="1:18" hidden="1">
      <c r="A1820" t="s">
        <v>54</v>
      </c>
      <c r="B1820" t="s">
        <v>105</v>
      </c>
      <c r="C1820" t="str">
        <f>SUBSTITUTE(Table1[[#This Row],[Fuel]],", ",",")</f>
        <v>bioenergy: agricultural waste (solids),bioenergy: wood &amp; other biomass (solids)</v>
      </c>
      <c r="D1820" t="s">
        <v>46</v>
      </c>
      <c r="E1820" t="s">
        <v>25</v>
      </c>
      <c r="G1820">
        <v>30</v>
      </c>
      <c r="H1820" t="s">
        <v>27</v>
      </c>
      <c r="I1820">
        <v>2017</v>
      </c>
      <c r="J1820" t="s">
        <v>21</v>
      </c>
      <c r="K1820">
        <v>37.966200000000001</v>
      </c>
      <c r="L1820">
        <v>117.77509999999999</v>
      </c>
      <c r="M1820" t="s">
        <v>102</v>
      </c>
      <c r="N1820" s="2">
        <f>Table1[[#This Row],[Capacity (MW)]]*8760*0.72*10^-6</f>
        <v>0.189216</v>
      </c>
      <c r="O1820" s="2" cm="1">
        <f t="array" ref="O1820">AVERAGE(VLOOKUP(_xlfn.TEXTSPLIT(Table1[[#This Row],[Fuel (no space after comma)]], ","), FuelList_Final_EF!$A$2:$B$32, 2, FALSE))</f>
        <v>105.985</v>
      </c>
      <c r="P1820" s="2">
        <f>(16112*Table1[[#This Row],[Generation (TWh)]]*10^9)/10^6</f>
        <v>3048648.1919999998</v>
      </c>
      <c r="Q1820" s="2">
        <f>Table1[[#This Row],[Emission Factor (kg CO2/ mmBtu)]]*Table1[[#This Row],[Fuel Consumption (mmBtu)]]*10^3</f>
        <v>323110978629.12</v>
      </c>
      <c r="R1820" s="2">
        <f>(Table1[[#This Row],[CO2 Emissions (g CO2)]])/(Table1[[#This Row],[Generation (TWh)]]*10^9)</f>
        <v>1707.63032</v>
      </c>
    </row>
    <row r="1821" spans="1:18" hidden="1">
      <c r="A1821" t="s">
        <v>54</v>
      </c>
      <c r="B1821" t="s">
        <v>105</v>
      </c>
      <c r="C1821" t="str">
        <f>SUBSTITUTE(Table1[[#This Row],[Fuel]],", ",",")</f>
        <v>bioenergy: agricultural waste (solids),bioenergy: wood &amp; other biomass (solids)</v>
      </c>
      <c r="D1821" t="s">
        <v>46</v>
      </c>
      <c r="E1821" t="s">
        <v>25</v>
      </c>
      <c r="G1821">
        <v>4.2</v>
      </c>
      <c r="H1821" t="s">
        <v>27</v>
      </c>
      <c r="I1821">
        <v>2020</v>
      </c>
      <c r="J1821" t="s">
        <v>21</v>
      </c>
      <c r="K1821">
        <v>35.901400000000002</v>
      </c>
      <c r="L1821">
        <v>117.7488</v>
      </c>
      <c r="M1821" t="s">
        <v>102</v>
      </c>
      <c r="N1821" s="2">
        <f>Table1[[#This Row],[Capacity (MW)]]*8760*0.72*10^-6</f>
        <v>2.6490239999999998E-2</v>
      </c>
      <c r="O1821" s="2" cm="1">
        <f t="array" ref="O1821">AVERAGE(VLOOKUP(_xlfn.TEXTSPLIT(Table1[[#This Row],[Fuel (no space after comma)]], ","), FuelList_Final_EF!$A$2:$B$32, 2, FALSE))</f>
        <v>105.985</v>
      </c>
      <c r="P1821" s="2">
        <f>(16112*Table1[[#This Row],[Generation (TWh)]]*10^9)/10^6</f>
        <v>426810.74687999993</v>
      </c>
      <c r="Q1821" s="2">
        <f>Table1[[#This Row],[Emission Factor (kg CO2/ mmBtu)]]*Table1[[#This Row],[Fuel Consumption (mmBtu)]]*10^3</f>
        <v>45235537008.076797</v>
      </c>
      <c r="R1821" s="2">
        <f>(Table1[[#This Row],[CO2 Emissions (g CO2)]])/(Table1[[#This Row],[Generation (TWh)]]*10^9)</f>
        <v>1707.63032</v>
      </c>
    </row>
    <row r="1822" spans="1:18" hidden="1">
      <c r="A1822" t="s">
        <v>761</v>
      </c>
      <c r="B1822" t="s">
        <v>105</v>
      </c>
      <c r="C1822" t="str">
        <f>SUBSTITUTE(Table1[[#This Row],[Fuel]],", ",",")</f>
        <v>bioenergy: agricultural waste (solids),bioenergy: wood &amp; other biomass (solids)</v>
      </c>
      <c r="D1822" t="s">
        <v>46</v>
      </c>
      <c r="E1822" t="s">
        <v>25</v>
      </c>
      <c r="G1822">
        <v>25.8</v>
      </c>
      <c r="H1822" t="s">
        <v>27</v>
      </c>
      <c r="I1822">
        <v>2020</v>
      </c>
      <c r="J1822" t="s">
        <v>21</v>
      </c>
      <c r="K1822">
        <v>35.901400000000002</v>
      </c>
      <c r="L1822">
        <v>117.7488</v>
      </c>
      <c r="M1822" t="s">
        <v>102</v>
      </c>
      <c r="N1822" s="2">
        <f>Table1[[#This Row],[Capacity (MW)]]*8760*0.72*10^-6</f>
        <v>0.16272575999999997</v>
      </c>
      <c r="O1822" s="2" cm="1">
        <f t="array" ref="O1822">AVERAGE(VLOOKUP(_xlfn.TEXTSPLIT(Table1[[#This Row],[Fuel (no space after comma)]], ","), FuelList_Final_EF!$A$2:$B$32, 2, FALSE))</f>
        <v>105.985</v>
      </c>
      <c r="P1822" s="2">
        <f>(16112*Table1[[#This Row],[Generation (TWh)]]*10^9)/10^6</f>
        <v>2621837.4451199993</v>
      </c>
      <c r="Q1822" s="2">
        <f>Table1[[#This Row],[Emission Factor (kg CO2/ mmBtu)]]*Table1[[#This Row],[Fuel Consumption (mmBtu)]]*10^3</f>
        <v>277875441621.04315</v>
      </c>
      <c r="R1822" s="2">
        <f>(Table1[[#This Row],[CO2 Emissions (g CO2)]])/(Table1[[#This Row],[Generation (TWh)]]*10^9)</f>
        <v>1707.63032</v>
      </c>
    </row>
    <row r="1823" spans="1:18">
      <c r="A1823" t="s">
        <v>1116</v>
      </c>
      <c r="B1823" t="s">
        <v>46</v>
      </c>
      <c r="C1823" t="str">
        <f>SUBSTITUTE(Table1[[#This Row],[Fuel]],", ",",")</f>
        <v>bioenergy: agricultural waste (solids)</v>
      </c>
      <c r="D1823" t="s">
        <v>46</v>
      </c>
      <c r="G1823">
        <v>5.2</v>
      </c>
      <c r="H1823" t="s">
        <v>27</v>
      </c>
      <c r="I1823" t="s">
        <v>21</v>
      </c>
      <c r="J1823" t="s">
        <v>21</v>
      </c>
      <c r="K1823">
        <v>36.165900000000001</v>
      </c>
      <c r="L1823">
        <v>115.8753</v>
      </c>
      <c r="M1823" t="s">
        <v>102</v>
      </c>
      <c r="N1823" s="2">
        <f>Table1[[#This Row],[Capacity (MW)]]*8760*0.72*10^-6</f>
        <v>3.2797440000000004E-2</v>
      </c>
      <c r="O1823" s="2" cm="1">
        <f t="array" ref="O1823">AVERAGE(VLOOKUP(_xlfn.TEXTSPLIT(Table1[[#This Row],[Fuel (no space after comma)]], ","), FuelList_Final_EF!$A$2:$B$32, 2, FALSE))</f>
        <v>118.17</v>
      </c>
      <c r="P1823" s="2">
        <f>(16112*Table1[[#This Row],[Generation (TWh)]]*10^9)/10^6</f>
        <v>528432.35328000004</v>
      </c>
      <c r="Q1823" s="2">
        <f>Table1[[#This Row],[Emission Factor (kg CO2/ mmBtu)]]*Table1[[#This Row],[Fuel Consumption (mmBtu)]]*10^3</f>
        <v>62444851187.09761</v>
      </c>
      <c r="R1823" s="2">
        <f>(Table1[[#This Row],[CO2 Emissions (g CO2)]])/(Table1[[#This Row],[Generation (TWh)]]*10^9)</f>
        <v>1903.9550400000001</v>
      </c>
    </row>
    <row r="1824" spans="1:18">
      <c r="A1824" t="s">
        <v>1117</v>
      </c>
      <c r="B1824" t="s">
        <v>46</v>
      </c>
      <c r="C1824" t="str">
        <f>SUBSTITUTE(Table1[[#This Row],[Fuel]],", ",",")</f>
        <v>bioenergy: agricultural waste (solids)</v>
      </c>
      <c r="D1824" t="s">
        <v>46</v>
      </c>
      <c r="G1824">
        <v>14.8</v>
      </c>
      <c r="H1824" t="s">
        <v>27</v>
      </c>
      <c r="I1824" t="s">
        <v>21</v>
      </c>
      <c r="J1824" t="s">
        <v>21</v>
      </c>
      <c r="K1824">
        <v>36.165900000000001</v>
      </c>
      <c r="L1824">
        <v>115.8753</v>
      </c>
      <c r="M1824" t="s">
        <v>102</v>
      </c>
      <c r="N1824" s="2">
        <f>Table1[[#This Row],[Capacity (MW)]]*8760*0.72*10^-6</f>
        <v>9.3346559999999995E-2</v>
      </c>
      <c r="O1824" s="2" cm="1">
        <f t="array" ref="O1824">AVERAGE(VLOOKUP(_xlfn.TEXTSPLIT(Table1[[#This Row],[Fuel (no space after comma)]], ","), FuelList_Final_EF!$A$2:$B$32, 2, FALSE))</f>
        <v>118.17</v>
      </c>
      <c r="P1824" s="2">
        <f>(16112*Table1[[#This Row],[Generation (TWh)]]*10^9)/10^6</f>
        <v>1503999.7747200001</v>
      </c>
      <c r="Q1824" s="2">
        <f>Table1[[#This Row],[Emission Factor (kg CO2/ mmBtu)]]*Table1[[#This Row],[Fuel Consumption (mmBtu)]]*10^3</f>
        <v>177727653378.66241</v>
      </c>
      <c r="R1824" s="2">
        <f>(Table1[[#This Row],[CO2 Emissions (g CO2)]])/(Table1[[#This Row],[Generation (TWh)]]*10^9)</f>
        <v>1903.9550400000001</v>
      </c>
    </row>
    <row r="1825" spans="1:18">
      <c r="A1825" t="s">
        <v>1118</v>
      </c>
      <c r="B1825" t="s">
        <v>46</v>
      </c>
      <c r="C1825" t="str">
        <f>SUBSTITUTE(Table1[[#This Row],[Fuel]],", ",",")</f>
        <v>bioenergy: agricultural waste (solids)</v>
      </c>
      <c r="D1825" t="s">
        <v>46</v>
      </c>
      <c r="G1825">
        <v>20</v>
      </c>
      <c r="H1825" t="s">
        <v>27</v>
      </c>
      <c r="I1825" t="s">
        <v>21</v>
      </c>
      <c r="J1825" t="s">
        <v>21</v>
      </c>
      <c r="K1825">
        <v>36.165900000000001</v>
      </c>
      <c r="L1825">
        <v>115.8753</v>
      </c>
      <c r="M1825" t="s">
        <v>102</v>
      </c>
      <c r="N1825" s="2">
        <f>Table1[[#This Row],[Capacity (MW)]]*8760*0.72*10^-6</f>
        <v>0.12614400000000001</v>
      </c>
      <c r="O1825" s="2" cm="1">
        <f t="array" ref="O1825">AVERAGE(VLOOKUP(_xlfn.TEXTSPLIT(Table1[[#This Row],[Fuel (no space after comma)]], ","), FuelList_Final_EF!$A$2:$B$32, 2, FALSE))</f>
        <v>118.17</v>
      </c>
      <c r="P1825" s="2">
        <f>(16112*Table1[[#This Row],[Generation (TWh)]]*10^9)/10^6</f>
        <v>2032432.1280000003</v>
      </c>
      <c r="Q1825" s="2">
        <f>Table1[[#This Row],[Emission Factor (kg CO2/ mmBtu)]]*Table1[[#This Row],[Fuel Consumption (mmBtu)]]*10^3</f>
        <v>240172504565.76004</v>
      </c>
      <c r="R1825" s="2">
        <f>(Table1[[#This Row],[CO2 Emissions (g CO2)]])/(Table1[[#This Row],[Generation (TWh)]]*10^9)</f>
        <v>1903.9550400000003</v>
      </c>
    </row>
    <row r="1826" spans="1:18" hidden="1">
      <c r="A1826" t="s">
        <v>284</v>
      </c>
      <c r="B1826" t="s">
        <v>105</v>
      </c>
      <c r="C1826" t="str">
        <f>SUBSTITUTE(Table1[[#This Row],[Fuel]],", ",",")</f>
        <v>bioenergy: agricultural waste (solids),bioenergy: wood &amp; other biomass (solids)</v>
      </c>
      <c r="D1826" t="s">
        <v>46</v>
      </c>
      <c r="E1826" t="s">
        <v>25</v>
      </c>
      <c r="G1826">
        <v>30</v>
      </c>
      <c r="H1826" t="s">
        <v>27</v>
      </c>
      <c r="I1826">
        <v>2011</v>
      </c>
      <c r="J1826" t="s">
        <v>21</v>
      </c>
      <c r="K1826">
        <v>35.783799999999999</v>
      </c>
      <c r="L1826">
        <v>118.59690000000001</v>
      </c>
      <c r="M1826" t="s">
        <v>102</v>
      </c>
      <c r="N1826" s="2">
        <f>Table1[[#This Row],[Capacity (MW)]]*8760*0.72*10^-6</f>
        <v>0.189216</v>
      </c>
      <c r="O1826" s="2" cm="1">
        <f t="array" ref="O1826">AVERAGE(VLOOKUP(_xlfn.TEXTSPLIT(Table1[[#This Row],[Fuel (no space after comma)]], ","), FuelList_Final_EF!$A$2:$B$32, 2, FALSE))</f>
        <v>105.985</v>
      </c>
      <c r="P1826" s="2">
        <f>(16112*Table1[[#This Row],[Generation (TWh)]]*10^9)/10^6</f>
        <v>3048648.1919999998</v>
      </c>
      <c r="Q1826" s="2">
        <f>Table1[[#This Row],[Emission Factor (kg CO2/ mmBtu)]]*Table1[[#This Row],[Fuel Consumption (mmBtu)]]*10^3</f>
        <v>323110978629.12</v>
      </c>
      <c r="R1826" s="2">
        <f>(Table1[[#This Row],[CO2 Emissions (g CO2)]])/(Table1[[#This Row],[Generation (TWh)]]*10^9)</f>
        <v>1707.63032</v>
      </c>
    </row>
    <row r="1827" spans="1:18" hidden="1">
      <c r="A1827" t="s">
        <v>111</v>
      </c>
      <c r="B1827" t="s">
        <v>25</v>
      </c>
      <c r="C1827" t="str">
        <f>SUBSTITUTE(Table1[[#This Row],[Fuel]],", ",",")</f>
        <v>bioenergy: wood &amp; other biomass (solids)</v>
      </c>
      <c r="D1827" t="s">
        <v>25</v>
      </c>
      <c r="G1827">
        <v>28.5</v>
      </c>
      <c r="H1827" t="s">
        <v>27</v>
      </c>
      <c r="I1827">
        <v>2020</v>
      </c>
      <c r="J1827" t="s">
        <v>21</v>
      </c>
      <c r="K1827">
        <v>36.193899999999999</v>
      </c>
      <c r="L1827">
        <v>118.24469999999999</v>
      </c>
      <c r="M1827" t="s">
        <v>102</v>
      </c>
      <c r="N1827" s="2">
        <f>Table1[[#This Row],[Capacity (MW)]]*8760*0.72*10^-6</f>
        <v>0.17975519999999998</v>
      </c>
      <c r="O1827" s="2" cm="1">
        <f t="array" ref="O1827">AVERAGE(VLOOKUP(_xlfn.TEXTSPLIT(Table1[[#This Row],[Fuel (no space after comma)]], ","), FuelList_Final_EF!$A$2:$B$32, 2, FALSE))</f>
        <v>93.8</v>
      </c>
      <c r="P1827" s="2">
        <f>(16112*Table1[[#This Row],[Generation (TWh)]]*10^9)/10^6</f>
        <v>2896215.7823999994</v>
      </c>
      <c r="Q1827" s="2">
        <f>Table1[[#This Row],[Emission Factor (kg CO2/ mmBtu)]]*Table1[[#This Row],[Fuel Consumption (mmBtu)]]*10^3</f>
        <v>271665040389.11993</v>
      </c>
      <c r="R1827" s="2">
        <f>(Table1[[#This Row],[CO2 Emissions (g CO2)]])/(Table1[[#This Row],[Generation (TWh)]]*10^9)</f>
        <v>1511.3055999999999</v>
      </c>
    </row>
    <row r="1828" spans="1:18" hidden="1">
      <c r="A1828" t="s">
        <v>1119</v>
      </c>
      <c r="B1828" t="s">
        <v>25</v>
      </c>
      <c r="C1828" t="str">
        <f>SUBSTITUTE(Table1[[#This Row],[Fuel]],", ",",")</f>
        <v>bioenergy: wood &amp; other biomass (solids)</v>
      </c>
      <c r="D1828" t="s">
        <v>25</v>
      </c>
      <c r="G1828">
        <v>1.5</v>
      </c>
      <c r="H1828" t="s">
        <v>27</v>
      </c>
      <c r="I1828">
        <v>2020</v>
      </c>
      <c r="J1828" t="s">
        <v>21</v>
      </c>
      <c r="K1828">
        <v>36.193899999999999</v>
      </c>
      <c r="L1828">
        <v>118.24469999999999</v>
      </c>
      <c r="M1828" t="s">
        <v>102</v>
      </c>
      <c r="N1828" s="2">
        <f>Table1[[#This Row],[Capacity (MW)]]*8760*0.72*10^-6</f>
        <v>9.4607999999999984E-3</v>
      </c>
      <c r="O1828" s="2" cm="1">
        <f t="array" ref="O1828">AVERAGE(VLOOKUP(_xlfn.TEXTSPLIT(Table1[[#This Row],[Fuel (no space after comma)]], ","), FuelList_Final_EF!$A$2:$B$32, 2, FALSE))</f>
        <v>93.8</v>
      </c>
      <c r="P1828" s="2">
        <f>(16112*Table1[[#This Row],[Generation (TWh)]]*10^9)/10^6</f>
        <v>152432.40959999996</v>
      </c>
      <c r="Q1828" s="2">
        <f>Table1[[#This Row],[Emission Factor (kg CO2/ mmBtu)]]*Table1[[#This Row],[Fuel Consumption (mmBtu)]]*10^3</f>
        <v>14298160020.479996</v>
      </c>
      <c r="R1828" s="2">
        <f>(Table1[[#This Row],[CO2 Emissions (g CO2)]])/(Table1[[#This Row],[Generation (TWh)]]*10^9)</f>
        <v>1511.3055999999999</v>
      </c>
    </row>
    <row r="1829" spans="1:18" hidden="1">
      <c r="A1829" t="s">
        <v>1120</v>
      </c>
      <c r="B1829" t="s">
        <v>46</v>
      </c>
      <c r="C1829" t="str">
        <f>SUBSTITUTE(Table1[[#This Row],[Fuel]],", ",",")</f>
        <v>bioenergy: agricultural waste (solids)</v>
      </c>
      <c r="D1829" t="s">
        <v>46</v>
      </c>
      <c r="G1829">
        <v>27</v>
      </c>
      <c r="H1829" t="s">
        <v>27</v>
      </c>
      <c r="I1829">
        <v>2023</v>
      </c>
      <c r="J1829" t="s">
        <v>21</v>
      </c>
      <c r="K1829">
        <v>36.930900000000001</v>
      </c>
      <c r="L1829">
        <v>116.6726</v>
      </c>
      <c r="M1829" t="s">
        <v>102</v>
      </c>
      <c r="N1829" s="2">
        <f>Table1[[#This Row],[Capacity (MW)]]*8760*0.72*10^-6</f>
        <v>0.17029439999999998</v>
      </c>
      <c r="O1829" s="2" cm="1">
        <f t="array" ref="O1829">AVERAGE(VLOOKUP(_xlfn.TEXTSPLIT(Table1[[#This Row],[Fuel (no space after comma)]], ","), FuelList_Final_EF!$A$2:$B$32, 2, FALSE))</f>
        <v>118.17</v>
      </c>
      <c r="P1829" s="2">
        <f>(16112*Table1[[#This Row],[Generation (TWh)]]*10^9)/10^6</f>
        <v>2743783.3727999995</v>
      </c>
      <c r="Q1829" s="2">
        <f>Table1[[#This Row],[Emission Factor (kg CO2/ mmBtu)]]*Table1[[#This Row],[Fuel Consumption (mmBtu)]]*10^3</f>
        <v>324232881163.776</v>
      </c>
      <c r="R1829" s="2">
        <f>(Table1[[#This Row],[CO2 Emissions (g CO2)]])/(Table1[[#This Row],[Generation (TWh)]]*10^9)</f>
        <v>1903.9550400000003</v>
      </c>
    </row>
    <row r="1830" spans="1:18" hidden="1">
      <c r="A1830" t="s">
        <v>1121</v>
      </c>
      <c r="B1830" t="s">
        <v>46</v>
      </c>
      <c r="C1830" t="str">
        <f>SUBSTITUTE(Table1[[#This Row],[Fuel]],", ",",")</f>
        <v>bioenergy: agricultural waste (solids)</v>
      </c>
      <c r="D1830" t="s">
        <v>46</v>
      </c>
      <c r="G1830">
        <v>3</v>
      </c>
      <c r="H1830" t="s">
        <v>27</v>
      </c>
      <c r="I1830">
        <v>2023</v>
      </c>
      <c r="J1830" t="s">
        <v>21</v>
      </c>
      <c r="K1830">
        <v>36.930900000000001</v>
      </c>
      <c r="L1830">
        <v>116.6726</v>
      </c>
      <c r="M1830" t="s">
        <v>102</v>
      </c>
      <c r="N1830" s="2">
        <f>Table1[[#This Row],[Capacity (MW)]]*8760*0.72*10^-6</f>
        <v>1.8921599999999997E-2</v>
      </c>
      <c r="O1830" s="2" cm="1">
        <f t="array" ref="O1830">AVERAGE(VLOOKUP(_xlfn.TEXTSPLIT(Table1[[#This Row],[Fuel (no space after comma)]], ","), FuelList_Final_EF!$A$2:$B$32, 2, FALSE))</f>
        <v>118.17</v>
      </c>
      <c r="P1830" s="2">
        <f>(16112*Table1[[#This Row],[Generation (TWh)]]*10^9)/10^6</f>
        <v>304864.81919999991</v>
      </c>
      <c r="Q1830" s="2">
        <f>Table1[[#This Row],[Emission Factor (kg CO2/ mmBtu)]]*Table1[[#This Row],[Fuel Consumption (mmBtu)]]*10^3</f>
        <v>36025875684.863991</v>
      </c>
      <c r="R1830" s="2">
        <f>(Table1[[#This Row],[CO2 Emissions (g CO2)]])/(Table1[[#This Row],[Generation (TWh)]]*10^9)</f>
        <v>1903.9550399999998</v>
      </c>
    </row>
    <row r="1831" spans="1:18" hidden="1">
      <c r="A1831" t="s">
        <v>492</v>
      </c>
      <c r="B1831" t="s">
        <v>46</v>
      </c>
      <c r="C1831" t="str">
        <f>SUBSTITUTE(Table1[[#This Row],[Fuel]],", ",",")</f>
        <v>bioenergy: agricultural waste (solids)</v>
      </c>
      <c r="D1831" t="s">
        <v>46</v>
      </c>
      <c r="G1831">
        <v>30</v>
      </c>
      <c r="H1831" t="s">
        <v>27</v>
      </c>
      <c r="I1831">
        <v>2018</v>
      </c>
      <c r="J1831" t="s">
        <v>21</v>
      </c>
      <c r="K1831">
        <v>35.521299999999997</v>
      </c>
      <c r="L1831">
        <v>115.8447</v>
      </c>
      <c r="M1831" t="s">
        <v>102</v>
      </c>
      <c r="N1831" s="2">
        <f>Table1[[#This Row],[Capacity (MW)]]*8760*0.72*10^-6</f>
        <v>0.189216</v>
      </c>
      <c r="O1831" s="2" cm="1">
        <f t="array" ref="O1831">AVERAGE(VLOOKUP(_xlfn.TEXTSPLIT(Table1[[#This Row],[Fuel (no space after comma)]], ","), FuelList_Final_EF!$A$2:$B$32, 2, FALSE))</f>
        <v>118.17</v>
      </c>
      <c r="P1831" s="2">
        <f>(16112*Table1[[#This Row],[Generation (TWh)]]*10^9)/10^6</f>
        <v>3048648.1919999998</v>
      </c>
      <c r="Q1831" s="2">
        <f>Table1[[#This Row],[Emission Factor (kg CO2/ mmBtu)]]*Table1[[#This Row],[Fuel Consumption (mmBtu)]]*10^3</f>
        <v>360258756848.63995</v>
      </c>
      <c r="R1831" s="2">
        <f>(Table1[[#This Row],[CO2 Emissions (g CO2)]])/(Table1[[#This Row],[Generation (TWh)]]*10^9)</f>
        <v>1903.9550399999998</v>
      </c>
    </row>
    <row r="1832" spans="1:18" hidden="1">
      <c r="A1832" t="s">
        <v>492</v>
      </c>
      <c r="B1832" t="s">
        <v>46</v>
      </c>
      <c r="C1832" t="str">
        <f>SUBSTITUTE(Table1[[#This Row],[Fuel]],", ",",")</f>
        <v>bioenergy: agricultural waste (solids)</v>
      </c>
      <c r="D1832" t="s">
        <v>46</v>
      </c>
      <c r="G1832">
        <v>30</v>
      </c>
      <c r="H1832" t="s">
        <v>27</v>
      </c>
      <c r="I1832">
        <v>2018</v>
      </c>
      <c r="J1832" t="s">
        <v>21</v>
      </c>
      <c r="K1832">
        <v>35.521299999999997</v>
      </c>
      <c r="L1832">
        <v>115.8447</v>
      </c>
      <c r="M1832" t="s">
        <v>102</v>
      </c>
      <c r="N1832" s="2">
        <f>Table1[[#This Row],[Capacity (MW)]]*8760*0.72*10^-6</f>
        <v>0.189216</v>
      </c>
      <c r="O1832" s="2" cm="1">
        <f t="array" ref="O1832">AVERAGE(VLOOKUP(_xlfn.TEXTSPLIT(Table1[[#This Row],[Fuel (no space after comma)]], ","), FuelList_Final_EF!$A$2:$B$32, 2, FALSE))</f>
        <v>118.17</v>
      </c>
      <c r="P1832" s="2">
        <f>(16112*Table1[[#This Row],[Generation (TWh)]]*10^9)/10^6</f>
        <v>3048648.1919999998</v>
      </c>
      <c r="Q1832" s="2">
        <f>Table1[[#This Row],[Emission Factor (kg CO2/ mmBtu)]]*Table1[[#This Row],[Fuel Consumption (mmBtu)]]*10^3</f>
        <v>360258756848.63995</v>
      </c>
      <c r="R1832" s="2">
        <f>(Table1[[#This Row],[CO2 Emissions (g CO2)]])/(Table1[[#This Row],[Generation (TWh)]]*10^9)</f>
        <v>1903.9550399999998</v>
      </c>
    </row>
    <row r="1833" spans="1:18" hidden="1">
      <c r="A1833" t="s">
        <v>284</v>
      </c>
      <c r="B1833" t="s">
        <v>46</v>
      </c>
      <c r="C1833" t="str">
        <f>SUBSTITUTE(Table1[[#This Row],[Fuel]],", ",",")</f>
        <v>bioenergy: agricultural waste (solids)</v>
      </c>
      <c r="D1833" t="s">
        <v>46</v>
      </c>
      <c r="G1833">
        <v>30</v>
      </c>
      <c r="H1833" t="s">
        <v>27</v>
      </c>
      <c r="I1833">
        <v>2015</v>
      </c>
      <c r="J1833" t="s">
        <v>21</v>
      </c>
      <c r="K1833">
        <v>34.933999999999997</v>
      </c>
      <c r="L1833">
        <v>116.46980000000001</v>
      </c>
      <c r="M1833" t="s">
        <v>102</v>
      </c>
      <c r="N1833" s="2">
        <f>Table1[[#This Row],[Capacity (MW)]]*8760*0.72*10^-6</f>
        <v>0.189216</v>
      </c>
      <c r="O1833" s="2" cm="1">
        <f t="array" ref="O1833">AVERAGE(VLOOKUP(_xlfn.TEXTSPLIT(Table1[[#This Row],[Fuel (no space after comma)]], ","), FuelList_Final_EF!$A$2:$B$32, 2, FALSE))</f>
        <v>118.17</v>
      </c>
      <c r="P1833" s="2">
        <f>(16112*Table1[[#This Row],[Generation (TWh)]]*10^9)/10^6</f>
        <v>3048648.1919999998</v>
      </c>
      <c r="Q1833" s="2">
        <f>Table1[[#This Row],[Emission Factor (kg CO2/ mmBtu)]]*Table1[[#This Row],[Fuel Consumption (mmBtu)]]*10^3</f>
        <v>360258756848.63995</v>
      </c>
      <c r="R1833" s="2">
        <f>(Table1[[#This Row],[CO2 Emissions (g CO2)]])/(Table1[[#This Row],[Generation (TWh)]]*10^9)</f>
        <v>1903.9550399999998</v>
      </c>
    </row>
    <row r="1834" spans="1:18" hidden="1">
      <c r="A1834" t="s">
        <v>479</v>
      </c>
      <c r="B1834" t="s">
        <v>46</v>
      </c>
      <c r="C1834" t="str">
        <f>SUBSTITUTE(Table1[[#This Row],[Fuel]],", ",",")</f>
        <v>bioenergy: agricultural waste (solids)</v>
      </c>
      <c r="D1834" t="s">
        <v>46</v>
      </c>
      <c r="G1834">
        <v>30</v>
      </c>
      <c r="H1834" t="s">
        <v>27</v>
      </c>
      <c r="I1834">
        <v>2022</v>
      </c>
      <c r="J1834" t="s">
        <v>21</v>
      </c>
      <c r="K1834">
        <v>35.1068</v>
      </c>
      <c r="L1834">
        <v>117.3605</v>
      </c>
      <c r="M1834" t="s">
        <v>102</v>
      </c>
      <c r="N1834" s="2">
        <f>Table1[[#This Row],[Capacity (MW)]]*8760*0.72*10^-6</f>
        <v>0.189216</v>
      </c>
      <c r="O1834" s="2" cm="1">
        <f t="array" ref="O1834">AVERAGE(VLOOKUP(_xlfn.TEXTSPLIT(Table1[[#This Row],[Fuel (no space after comma)]], ","), FuelList_Final_EF!$A$2:$B$32, 2, FALSE))</f>
        <v>118.17</v>
      </c>
      <c r="P1834" s="2">
        <f>(16112*Table1[[#This Row],[Generation (TWh)]]*10^9)/10^6</f>
        <v>3048648.1919999998</v>
      </c>
      <c r="Q1834" s="2">
        <f>Table1[[#This Row],[Emission Factor (kg CO2/ mmBtu)]]*Table1[[#This Row],[Fuel Consumption (mmBtu)]]*10^3</f>
        <v>360258756848.63995</v>
      </c>
      <c r="R1834" s="2">
        <f>(Table1[[#This Row],[CO2 Emissions (g CO2)]])/(Table1[[#This Row],[Generation (TWh)]]*10^9)</f>
        <v>1903.9550399999998</v>
      </c>
    </row>
    <row r="1835" spans="1:18" hidden="1">
      <c r="A1835" t="s">
        <v>1122</v>
      </c>
      <c r="B1835" t="s">
        <v>42</v>
      </c>
      <c r="C1835" t="str">
        <f>SUBSTITUTE(Table1[[#This Row],[Fuel]],", ",",")</f>
        <v>bioenergy: wastewater and sewage sludge (solids or biogas)</v>
      </c>
      <c r="D1835" t="s">
        <v>42</v>
      </c>
      <c r="G1835">
        <v>50</v>
      </c>
      <c r="H1835" t="s">
        <v>27</v>
      </c>
      <c r="I1835">
        <v>2014</v>
      </c>
      <c r="J1835" t="s">
        <v>21</v>
      </c>
      <c r="K1835">
        <v>34.764400000000002</v>
      </c>
      <c r="L1835">
        <v>117.25020000000001</v>
      </c>
      <c r="M1835" t="s">
        <v>102</v>
      </c>
      <c r="N1835" s="2">
        <f>Table1[[#This Row],[Capacity (MW)]]*8760*0.72*10^-6</f>
        <v>0.31535999999999997</v>
      </c>
      <c r="O1835" s="2" cm="1">
        <f t="array" ref="O1835">AVERAGE(VLOOKUP(_xlfn.TEXTSPLIT(Table1[[#This Row],[Fuel (no space after comma)]], ","), FuelList_Final_EF!$A$2:$B$32, 2, FALSE))</f>
        <v>57.564575645756456</v>
      </c>
      <c r="P1835" s="2">
        <f>(16112*Table1[[#This Row],[Generation (TWh)]]*10^9)/10^6</f>
        <v>5081080.32</v>
      </c>
      <c r="Q1835" s="2">
        <f>Table1[[#This Row],[Emission Factor (kg CO2/ mmBtu)]]*Table1[[#This Row],[Fuel Consumption (mmBtu)]]*10^3</f>
        <v>292490232442.80444</v>
      </c>
      <c r="R1835" s="2">
        <f>(Table1[[#This Row],[CO2 Emissions (g CO2)]])/(Table1[[#This Row],[Generation (TWh)]]*10^9)</f>
        <v>927.48044280442809</v>
      </c>
    </row>
    <row r="1836" spans="1:18">
      <c r="A1836" t="s">
        <v>1123</v>
      </c>
      <c r="B1836" t="s">
        <v>19</v>
      </c>
      <c r="C1836" t="str">
        <f>SUBSTITUTE(Table1[[#This Row],[Fuel]],", ",",")</f>
        <v>bioenergy: refuse (municipal and industrial wastes)</v>
      </c>
      <c r="D1836" t="s">
        <v>19</v>
      </c>
      <c r="G1836">
        <v>45</v>
      </c>
      <c r="H1836" t="s">
        <v>27</v>
      </c>
      <c r="I1836" t="s">
        <v>21</v>
      </c>
      <c r="J1836" t="s">
        <v>21</v>
      </c>
      <c r="K1836">
        <v>36.938240999999998</v>
      </c>
      <c r="L1836">
        <v>117.279448</v>
      </c>
      <c r="M1836" t="s">
        <v>102</v>
      </c>
      <c r="N1836" s="2">
        <f>Table1[[#This Row],[Capacity (MW)]]*8760*0.72*10^-6</f>
        <v>0.28382399999999997</v>
      </c>
      <c r="O1836" s="2" cm="1">
        <f t="array" ref="O1836">AVERAGE(VLOOKUP(_xlfn.TEXTSPLIT(Table1[[#This Row],[Fuel (no space after comma)]], ","), FuelList_Final_EF!$A$2:$B$32, 2, FALSE))</f>
        <v>105.42962572482868</v>
      </c>
      <c r="P1836" s="2">
        <f>(16112*Table1[[#This Row],[Generation (TWh)]]*10^9)/10^6</f>
        <v>4572972.2879999988</v>
      </c>
      <c r="Q1836" s="2">
        <f>Table1[[#This Row],[Emission Factor (kg CO2/ mmBtu)]]*Table1[[#This Row],[Fuel Consumption (mmBtu)]]*10^3</f>
        <v>482126756773.85333</v>
      </c>
      <c r="R1836" s="2">
        <f>(Table1[[#This Row],[CO2 Emissions (g CO2)]])/(Table1[[#This Row],[Generation (TWh)]]*10^9)</f>
        <v>1698.6821296784397</v>
      </c>
    </row>
    <row r="1837" spans="1:18" hidden="1">
      <c r="A1837" t="s">
        <v>54</v>
      </c>
      <c r="B1837" t="s">
        <v>210</v>
      </c>
      <c r="C1837" t="str">
        <f>SUBSTITUTE(Table1[[#This Row],[Fuel]],", ",",")</f>
        <v>bioenergy: wood &amp; other biomass (solids),bioenergy: agricultural waste (solids)</v>
      </c>
      <c r="D1837" t="s">
        <v>25</v>
      </c>
      <c r="E1837" t="s">
        <v>46</v>
      </c>
      <c r="G1837">
        <v>30</v>
      </c>
      <c r="H1837" t="s">
        <v>27</v>
      </c>
      <c r="I1837">
        <v>2012</v>
      </c>
      <c r="J1837" t="s">
        <v>21</v>
      </c>
      <c r="K1837">
        <v>36.625300000000003</v>
      </c>
      <c r="L1837">
        <v>117.84910000000001</v>
      </c>
      <c r="M1837" t="s">
        <v>102</v>
      </c>
      <c r="N1837" s="2">
        <f>Table1[[#This Row],[Capacity (MW)]]*8760*0.72*10^-6</f>
        <v>0.189216</v>
      </c>
      <c r="O1837" s="2" cm="1">
        <f t="array" ref="O1837">AVERAGE(VLOOKUP(_xlfn.TEXTSPLIT(Table1[[#This Row],[Fuel (no space after comma)]], ","), FuelList_Final_EF!$A$2:$B$32, 2, FALSE))</f>
        <v>105.985</v>
      </c>
      <c r="P1837" s="2">
        <f>(16112*Table1[[#This Row],[Generation (TWh)]]*10^9)/10^6</f>
        <v>3048648.1919999998</v>
      </c>
      <c r="Q1837" s="2">
        <f>Table1[[#This Row],[Emission Factor (kg CO2/ mmBtu)]]*Table1[[#This Row],[Fuel Consumption (mmBtu)]]*10^3</f>
        <v>323110978629.12</v>
      </c>
      <c r="R1837" s="2">
        <f>(Table1[[#This Row],[CO2 Emissions (g CO2)]])/(Table1[[#This Row],[Generation (TWh)]]*10^9)</f>
        <v>1707.63032</v>
      </c>
    </row>
    <row r="1838" spans="1:18">
      <c r="A1838" t="s">
        <v>1124</v>
      </c>
      <c r="B1838" t="s">
        <v>46</v>
      </c>
      <c r="C1838" t="str">
        <f>SUBSTITUTE(Table1[[#This Row],[Fuel]],", ",",")</f>
        <v>bioenergy: agricultural waste (solids)</v>
      </c>
      <c r="D1838" t="s">
        <v>46</v>
      </c>
      <c r="G1838">
        <v>37</v>
      </c>
      <c r="H1838" t="s">
        <v>97</v>
      </c>
      <c r="I1838" t="s">
        <v>21</v>
      </c>
      <c r="J1838" t="s">
        <v>21</v>
      </c>
      <c r="K1838">
        <v>36.885899999999999</v>
      </c>
      <c r="L1838">
        <v>117.50320000000001</v>
      </c>
      <c r="M1838" t="s">
        <v>102</v>
      </c>
      <c r="N1838" s="2">
        <f>Table1[[#This Row],[Capacity (MW)]]*8760*0.72*10^-6</f>
        <v>0.23336639999999997</v>
      </c>
      <c r="O1838" s="2" cm="1">
        <f t="array" ref="O1838">AVERAGE(VLOOKUP(_xlfn.TEXTSPLIT(Table1[[#This Row],[Fuel (no space after comma)]], ","), FuelList_Final_EF!$A$2:$B$32, 2, FALSE))</f>
        <v>118.17</v>
      </c>
      <c r="P1838" s="2">
        <f>(16112*Table1[[#This Row],[Generation (TWh)]]*10^9)/10^6</f>
        <v>3759999.4367999998</v>
      </c>
      <c r="Q1838" s="2">
        <f>Table1[[#This Row],[Emission Factor (kg CO2/ mmBtu)]]*Table1[[#This Row],[Fuel Consumption (mmBtu)]]*10^3</f>
        <v>444319133446.65601</v>
      </c>
      <c r="R1838" s="2">
        <f>(Table1[[#This Row],[CO2 Emissions (g CO2)]])/(Table1[[#This Row],[Generation (TWh)]]*10^9)</f>
        <v>1903.9550400000003</v>
      </c>
    </row>
    <row r="1839" spans="1:18" hidden="1">
      <c r="A1839" t="s">
        <v>1125</v>
      </c>
      <c r="B1839" t="s">
        <v>19</v>
      </c>
      <c r="C1839" t="str">
        <f>SUBSTITUTE(Table1[[#This Row],[Fuel]],", ",",")</f>
        <v>bioenergy: refuse (municipal and industrial wastes)</v>
      </c>
      <c r="D1839" t="s">
        <v>19</v>
      </c>
      <c r="G1839">
        <v>24</v>
      </c>
      <c r="H1839" t="s">
        <v>27</v>
      </c>
      <c r="I1839">
        <v>2023</v>
      </c>
      <c r="J1839" t="s">
        <v>21</v>
      </c>
      <c r="K1839">
        <v>31.468399999999999</v>
      </c>
      <c r="L1839">
        <v>121.40130000000001</v>
      </c>
      <c r="M1839" t="s">
        <v>102</v>
      </c>
      <c r="N1839" s="2">
        <f>Table1[[#This Row],[Capacity (MW)]]*8760*0.72*10^-6</f>
        <v>0.15137279999999997</v>
      </c>
      <c r="O1839" s="2" cm="1">
        <f t="array" ref="O1839">AVERAGE(VLOOKUP(_xlfn.TEXTSPLIT(Table1[[#This Row],[Fuel (no space after comma)]], ","), FuelList_Final_EF!$A$2:$B$32, 2, FALSE))</f>
        <v>105.42962572482868</v>
      </c>
      <c r="P1839" s="2">
        <f>(16112*Table1[[#This Row],[Generation (TWh)]]*10^9)/10^6</f>
        <v>2438918.5535999993</v>
      </c>
      <c r="Q1839" s="2">
        <f>Table1[[#This Row],[Emission Factor (kg CO2/ mmBtu)]]*Table1[[#This Row],[Fuel Consumption (mmBtu)]]*10^3</f>
        <v>257134270279.38846</v>
      </c>
      <c r="R1839" s="2">
        <f>(Table1[[#This Row],[CO2 Emissions (g CO2)]])/(Table1[[#This Row],[Generation (TWh)]]*10^9)</f>
        <v>1698.6821296784397</v>
      </c>
    </row>
    <row r="1840" spans="1:18" hidden="1">
      <c r="A1840" t="s">
        <v>1126</v>
      </c>
      <c r="B1840" t="s">
        <v>19</v>
      </c>
      <c r="C1840" t="str">
        <f>SUBSTITUTE(Table1[[#This Row],[Fuel]],", ",",")</f>
        <v>bioenergy: refuse (municipal and industrial wastes)</v>
      </c>
      <c r="D1840" t="s">
        <v>19</v>
      </c>
      <c r="G1840">
        <v>36</v>
      </c>
      <c r="H1840" t="s">
        <v>27</v>
      </c>
      <c r="I1840">
        <v>2023</v>
      </c>
      <c r="J1840" t="s">
        <v>21</v>
      </c>
      <c r="K1840">
        <v>31.468399999999999</v>
      </c>
      <c r="L1840">
        <v>121.40130000000001</v>
      </c>
      <c r="M1840" t="s">
        <v>102</v>
      </c>
      <c r="N1840" s="2">
        <f>Table1[[#This Row],[Capacity (MW)]]*8760*0.72*10^-6</f>
        <v>0.22705919999999996</v>
      </c>
      <c r="O1840" s="2" cm="1">
        <f t="array" ref="O1840">AVERAGE(VLOOKUP(_xlfn.TEXTSPLIT(Table1[[#This Row],[Fuel (no space after comma)]], ","), FuelList_Final_EF!$A$2:$B$32, 2, FALSE))</f>
        <v>105.42962572482868</v>
      </c>
      <c r="P1840" s="2">
        <f>(16112*Table1[[#This Row],[Generation (TWh)]]*10^9)/10^6</f>
        <v>3658377.8303999994</v>
      </c>
      <c r="Q1840" s="2">
        <f>Table1[[#This Row],[Emission Factor (kg CO2/ mmBtu)]]*Table1[[#This Row],[Fuel Consumption (mmBtu)]]*10^3</f>
        <v>385701405419.0827</v>
      </c>
      <c r="R1840" s="2">
        <f>(Table1[[#This Row],[CO2 Emissions (g CO2)]])/(Table1[[#This Row],[Generation (TWh)]]*10^9)</f>
        <v>1698.6821296784397</v>
      </c>
    </row>
    <row r="1841" spans="1:18" hidden="1">
      <c r="A1841" t="s">
        <v>1126</v>
      </c>
      <c r="B1841" t="s">
        <v>19</v>
      </c>
      <c r="C1841" t="str">
        <f>SUBSTITUTE(Table1[[#This Row],[Fuel]],", ",",")</f>
        <v>bioenergy: refuse (municipal and industrial wastes)</v>
      </c>
      <c r="D1841" t="s">
        <v>19</v>
      </c>
      <c r="G1841">
        <v>36</v>
      </c>
      <c r="H1841" t="s">
        <v>27</v>
      </c>
      <c r="I1841">
        <v>2023</v>
      </c>
      <c r="J1841" t="s">
        <v>21</v>
      </c>
      <c r="K1841">
        <v>31.468399999999999</v>
      </c>
      <c r="L1841">
        <v>121.40130000000001</v>
      </c>
      <c r="M1841" t="s">
        <v>102</v>
      </c>
      <c r="N1841" s="2">
        <f>Table1[[#This Row],[Capacity (MW)]]*8760*0.72*10^-6</f>
        <v>0.22705919999999996</v>
      </c>
      <c r="O1841" s="2" cm="1">
        <f t="array" ref="O1841">AVERAGE(VLOOKUP(_xlfn.TEXTSPLIT(Table1[[#This Row],[Fuel (no space after comma)]], ","), FuelList_Final_EF!$A$2:$B$32, 2, FALSE))</f>
        <v>105.42962572482868</v>
      </c>
      <c r="P1841" s="2">
        <f>(16112*Table1[[#This Row],[Generation (TWh)]]*10^9)/10^6</f>
        <v>3658377.8303999994</v>
      </c>
      <c r="Q1841" s="2">
        <f>Table1[[#This Row],[Emission Factor (kg CO2/ mmBtu)]]*Table1[[#This Row],[Fuel Consumption (mmBtu)]]*10^3</f>
        <v>385701405419.0827</v>
      </c>
      <c r="R1841" s="2">
        <f>(Table1[[#This Row],[CO2 Emissions (g CO2)]])/(Table1[[#This Row],[Generation (TWh)]]*10^9)</f>
        <v>1698.6821296784397</v>
      </c>
    </row>
    <row r="1842" spans="1:18" hidden="1">
      <c r="A1842" t="s">
        <v>1125</v>
      </c>
      <c r="B1842" t="s">
        <v>19</v>
      </c>
      <c r="C1842" t="str">
        <f>SUBSTITUTE(Table1[[#This Row],[Fuel]],", ",",")</f>
        <v>bioenergy: refuse (municipal and industrial wastes)</v>
      </c>
      <c r="D1842" t="s">
        <v>19</v>
      </c>
      <c r="G1842">
        <v>24</v>
      </c>
      <c r="H1842" t="s">
        <v>27</v>
      </c>
      <c r="I1842">
        <v>2023</v>
      </c>
      <c r="J1842" t="s">
        <v>21</v>
      </c>
      <c r="K1842">
        <v>31.468399999999999</v>
      </c>
      <c r="L1842">
        <v>121.40130000000001</v>
      </c>
      <c r="M1842" t="s">
        <v>102</v>
      </c>
      <c r="N1842" s="2">
        <f>Table1[[#This Row],[Capacity (MW)]]*8760*0.72*10^-6</f>
        <v>0.15137279999999997</v>
      </c>
      <c r="O1842" s="2" cm="1">
        <f t="array" ref="O1842">AVERAGE(VLOOKUP(_xlfn.TEXTSPLIT(Table1[[#This Row],[Fuel (no space after comma)]], ","), FuelList_Final_EF!$A$2:$B$32, 2, FALSE))</f>
        <v>105.42962572482868</v>
      </c>
      <c r="P1842" s="2">
        <f>(16112*Table1[[#This Row],[Generation (TWh)]]*10^9)/10^6</f>
        <v>2438918.5535999993</v>
      </c>
      <c r="Q1842" s="2">
        <f>Table1[[#This Row],[Emission Factor (kg CO2/ mmBtu)]]*Table1[[#This Row],[Fuel Consumption (mmBtu)]]*10^3</f>
        <v>257134270279.38846</v>
      </c>
      <c r="R1842" s="2">
        <f>(Table1[[#This Row],[CO2 Emissions (g CO2)]])/(Table1[[#This Row],[Generation (TWh)]]*10^9)</f>
        <v>1698.6821296784397</v>
      </c>
    </row>
    <row r="1843" spans="1:18" hidden="1">
      <c r="A1843" t="s">
        <v>1127</v>
      </c>
      <c r="B1843" t="s">
        <v>19</v>
      </c>
      <c r="C1843" t="str">
        <f>SUBSTITUTE(Table1[[#This Row],[Fuel]],", ",",")</f>
        <v>bioenergy: refuse (municipal and industrial wastes)</v>
      </c>
      <c r="D1843" t="s">
        <v>19</v>
      </c>
      <c r="G1843">
        <v>18</v>
      </c>
      <c r="H1843" t="s">
        <v>27</v>
      </c>
      <c r="I1843">
        <v>2022</v>
      </c>
      <c r="J1843" t="s">
        <v>21</v>
      </c>
      <c r="K1843">
        <v>30.831318</v>
      </c>
      <c r="L1843">
        <v>121.447419</v>
      </c>
      <c r="M1843" t="s">
        <v>102</v>
      </c>
      <c r="N1843" s="2">
        <f>Table1[[#This Row],[Capacity (MW)]]*8760*0.72*10^-6</f>
        <v>0.11352959999999998</v>
      </c>
      <c r="O1843" s="2" cm="1">
        <f t="array" ref="O1843">AVERAGE(VLOOKUP(_xlfn.TEXTSPLIT(Table1[[#This Row],[Fuel (no space after comma)]], ","), FuelList_Final_EF!$A$2:$B$32, 2, FALSE))</f>
        <v>105.42962572482868</v>
      </c>
      <c r="P1843" s="2">
        <f>(16112*Table1[[#This Row],[Generation (TWh)]]*10^9)/10^6</f>
        <v>1829188.9151999997</v>
      </c>
      <c r="Q1843" s="2">
        <f>Table1[[#This Row],[Emission Factor (kg CO2/ mmBtu)]]*Table1[[#This Row],[Fuel Consumption (mmBtu)]]*10^3</f>
        <v>192850702709.54135</v>
      </c>
      <c r="R1843" s="2">
        <f>(Table1[[#This Row],[CO2 Emissions (g CO2)]])/(Table1[[#This Row],[Generation (TWh)]]*10^9)</f>
        <v>1698.6821296784397</v>
      </c>
    </row>
    <row r="1844" spans="1:18" hidden="1">
      <c r="A1844" t="s">
        <v>1128</v>
      </c>
      <c r="B1844" t="s">
        <v>19</v>
      </c>
      <c r="C1844" t="str">
        <f>SUBSTITUTE(Table1[[#This Row],[Fuel]],", ",",")</f>
        <v>bioenergy: refuse (municipal and industrial wastes)</v>
      </c>
      <c r="D1844" t="s">
        <v>19</v>
      </c>
      <c r="G1844">
        <v>7.5</v>
      </c>
      <c r="H1844" t="s">
        <v>27</v>
      </c>
      <c r="I1844">
        <v>2022</v>
      </c>
      <c r="J1844" t="s">
        <v>21</v>
      </c>
      <c r="K1844">
        <v>30.831318</v>
      </c>
      <c r="L1844">
        <v>121.447419</v>
      </c>
      <c r="M1844" t="s">
        <v>102</v>
      </c>
      <c r="N1844" s="2">
        <f>Table1[[#This Row],[Capacity (MW)]]*8760*0.72*10^-6</f>
        <v>4.7303999999999999E-2</v>
      </c>
      <c r="O1844" s="2" cm="1">
        <f t="array" ref="O1844">AVERAGE(VLOOKUP(_xlfn.TEXTSPLIT(Table1[[#This Row],[Fuel (no space after comma)]], ","), FuelList_Final_EF!$A$2:$B$32, 2, FALSE))</f>
        <v>105.42962572482868</v>
      </c>
      <c r="P1844" s="2">
        <f>(16112*Table1[[#This Row],[Generation (TWh)]]*10^9)/10^6</f>
        <v>762162.04799999995</v>
      </c>
      <c r="Q1844" s="2">
        <f>Table1[[#This Row],[Emission Factor (kg CO2/ mmBtu)]]*Table1[[#This Row],[Fuel Consumption (mmBtu)]]*10^3</f>
        <v>80354459462.308914</v>
      </c>
      <c r="R1844" s="2">
        <f>(Table1[[#This Row],[CO2 Emissions (g CO2)]])/(Table1[[#This Row],[Generation (TWh)]]*10^9)</f>
        <v>1698.6821296784397</v>
      </c>
    </row>
    <row r="1845" spans="1:18" hidden="1">
      <c r="A1845" t="s">
        <v>1129</v>
      </c>
      <c r="B1845" t="s">
        <v>19</v>
      </c>
      <c r="C1845" t="str">
        <f>SUBSTITUTE(Table1[[#This Row],[Fuel]],", ",",")</f>
        <v>bioenergy: refuse (municipal and industrial wastes)</v>
      </c>
      <c r="D1845" t="s">
        <v>19</v>
      </c>
      <c r="G1845">
        <v>4.5</v>
      </c>
      <c r="H1845" t="s">
        <v>27</v>
      </c>
      <c r="I1845">
        <v>2022</v>
      </c>
      <c r="J1845" t="s">
        <v>21</v>
      </c>
      <c r="K1845">
        <v>30.831318</v>
      </c>
      <c r="L1845">
        <v>121.447419</v>
      </c>
      <c r="M1845" t="s">
        <v>102</v>
      </c>
      <c r="N1845" s="2">
        <f>Table1[[#This Row],[Capacity (MW)]]*8760*0.72*10^-6</f>
        <v>2.8382399999999995E-2</v>
      </c>
      <c r="O1845" s="2" cm="1">
        <f t="array" ref="O1845">AVERAGE(VLOOKUP(_xlfn.TEXTSPLIT(Table1[[#This Row],[Fuel (no space after comma)]], ","), FuelList_Final_EF!$A$2:$B$32, 2, FALSE))</f>
        <v>105.42962572482868</v>
      </c>
      <c r="P1845" s="2">
        <f>(16112*Table1[[#This Row],[Generation (TWh)]]*10^9)/10^6</f>
        <v>457297.22879999992</v>
      </c>
      <c r="Q1845" s="2">
        <f>Table1[[#This Row],[Emission Factor (kg CO2/ mmBtu)]]*Table1[[#This Row],[Fuel Consumption (mmBtu)]]*10^3</f>
        <v>48212675677.385338</v>
      </c>
      <c r="R1845" s="2">
        <f>(Table1[[#This Row],[CO2 Emissions (g CO2)]])/(Table1[[#This Row],[Generation (TWh)]]*10^9)</f>
        <v>1698.6821296784397</v>
      </c>
    </row>
    <row r="1846" spans="1:18" hidden="1">
      <c r="A1846" t="s">
        <v>1130</v>
      </c>
      <c r="B1846" t="s">
        <v>19</v>
      </c>
      <c r="C1846" t="str">
        <f>SUBSTITUTE(Table1[[#This Row],[Fuel]],", ",",")</f>
        <v>bioenergy: refuse (municipal and industrial wastes)</v>
      </c>
      <c r="D1846" t="s">
        <v>19</v>
      </c>
      <c r="G1846">
        <v>30</v>
      </c>
      <c r="H1846" t="s">
        <v>27</v>
      </c>
      <c r="I1846">
        <v>2013</v>
      </c>
      <c r="J1846" t="s">
        <v>21</v>
      </c>
      <c r="K1846">
        <v>31.0412</v>
      </c>
      <c r="L1846">
        <v>121.8394</v>
      </c>
      <c r="M1846" t="s">
        <v>102</v>
      </c>
      <c r="N1846" s="2">
        <f>Table1[[#This Row],[Capacity (MW)]]*8760*0.72*10^-6</f>
        <v>0.189216</v>
      </c>
      <c r="O1846" s="2" cm="1">
        <f t="array" ref="O1846">AVERAGE(VLOOKUP(_xlfn.TEXTSPLIT(Table1[[#This Row],[Fuel (no space after comma)]], ","), FuelList_Final_EF!$A$2:$B$32, 2, FALSE))</f>
        <v>105.42962572482868</v>
      </c>
      <c r="P1846" s="2">
        <f>(16112*Table1[[#This Row],[Generation (TWh)]]*10^9)/10^6</f>
        <v>3048648.1919999998</v>
      </c>
      <c r="Q1846" s="2">
        <f>Table1[[#This Row],[Emission Factor (kg CO2/ mmBtu)]]*Table1[[#This Row],[Fuel Consumption (mmBtu)]]*10^3</f>
        <v>321417837849.23566</v>
      </c>
      <c r="R1846" s="2">
        <f>(Table1[[#This Row],[CO2 Emissions (g CO2)]])/(Table1[[#This Row],[Generation (TWh)]]*10^9)</f>
        <v>1698.6821296784397</v>
      </c>
    </row>
    <row r="1847" spans="1:18" hidden="1">
      <c r="A1847" t="s">
        <v>1130</v>
      </c>
      <c r="B1847" t="s">
        <v>19</v>
      </c>
      <c r="C1847" t="str">
        <f>SUBSTITUTE(Table1[[#This Row],[Fuel]],", ",",")</f>
        <v>bioenergy: refuse (municipal and industrial wastes)</v>
      </c>
      <c r="D1847" t="s">
        <v>19</v>
      </c>
      <c r="G1847">
        <v>30</v>
      </c>
      <c r="H1847" t="s">
        <v>27</v>
      </c>
      <c r="I1847">
        <v>2013</v>
      </c>
      <c r="J1847" t="s">
        <v>21</v>
      </c>
      <c r="K1847">
        <v>31.0412</v>
      </c>
      <c r="L1847">
        <v>121.8394</v>
      </c>
      <c r="M1847" t="s">
        <v>102</v>
      </c>
      <c r="N1847" s="2">
        <f>Table1[[#This Row],[Capacity (MW)]]*8760*0.72*10^-6</f>
        <v>0.189216</v>
      </c>
      <c r="O1847" s="2" cm="1">
        <f t="array" ref="O1847">AVERAGE(VLOOKUP(_xlfn.TEXTSPLIT(Table1[[#This Row],[Fuel (no space after comma)]], ","), FuelList_Final_EF!$A$2:$B$32, 2, FALSE))</f>
        <v>105.42962572482868</v>
      </c>
      <c r="P1847" s="2">
        <f>(16112*Table1[[#This Row],[Generation (TWh)]]*10^9)/10^6</f>
        <v>3048648.1919999998</v>
      </c>
      <c r="Q1847" s="2">
        <f>Table1[[#This Row],[Emission Factor (kg CO2/ mmBtu)]]*Table1[[#This Row],[Fuel Consumption (mmBtu)]]*10^3</f>
        <v>321417837849.23566</v>
      </c>
      <c r="R1847" s="2">
        <f>(Table1[[#This Row],[CO2 Emissions (g CO2)]])/(Table1[[#This Row],[Generation (TWh)]]*10^9)</f>
        <v>1698.6821296784397</v>
      </c>
    </row>
    <row r="1848" spans="1:18" hidden="1">
      <c r="A1848" t="s">
        <v>1131</v>
      </c>
      <c r="B1848" t="s">
        <v>19</v>
      </c>
      <c r="C1848" t="str">
        <f>SUBSTITUTE(Table1[[#This Row],[Fuel]],", ",",")</f>
        <v>bioenergy: refuse (municipal and industrial wastes)</v>
      </c>
      <c r="D1848" t="s">
        <v>19</v>
      </c>
      <c r="G1848">
        <v>50</v>
      </c>
      <c r="H1848" t="s">
        <v>27</v>
      </c>
      <c r="I1848">
        <v>2019</v>
      </c>
      <c r="J1848" t="s">
        <v>21</v>
      </c>
      <c r="K1848">
        <v>31.0412</v>
      </c>
      <c r="L1848">
        <v>121.8394</v>
      </c>
      <c r="M1848" t="s">
        <v>102</v>
      </c>
      <c r="N1848" s="2">
        <f>Table1[[#This Row],[Capacity (MW)]]*8760*0.72*10^-6</f>
        <v>0.31535999999999997</v>
      </c>
      <c r="O1848" s="2" cm="1">
        <f t="array" ref="O1848">AVERAGE(VLOOKUP(_xlfn.TEXTSPLIT(Table1[[#This Row],[Fuel (no space after comma)]], ","), FuelList_Final_EF!$A$2:$B$32, 2, FALSE))</f>
        <v>105.42962572482868</v>
      </c>
      <c r="P1848" s="2">
        <f>(16112*Table1[[#This Row],[Generation (TWh)]]*10^9)/10^6</f>
        <v>5081080.32</v>
      </c>
      <c r="Q1848" s="2">
        <f>Table1[[#This Row],[Emission Factor (kg CO2/ mmBtu)]]*Table1[[#This Row],[Fuel Consumption (mmBtu)]]*10^3</f>
        <v>535696396415.39276</v>
      </c>
      <c r="R1848" s="2">
        <f>(Table1[[#This Row],[CO2 Emissions (g CO2)]])/(Table1[[#This Row],[Generation (TWh)]]*10^9)</f>
        <v>1698.6821296784397</v>
      </c>
    </row>
    <row r="1849" spans="1:18" hidden="1">
      <c r="A1849" t="s">
        <v>1131</v>
      </c>
      <c r="B1849" t="s">
        <v>19</v>
      </c>
      <c r="C1849" t="str">
        <f>SUBSTITUTE(Table1[[#This Row],[Fuel]],", ",",")</f>
        <v>bioenergy: refuse (municipal and industrial wastes)</v>
      </c>
      <c r="D1849" t="s">
        <v>19</v>
      </c>
      <c r="G1849">
        <v>50</v>
      </c>
      <c r="H1849" t="s">
        <v>27</v>
      </c>
      <c r="I1849">
        <v>2019</v>
      </c>
      <c r="J1849" t="s">
        <v>21</v>
      </c>
      <c r="K1849">
        <v>31.0412</v>
      </c>
      <c r="L1849">
        <v>121.8394</v>
      </c>
      <c r="M1849" t="s">
        <v>102</v>
      </c>
      <c r="N1849" s="2">
        <f>Table1[[#This Row],[Capacity (MW)]]*8760*0.72*10^-6</f>
        <v>0.31535999999999997</v>
      </c>
      <c r="O1849" s="2" cm="1">
        <f t="array" ref="O1849">AVERAGE(VLOOKUP(_xlfn.TEXTSPLIT(Table1[[#This Row],[Fuel (no space after comma)]], ","), FuelList_Final_EF!$A$2:$B$32, 2, FALSE))</f>
        <v>105.42962572482868</v>
      </c>
      <c r="P1849" s="2">
        <f>(16112*Table1[[#This Row],[Generation (TWh)]]*10^9)/10^6</f>
        <v>5081080.32</v>
      </c>
      <c r="Q1849" s="2">
        <f>Table1[[#This Row],[Emission Factor (kg CO2/ mmBtu)]]*Table1[[#This Row],[Fuel Consumption (mmBtu)]]*10^3</f>
        <v>535696396415.39276</v>
      </c>
      <c r="R1849" s="2">
        <f>(Table1[[#This Row],[CO2 Emissions (g CO2)]])/(Table1[[#This Row],[Generation (TWh)]]*10^9)</f>
        <v>1698.6821296784397</v>
      </c>
    </row>
    <row r="1850" spans="1:18" hidden="1">
      <c r="A1850" t="s">
        <v>1131</v>
      </c>
      <c r="B1850" t="s">
        <v>19</v>
      </c>
      <c r="C1850" t="str">
        <f>SUBSTITUTE(Table1[[#This Row],[Fuel]],", ",",")</f>
        <v>bioenergy: refuse (municipal and industrial wastes)</v>
      </c>
      <c r="D1850" t="s">
        <v>19</v>
      </c>
      <c r="G1850">
        <v>50</v>
      </c>
      <c r="H1850" t="s">
        <v>27</v>
      </c>
      <c r="I1850">
        <v>2019</v>
      </c>
      <c r="J1850" t="s">
        <v>21</v>
      </c>
      <c r="K1850">
        <v>31.0412</v>
      </c>
      <c r="L1850">
        <v>121.8394</v>
      </c>
      <c r="M1850" t="s">
        <v>102</v>
      </c>
      <c r="N1850" s="2">
        <f>Table1[[#This Row],[Capacity (MW)]]*8760*0.72*10^-6</f>
        <v>0.31535999999999997</v>
      </c>
      <c r="O1850" s="2" cm="1">
        <f t="array" ref="O1850">AVERAGE(VLOOKUP(_xlfn.TEXTSPLIT(Table1[[#This Row],[Fuel (no space after comma)]], ","), FuelList_Final_EF!$A$2:$B$32, 2, FALSE))</f>
        <v>105.42962572482868</v>
      </c>
      <c r="P1850" s="2">
        <f>(16112*Table1[[#This Row],[Generation (TWh)]]*10^9)/10^6</f>
        <v>5081080.32</v>
      </c>
      <c r="Q1850" s="2">
        <f>Table1[[#This Row],[Emission Factor (kg CO2/ mmBtu)]]*Table1[[#This Row],[Fuel Consumption (mmBtu)]]*10^3</f>
        <v>535696396415.39276</v>
      </c>
      <c r="R1850" s="2">
        <f>(Table1[[#This Row],[CO2 Emissions (g CO2)]])/(Table1[[#This Row],[Generation (TWh)]]*10^9)</f>
        <v>1698.6821296784397</v>
      </c>
    </row>
    <row r="1851" spans="1:18" hidden="1">
      <c r="A1851" t="s">
        <v>130</v>
      </c>
      <c r="B1851" t="s">
        <v>19</v>
      </c>
      <c r="C1851" t="str">
        <f>SUBSTITUTE(Table1[[#This Row],[Fuel]],", ",",")</f>
        <v>bioenergy: refuse (municipal and industrial wastes)</v>
      </c>
      <c r="D1851" t="s">
        <v>19</v>
      </c>
      <c r="G1851">
        <v>65</v>
      </c>
      <c r="H1851" t="s">
        <v>27</v>
      </c>
      <c r="I1851">
        <v>2023</v>
      </c>
      <c r="J1851" t="s">
        <v>21</v>
      </c>
      <c r="K1851">
        <v>31.0684</v>
      </c>
      <c r="L1851">
        <v>121.87090000000001</v>
      </c>
      <c r="M1851" t="s">
        <v>102</v>
      </c>
      <c r="N1851" s="2">
        <f>Table1[[#This Row],[Capacity (MW)]]*8760*0.72*10^-6</f>
        <v>0.409968</v>
      </c>
      <c r="O1851" s="2" cm="1">
        <f t="array" ref="O1851">AVERAGE(VLOOKUP(_xlfn.TEXTSPLIT(Table1[[#This Row],[Fuel (no space after comma)]], ","), FuelList_Final_EF!$A$2:$B$32, 2, FALSE))</f>
        <v>105.42962572482868</v>
      </c>
      <c r="P1851" s="2">
        <f>(16112*Table1[[#This Row],[Generation (TWh)]]*10^9)/10^6</f>
        <v>6605404.4160000002</v>
      </c>
      <c r="Q1851" s="2">
        <f>Table1[[#This Row],[Emission Factor (kg CO2/ mmBtu)]]*Table1[[#This Row],[Fuel Consumption (mmBtu)]]*10^3</f>
        <v>696405315340.01062</v>
      </c>
      <c r="R1851" s="2">
        <f>(Table1[[#This Row],[CO2 Emissions (g CO2)]])/(Table1[[#This Row],[Generation (TWh)]]*10^9)</f>
        <v>1698.6821296784399</v>
      </c>
    </row>
    <row r="1852" spans="1:18" hidden="1">
      <c r="A1852" t="s">
        <v>130</v>
      </c>
      <c r="B1852" t="s">
        <v>19</v>
      </c>
      <c r="C1852" t="str">
        <f>SUBSTITUTE(Table1[[#This Row],[Fuel]],", ",",")</f>
        <v>bioenergy: refuse (municipal and industrial wastes)</v>
      </c>
      <c r="D1852" t="s">
        <v>19</v>
      </c>
      <c r="G1852">
        <v>65</v>
      </c>
      <c r="H1852" t="s">
        <v>27</v>
      </c>
      <c r="I1852">
        <v>2023</v>
      </c>
      <c r="J1852" t="s">
        <v>21</v>
      </c>
      <c r="K1852">
        <v>31.0684</v>
      </c>
      <c r="L1852">
        <v>121.87090000000001</v>
      </c>
      <c r="M1852" t="s">
        <v>102</v>
      </c>
      <c r="N1852" s="2">
        <f>Table1[[#This Row],[Capacity (MW)]]*8760*0.72*10^-6</f>
        <v>0.409968</v>
      </c>
      <c r="O1852" s="2" cm="1">
        <f t="array" ref="O1852">AVERAGE(VLOOKUP(_xlfn.TEXTSPLIT(Table1[[#This Row],[Fuel (no space after comma)]], ","), FuelList_Final_EF!$A$2:$B$32, 2, FALSE))</f>
        <v>105.42962572482868</v>
      </c>
      <c r="P1852" s="2">
        <f>(16112*Table1[[#This Row],[Generation (TWh)]]*10^9)/10^6</f>
        <v>6605404.4160000002</v>
      </c>
      <c r="Q1852" s="2">
        <f>Table1[[#This Row],[Emission Factor (kg CO2/ mmBtu)]]*Table1[[#This Row],[Fuel Consumption (mmBtu)]]*10^3</f>
        <v>696405315340.01062</v>
      </c>
      <c r="R1852" s="2">
        <f>(Table1[[#This Row],[CO2 Emissions (g CO2)]])/(Table1[[#This Row],[Generation (TWh)]]*10^9)</f>
        <v>1698.6821296784399</v>
      </c>
    </row>
    <row r="1853" spans="1:18" hidden="1">
      <c r="A1853" t="s">
        <v>1127</v>
      </c>
      <c r="B1853" t="s">
        <v>19</v>
      </c>
      <c r="C1853" t="str">
        <f>SUBSTITUTE(Table1[[#This Row],[Fuel]],", ",",")</f>
        <v>bioenergy: refuse (municipal and industrial wastes)</v>
      </c>
      <c r="D1853" t="s">
        <v>19</v>
      </c>
      <c r="G1853">
        <v>60</v>
      </c>
      <c r="H1853" t="s">
        <v>27</v>
      </c>
      <c r="I1853">
        <v>2021</v>
      </c>
      <c r="J1853" t="s">
        <v>21</v>
      </c>
      <c r="K1853">
        <v>31.092600000000001</v>
      </c>
      <c r="L1853">
        <v>121.1044</v>
      </c>
      <c r="M1853" t="s">
        <v>102</v>
      </c>
      <c r="N1853" s="2">
        <f>Table1[[#This Row],[Capacity (MW)]]*8760*0.72*10^-6</f>
        <v>0.37843199999999999</v>
      </c>
      <c r="O1853" s="2" cm="1">
        <f t="array" ref="O1853">AVERAGE(VLOOKUP(_xlfn.TEXTSPLIT(Table1[[#This Row],[Fuel (no space after comma)]], ","), FuelList_Final_EF!$A$2:$B$32, 2, FALSE))</f>
        <v>105.42962572482868</v>
      </c>
      <c r="P1853" s="2">
        <f>(16112*Table1[[#This Row],[Generation (TWh)]]*10^9)/10^6</f>
        <v>6097296.3839999996</v>
      </c>
      <c r="Q1853" s="2">
        <f>Table1[[#This Row],[Emission Factor (kg CO2/ mmBtu)]]*Table1[[#This Row],[Fuel Consumption (mmBtu)]]*10^3</f>
        <v>642835675698.47131</v>
      </c>
      <c r="R1853" s="2">
        <f>(Table1[[#This Row],[CO2 Emissions (g CO2)]])/(Table1[[#This Row],[Generation (TWh)]]*10^9)</f>
        <v>1698.6821296784397</v>
      </c>
    </row>
    <row r="1854" spans="1:18">
      <c r="A1854" t="s">
        <v>54</v>
      </c>
      <c r="B1854" t="s">
        <v>105</v>
      </c>
      <c r="C1854" t="str">
        <f>SUBSTITUTE(Table1[[#This Row],[Fuel]],", ",",")</f>
        <v>bioenergy: agricultural waste (solids),bioenergy: wood &amp; other biomass (solids)</v>
      </c>
      <c r="D1854" t="s">
        <v>46</v>
      </c>
      <c r="E1854" t="s">
        <v>25</v>
      </c>
      <c r="G1854">
        <v>30</v>
      </c>
      <c r="H1854" t="s">
        <v>53</v>
      </c>
      <c r="I1854" t="s">
        <v>21</v>
      </c>
      <c r="J1854" t="s">
        <v>21</v>
      </c>
      <c r="K1854">
        <v>39.133600000000001</v>
      </c>
      <c r="L1854">
        <v>113.2003</v>
      </c>
      <c r="M1854" t="s">
        <v>102</v>
      </c>
      <c r="N1854" s="2">
        <f>Table1[[#This Row],[Capacity (MW)]]*8760*0.72*10^-6</f>
        <v>0.189216</v>
      </c>
      <c r="O1854" s="2" cm="1">
        <f t="array" ref="O1854">AVERAGE(VLOOKUP(_xlfn.TEXTSPLIT(Table1[[#This Row],[Fuel (no space after comma)]], ","), FuelList_Final_EF!$A$2:$B$32, 2, FALSE))</f>
        <v>105.985</v>
      </c>
      <c r="P1854" s="2">
        <f>(16112*Table1[[#This Row],[Generation (TWh)]]*10^9)/10^6</f>
        <v>3048648.1919999998</v>
      </c>
      <c r="Q1854" s="2">
        <f>Table1[[#This Row],[Emission Factor (kg CO2/ mmBtu)]]*Table1[[#This Row],[Fuel Consumption (mmBtu)]]*10^3</f>
        <v>323110978629.12</v>
      </c>
      <c r="R1854" s="2">
        <f>(Table1[[#This Row],[CO2 Emissions (g CO2)]])/(Table1[[#This Row],[Generation (TWh)]]*10^9)</f>
        <v>1707.63032</v>
      </c>
    </row>
    <row r="1855" spans="1:18" hidden="1">
      <c r="A1855" t="s">
        <v>1132</v>
      </c>
      <c r="B1855" t="s">
        <v>46</v>
      </c>
      <c r="C1855" t="str">
        <f>SUBSTITUTE(Table1[[#This Row],[Fuel]],", ",",")</f>
        <v>bioenergy: agricultural waste (solids)</v>
      </c>
      <c r="D1855" t="s">
        <v>46</v>
      </c>
      <c r="G1855">
        <v>30</v>
      </c>
      <c r="H1855" t="s">
        <v>27</v>
      </c>
      <c r="I1855">
        <v>2021</v>
      </c>
      <c r="J1855" t="s">
        <v>21</v>
      </c>
      <c r="K1855">
        <v>36.263399999999997</v>
      </c>
      <c r="L1855">
        <v>111.6827</v>
      </c>
      <c r="M1855" t="s">
        <v>102</v>
      </c>
      <c r="N1855" s="2">
        <f>Table1[[#This Row],[Capacity (MW)]]*8760*0.72*10^-6</f>
        <v>0.189216</v>
      </c>
      <c r="O1855" s="2" cm="1">
        <f t="array" ref="O1855">AVERAGE(VLOOKUP(_xlfn.TEXTSPLIT(Table1[[#This Row],[Fuel (no space after comma)]], ","), FuelList_Final_EF!$A$2:$B$32, 2, FALSE))</f>
        <v>118.17</v>
      </c>
      <c r="P1855" s="2">
        <f>(16112*Table1[[#This Row],[Generation (TWh)]]*10^9)/10^6</f>
        <v>3048648.1919999998</v>
      </c>
      <c r="Q1855" s="2">
        <f>Table1[[#This Row],[Emission Factor (kg CO2/ mmBtu)]]*Table1[[#This Row],[Fuel Consumption (mmBtu)]]*10^3</f>
        <v>360258756848.63995</v>
      </c>
      <c r="R1855" s="2">
        <f>(Table1[[#This Row],[CO2 Emissions (g CO2)]])/(Table1[[#This Row],[Generation (TWh)]]*10^9)</f>
        <v>1903.9550399999998</v>
      </c>
    </row>
    <row r="1856" spans="1:18" hidden="1">
      <c r="A1856" t="s">
        <v>54</v>
      </c>
      <c r="B1856" t="s">
        <v>46</v>
      </c>
      <c r="C1856" t="str">
        <f>SUBSTITUTE(Table1[[#This Row],[Fuel]],", ",",")</f>
        <v>bioenergy: agricultural waste (solids)</v>
      </c>
      <c r="D1856" t="s">
        <v>46</v>
      </c>
      <c r="G1856">
        <v>0.6</v>
      </c>
      <c r="H1856" t="s">
        <v>27</v>
      </c>
      <c r="I1856">
        <v>2019</v>
      </c>
      <c r="J1856" t="s">
        <v>21</v>
      </c>
      <c r="K1856">
        <v>39.795999999999999</v>
      </c>
      <c r="L1856">
        <v>113.2103</v>
      </c>
      <c r="M1856" t="s">
        <v>102</v>
      </c>
      <c r="N1856" s="2">
        <f>Table1[[#This Row],[Capacity (MW)]]*8760*0.72*10^-6</f>
        <v>3.7843199999999994E-3</v>
      </c>
      <c r="O1856" s="2" cm="1">
        <f t="array" ref="O1856">AVERAGE(VLOOKUP(_xlfn.TEXTSPLIT(Table1[[#This Row],[Fuel (no space after comma)]], ","), FuelList_Final_EF!$A$2:$B$32, 2, FALSE))</f>
        <v>118.17</v>
      </c>
      <c r="P1856" s="2">
        <f>(16112*Table1[[#This Row],[Generation (TWh)]]*10^9)/10^6</f>
        <v>60972.963839999989</v>
      </c>
      <c r="Q1856" s="2">
        <f>Table1[[#This Row],[Emission Factor (kg CO2/ mmBtu)]]*Table1[[#This Row],[Fuel Consumption (mmBtu)]]*10^3</f>
        <v>7205175136.9727993</v>
      </c>
      <c r="R1856" s="2">
        <f>(Table1[[#This Row],[CO2 Emissions (g CO2)]])/(Table1[[#This Row],[Generation (TWh)]]*10^9)</f>
        <v>1903.9550400000001</v>
      </c>
    </row>
    <row r="1857" spans="1:18" hidden="1">
      <c r="A1857" t="s">
        <v>108</v>
      </c>
      <c r="B1857" t="s">
        <v>46</v>
      </c>
      <c r="C1857" t="str">
        <f>SUBSTITUTE(Table1[[#This Row],[Fuel]],", ",",")</f>
        <v>bioenergy: agricultural waste (solids)</v>
      </c>
      <c r="D1857" t="s">
        <v>46</v>
      </c>
      <c r="G1857">
        <v>29.4</v>
      </c>
      <c r="H1857" t="s">
        <v>27</v>
      </c>
      <c r="I1857">
        <v>2019</v>
      </c>
      <c r="J1857" t="s">
        <v>21</v>
      </c>
      <c r="K1857">
        <v>39.795999999999999</v>
      </c>
      <c r="L1857">
        <v>113.2103</v>
      </c>
      <c r="M1857" t="s">
        <v>102</v>
      </c>
      <c r="N1857" s="2">
        <f>Table1[[#This Row],[Capacity (MW)]]*8760*0.72*10^-6</f>
        <v>0.18543167999999999</v>
      </c>
      <c r="O1857" s="2" cm="1">
        <f t="array" ref="O1857">AVERAGE(VLOOKUP(_xlfn.TEXTSPLIT(Table1[[#This Row],[Fuel (no space after comma)]], ","), FuelList_Final_EF!$A$2:$B$32, 2, FALSE))</f>
        <v>118.17</v>
      </c>
      <c r="P1857" s="2">
        <f>(16112*Table1[[#This Row],[Generation (TWh)]]*10^9)/10^6</f>
        <v>2987675.2281599995</v>
      </c>
      <c r="Q1857" s="2">
        <f>Table1[[#This Row],[Emission Factor (kg CO2/ mmBtu)]]*Table1[[#This Row],[Fuel Consumption (mmBtu)]]*10^3</f>
        <v>353053581711.66711</v>
      </c>
      <c r="R1857" s="2">
        <f>(Table1[[#This Row],[CO2 Emissions (g CO2)]])/(Table1[[#This Row],[Generation (TWh)]]*10^9)</f>
        <v>1903.9550399999996</v>
      </c>
    </row>
    <row r="1858" spans="1:18" hidden="1">
      <c r="A1858" t="s">
        <v>1132</v>
      </c>
      <c r="B1858" t="s">
        <v>105</v>
      </c>
      <c r="C1858" t="str">
        <f>SUBSTITUTE(Table1[[#This Row],[Fuel]],", ",",")</f>
        <v>bioenergy: agricultural waste (solids),bioenergy: wood &amp; other biomass (solids)</v>
      </c>
      <c r="D1858" t="s">
        <v>46</v>
      </c>
      <c r="E1858" t="s">
        <v>25</v>
      </c>
      <c r="G1858">
        <v>30</v>
      </c>
      <c r="H1858" t="s">
        <v>27</v>
      </c>
      <c r="I1858">
        <v>2021</v>
      </c>
      <c r="J1858" t="s">
        <v>21</v>
      </c>
      <c r="K1858">
        <v>35.072600000000001</v>
      </c>
      <c r="L1858">
        <v>110.863</v>
      </c>
      <c r="M1858" t="s">
        <v>102</v>
      </c>
      <c r="N1858" s="2">
        <f>Table1[[#This Row],[Capacity (MW)]]*8760*0.72*10^-6</f>
        <v>0.189216</v>
      </c>
      <c r="O1858" s="2" cm="1">
        <f t="array" ref="O1858">AVERAGE(VLOOKUP(_xlfn.TEXTSPLIT(Table1[[#This Row],[Fuel (no space after comma)]], ","), FuelList_Final_EF!$A$2:$B$32, 2, FALSE))</f>
        <v>105.985</v>
      </c>
      <c r="P1858" s="2">
        <f>(16112*Table1[[#This Row],[Generation (TWh)]]*10^9)/10^6</f>
        <v>3048648.1919999998</v>
      </c>
      <c r="Q1858" s="2">
        <f>Table1[[#This Row],[Emission Factor (kg CO2/ mmBtu)]]*Table1[[#This Row],[Fuel Consumption (mmBtu)]]*10^3</f>
        <v>323110978629.12</v>
      </c>
      <c r="R1858" s="2">
        <f>(Table1[[#This Row],[CO2 Emissions (g CO2)]])/(Table1[[#This Row],[Generation (TWh)]]*10^9)</f>
        <v>1707.63032</v>
      </c>
    </row>
    <row r="1859" spans="1:18" hidden="1">
      <c r="A1859" t="s">
        <v>482</v>
      </c>
      <c r="B1859" t="s">
        <v>19</v>
      </c>
      <c r="C1859" t="str">
        <f>SUBSTITUTE(Table1[[#This Row],[Fuel]],", ",",")</f>
        <v>bioenergy: refuse (municipal and industrial wastes)</v>
      </c>
      <c r="D1859" t="s">
        <v>19</v>
      </c>
      <c r="G1859">
        <v>40</v>
      </c>
      <c r="H1859" t="s">
        <v>27</v>
      </c>
      <c r="I1859">
        <v>2020</v>
      </c>
      <c r="J1859" t="s">
        <v>21</v>
      </c>
      <c r="K1859">
        <v>37.479100000000003</v>
      </c>
      <c r="L1859">
        <v>112.3126</v>
      </c>
      <c r="M1859" t="s">
        <v>102</v>
      </c>
      <c r="N1859" s="2">
        <f>Table1[[#This Row],[Capacity (MW)]]*8760*0.72*10^-6</f>
        <v>0.25228800000000001</v>
      </c>
      <c r="O1859" s="2" cm="1">
        <f t="array" ref="O1859">AVERAGE(VLOOKUP(_xlfn.TEXTSPLIT(Table1[[#This Row],[Fuel (no space after comma)]], ","), FuelList_Final_EF!$A$2:$B$32, 2, FALSE))</f>
        <v>105.42962572482868</v>
      </c>
      <c r="P1859" s="2">
        <f>(16112*Table1[[#This Row],[Generation (TWh)]]*10^9)/10^6</f>
        <v>4064864.2560000005</v>
      </c>
      <c r="Q1859" s="2">
        <f>Table1[[#This Row],[Emission Factor (kg CO2/ mmBtu)]]*Table1[[#This Row],[Fuel Consumption (mmBtu)]]*10^3</f>
        <v>428557117132.31427</v>
      </c>
      <c r="R1859" s="2">
        <f>(Table1[[#This Row],[CO2 Emissions (g CO2)]])/(Table1[[#This Row],[Generation (TWh)]]*10^9)</f>
        <v>1698.6821296784401</v>
      </c>
    </row>
    <row r="1860" spans="1:18" hidden="1">
      <c r="A1860" t="s">
        <v>482</v>
      </c>
      <c r="B1860" t="s">
        <v>19</v>
      </c>
      <c r="C1860" t="str">
        <f>SUBSTITUTE(Table1[[#This Row],[Fuel]],", ",",")</f>
        <v>bioenergy: refuse (municipal and industrial wastes)</v>
      </c>
      <c r="D1860" t="s">
        <v>19</v>
      </c>
      <c r="G1860">
        <v>40</v>
      </c>
      <c r="H1860" t="s">
        <v>27</v>
      </c>
      <c r="I1860">
        <v>2020</v>
      </c>
      <c r="J1860" t="s">
        <v>21</v>
      </c>
      <c r="K1860">
        <v>37.479100000000003</v>
      </c>
      <c r="L1860">
        <v>112.3126</v>
      </c>
      <c r="M1860" t="s">
        <v>102</v>
      </c>
      <c r="N1860" s="2">
        <f>Table1[[#This Row],[Capacity (MW)]]*8760*0.72*10^-6</f>
        <v>0.25228800000000001</v>
      </c>
      <c r="O1860" s="2" cm="1">
        <f t="array" ref="O1860">AVERAGE(VLOOKUP(_xlfn.TEXTSPLIT(Table1[[#This Row],[Fuel (no space after comma)]], ","), FuelList_Final_EF!$A$2:$B$32, 2, FALSE))</f>
        <v>105.42962572482868</v>
      </c>
      <c r="P1860" s="2">
        <f>(16112*Table1[[#This Row],[Generation (TWh)]]*10^9)/10^6</f>
        <v>4064864.2560000005</v>
      </c>
      <c r="Q1860" s="2">
        <f>Table1[[#This Row],[Emission Factor (kg CO2/ mmBtu)]]*Table1[[#This Row],[Fuel Consumption (mmBtu)]]*10^3</f>
        <v>428557117132.31427</v>
      </c>
      <c r="R1860" s="2">
        <f>(Table1[[#This Row],[CO2 Emissions (g CO2)]])/(Table1[[#This Row],[Generation (TWh)]]*10^9)</f>
        <v>1698.6821296784401</v>
      </c>
    </row>
    <row r="1861" spans="1:18">
      <c r="A1861" t="s">
        <v>1133</v>
      </c>
      <c r="B1861" t="s">
        <v>46</v>
      </c>
      <c r="C1861" t="str">
        <f>SUBSTITUTE(Table1[[#This Row],[Fuel]],", ",",")</f>
        <v>bioenergy: agricultural waste (solids)</v>
      </c>
      <c r="D1861" t="s">
        <v>46</v>
      </c>
      <c r="G1861">
        <v>30</v>
      </c>
      <c r="H1861" t="s">
        <v>53</v>
      </c>
      <c r="I1861" t="s">
        <v>21</v>
      </c>
      <c r="J1861" t="s">
        <v>21</v>
      </c>
      <c r="K1861">
        <v>40.450200000000002</v>
      </c>
      <c r="L1861">
        <v>114.0744</v>
      </c>
      <c r="M1861" t="s">
        <v>102</v>
      </c>
      <c r="N1861" s="2">
        <f>Table1[[#This Row],[Capacity (MW)]]*8760*0.72*10^-6</f>
        <v>0.189216</v>
      </c>
      <c r="O1861" s="2" cm="1">
        <f t="array" ref="O1861">AVERAGE(VLOOKUP(_xlfn.TEXTSPLIT(Table1[[#This Row],[Fuel (no space after comma)]], ","), FuelList_Final_EF!$A$2:$B$32, 2, FALSE))</f>
        <v>118.17</v>
      </c>
      <c r="P1861" s="2">
        <f>(16112*Table1[[#This Row],[Generation (TWh)]]*10^9)/10^6</f>
        <v>3048648.1919999998</v>
      </c>
      <c r="Q1861" s="2">
        <f>Table1[[#This Row],[Emission Factor (kg CO2/ mmBtu)]]*Table1[[#This Row],[Fuel Consumption (mmBtu)]]*10^3</f>
        <v>360258756848.63995</v>
      </c>
      <c r="R1861" s="2">
        <f>(Table1[[#This Row],[CO2 Emissions (g CO2)]])/(Table1[[#This Row],[Generation (TWh)]]*10^9)</f>
        <v>1903.9550399999998</v>
      </c>
    </row>
    <row r="1862" spans="1:18" hidden="1">
      <c r="A1862" t="s">
        <v>1132</v>
      </c>
      <c r="B1862" t="s">
        <v>105</v>
      </c>
      <c r="C1862" t="str">
        <f>SUBSTITUTE(Table1[[#This Row],[Fuel]],", ",",")</f>
        <v>bioenergy: agricultural waste (solids),bioenergy: wood &amp; other biomass (solids)</v>
      </c>
      <c r="D1862" t="s">
        <v>46</v>
      </c>
      <c r="E1862" t="s">
        <v>25</v>
      </c>
      <c r="G1862">
        <v>30</v>
      </c>
      <c r="H1862" t="s">
        <v>27</v>
      </c>
      <c r="I1862">
        <v>2021</v>
      </c>
      <c r="J1862" t="s">
        <v>21</v>
      </c>
      <c r="K1862">
        <v>38.959600000000002</v>
      </c>
      <c r="L1862">
        <v>111.8631</v>
      </c>
      <c r="M1862" t="s">
        <v>102</v>
      </c>
      <c r="N1862" s="2">
        <f>Table1[[#This Row],[Capacity (MW)]]*8760*0.72*10^-6</f>
        <v>0.189216</v>
      </c>
      <c r="O1862" s="2" cm="1">
        <f t="array" ref="O1862">AVERAGE(VLOOKUP(_xlfn.TEXTSPLIT(Table1[[#This Row],[Fuel (no space after comma)]], ","), FuelList_Final_EF!$A$2:$B$32, 2, FALSE))</f>
        <v>105.985</v>
      </c>
      <c r="P1862" s="2">
        <f>(16112*Table1[[#This Row],[Generation (TWh)]]*10^9)/10^6</f>
        <v>3048648.1919999998</v>
      </c>
      <c r="Q1862" s="2">
        <f>Table1[[#This Row],[Emission Factor (kg CO2/ mmBtu)]]*Table1[[#This Row],[Fuel Consumption (mmBtu)]]*10^3</f>
        <v>323110978629.12</v>
      </c>
      <c r="R1862" s="2">
        <f>(Table1[[#This Row],[CO2 Emissions (g CO2)]])/(Table1[[#This Row],[Generation (TWh)]]*10^9)</f>
        <v>1707.63032</v>
      </c>
    </row>
    <row r="1863" spans="1:18">
      <c r="A1863" t="s">
        <v>21</v>
      </c>
      <c r="B1863" t="s">
        <v>96</v>
      </c>
      <c r="C1863" t="str">
        <f>SUBSTITUTE(Table1[[#This Row],[Fuel]],", ",",")</f>
        <v>bioenergy: unknown</v>
      </c>
      <c r="D1863" t="s">
        <v>96</v>
      </c>
      <c r="G1863">
        <v>30</v>
      </c>
      <c r="H1863" t="s">
        <v>97</v>
      </c>
      <c r="I1863" t="s">
        <v>21</v>
      </c>
      <c r="J1863" t="s">
        <v>21</v>
      </c>
      <c r="K1863">
        <v>35.249400000000001</v>
      </c>
      <c r="L1863">
        <v>111.6673</v>
      </c>
      <c r="M1863" t="s">
        <v>102</v>
      </c>
      <c r="N1863" s="2">
        <f>Table1[[#This Row],[Capacity (MW)]]*8760*0.72*10^-6</f>
        <v>0.189216</v>
      </c>
      <c r="O1863" s="2" cm="1">
        <f t="array" ref="O1863">AVERAGE(VLOOKUP(_xlfn.TEXTSPLIT(Table1[[#This Row],[Fuel (no space after comma)]], ","), FuelList_Final_EF!$A$2:$B$32, 2, FALSE))</f>
        <v>72.785606017598653</v>
      </c>
      <c r="P1863" s="2">
        <f>(16112*Table1[[#This Row],[Generation (TWh)]]*10^9)/10^6</f>
        <v>3048648.1919999998</v>
      </c>
      <c r="Q1863" s="2">
        <f>Table1[[#This Row],[Emission Factor (kg CO2/ mmBtu)]]*Table1[[#This Row],[Fuel Consumption (mmBtu)]]*10^3</f>
        <v>221897706189.17645</v>
      </c>
      <c r="R1863" s="2">
        <f>(Table1[[#This Row],[CO2 Emissions (g CO2)]])/(Table1[[#This Row],[Generation (TWh)]]*10^9)</f>
        <v>1172.7216841555494</v>
      </c>
    </row>
    <row r="1864" spans="1:18" hidden="1">
      <c r="A1864" t="s">
        <v>1134</v>
      </c>
      <c r="B1864" t="s">
        <v>19</v>
      </c>
      <c r="C1864" t="str">
        <f>SUBSTITUTE(Table1[[#This Row],[Fuel]],", ",",")</f>
        <v>bioenergy: refuse (municipal and industrial wastes)</v>
      </c>
      <c r="D1864" t="s">
        <v>19</v>
      </c>
      <c r="G1864">
        <v>30</v>
      </c>
      <c r="H1864" t="s">
        <v>27</v>
      </c>
      <c r="I1864">
        <v>2022</v>
      </c>
      <c r="J1864" t="s">
        <v>21</v>
      </c>
      <c r="K1864">
        <v>25.308599999999998</v>
      </c>
      <c r="L1864">
        <v>55.6539</v>
      </c>
      <c r="M1864" t="s">
        <v>58</v>
      </c>
      <c r="N1864" s="2">
        <f>Table1[[#This Row],[Capacity (MW)]]*8760*0.72*10^-6</f>
        <v>0.189216</v>
      </c>
      <c r="O1864" s="2" cm="1">
        <f t="array" ref="O1864">AVERAGE(VLOOKUP(_xlfn.TEXTSPLIT(Table1[[#This Row],[Fuel (no space after comma)]], ","), FuelList_Final_EF!$A$2:$B$32, 2, FALSE))</f>
        <v>105.42962572482868</v>
      </c>
      <c r="P1864" s="2">
        <f>(16112*Table1[[#This Row],[Generation (TWh)]]*10^9)/10^6</f>
        <v>3048648.1919999998</v>
      </c>
      <c r="Q1864" s="2">
        <f>Table1[[#This Row],[Emission Factor (kg CO2/ mmBtu)]]*Table1[[#This Row],[Fuel Consumption (mmBtu)]]*10^3</f>
        <v>321417837849.23566</v>
      </c>
      <c r="R1864" s="2">
        <f>(Table1[[#This Row],[CO2 Emissions (g CO2)]])/(Table1[[#This Row],[Generation (TWh)]]*10^9)</f>
        <v>1698.6821296784397</v>
      </c>
    </row>
    <row r="1865" spans="1:18">
      <c r="A1865" t="s">
        <v>1135</v>
      </c>
      <c r="B1865" t="s">
        <v>46</v>
      </c>
      <c r="C1865" t="str">
        <f>SUBSTITUTE(Table1[[#This Row],[Fuel]],", ",",")</f>
        <v>bioenergy: agricultural waste (solids)</v>
      </c>
      <c r="D1865" t="s">
        <v>46</v>
      </c>
      <c r="G1865">
        <v>30</v>
      </c>
      <c r="H1865" t="s">
        <v>20</v>
      </c>
      <c r="I1865" t="s">
        <v>21</v>
      </c>
      <c r="J1865" t="s">
        <v>21</v>
      </c>
      <c r="K1865">
        <v>30.303999999999998</v>
      </c>
      <c r="L1865">
        <v>71.06</v>
      </c>
      <c r="M1865" t="s">
        <v>160</v>
      </c>
      <c r="N1865" s="2">
        <f>Table1[[#This Row],[Capacity (MW)]]*8760*0.72*10^-6</f>
        <v>0.189216</v>
      </c>
      <c r="O1865" s="2" cm="1">
        <f t="array" ref="O1865">AVERAGE(VLOOKUP(_xlfn.TEXTSPLIT(Table1[[#This Row],[Fuel (no space after comma)]], ","), FuelList_Final_EF!$A$2:$B$32, 2, FALSE))</f>
        <v>118.17</v>
      </c>
      <c r="P1865" s="2">
        <f>(16112*Table1[[#This Row],[Generation (TWh)]]*10^9)/10^6</f>
        <v>3048648.1919999998</v>
      </c>
      <c r="Q1865" s="2">
        <f>Table1[[#This Row],[Emission Factor (kg CO2/ mmBtu)]]*Table1[[#This Row],[Fuel Consumption (mmBtu)]]*10^3</f>
        <v>360258756848.63995</v>
      </c>
      <c r="R1865" s="2">
        <f>(Table1[[#This Row],[CO2 Emissions (g CO2)]])/(Table1[[#This Row],[Generation (TWh)]]*10^9)</f>
        <v>1903.9550399999998</v>
      </c>
    </row>
    <row r="1866" spans="1:18" hidden="1">
      <c r="A1866" t="s">
        <v>1136</v>
      </c>
      <c r="B1866" t="s">
        <v>19</v>
      </c>
      <c r="C1866" t="str">
        <f>SUBSTITUTE(Table1[[#This Row],[Fuel]],", ",",")</f>
        <v>bioenergy: refuse (municipal and industrial wastes)</v>
      </c>
      <c r="D1866" t="s">
        <v>19</v>
      </c>
      <c r="G1866">
        <v>60</v>
      </c>
      <c r="H1866" t="s">
        <v>53</v>
      </c>
      <c r="I1866">
        <v>2025</v>
      </c>
      <c r="J1866" t="s">
        <v>21</v>
      </c>
      <c r="K1866">
        <v>22.1892</v>
      </c>
      <c r="L1866">
        <v>113.9877</v>
      </c>
      <c r="M1866" t="s">
        <v>1137</v>
      </c>
      <c r="N1866" s="2">
        <f>Table1[[#This Row],[Capacity (MW)]]*8760*0.72*10^-6</f>
        <v>0.37843199999999999</v>
      </c>
      <c r="O1866" s="2" cm="1">
        <f t="array" ref="O1866">AVERAGE(VLOOKUP(_xlfn.TEXTSPLIT(Table1[[#This Row],[Fuel (no space after comma)]], ","), FuelList_Final_EF!$A$2:$B$32, 2, FALSE))</f>
        <v>105.42962572482868</v>
      </c>
      <c r="P1866" s="2">
        <f>(16112*Table1[[#This Row],[Generation (TWh)]]*10^9)/10^6</f>
        <v>6097296.3839999996</v>
      </c>
      <c r="Q1866" s="2">
        <f>Table1[[#This Row],[Emission Factor (kg CO2/ mmBtu)]]*Table1[[#This Row],[Fuel Consumption (mmBtu)]]*10^3</f>
        <v>642835675698.47131</v>
      </c>
      <c r="R1866" s="2">
        <f>(Table1[[#This Row],[CO2 Emissions (g CO2)]])/(Table1[[#This Row],[Generation (TWh)]]*10^9)</f>
        <v>1698.6821296784397</v>
      </c>
    </row>
    <row r="1867" spans="1:18" hidden="1">
      <c r="A1867" t="s">
        <v>1136</v>
      </c>
      <c r="B1867" t="s">
        <v>19</v>
      </c>
      <c r="C1867" t="str">
        <f>SUBSTITUTE(Table1[[#This Row],[Fuel]],", ",",")</f>
        <v>bioenergy: refuse (municipal and industrial wastes)</v>
      </c>
      <c r="D1867" t="s">
        <v>19</v>
      </c>
      <c r="G1867">
        <v>60</v>
      </c>
      <c r="H1867" t="s">
        <v>53</v>
      </c>
      <c r="I1867">
        <v>2028</v>
      </c>
      <c r="J1867" t="s">
        <v>21</v>
      </c>
      <c r="K1867">
        <v>22.1892</v>
      </c>
      <c r="L1867">
        <v>113.9877</v>
      </c>
      <c r="M1867" t="s">
        <v>1137</v>
      </c>
      <c r="N1867" s="2">
        <f>Table1[[#This Row],[Capacity (MW)]]*8760*0.72*10^-6</f>
        <v>0.37843199999999999</v>
      </c>
      <c r="O1867" s="2" cm="1">
        <f t="array" ref="O1867">AVERAGE(VLOOKUP(_xlfn.TEXTSPLIT(Table1[[#This Row],[Fuel (no space after comma)]], ","), FuelList_Final_EF!$A$2:$B$32, 2, FALSE))</f>
        <v>105.42962572482868</v>
      </c>
      <c r="P1867" s="2">
        <f>(16112*Table1[[#This Row],[Generation (TWh)]]*10^9)/10^6</f>
        <v>6097296.3839999996</v>
      </c>
      <c r="Q1867" s="2">
        <f>Table1[[#This Row],[Emission Factor (kg CO2/ mmBtu)]]*Table1[[#This Row],[Fuel Consumption (mmBtu)]]*10^3</f>
        <v>642835675698.47131</v>
      </c>
      <c r="R1867" s="2">
        <f>(Table1[[#This Row],[CO2 Emissions (g CO2)]])/(Table1[[#This Row],[Generation (TWh)]]*10^9)</f>
        <v>1698.6821296784397</v>
      </c>
    </row>
    <row r="1868" spans="1:18">
      <c r="A1868" t="s">
        <v>1136</v>
      </c>
      <c r="B1868" t="s">
        <v>19</v>
      </c>
      <c r="C1868" t="str">
        <f>SUBSTITUTE(Table1[[#This Row],[Fuel]],", ",",")</f>
        <v>bioenergy: refuse (municipal and industrial wastes)</v>
      </c>
      <c r="D1868" t="s">
        <v>19</v>
      </c>
      <c r="G1868">
        <v>60</v>
      </c>
      <c r="H1868" t="s">
        <v>53</v>
      </c>
      <c r="I1868">
        <v>2030</v>
      </c>
      <c r="J1868" t="s">
        <v>21</v>
      </c>
      <c r="K1868">
        <v>22.1892</v>
      </c>
      <c r="L1868">
        <v>113.9877</v>
      </c>
      <c r="M1868" t="s">
        <v>1137</v>
      </c>
      <c r="N1868" s="2">
        <f>Table1[[#This Row],[Capacity (MW)]]*8760*0.72*10^-6</f>
        <v>0.37843199999999999</v>
      </c>
      <c r="O1868" s="2" cm="1">
        <f t="array" ref="O1868">AVERAGE(VLOOKUP(_xlfn.TEXTSPLIT(Table1[[#This Row],[Fuel (no space after comma)]], ","), FuelList_Final_EF!$A$2:$B$32, 2, FALSE))</f>
        <v>105.42962572482868</v>
      </c>
      <c r="P1868" s="2">
        <f>(16112*Table1[[#This Row],[Generation (TWh)]]*10^9)/10^6</f>
        <v>6097296.3839999996</v>
      </c>
      <c r="Q1868" s="2">
        <f>Table1[[#This Row],[Emission Factor (kg CO2/ mmBtu)]]*Table1[[#This Row],[Fuel Consumption (mmBtu)]]*10^3</f>
        <v>642835675698.47131</v>
      </c>
      <c r="R1868" s="2">
        <f>(Table1[[#This Row],[CO2 Emissions (g CO2)]])/(Table1[[#This Row],[Generation (TWh)]]*10^9)</f>
        <v>1698.6821296784397</v>
      </c>
    </row>
    <row r="1869" spans="1:18" hidden="1">
      <c r="A1869" t="s">
        <v>54</v>
      </c>
      <c r="B1869" t="s">
        <v>19</v>
      </c>
      <c r="C1869" t="str">
        <f>SUBSTITUTE(Table1[[#This Row],[Fuel]],", ",",")</f>
        <v>bioenergy: refuse (municipal and industrial wastes)</v>
      </c>
      <c r="D1869" t="s">
        <v>19</v>
      </c>
      <c r="G1869">
        <v>50</v>
      </c>
      <c r="H1869" t="s">
        <v>27</v>
      </c>
      <c r="I1869">
        <v>2019</v>
      </c>
      <c r="J1869" t="s">
        <v>21</v>
      </c>
      <c r="K1869">
        <v>22.4892</v>
      </c>
      <c r="L1869">
        <v>113.8724</v>
      </c>
      <c r="M1869" t="s">
        <v>102</v>
      </c>
      <c r="N1869" s="2">
        <f>Table1[[#This Row],[Capacity (MW)]]*8760*0.72*10^-6</f>
        <v>0.31535999999999997</v>
      </c>
      <c r="O1869" s="2" cm="1">
        <f t="array" ref="O1869">AVERAGE(VLOOKUP(_xlfn.TEXTSPLIT(Table1[[#This Row],[Fuel (no space after comma)]], ","), FuelList_Final_EF!$A$2:$B$32, 2, FALSE))</f>
        <v>105.42962572482868</v>
      </c>
      <c r="P1869" s="2">
        <f>(16112*Table1[[#This Row],[Generation (TWh)]]*10^9)/10^6</f>
        <v>5081080.32</v>
      </c>
      <c r="Q1869" s="2">
        <f>Table1[[#This Row],[Emission Factor (kg CO2/ mmBtu)]]*Table1[[#This Row],[Fuel Consumption (mmBtu)]]*10^3</f>
        <v>535696396415.39276</v>
      </c>
      <c r="R1869" s="2">
        <f>(Table1[[#This Row],[CO2 Emissions (g CO2)]])/(Table1[[#This Row],[Generation (TWh)]]*10^9)</f>
        <v>1698.6821296784397</v>
      </c>
    </row>
    <row r="1870" spans="1:18" hidden="1">
      <c r="A1870" t="s">
        <v>1138</v>
      </c>
      <c r="B1870" t="s">
        <v>25</v>
      </c>
      <c r="C1870" t="str">
        <f>SUBSTITUTE(Table1[[#This Row],[Fuel]],", ",",")</f>
        <v>bioenergy: wood &amp; other biomass (solids)</v>
      </c>
      <c r="D1870" t="s">
        <v>25</v>
      </c>
      <c r="G1870">
        <v>75</v>
      </c>
      <c r="H1870" t="s">
        <v>27</v>
      </c>
      <c r="I1870">
        <v>2022</v>
      </c>
      <c r="J1870" t="s">
        <v>21</v>
      </c>
      <c r="K1870">
        <v>33.9315</v>
      </c>
      <c r="L1870">
        <v>130.89619999999999</v>
      </c>
      <c r="M1870" t="s">
        <v>51</v>
      </c>
      <c r="N1870" s="2">
        <f>Table1[[#This Row],[Capacity (MW)]]*8760*0.72*10^-6</f>
        <v>0.47303999999999996</v>
      </c>
      <c r="O1870" s="2" cm="1">
        <f t="array" ref="O1870">AVERAGE(VLOOKUP(_xlfn.TEXTSPLIT(Table1[[#This Row],[Fuel (no space after comma)]], ","), FuelList_Final_EF!$A$2:$B$32, 2, FALSE))</f>
        <v>93.8</v>
      </c>
      <c r="P1870" s="2">
        <f>(16112*Table1[[#This Row],[Generation (TWh)]]*10^9)/10^6</f>
        <v>7621620.4800000004</v>
      </c>
      <c r="Q1870" s="2">
        <f>Table1[[#This Row],[Emission Factor (kg CO2/ mmBtu)]]*Table1[[#This Row],[Fuel Consumption (mmBtu)]]*10^3</f>
        <v>714908001024</v>
      </c>
      <c r="R1870" s="2">
        <f>(Table1[[#This Row],[CO2 Emissions (g CO2)]])/(Table1[[#This Row],[Generation (TWh)]]*10^9)</f>
        <v>1511.3056000000001</v>
      </c>
    </row>
    <row r="1871" spans="1:18" hidden="1">
      <c r="A1871" t="s">
        <v>21</v>
      </c>
      <c r="B1871" t="s">
        <v>19</v>
      </c>
      <c r="C1871" t="str">
        <f>SUBSTITUTE(Table1[[#This Row],[Fuel]],", ",",")</f>
        <v>bioenergy: refuse (municipal and industrial wastes)</v>
      </c>
      <c r="D1871" t="s">
        <v>19</v>
      </c>
      <c r="G1871">
        <v>50</v>
      </c>
      <c r="H1871" t="s">
        <v>27</v>
      </c>
      <c r="I1871">
        <v>1998</v>
      </c>
      <c r="J1871" t="s">
        <v>21</v>
      </c>
      <c r="K1871">
        <v>35.649299999999997</v>
      </c>
      <c r="L1871">
        <v>139.8338</v>
      </c>
      <c r="M1871" t="s">
        <v>51</v>
      </c>
      <c r="N1871" s="2">
        <f>Table1[[#This Row],[Capacity (MW)]]*8760*0.72*10^-6</f>
        <v>0.31535999999999997</v>
      </c>
      <c r="O1871" s="2" cm="1">
        <f t="array" ref="O1871">AVERAGE(VLOOKUP(_xlfn.TEXTSPLIT(Table1[[#This Row],[Fuel (no space after comma)]], ","), FuelList_Final_EF!$A$2:$B$32, 2, FALSE))</f>
        <v>105.42962572482868</v>
      </c>
      <c r="P1871" s="2">
        <f>(16112*Table1[[#This Row],[Generation (TWh)]]*10^9)/10^6</f>
        <v>5081080.32</v>
      </c>
      <c r="Q1871" s="2">
        <f>Table1[[#This Row],[Emission Factor (kg CO2/ mmBtu)]]*Table1[[#This Row],[Fuel Consumption (mmBtu)]]*10^3</f>
        <v>535696396415.39276</v>
      </c>
      <c r="R1871" s="2">
        <f>(Table1[[#This Row],[CO2 Emissions (g CO2)]])/(Table1[[#This Row],[Generation (TWh)]]*10^9)</f>
        <v>1698.6821296784397</v>
      </c>
    </row>
    <row r="1872" spans="1:18" hidden="1">
      <c r="A1872" t="s">
        <v>21</v>
      </c>
      <c r="B1872" t="s">
        <v>19</v>
      </c>
      <c r="C1872" t="str">
        <f>SUBSTITUTE(Table1[[#This Row],[Fuel]],", ",",")</f>
        <v>bioenergy: refuse (municipal and industrial wastes)</v>
      </c>
      <c r="D1872" t="s">
        <v>19</v>
      </c>
      <c r="G1872">
        <v>50</v>
      </c>
      <c r="H1872" t="s">
        <v>27</v>
      </c>
      <c r="I1872">
        <v>2019</v>
      </c>
      <c r="J1872" t="s">
        <v>21</v>
      </c>
      <c r="K1872">
        <v>35.65</v>
      </c>
      <c r="L1872">
        <v>139.83459999999999</v>
      </c>
      <c r="M1872" t="s">
        <v>51</v>
      </c>
      <c r="N1872" s="2">
        <f>Table1[[#This Row],[Capacity (MW)]]*8760*0.72*10^-6</f>
        <v>0.31535999999999997</v>
      </c>
      <c r="O1872" s="2" cm="1">
        <f t="array" ref="O1872">AVERAGE(VLOOKUP(_xlfn.TEXTSPLIT(Table1[[#This Row],[Fuel (no space after comma)]], ","), FuelList_Final_EF!$A$2:$B$32, 2, FALSE))</f>
        <v>105.42962572482868</v>
      </c>
      <c r="P1872" s="2">
        <f>(16112*Table1[[#This Row],[Generation (TWh)]]*10^9)/10^6</f>
        <v>5081080.32</v>
      </c>
      <c r="Q1872" s="2">
        <f>Table1[[#This Row],[Emission Factor (kg CO2/ mmBtu)]]*Table1[[#This Row],[Fuel Consumption (mmBtu)]]*10^3</f>
        <v>535696396415.39276</v>
      </c>
      <c r="R1872" s="2">
        <f>(Table1[[#This Row],[CO2 Emissions (g CO2)]])/(Table1[[#This Row],[Generation (TWh)]]*10^9)</f>
        <v>1698.6821296784397</v>
      </c>
    </row>
    <row r="1873" spans="1:18">
      <c r="A1873" t="s">
        <v>21</v>
      </c>
      <c r="B1873" t="s">
        <v>210</v>
      </c>
      <c r="C1873" t="str">
        <f>SUBSTITUTE(Table1[[#This Row],[Fuel]],", ",",")</f>
        <v>bioenergy: wood &amp; other biomass (solids),bioenergy: agricultural waste (solids)</v>
      </c>
      <c r="D1873" t="s">
        <v>25</v>
      </c>
      <c r="E1873" t="s">
        <v>46</v>
      </c>
      <c r="G1873">
        <v>50</v>
      </c>
      <c r="H1873" t="s">
        <v>138</v>
      </c>
      <c r="I1873" t="s">
        <v>21</v>
      </c>
      <c r="J1873" t="s">
        <v>21</v>
      </c>
      <c r="K1873">
        <v>33.857100000000003</v>
      </c>
      <c r="L1873">
        <v>130.99100000000001</v>
      </c>
      <c r="M1873" t="s">
        <v>51</v>
      </c>
      <c r="N1873" s="2">
        <f>Table1[[#This Row],[Capacity (MW)]]*8760*0.72*10^-6</f>
        <v>0.31535999999999997</v>
      </c>
      <c r="O1873" s="2" cm="1">
        <f t="array" ref="O1873">AVERAGE(VLOOKUP(_xlfn.TEXTSPLIT(Table1[[#This Row],[Fuel (no space after comma)]], ","), FuelList_Final_EF!$A$2:$B$32, 2, FALSE))</f>
        <v>105.985</v>
      </c>
      <c r="P1873" s="2">
        <f>(16112*Table1[[#This Row],[Generation (TWh)]]*10^9)/10^6</f>
        <v>5081080.32</v>
      </c>
      <c r="Q1873" s="2">
        <f>Table1[[#This Row],[Emission Factor (kg CO2/ mmBtu)]]*Table1[[#This Row],[Fuel Consumption (mmBtu)]]*10^3</f>
        <v>538518297715.20007</v>
      </c>
      <c r="R1873" s="2">
        <f>(Table1[[#This Row],[CO2 Emissions (g CO2)]])/(Table1[[#This Row],[Generation (TWh)]]*10^9)</f>
        <v>1707.6303200000002</v>
      </c>
    </row>
    <row r="1874" spans="1:18">
      <c r="A1874" t="s">
        <v>21</v>
      </c>
      <c r="B1874" t="s">
        <v>210</v>
      </c>
      <c r="C1874" t="str">
        <f>SUBSTITUTE(Table1[[#This Row],[Fuel]],", ",",")</f>
        <v>bioenergy: wood &amp; other biomass (solids),bioenergy: agricultural waste (solids)</v>
      </c>
      <c r="D1874" t="s">
        <v>25</v>
      </c>
      <c r="E1874" t="s">
        <v>46</v>
      </c>
      <c r="G1874">
        <v>50</v>
      </c>
      <c r="H1874" t="s">
        <v>138</v>
      </c>
      <c r="I1874" t="s">
        <v>21</v>
      </c>
      <c r="J1874" t="s">
        <v>21</v>
      </c>
      <c r="K1874">
        <v>33.857100000000003</v>
      </c>
      <c r="L1874">
        <v>130.99109999999999</v>
      </c>
      <c r="M1874" t="s">
        <v>51</v>
      </c>
      <c r="N1874" s="2">
        <f>Table1[[#This Row],[Capacity (MW)]]*8760*0.72*10^-6</f>
        <v>0.31535999999999997</v>
      </c>
      <c r="O1874" s="2" cm="1">
        <f t="array" ref="O1874">AVERAGE(VLOOKUP(_xlfn.TEXTSPLIT(Table1[[#This Row],[Fuel (no space after comma)]], ","), FuelList_Final_EF!$A$2:$B$32, 2, FALSE))</f>
        <v>105.985</v>
      </c>
      <c r="P1874" s="2">
        <f>(16112*Table1[[#This Row],[Generation (TWh)]]*10^9)/10^6</f>
        <v>5081080.32</v>
      </c>
      <c r="Q1874" s="2">
        <f>Table1[[#This Row],[Emission Factor (kg CO2/ mmBtu)]]*Table1[[#This Row],[Fuel Consumption (mmBtu)]]*10^3</f>
        <v>538518297715.20007</v>
      </c>
      <c r="R1874" s="2">
        <f>(Table1[[#This Row],[CO2 Emissions (g CO2)]])/(Table1[[#This Row],[Generation (TWh)]]*10^9)</f>
        <v>1707.6303200000002</v>
      </c>
    </row>
    <row r="1875" spans="1:18">
      <c r="A1875" t="s">
        <v>21</v>
      </c>
      <c r="B1875" t="s">
        <v>46</v>
      </c>
      <c r="C1875" t="str">
        <f>SUBSTITUTE(Table1[[#This Row],[Fuel]],", ",",")</f>
        <v>bioenergy: agricultural waste (solids)</v>
      </c>
      <c r="D1875" t="s">
        <v>46</v>
      </c>
      <c r="G1875">
        <v>50</v>
      </c>
      <c r="H1875" t="s">
        <v>20</v>
      </c>
      <c r="I1875" t="s">
        <v>21</v>
      </c>
      <c r="J1875" t="s">
        <v>21</v>
      </c>
      <c r="K1875">
        <v>42.554200000000002</v>
      </c>
      <c r="L1875">
        <v>141.35589999999999</v>
      </c>
      <c r="M1875" t="s">
        <v>51</v>
      </c>
      <c r="N1875" s="2">
        <f>Table1[[#This Row],[Capacity (MW)]]*8760*0.72*10^-6</f>
        <v>0.31535999999999997</v>
      </c>
      <c r="O1875" s="2" cm="1">
        <f t="array" ref="O1875">AVERAGE(VLOOKUP(_xlfn.TEXTSPLIT(Table1[[#This Row],[Fuel (no space after comma)]], ","), FuelList_Final_EF!$A$2:$B$32, 2, FALSE))</f>
        <v>118.17</v>
      </c>
      <c r="P1875" s="2">
        <f>(16112*Table1[[#This Row],[Generation (TWh)]]*10^9)/10^6</f>
        <v>5081080.32</v>
      </c>
      <c r="Q1875" s="2">
        <f>Table1[[#This Row],[Emission Factor (kg CO2/ mmBtu)]]*Table1[[#This Row],[Fuel Consumption (mmBtu)]]*10^3</f>
        <v>600431261414.40015</v>
      </c>
      <c r="R1875" s="2">
        <f>(Table1[[#This Row],[CO2 Emissions (g CO2)]])/(Table1[[#This Row],[Generation (TWh)]]*10^9)</f>
        <v>1903.9550400000005</v>
      </c>
    </row>
    <row r="1876" spans="1:18" hidden="1">
      <c r="A1876" t="s">
        <v>1139</v>
      </c>
      <c r="B1876" t="s">
        <v>64</v>
      </c>
      <c r="C1876" t="str">
        <f>SUBSTITUTE(Table1[[#This Row],[Fuel]],", ",",")</f>
        <v>bioenergy: agricultural waste (solids),coal: unknown</v>
      </c>
      <c r="D1876" t="s">
        <v>46</v>
      </c>
      <c r="E1876" t="s">
        <v>65</v>
      </c>
      <c r="G1876">
        <v>36</v>
      </c>
      <c r="H1876" t="s">
        <v>27</v>
      </c>
      <c r="I1876">
        <v>2013</v>
      </c>
      <c r="J1876" t="s">
        <v>21</v>
      </c>
      <c r="K1876">
        <v>16.749099999999999</v>
      </c>
      <c r="L1876">
        <v>74.584900000000005</v>
      </c>
      <c r="M1876" t="s">
        <v>66</v>
      </c>
      <c r="N1876" s="2">
        <f>Table1[[#This Row],[Capacity (MW)]]*8760*0.72*10^-6</f>
        <v>0.22705919999999996</v>
      </c>
      <c r="O1876" s="2" cm="1">
        <f t="array" ref="O1876">AVERAGE(VLOOKUP(_xlfn.TEXTSPLIT(Table1[[#This Row],[Fuel (no space after comma)]], ","), FuelList_Final_EF!$A$2:$B$32, 2, FALSE))</f>
        <v>109.63850553505534</v>
      </c>
      <c r="P1876" s="2">
        <f>(16112*Table1[[#This Row],[Generation (TWh)]]*10^9)/10^6</f>
        <v>3658377.8303999994</v>
      </c>
      <c r="Q1876" s="2">
        <f>Table1[[#This Row],[Emission Factor (kg CO2/ mmBtu)]]*Table1[[#This Row],[Fuel Consumption (mmBtu)]]*10^3</f>
        <v>401099078007.63409</v>
      </c>
      <c r="R1876" s="2">
        <f>(Table1[[#This Row],[CO2 Emissions (g CO2)]])/(Table1[[#This Row],[Generation (TWh)]]*10^9)</f>
        <v>1766.4956011808117</v>
      </c>
    </row>
    <row r="1877" spans="1:18" hidden="1">
      <c r="A1877" t="s">
        <v>1140</v>
      </c>
      <c r="B1877" t="s">
        <v>46</v>
      </c>
      <c r="C1877" t="str">
        <f>SUBSTITUTE(Table1[[#This Row],[Fuel]],", ",",")</f>
        <v>bioenergy: agricultural waste (solids)</v>
      </c>
      <c r="D1877" t="s">
        <v>46</v>
      </c>
      <c r="G1877">
        <v>65</v>
      </c>
      <c r="H1877" t="s">
        <v>27</v>
      </c>
      <c r="I1877">
        <v>2016</v>
      </c>
      <c r="J1877" t="s">
        <v>21</v>
      </c>
      <c r="K1877">
        <v>16.574100000000001</v>
      </c>
      <c r="L1877">
        <v>75.208500000000001</v>
      </c>
      <c r="M1877" t="s">
        <v>66</v>
      </c>
      <c r="N1877" s="2">
        <f>Table1[[#This Row],[Capacity (MW)]]*8760*0.72*10^-6</f>
        <v>0.409968</v>
      </c>
      <c r="O1877" s="2" cm="1">
        <f t="array" ref="O1877">AVERAGE(VLOOKUP(_xlfn.TEXTSPLIT(Table1[[#This Row],[Fuel (no space after comma)]], ","), FuelList_Final_EF!$A$2:$B$32, 2, FALSE))</f>
        <v>118.17</v>
      </c>
      <c r="P1877" s="2">
        <f>(16112*Table1[[#This Row],[Generation (TWh)]]*10^9)/10^6</f>
        <v>6605404.4160000002</v>
      </c>
      <c r="Q1877" s="2">
        <f>Table1[[#This Row],[Emission Factor (kg CO2/ mmBtu)]]*Table1[[#This Row],[Fuel Consumption (mmBtu)]]*10^3</f>
        <v>780560639838.72009</v>
      </c>
      <c r="R1877" s="2">
        <f>(Table1[[#This Row],[CO2 Emissions (g CO2)]])/(Table1[[#This Row],[Generation (TWh)]]*10^9)</f>
        <v>1903.9550400000003</v>
      </c>
    </row>
    <row r="1878" spans="1:18">
      <c r="A1878" t="s">
        <v>1141</v>
      </c>
      <c r="B1878" t="s">
        <v>105</v>
      </c>
      <c r="C1878" t="str">
        <f>SUBSTITUTE(Table1[[#This Row],[Fuel]],", ",",")</f>
        <v>bioenergy: agricultural waste (solids),bioenergy: wood &amp; other biomass (solids)</v>
      </c>
      <c r="D1878" t="s">
        <v>46</v>
      </c>
      <c r="E1878" t="s">
        <v>25</v>
      </c>
      <c r="G1878">
        <v>30</v>
      </c>
      <c r="H1878" t="s">
        <v>97</v>
      </c>
      <c r="I1878" t="s">
        <v>21</v>
      </c>
      <c r="J1878" t="s">
        <v>21</v>
      </c>
      <c r="K1878">
        <v>30.081800000000001</v>
      </c>
      <c r="L1878">
        <v>105.3687</v>
      </c>
      <c r="M1878" t="s">
        <v>102</v>
      </c>
      <c r="N1878" s="2">
        <f>Table1[[#This Row],[Capacity (MW)]]*8760*0.72*10^-6</f>
        <v>0.189216</v>
      </c>
      <c r="O1878" s="2" cm="1">
        <f t="array" ref="O1878">AVERAGE(VLOOKUP(_xlfn.TEXTSPLIT(Table1[[#This Row],[Fuel (no space after comma)]], ","), FuelList_Final_EF!$A$2:$B$32, 2, FALSE))</f>
        <v>105.985</v>
      </c>
      <c r="P1878" s="2">
        <f>(16112*Table1[[#This Row],[Generation (TWh)]]*10^9)/10^6</f>
        <v>3048648.1919999998</v>
      </c>
      <c r="Q1878" s="2">
        <f>Table1[[#This Row],[Emission Factor (kg CO2/ mmBtu)]]*Table1[[#This Row],[Fuel Consumption (mmBtu)]]*10^3</f>
        <v>323110978629.12</v>
      </c>
      <c r="R1878" s="2">
        <f>(Table1[[#This Row],[CO2 Emissions (g CO2)]])/(Table1[[#This Row],[Generation (TWh)]]*10^9)</f>
        <v>1707.63032</v>
      </c>
    </row>
    <row r="1879" spans="1:18" hidden="1">
      <c r="A1879" t="s">
        <v>1142</v>
      </c>
      <c r="B1879" t="s">
        <v>19</v>
      </c>
      <c r="C1879" t="str">
        <f>SUBSTITUTE(Table1[[#This Row],[Fuel]],", ",",")</f>
        <v>bioenergy: refuse (municipal and industrial wastes)</v>
      </c>
      <c r="D1879" t="s">
        <v>19</v>
      </c>
      <c r="G1879">
        <v>30</v>
      </c>
      <c r="H1879" t="s">
        <v>27</v>
      </c>
      <c r="I1879">
        <v>2021</v>
      </c>
      <c r="J1879" t="s">
        <v>21</v>
      </c>
      <c r="K1879">
        <v>30.641432999999999</v>
      </c>
      <c r="L1879">
        <v>104.361715</v>
      </c>
      <c r="M1879" t="s">
        <v>102</v>
      </c>
      <c r="N1879" s="2">
        <f>Table1[[#This Row],[Capacity (MW)]]*8760*0.72*10^-6</f>
        <v>0.189216</v>
      </c>
      <c r="O1879" s="2" cm="1">
        <f t="array" ref="O1879">AVERAGE(VLOOKUP(_xlfn.TEXTSPLIT(Table1[[#This Row],[Fuel (no space after comma)]], ","), FuelList_Final_EF!$A$2:$B$32, 2, FALSE))</f>
        <v>105.42962572482868</v>
      </c>
      <c r="P1879" s="2">
        <f>(16112*Table1[[#This Row],[Generation (TWh)]]*10^9)/10^6</f>
        <v>3048648.1919999998</v>
      </c>
      <c r="Q1879" s="2">
        <f>Table1[[#This Row],[Emission Factor (kg CO2/ mmBtu)]]*Table1[[#This Row],[Fuel Consumption (mmBtu)]]*10^3</f>
        <v>321417837849.23566</v>
      </c>
      <c r="R1879" s="2">
        <f>(Table1[[#This Row],[CO2 Emissions (g CO2)]])/(Table1[[#This Row],[Generation (TWh)]]*10^9)</f>
        <v>1698.6821296784397</v>
      </c>
    </row>
    <row r="1880" spans="1:18" hidden="1">
      <c r="A1880" t="s">
        <v>1142</v>
      </c>
      <c r="B1880" t="s">
        <v>19</v>
      </c>
      <c r="C1880" t="str">
        <f>SUBSTITUTE(Table1[[#This Row],[Fuel]],", ",",")</f>
        <v>bioenergy: refuse (municipal and industrial wastes)</v>
      </c>
      <c r="D1880" t="s">
        <v>19</v>
      </c>
      <c r="G1880">
        <v>30</v>
      </c>
      <c r="H1880" t="s">
        <v>27</v>
      </c>
      <c r="I1880">
        <v>2021</v>
      </c>
      <c r="J1880" t="s">
        <v>21</v>
      </c>
      <c r="K1880">
        <v>30.641432999999999</v>
      </c>
      <c r="L1880">
        <v>104.361715</v>
      </c>
      <c r="M1880" t="s">
        <v>102</v>
      </c>
      <c r="N1880" s="2">
        <f>Table1[[#This Row],[Capacity (MW)]]*8760*0.72*10^-6</f>
        <v>0.189216</v>
      </c>
      <c r="O1880" s="2" cm="1">
        <f t="array" ref="O1880">AVERAGE(VLOOKUP(_xlfn.TEXTSPLIT(Table1[[#This Row],[Fuel (no space after comma)]], ","), FuelList_Final_EF!$A$2:$B$32, 2, FALSE))</f>
        <v>105.42962572482868</v>
      </c>
      <c r="P1880" s="2">
        <f>(16112*Table1[[#This Row],[Generation (TWh)]]*10^9)/10^6</f>
        <v>3048648.1919999998</v>
      </c>
      <c r="Q1880" s="2">
        <f>Table1[[#This Row],[Emission Factor (kg CO2/ mmBtu)]]*Table1[[#This Row],[Fuel Consumption (mmBtu)]]*10^3</f>
        <v>321417837849.23566</v>
      </c>
      <c r="R1880" s="2">
        <f>(Table1[[#This Row],[CO2 Emissions (g CO2)]])/(Table1[[#This Row],[Generation (TWh)]]*10^9)</f>
        <v>1698.6821296784397</v>
      </c>
    </row>
    <row r="1881" spans="1:18">
      <c r="A1881" t="s">
        <v>1142</v>
      </c>
      <c r="B1881" t="s">
        <v>19</v>
      </c>
      <c r="C1881" t="str">
        <f>SUBSTITUTE(Table1[[#This Row],[Fuel]],", ",",")</f>
        <v>bioenergy: refuse (municipal and industrial wastes)</v>
      </c>
      <c r="D1881" t="s">
        <v>19</v>
      </c>
      <c r="G1881">
        <v>55</v>
      </c>
      <c r="H1881" t="s">
        <v>53</v>
      </c>
      <c r="I1881" t="s">
        <v>21</v>
      </c>
      <c r="J1881" t="s">
        <v>21</v>
      </c>
      <c r="K1881">
        <v>30.641432999999999</v>
      </c>
      <c r="L1881">
        <v>104.361715</v>
      </c>
      <c r="M1881" t="s">
        <v>102</v>
      </c>
      <c r="N1881" s="2">
        <f>Table1[[#This Row],[Capacity (MW)]]*8760*0.72*10^-6</f>
        <v>0.34689599999999998</v>
      </c>
      <c r="O1881" s="2" cm="1">
        <f t="array" ref="O1881">AVERAGE(VLOOKUP(_xlfn.TEXTSPLIT(Table1[[#This Row],[Fuel (no space after comma)]], ","), FuelList_Final_EF!$A$2:$B$32, 2, FALSE))</f>
        <v>105.42962572482868</v>
      </c>
      <c r="P1881" s="2">
        <f>(16112*Table1[[#This Row],[Generation (TWh)]]*10^9)/10^6</f>
        <v>5589188.352</v>
      </c>
      <c r="Q1881" s="2">
        <f>Table1[[#This Row],[Emission Factor (kg CO2/ mmBtu)]]*Table1[[#This Row],[Fuel Consumption (mmBtu)]]*10^3</f>
        <v>589266036056.93201</v>
      </c>
      <c r="R1881" s="2">
        <f>(Table1[[#This Row],[CO2 Emissions (g CO2)]])/(Table1[[#This Row],[Generation (TWh)]]*10^9)</f>
        <v>1698.6821296784397</v>
      </c>
    </row>
    <row r="1882" spans="1:18">
      <c r="A1882" t="s">
        <v>1142</v>
      </c>
      <c r="B1882" t="s">
        <v>19</v>
      </c>
      <c r="C1882" t="str">
        <f>SUBSTITUTE(Table1[[#This Row],[Fuel]],", ",",")</f>
        <v>bioenergy: refuse (municipal and industrial wastes)</v>
      </c>
      <c r="D1882" t="s">
        <v>19</v>
      </c>
      <c r="G1882">
        <v>55</v>
      </c>
      <c r="H1882" t="s">
        <v>53</v>
      </c>
      <c r="I1882" t="s">
        <v>21</v>
      </c>
      <c r="J1882" t="s">
        <v>21</v>
      </c>
      <c r="K1882">
        <v>30.641432999999999</v>
      </c>
      <c r="L1882">
        <v>104.361715</v>
      </c>
      <c r="M1882" t="s">
        <v>102</v>
      </c>
      <c r="N1882" s="2">
        <f>Table1[[#This Row],[Capacity (MW)]]*8760*0.72*10^-6</f>
        <v>0.34689599999999998</v>
      </c>
      <c r="O1882" s="2" cm="1">
        <f t="array" ref="O1882">AVERAGE(VLOOKUP(_xlfn.TEXTSPLIT(Table1[[#This Row],[Fuel (no space after comma)]], ","), FuelList_Final_EF!$A$2:$B$32, 2, FALSE))</f>
        <v>105.42962572482868</v>
      </c>
      <c r="P1882" s="2">
        <f>(16112*Table1[[#This Row],[Generation (TWh)]]*10^9)/10^6</f>
        <v>5589188.352</v>
      </c>
      <c r="Q1882" s="2">
        <f>Table1[[#This Row],[Emission Factor (kg CO2/ mmBtu)]]*Table1[[#This Row],[Fuel Consumption (mmBtu)]]*10^3</f>
        <v>589266036056.93201</v>
      </c>
      <c r="R1882" s="2">
        <f>(Table1[[#This Row],[CO2 Emissions (g CO2)]])/(Table1[[#This Row],[Generation (TWh)]]*10^9)</f>
        <v>1698.6821296784397</v>
      </c>
    </row>
    <row r="1883" spans="1:18">
      <c r="A1883" t="s">
        <v>1142</v>
      </c>
      <c r="B1883" t="s">
        <v>19</v>
      </c>
      <c r="C1883" t="str">
        <f>SUBSTITUTE(Table1[[#This Row],[Fuel]],", ",",")</f>
        <v>bioenergy: refuse (municipal and industrial wastes)</v>
      </c>
      <c r="D1883" t="s">
        <v>19</v>
      </c>
      <c r="G1883">
        <v>55</v>
      </c>
      <c r="H1883" t="s">
        <v>53</v>
      </c>
      <c r="I1883" t="s">
        <v>21</v>
      </c>
      <c r="J1883" t="s">
        <v>21</v>
      </c>
      <c r="K1883">
        <v>30.641432999999999</v>
      </c>
      <c r="L1883">
        <v>104.361715</v>
      </c>
      <c r="M1883" t="s">
        <v>102</v>
      </c>
      <c r="N1883" s="2">
        <f>Table1[[#This Row],[Capacity (MW)]]*8760*0.72*10^-6</f>
        <v>0.34689599999999998</v>
      </c>
      <c r="O1883" s="2" cm="1">
        <f t="array" ref="O1883">AVERAGE(VLOOKUP(_xlfn.TEXTSPLIT(Table1[[#This Row],[Fuel (no space after comma)]], ","), FuelList_Final_EF!$A$2:$B$32, 2, FALSE))</f>
        <v>105.42962572482868</v>
      </c>
      <c r="P1883" s="2">
        <f>(16112*Table1[[#This Row],[Generation (TWh)]]*10^9)/10^6</f>
        <v>5589188.352</v>
      </c>
      <c r="Q1883" s="2">
        <f>Table1[[#This Row],[Emission Factor (kg CO2/ mmBtu)]]*Table1[[#This Row],[Fuel Consumption (mmBtu)]]*10^3</f>
        <v>589266036056.93201</v>
      </c>
      <c r="R1883" s="2">
        <f>(Table1[[#This Row],[CO2 Emissions (g CO2)]])/(Table1[[#This Row],[Generation (TWh)]]*10^9)</f>
        <v>1698.6821296784397</v>
      </c>
    </row>
    <row r="1884" spans="1:18" hidden="1">
      <c r="A1884" t="s">
        <v>506</v>
      </c>
      <c r="B1884" t="s">
        <v>210</v>
      </c>
      <c r="C1884" t="str">
        <f>SUBSTITUTE(Table1[[#This Row],[Fuel]],", ",",")</f>
        <v>bioenergy: wood &amp; other biomass (solids),bioenergy: agricultural waste (solids)</v>
      </c>
      <c r="D1884" t="s">
        <v>25</v>
      </c>
      <c r="E1884" t="s">
        <v>46</v>
      </c>
      <c r="G1884">
        <v>30</v>
      </c>
      <c r="H1884" t="s">
        <v>27</v>
      </c>
      <c r="I1884">
        <v>2016</v>
      </c>
      <c r="J1884" t="s">
        <v>21</v>
      </c>
      <c r="K1884">
        <v>29.8629</v>
      </c>
      <c r="L1884">
        <v>103.3985</v>
      </c>
      <c r="M1884" t="s">
        <v>102</v>
      </c>
      <c r="N1884" s="2">
        <f>Table1[[#This Row],[Capacity (MW)]]*8760*0.72*10^-6</f>
        <v>0.189216</v>
      </c>
      <c r="O1884" s="2" cm="1">
        <f t="array" ref="O1884">AVERAGE(VLOOKUP(_xlfn.TEXTSPLIT(Table1[[#This Row],[Fuel (no space after comma)]], ","), FuelList_Final_EF!$A$2:$B$32, 2, FALSE))</f>
        <v>105.985</v>
      </c>
      <c r="P1884" s="2">
        <f>(16112*Table1[[#This Row],[Generation (TWh)]]*10^9)/10^6</f>
        <v>3048648.1919999998</v>
      </c>
      <c r="Q1884" s="2">
        <f>Table1[[#This Row],[Emission Factor (kg CO2/ mmBtu)]]*Table1[[#This Row],[Fuel Consumption (mmBtu)]]*10^3</f>
        <v>323110978629.12</v>
      </c>
      <c r="R1884" s="2">
        <f>(Table1[[#This Row],[CO2 Emissions (g CO2)]])/(Table1[[#This Row],[Generation (TWh)]]*10^9)</f>
        <v>1707.63032</v>
      </c>
    </row>
    <row r="1885" spans="1:18">
      <c r="A1885" t="s">
        <v>1143</v>
      </c>
      <c r="B1885" t="s">
        <v>105</v>
      </c>
      <c r="C1885" t="str">
        <f>SUBSTITUTE(Table1[[#This Row],[Fuel]],", ",",")</f>
        <v>bioenergy: agricultural waste (solids),bioenergy: wood &amp; other biomass (solids)</v>
      </c>
      <c r="D1885" t="s">
        <v>46</v>
      </c>
      <c r="E1885" t="s">
        <v>25</v>
      </c>
      <c r="G1885">
        <v>30</v>
      </c>
      <c r="H1885" t="s">
        <v>20</v>
      </c>
      <c r="I1885" t="s">
        <v>21</v>
      </c>
      <c r="J1885" t="s">
        <v>21</v>
      </c>
      <c r="K1885">
        <v>31.798300000000001</v>
      </c>
      <c r="L1885">
        <v>105.3205</v>
      </c>
      <c r="M1885" t="s">
        <v>102</v>
      </c>
      <c r="N1885" s="2">
        <f>Table1[[#This Row],[Capacity (MW)]]*8760*0.72*10^-6</f>
        <v>0.189216</v>
      </c>
      <c r="O1885" s="2" cm="1">
        <f t="array" ref="O1885">AVERAGE(VLOOKUP(_xlfn.TEXTSPLIT(Table1[[#This Row],[Fuel (no space after comma)]], ","), FuelList_Final_EF!$A$2:$B$32, 2, FALSE))</f>
        <v>105.985</v>
      </c>
      <c r="P1885" s="2">
        <f>(16112*Table1[[#This Row],[Generation (TWh)]]*10^9)/10^6</f>
        <v>3048648.1919999998</v>
      </c>
      <c r="Q1885" s="2">
        <f>Table1[[#This Row],[Emission Factor (kg CO2/ mmBtu)]]*Table1[[#This Row],[Fuel Consumption (mmBtu)]]*10^3</f>
        <v>323110978629.12</v>
      </c>
      <c r="R1885" s="2">
        <f>(Table1[[#This Row],[CO2 Emissions (g CO2)]])/(Table1[[#This Row],[Generation (TWh)]]*10^9)</f>
        <v>1707.63032</v>
      </c>
    </row>
    <row r="1886" spans="1:18" hidden="1">
      <c r="A1886" t="s">
        <v>1144</v>
      </c>
      <c r="B1886" t="s">
        <v>105</v>
      </c>
      <c r="C1886" t="str">
        <f>SUBSTITUTE(Table1[[#This Row],[Fuel]],", ",",")</f>
        <v>bioenergy: agricultural waste (solids),bioenergy: wood &amp; other biomass (solids)</v>
      </c>
      <c r="D1886" t="s">
        <v>46</v>
      </c>
      <c r="E1886" t="s">
        <v>25</v>
      </c>
      <c r="G1886">
        <v>30</v>
      </c>
      <c r="H1886" t="s">
        <v>27</v>
      </c>
      <c r="I1886">
        <v>2018</v>
      </c>
      <c r="J1886" t="s">
        <v>21</v>
      </c>
      <c r="K1886">
        <v>31.206600000000002</v>
      </c>
      <c r="L1886">
        <v>104.179</v>
      </c>
      <c r="M1886" t="s">
        <v>102</v>
      </c>
      <c r="N1886" s="2">
        <f>Table1[[#This Row],[Capacity (MW)]]*8760*0.72*10^-6</f>
        <v>0.189216</v>
      </c>
      <c r="O1886" s="2" cm="1">
        <f t="array" ref="O1886">AVERAGE(VLOOKUP(_xlfn.TEXTSPLIT(Table1[[#This Row],[Fuel (no space after comma)]], ","), FuelList_Final_EF!$A$2:$B$32, 2, FALSE))</f>
        <v>105.985</v>
      </c>
      <c r="P1886" s="2">
        <f>(16112*Table1[[#This Row],[Generation (TWh)]]*10^9)/10^6</f>
        <v>3048648.1919999998</v>
      </c>
      <c r="Q1886" s="2">
        <f>Table1[[#This Row],[Emission Factor (kg CO2/ mmBtu)]]*Table1[[#This Row],[Fuel Consumption (mmBtu)]]*10^3</f>
        <v>323110978629.12</v>
      </c>
      <c r="R1886" s="2">
        <f>(Table1[[#This Row],[CO2 Emissions (g CO2)]])/(Table1[[#This Row],[Generation (TWh)]]*10^9)</f>
        <v>1707.63032</v>
      </c>
    </row>
    <row r="1887" spans="1:18">
      <c r="A1887" t="s">
        <v>1145</v>
      </c>
      <c r="B1887" t="s">
        <v>1146</v>
      </c>
      <c r="C1887" t="str">
        <f>SUBSTITUTE(Table1[[#This Row],[Fuel]],", ",",")</f>
        <v>bioenergy: paper mill wastes,coal: unknown</v>
      </c>
      <c r="D1887" t="s">
        <v>61</v>
      </c>
      <c r="E1887" t="s">
        <v>65</v>
      </c>
      <c r="G1887">
        <v>17.399999999999999</v>
      </c>
      <c r="H1887" t="s">
        <v>27</v>
      </c>
      <c r="I1887" t="s">
        <v>21</v>
      </c>
      <c r="J1887" t="s">
        <v>21</v>
      </c>
      <c r="K1887">
        <v>28.972300000000001</v>
      </c>
      <c r="L1887">
        <v>103.90560000000001</v>
      </c>
      <c r="M1887" t="s">
        <v>102</v>
      </c>
      <c r="N1887" s="2">
        <f>Table1[[#This Row],[Capacity (MW)]]*8760*0.72*10^-6</f>
        <v>0.10974528</v>
      </c>
      <c r="O1887" s="2" cm="1">
        <f t="array" ref="O1887">AVERAGE(VLOOKUP(_xlfn.TEXTSPLIT(Table1[[#This Row],[Fuel (no space after comma)]], ","), FuelList_Final_EF!$A$2:$B$32, 2, FALSE))</f>
        <v>100.79072219293622</v>
      </c>
      <c r="P1887" s="2">
        <f>(16112*Table1[[#This Row],[Generation (TWh)]]*10^9)/10^6</f>
        <v>1768215.9513600001</v>
      </c>
      <c r="Q1887" s="2">
        <f>Table1[[#This Row],[Emission Factor (kg CO2/ mmBtu)]]*Table1[[#This Row],[Fuel Consumption (mmBtu)]]*10^3</f>
        <v>178219762730.6442</v>
      </c>
      <c r="R1887" s="2">
        <f>(Table1[[#This Row],[CO2 Emissions (g CO2)]])/(Table1[[#This Row],[Generation (TWh)]]*10^9)</f>
        <v>1623.9401159725885</v>
      </c>
    </row>
    <row r="1888" spans="1:18">
      <c r="A1888" t="s">
        <v>1147</v>
      </c>
      <c r="B1888" t="s">
        <v>1146</v>
      </c>
      <c r="C1888" t="str">
        <f>SUBSTITUTE(Table1[[#This Row],[Fuel]],", ",",")</f>
        <v>bioenergy: paper mill wastes,coal: unknown</v>
      </c>
      <c r="D1888" t="s">
        <v>61</v>
      </c>
      <c r="E1888" t="s">
        <v>65</v>
      </c>
      <c r="G1888">
        <v>0.6</v>
      </c>
      <c r="H1888" t="s">
        <v>27</v>
      </c>
      <c r="I1888" t="s">
        <v>21</v>
      </c>
      <c r="J1888" t="s">
        <v>21</v>
      </c>
      <c r="K1888">
        <v>28.972300000000001</v>
      </c>
      <c r="L1888">
        <v>103.90560000000001</v>
      </c>
      <c r="M1888" t="s">
        <v>102</v>
      </c>
      <c r="N1888" s="2">
        <f>Table1[[#This Row],[Capacity (MW)]]*8760*0.72*10^-6</f>
        <v>3.7843199999999994E-3</v>
      </c>
      <c r="O1888" s="2" cm="1">
        <f t="array" ref="O1888">AVERAGE(VLOOKUP(_xlfn.TEXTSPLIT(Table1[[#This Row],[Fuel (no space after comma)]], ","), FuelList_Final_EF!$A$2:$B$32, 2, FALSE))</f>
        <v>100.79072219293622</v>
      </c>
      <c r="P1888" s="2">
        <f>(16112*Table1[[#This Row],[Generation (TWh)]]*10^9)/10^6</f>
        <v>60972.963839999989</v>
      </c>
      <c r="Q1888" s="2">
        <f>Table1[[#This Row],[Emission Factor (kg CO2/ mmBtu)]]*Table1[[#This Row],[Fuel Consumption (mmBtu)]]*10^3</f>
        <v>6145509059.6773834</v>
      </c>
      <c r="R1888" s="2">
        <f>(Table1[[#This Row],[CO2 Emissions (g CO2)]])/(Table1[[#This Row],[Generation (TWh)]]*10^9)</f>
        <v>1623.940115972588</v>
      </c>
    </row>
    <row r="1889" spans="1:18">
      <c r="A1889" t="s">
        <v>54</v>
      </c>
      <c r="B1889" t="s">
        <v>1146</v>
      </c>
      <c r="C1889" t="str">
        <f>SUBSTITUTE(Table1[[#This Row],[Fuel]],", ",",")</f>
        <v>bioenergy: paper mill wastes,coal: unknown</v>
      </c>
      <c r="D1889" t="s">
        <v>61</v>
      </c>
      <c r="E1889" t="s">
        <v>65</v>
      </c>
      <c r="G1889">
        <v>12</v>
      </c>
      <c r="H1889" t="s">
        <v>27</v>
      </c>
      <c r="I1889" t="s">
        <v>21</v>
      </c>
      <c r="J1889" t="s">
        <v>21</v>
      </c>
      <c r="K1889">
        <v>28.972300000000001</v>
      </c>
      <c r="L1889">
        <v>103.90560000000001</v>
      </c>
      <c r="M1889" t="s">
        <v>102</v>
      </c>
      <c r="N1889" s="2">
        <f>Table1[[#This Row],[Capacity (MW)]]*8760*0.72*10^-6</f>
        <v>7.5686399999999987E-2</v>
      </c>
      <c r="O1889" s="2" cm="1">
        <f t="array" ref="O1889">AVERAGE(VLOOKUP(_xlfn.TEXTSPLIT(Table1[[#This Row],[Fuel (no space after comma)]], ","), FuelList_Final_EF!$A$2:$B$32, 2, FALSE))</f>
        <v>100.79072219293622</v>
      </c>
      <c r="P1889" s="2">
        <f>(16112*Table1[[#This Row],[Generation (TWh)]]*10^9)/10^6</f>
        <v>1219459.2767999996</v>
      </c>
      <c r="Q1889" s="2">
        <f>Table1[[#This Row],[Emission Factor (kg CO2/ mmBtu)]]*Table1[[#This Row],[Fuel Consumption (mmBtu)]]*10^3</f>
        <v>122910181193.54767</v>
      </c>
      <c r="R1889" s="2">
        <f>(Table1[[#This Row],[CO2 Emissions (g CO2)]])/(Table1[[#This Row],[Generation (TWh)]]*10^9)</f>
        <v>1623.940115972588</v>
      </c>
    </row>
    <row r="1890" spans="1:18" hidden="1">
      <c r="A1890" t="s">
        <v>117</v>
      </c>
      <c r="B1890" t="s">
        <v>25</v>
      </c>
      <c r="C1890" t="str">
        <f>SUBSTITUTE(Table1[[#This Row],[Fuel]],", ",",")</f>
        <v>bioenergy: wood &amp; other biomass (solids)</v>
      </c>
      <c r="D1890" t="s">
        <v>25</v>
      </c>
      <c r="G1890">
        <v>30</v>
      </c>
      <c r="H1890" t="s">
        <v>27</v>
      </c>
      <c r="I1890">
        <v>2019</v>
      </c>
      <c r="J1890" t="s">
        <v>21</v>
      </c>
      <c r="K1890">
        <v>31.344100000000001</v>
      </c>
      <c r="L1890">
        <v>105.9764</v>
      </c>
      <c r="M1890" t="s">
        <v>102</v>
      </c>
      <c r="N1890" s="2">
        <f>Table1[[#This Row],[Capacity (MW)]]*8760*0.72*10^-6</f>
        <v>0.189216</v>
      </c>
      <c r="O1890" s="2" cm="1">
        <f t="array" ref="O1890">AVERAGE(VLOOKUP(_xlfn.TEXTSPLIT(Table1[[#This Row],[Fuel (no space after comma)]], ","), FuelList_Final_EF!$A$2:$B$32, 2, FALSE))</f>
        <v>93.8</v>
      </c>
      <c r="P1890" s="2">
        <f>(16112*Table1[[#This Row],[Generation (TWh)]]*10^9)/10^6</f>
        <v>3048648.1919999998</v>
      </c>
      <c r="Q1890" s="2">
        <f>Table1[[#This Row],[Emission Factor (kg CO2/ mmBtu)]]*Table1[[#This Row],[Fuel Consumption (mmBtu)]]*10^3</f>
        <v>285963200409.59998</v>
      </c>
      <c r="R1890" s="2">
        <f>(Table1[[#This Row],[CO2 Emissions (g CO2)]])/(Table1[[#This Row],[Generation (TWh)]]*10^9)</f>
        <v>1511.3055999999999</v>
      </c>
    </row>
    <row r="1891" spans="1:18">
      <c r="A1891" t="s">
        <v>21</v>
      </c>
      <c r="B1891" t="s">
        <v>105</v>
      </c>
      <c r="C1891" t="str">
        <f>SUBSTITUTE(Table1[[#This Row],[Fuel]],", ",",")</f>
        <v>bioenergy: agricultural waste (solids),bioenergy: wood &amp; other biomass (solids)</v>
      </c>
      <c r="D1891" t="s">
        <v>46</v>
      </c>
      <c r="E1891" t="s">
        <v>25</v>
      </c>
      <c r="G1891">
        <v>30</v>
      </c>
      <c r="H1891" t="s">
        <v>53</v>
      </c>
      <c r="I1891" t="s">
        <v>21</v>
      </c>
      <c r="J1891" t="s">
        <v>21</v>
      </c>
      <c r="K1891">
        <v>32.35</v>
      </c>
      <c r="L1891">
        <v>106.855</v>
      </c>
      <c r="M1891" t="s">
        <v>102</v>
      </c>
      <c r="N1891" s="2">
        <f>Table1[[#This Row],[Capacity (MW)]]*8760*0.72*10^-6</f>
        <v>0.189216</v>
      </c>
      <c r="O1891" s="2" cm="1">
        <f t="array" ref="O1891">AVERAGE(VLOOKUP(_xlfn.TEXTSPLIT(Table1[[#This Row],[Fuel (no space after comma)]], ","), FuelList_Final_EF!$A$2:$B$32, 2, FALSE))</f>
        <v>105.985</v>
      </c>
      <c r="P1891" s="2">
        <f>(16112*Table1[[#This Row],[Generation (TWh)]]*10^9)/10^6</f>
        <v>3048648.1919999998</v>
      </c>
      <c r="Q1891" s="2">
        <f>Table1[[#This Row],[Emission Factor (kg CO2/ mmBtu)]]*Table1[[#This Row],[Fuel Consumption (mmBtu)]]*10^3</f>
        <v>323110978629.12</v>
      </c>
      <c r="R1891" s="2">
        <f>(Table1[[#This Row],[CO2 Emissions (g CO2)]])/(Table1[[#This Row],[Generation (TWh)]]*10^9)</f>
        <v>1707.63032</v>
      </c>
    </row>
    <row r="1892" spans="1:18">
      <c r="A1892" t="s">
        <v>117</v>
      </c>
      <c r="B1892" t="s">
        <v>46</v>
      </c>
      <c r="C1892" t="str">
        <f>SUBSTITUTE(Table1[[#This Row],[Fuel]],", ",",")</f>
        <v>bioenergy: agricultural waste (solids)</v>
      </c>
      <c r="D1892" t="s">
        <v>46</v>
      </c>
      <c r="G1892">
        <v>30</v>
      </c>
      <c r="H1892" t="s">
        <v>138</v>
      </c>
      <c r="I1892" t="s">
        <v>21</v>
      </c>
      <c r="J1892" t="s">
        <v>21</v>
      </c>
      <c r="K1892">
        <v>31.1066</v>
      </c>
      <c r="L1892">
        <v>105.1151</v>
      </c>
      <c r="M1892" t="s">
        <v>102</v>
      </c>
      <c r="N1892" s="2">
        <f>Table1[[#This Row],[Capacity (MW)]]*8760*0.72*10^-6</f>
        <v>0.189216</v>
      </c>
      <c r="O1892" s="2" cm="1">
        <f t="array" ref="O1892">AVERAGE(VLOOKUP(_xlfn.TEXTSPLIT(Table1[[#This Row],[Fuel (no space after comma)]], ","), FuelList_Final_EF!$A$2:$B$32, 2, FALSE))</f>
        <v>118.17</v>
      </c>
      <c r="P1892" s="2">
        <f>(16112*Table1[[#This Row],[Generation (TWh)]]*10^9)/10^6</f>
        <v>3048648.1919999998</v>
      </c>
      <c r="Q1892" s="2">
        <f>Table1[[#This Row],[Emission Factor (kg CO2/ mmBtu)]]*Table1[[#This Row],[Fuel Consumption (mmBtu)]]*10^3</f>
        <v>360258756848.63995</v>
      </c>
      <c r="R1892" s="2">
        <f>(Table1[[#This Row],[CO2 Emissions (g CO2)]])/(Table1[[#This Row],[Generation (TWh)]]*10^9)</f>
        <v>1903.9550399999998</v>
      </c>
    </row>
    <row r="1893" spans="1:18" hidden="1">
      <c r="A1893" t="s">
        <v>1145</v>
      </c>
      <c r="B1893" t="s">
        <v>1146</v>
      </c>
      <c r="C1893" t="str">
        <f>SUBSTITUTE(Table1[[#This Row],[Fuel]],", ",",")</f>
        <v>bioenergy: paper mill wastes,coal: unknown</v>
      </c>
      <c r="D1893" t="s">
        <v>61</v>
      </c>
      <c r="E1893" t="s">
        <v>65</v>
      </c>
      <c r="G1893">
        <v>30</v>
      </c>
      <c r="H1893" t="s">
        <v>27</v>
      </c>
      <c r="I1893">
        <v>2018</v>
      </c>
      <c r="J1893" t="s">
        <v>21</v>
      </c>
      <c r="K1893">
        <v>28.420300000000001</v>
      </c>
      <c r="L1893">
        <v>105.3426</v>
      </c>
      <c r="M1893" t="s">
        <v>102</v>
      </c>
      <c r="N1893" s="2">
        <f>Table1[[#This Row],[Capacity (MW)]]*8760*0.72*10^-6</f>
        <v>0.189216</v>
      </c>
      <c r="O1893" s="2" cm="1">
        <f t="array" ref="O1893">AVERAGE(VLOOKUP(_xlfn.TEXTSPLIT(Table1[[#This Row],[Fuel (no space after comma)]], ","), FuelList_Final_EF!$A$2:$B$32, 2, FALSE))</f>
        <v>100.79072219293622</v>
      </c>
      <c r="P1893" s="2">
        <f>(16112*Table1[[#This Row],[Generation (TWh)]]*10^9)/10^6</f>
        <v>3048648.1919999998</v>
      </c>
      <c r="Q1893" s="2">
        <f>Table1[[#This Row],[Emission Factor (kg CO2/ mmBtu)]]*Table1[[#This Row],[Fuel Consumption (mmBtu)]]*10^3</f>
        <v>307275452983.86926</v>
      </c>
      <c r="R1893" s="2">
        <f>(Table1[[#This Row],[CO2 Emissions (g CO2)]])/(Table1[[#This Row],[Generation (TWh)]]*10^9)</f>
        <v>1623.9401159725883</v>
      </c>
    </row>
    <row r="1894" spans="1:18" hidden="1">
      <c r="A1894" t="s">
        <v>770</v>
      </c>
      <c r="B1894" t="s">
        <v>105</v>
      </c>
      <c r="C1894" t="str">
        <f>SUBSTITUTE(Table1[[#This Row],[Fuel]],", ",",")</f>
        <v>bioenergy: agricultural waste (solids),bioenergy: wood &amp; other biomass (solids)</v>
      </c>
      <c r="D1894" t="s">
        <v>46</v>
      </c>
      <c r="E1894" t="s">
        <v>25</v>
      </c>
      <c r="G1894">
        <v>15.3</v>
      </c>
      <c r="H1894" t="s">
        <v>27</v>
      </c>
      <c r="I1894">
        <v>2019</v>
      </c>
      <c r="J1894" t="s">
        <v>21</v>
      </c>
      <c r="K1894">
        <v>31.175899999999999</v>
      </c>
      <c r="L1894">
        <v>105.3963</v>
      </c>
      <c r="M1894" t="s">
        <v>102</v>
      </c>
      <c r="N1894" s="2">
        <f>Table1[[#This Row],[Capacity (MW)]]*8760*0.72*10^-6</f>
        <v>9.6500160000000001E-2</v>
      </c>
      <c r="O1894" s="2" cm="1">
        <f t="array" ref="O1894">AVERAGE(VLOOKUP(_xlfn.TEXTSPLIT(Table1[[#This Row],[Fuel (no space after comma)]], ","), FuelList_Final_EF!$A$2:$B$32, 2, FALSE))</f>
        <v>105.985</v>
      </c>
      <c r="P1894" s="2">
        <f>(16112*Table1[[#This Row],[Generation (TWh)]]*10^9)/10^6</f>
        <v>1554810.5779200001</v>
      </c>
      <c r="Q1894" s="2">
        <f>Table1[[#This Row],[Emission Factor (kg CO2/ mmBtu)]]*Table1[[#This Row],[Fuel Consumption (mmBtu)]]*10^3</f>
        <v>164786599100.8512</v>
      </c>
      <c r="R1894" s="2">
        <f>(Table1[[#This Row],[CO2 Emissions (g CO2)]])/(Table1[[#This Row],[Generation (TWh)]]*10^9)</f>
        <v>1707.63032</v>
      </c>
    </row>
    <row r="1895" spans="1:18" hidden="1">
      <c r="A1895" t="s">
        <v>108</v>
      </c>
      <c r="B1895" t="s">
        <v>105</v>
      </c>
      <c r="C1895" t="str">
        <f>SUBSTITUTE(Table1[[#This Row],[Fuel]],", ",",")</f>
        <v>bioenergy: agricultural waste (solids),bioenergy: wood &amp; other biomass (solids)</v>
      </c>
      <c r="D1895" t="s">
        <v>46</v>
      </c>
      <c r="E1895" t="s">
        <v>25</v>
      </c>
      <c r="G1895">
        <v>0.89999999999999991</v>
      </c>
      <c r="H1895" t="s">
        <v>27</v>
      </c>
      <c r="I1895">
        <v>2019</v>
      </c>
      <c r="J1895" t="s">
        <v>21</v>
      </c>
      <c r="K1895">
        <v>31.175899999999999</v>
      </c>
      <c r="L1895">
        <v>105.3963</v>
      </c>
      <c r="M1895" t="s">
        <v>102</v>
      </c>
      <c r="N1895" s="2">
        <f>Table1[[#This Row],[Capacity (MW)]]*8760*0.72*10^-6</f>
        <v>5.6764799999999994E-3</v>
      </c>
      <c r="O1895" s="2" cm="1">
        <f t="array" ref="O1895">AVERAGE(VLOOKUP(_xlfn.TEXTSPLIT(Table1[[#This Row],[Fuel (no space after comma)]], ","), FuelList_Final_EF!$A$2:$B$32, 2, FALSE))</f>
        <v>105.985</v>
      </c>
      <c r="P1895" s="2">
        <f>(16112*Table1[[#This Row],[Generation (TWh)]]*10^9)/10^6</f>
        <v>91459.445760000002</v>
      </c>
      <c r="Q1895" s="2">
        <f>Table1[[#This Row],[Emission Factor (kg CO2/ mmBtu)]]*Table1[[#This Row],[Fuel Consumption (mmBtu)]]*10^3</f>
        <v>9693329358.8736</v>
      </c>
      <c r="R1895" s="2">
        <f>(Table1[[#This Row],[CO2 Emissions (g CO2)]])/(Table1[[#This Row],[Generation (TWh)]]*10^9)</f>
        <v>1707.6303200000002</v>
      </c>
    </row>
    <row r="1896" spans="1:18" hidden="1">
      <c r="A1896" t="s">
        <v>1148</v>
      </c>
      <c r="B1896" t="s">
        <v>105</v>
      </c>
      <c r="C1896" t="str">
        <f>SUBSTITUTE(Table1[[#This Row],[Fuel]],", ",",")</f>
        <v>bioenergy: agricultural waste (solids),bioenergy: wood &amp; other biomass (solids)</v>
      </c>
      <c r="D1896" t="s">
        <v>46</v>
      </c>
      <c r="E1896" t="s">
        <v>25</v>
      </c>
      <c r="G1896">
        <v>8.1000000000000014</v>
      </c>
      <c r="H1896" t="s">
        <v>27</v>
      </c>
      <c r="I1896">
        <v>2019</v>
      </c>
      <c r="J1896" t="s">
        <v>21</v>
      </c>
      <c r="K1896">
        <v>31.175899999999999</v>
      </c>
      <c r="L1896">
        <v>105.3963</v>
      </c>
      <c r="M1896" t="s">
        <v>102</v>
      </c>
      <c r="N1896" s="2">
        <f>Table1[[#This Row],[Capacity (MW)]]*8760*0.72*10^-6</f>
        <v>5.1088320000000007E-2</v>
      </c>
      <c r="O1896" s="2" cm="1">
        <f t="array" ref="O1896">AVERAGE(VLOOKUP(_xlfn.TEXTSPLIT(Table1[[#This Row],[Fuel (no space after comma)]], ","), FuelList_Final_EF!$A$2:$B$32, 2, FALSE))</f>
        <v>105.985</v>
      </c>
      <c r="P1896" s="2">
        <f>(16112*Table1[[#This Row],[Generation (TWh)]]*10^9)/10^6</f>
        <v>823135.01184000005</v>
      </c>
      <c r="Q1896" s="2">
        <f>Table1[[#This Row],[Emission Factor (kg CO2/ mmBtu)]]*Table1[[#This Row],[Fuel Consumption (mmBtu)]]*10^3</f>
        <v>87239964229.862411</v>
      </c>
      <c r="R1896" s="2">
        <f>(Table1[[#This Row],[CO2 Emissions (g CO2)]])/(Table1[[#This Row],[Generation (TWh)]]*10^9)</f>
        <v>1707.63032</v>
      </c>
    </row>
    <row r="1897" spans="1:18" hidden="1">
      <c r="A1897" t="s">
        <v>1149</v>
      </c>
      <c r="B1897" t="s">
        <v>105</v>
      </c>
      <c r="C1897" t="str">
        <f>SUBSTITUTE(Table1[[#This Row],[Fuel]],", ",",")</f>
        <v>bioenergy: agricultural waste (solids),bioenergy: wood &amp; other biomass (solids)</v>
      </c>
      <c r="D1897" t="s">
        <v>46</v>
      </c>
      <c r="E1897" t="s">
        <v>25</v>
      </c>
      <c r="G1897">
        <v>5.7</v>
      </c>
      <c r="H1897" t="s">
        <v>27</v>
      </c>
      <c r="I1897">
        <v>2019</v>
      </c>
      <c r="J1897" t="s">
        <v>21</v>
      </c>
      <c r="K1897">
        <v>31.175899999999999</v>
      </c>
      <c r="L1897">
        <v>105.3963</v>
      </c>
      <c r="M1897" t="s">
        <v>102</v>
      </c>
      <c r="N1897" s="2">
        <f>Table1[[#This Row],[Capacity (MW)]]*8760*0.72*10^-6</f>
        <v>3.5951039999999997E-2</v>
      </c>
      <c r="O1897" s="2" cm="1">
        <f t="array" ref="O1897">AVERAGE(VLOOKUP(_xlfn.TEXTSPLIT(Table1[[#This Row],[Fuel (no space after comma)]], ","), FuelList_Final_EF!$A$2:$B$32, 2, FALSE))</f>
        <v>105.985</v>
      </c>
      <c r="P1897" s="2">
        <f>(16112*Table1[[#This Row],[Generation (TWh)]]*10^9)/10^6</f>
        <v>579243.15647999989</v>
      </c>
      <c r="Q1897" s="2">
        <f>Table1[[#This Row],[Emission Factor (kg CO2/ mmBtu)]]*Table1[[#This Row],[Fuel Consumption (mmBtu)]]*10^3</f>
        <v>61391085939.532784</v>
      </c>
      <c r="R1897" s="2">
        <f>(Table1[[#This Row],[CO2 Emissions (g CO2)]])/(Table1[[#This Row],[Generation (TWh)]]*10^9)</f>
        <v>1707.6303199999995</v>
      </c>
    </row>
    <row r="1898" spans="1:18" hidden="1">
      <c r="A1898" t="s">
        <v>1144</v>
      </c>
      <c r="B1898" t="s">
        <v>105</v>
      </c>
      <c r="C1898" t="str">
        <f>SUBSTITUTE(Table1[[#This Row],[Fuel]],", ",",")</f>
        <v>bioenergy: agricultural waste (solids),bioenergy: wood &amp; other biomass (solids)</v>
      </c>
      <c r="D1898" t="s">
        <v>46</v>
      </c>
      <c r="E1898" t="s">
        <v>25</v>
      </c>
      <c r="G1898">
        <v>30</v>
      </c>
      <c r="H1898" t="s">
        <v>27</v>
      </c>
      <c r="I1898">
        <v>2020</v>
      </c>
      <c r="J1898" t="s">
        <v>21</v>
      </c>
      <c r="K1898">
        <v>30.857800000000001</v>
      </c>
      <c r="L1898">
        <v>104.6161</v>
      </c>
      <c r="M1898" t="s">
        <v>102</v>
      </c>
      <c r="N1898" s="2">
        <f>Table1[[#This Row],[Capacity (MW)]]*8760*0.72*10^-6</f>
        <v>0.189216</v>
      </c>
      <c r="O1898" s="2" cm="1">
        <f t="array" ref="O1898">AVERAGE(VLOOKUP(_xlfn.TEXTSPLIT(Table1[[#This Row],[Fuel (no space after comma)]], ","), FuelList_Final_EF!$A$2:$B$32, 2, FALSE))</f>
        <v>105.985</v>
      </c>
      <c r="P1898" s="2">
        <f>(16112*Table1[[#This Row],[Generation (TWh)]]*10^9)/10^6</f>
        <v>3048648.1919999998</v>
      </c>
      <c r="Q1898" s="2">
        <f>Table1[[#This Row],[Emission Factor (kg CO2/ mmBtu)]]*Table1[[#This Row],[Fuel Consumption (mmBtu)]]*10^3</f>
        <v>323110978629.12</v>
      </c>
      <c r="R1898" s="2">
        <f>(Table1[[#This Row],[CO2 Emissions (g CO2)]])/(Table1[[#This Row],[Generation (TWh)]]*10^9)</f>
        <v>1707.63032</v>
      </c>
    </row>
    <row r="1899" spans="1:18" hidden="1">
      <c r="A1899" t="s">
        <v>1150</v>
      </c>
      <c r="B1899" t="s">
        <v>19</v>
      </c>
      <c r="C1899" t="str">
        <f>SUBSTITUTE(Table1[[#This Row],[Fuel]],", ",",")</f>
        <v>bioenergy: refuse (municipal and industrial wastes)</v>
      </c>
      <c r="D1899" t="s">
        <v>19</v>
      </c>
      <c r="G1899">
        <v>35</v>
      </c>
      <c r="H1899" t="s">
        <v>27</v>
      </c>
      <c r="I1899">
        <v>2022</v>
      </c>
      <c r="J1899" t="s">
        <v>21</v>
      </c>
      <c r="K1899">
        <v>29.189599999999999</v>
      </c>
      <c r="L1899">
        <v>104.8828</v>
      </c>
      <c r="M1899" t="s">
        <v>102</v>
      </c>
      <c r="N1899" s="2">
        <f>Table1[[#This Row],[Capacity (MW)]]*8760*0.72*10^-6</f>
        <v>0.220752</v>
      </c>
      <c r="O1899" s="2" cm="1">
        <f t="array" ref="O1899">AVERAGE(VLOOKUP(_xlfn.TEXTSPLIT(Table1[[#This Row],[Fuel (no space after comma)]], ","), FuelList_Final_EF!$A$2:$B$32, 2, FALSE))</f>
        <v>105.42962572482868</v>
      </c>
      <c r="P1899" s="2">
        <f>(16112*Table1[[#This Row],[Generation (TWh)]]*10^9)/10^6</f>
        <v>3556756.2239999999</v>
      </c>
      <c r="Q1899" s="2">
        <f>Table1[[#This Row],[Emission Factor (kg CO2/ mmBtu)]]*Table1[[#This Row],[Fuel Consumption (mmBtu)]]*10^3</f>
        <v>374987477490.7749</v>
      </c>
      <c r="R1899" s="2">
        <f>(Table1[[#This Row],[CO2 Emissions (g CO2)]])/(Table1[[#This Row],[Generation (TWh)]]*10^9)</f>
        <v>1698.6821296784397</v>
      </c>
    </row>
    <row r="1900" spans="1:18">
      <c r="A1900" t="s">
        <v>1150</v>
      </c>
      <c r="B1900" t="s">
        <v>19</v>
      </c>
      <c r="C1900" t="str">
        <f>SUBSTITUTE(Table1[[#This Row],[Fuel]],", ",",")</f>
        <v>bioenergy: refuse (municipal and industrial wastes)</v>
      </c>
      <c r="D1900" t="s">
        <v>19</v>
      </c>
      <c r="G1900">
        <v>35</v>
      </c>
      <c r="H1900" t="s">
        <v>53</v>
      </c>
      <c r="I1900" t="s">
        <v>21</v>
      </c>
      <c r="J1900" t="s">
        <v>21</v>
      </c>
      <c r="K1900">
        <v>29.189699999999998</v>
      </c>
      <c r="L1900">
        <v>104.8827</v>
      </c>
      <c r="M1900" t="s">
        <v>102</v>
      </c>
      <c r="N1900" s="2">
        <f>Table1[[#This Row],[Capacity (MW)]]*8760*0.72*10^-6</f>
        <v>0.220752</v>
      </c>
      <c r="O1900" s="2" cm="1">
        <f t="array" ref="O1900">AVERAGE(VLOOKUP(_xlfn.TEXTSPLIT(Table1[[#This Row],[Fuel (no space after comma)]], ","), FuelList_Final_EF!$A$2:$B$32, 2, FALSE))</f>
        <v>105.42962572482868</v>
      </c>
      <c r="P1900" s="2">
        <f>(16112*Table1[[#This Row],[Generation (TWh)]]*10^9)/10^6</f>
        <v>3556756.2239999999</v>
      </c>
      <c r="Q1900" s="2">
        <f>Table1[[#This Row],[Emission Factor (kg CO2/ mmBtu)]]*Table1[[#This Row],[Fuel Consumption (mmBtu)]]*10^3</f>
        <v>374987477490.7749</v>
      </c>
      <c r="R1900" s="2">
        <f>(Table1[[#This Row],[CO2 Emissions (g CO2)]])/(Table1[[#This Row],[Generation (TWh)]]*10^9)</f>
        <v>1698.6821296784397</v>
      </c>
    </row>
    <row r="1901" spans="1:18" hidden="1">
      <c r="A1901" t="s">
        <v>1151</v>
      </c>
      <c r="B1901" t="s">
        <v>1152</v>
      </c>
      <c r="C1901" t="str">
        <f>SUBSTITUTE(Table1[[#This Row],[Fuel]],", ",",")</f>
        <v>bioenergy: wood &amp; other biomass (solids),fossil liquids: unknown</v>
      </c>
      <c r="D1901" t="s">
        <v>25</v>
      </c>
      <c r="E1901" t="s">
        <v>217</v>
      </c>
      <c r="G1901">
        <v>35</v>
      </c>
      <c r="H1901" t="s">
        <v>27</v>
      </c>
      <c r="I1901">
        <v>2018</v>
      </c>
      <c r="J1901" t="s">
        <v>21</v>
      </c>
      <c r="K1901">
        <v>39.941200000000002</v>
      </c>
      <c r="L1901">
        <v>-120.9092</v>
      </c>
      <c r="M1901" t="s">
        <v>62</v>
      </c>
      <c r="N1901" s="2">
        <f>Table1[[#This Row],[Capacity (MW)]]*8760*0.72*10^-6</f>
        <v>0.220752</v>
      </c>
      <c r="O1901" s="2" cm="1">
        <f t="array" ref="O1901">AVERAGE(VLOOKUP(_xlfn.TEXTSPLIT(Table1[[#This Row],[Fuel (no space after comma)]], ","), FuelList_Final_EF!$A$2:$B$32, 2, FALSE))</f>
        <v>89.324891033136169</v>
      </c>
      <c r="P1901" s="2">
        <f>(16112*Table1[[#This Row],[Generation (TWh)]]*10^9)/10^6</f>
        <v>3556756.2239999999</v>
      </c>
      <c r="Q1901" s="2">
        <f>Table1[[#This Row],[Emission Factor (kg CO2/ mmBtu)]]*Table1[[#This Row],[Fuel Consumption (mmBtu)]]*10^3</f>
        <v>317706862140.22888</v>
      </c>
      <c r="R1901" s="2">
        <f>(Table1[[#This Row],[CO2 Emissions (g CO2)]])/(Table1[[#This Row],[Generation (TWh)]]*10^9)</f>
        <v>1439.2026443258901</v>
      </c>
    </row>
    <row r="1902" spans="1:18" hidden="1">
      <c r="A1902" t="s">
        <v>38</v>
      </c>
      <c r="B1902" t="s">
        <v>19</v>
      </c>
      <c r="C1902" t="str">
        <f>SUBSTITUTE(Table1[[#This Row],[Fuel]],", ",",")</f>
        <v>bioenergy: refuse (municipal and industrial wastes)</v>
      </c>
      <c r="D1902" t="s">
        <v>19</v>
      </c>
      <c r="G1902">
        <v>59</v>
      </c>
      <c r="H1902" t="s">
        <v>27</v>
      </c>
      <c r="I1902">
        <v>2001</v>
      </c>
      <c r="J1902" t="s">
        <v>21</v>
      </c>
      <c r="K1902">
        <v>45.504399999999997</v>
      </c>
      <c r="L1902">
        <v>9.0709999999999997</v>
      </c>
      <c r="M1902" t="s">
        <v>37</v>
      </c>
      <c r="N1902" s="2">
        <f>Table1[[#This Row],[Capacity (MW)]]*8760*0.72*10^-6</f>
        <v>0.37212479999999998</v>
      </c>
      <c r="O1902" s="2" cm="1">
        <f t="array" ref="O1902">AVERAGE(VLOOKUP(_xlfn.TEXTSPLIT(Table1[[#This Row],[Fuel (no space after comma)]], ","), FuelList_Final_EF!$A$2:$B$32, 2, FALSE))</f>
        <v>105.42962572482868</v>
      </c>
      <c r="P1902" s="2">
        <f>(16112*Table1[[#This Row],[Generation (TWh)]]*10^9)/10^6</f>
        <v>5995674.7775999987</v>
      </c>
      <c r="Q1902" s="2">
        <f>Table1[[#This Row],[Emission Factor (kg CO2/ mmBtu)]]*Table1[[#This Row],[Fuel Consumption (mmBtu)]]*10^3</f>
        <v>632121747770.16333</v>
      </c>
      <c r="R1902" s="2">
        <f>(Table1[[#This Row],[CO2 Emissions (g CO2)]])/(Table1[[#This Row],[Generation (TWh)]]*10^9)</f>
        <v>1698.6821296784394</v>
      </c>
    </row>
    <row r="1903" spans="1:18" hidden="1">
      <c r="A1903" t="s">
        <v>317</v>
      </c>
      <c r="B1903" t="s">
        <v>60</v>
      </c>
      <c r="C1903" t="str">
        <f>SUBSTITUTE(Table1[[#This Row],[Fuel]],", ",",")</f>
        <v>bioenergy: paper mill wastes,bioenergy: wood &amp; other biomass (solids)</v>
      </c>
      <c r="D1903" t="s">
        <v>61</v>
      </c>
      <c r="E1903" t="s">
        <v>25</v>
      </c>
      <c r="G1903">
        <v>64</v>
      </c>
      <c r="H1903" t="s">
        <v>27</v>
      </c>
      <c r="I1903">
        <v>2009</v>
      </c>
      <c r="J1903" t="s">
        <v>21</v>
      </c>
      <c r="K1903">
        <v>47.266100000000002</v>
      </c>
      <c r="L1903">
        <v>-122.42829999999999</v>
      </c>
      <c r="M1903" t="s">
        <v>62</v>
      </c>
      <c r="N1903" s="2">
        <f>Table1[[#This Row],[Capacity (MW)]]*8760*0.72*10^-6</f>
        <v>0.40366079999999999</v>
      </c>
      <c r="O1903" s="2" cm="1">
        <f t="array" ref="O1903">AVERAGE(VLOOKUP(_xlfn.TEXTSPLIT(Table1[[#This Row],[Fuel (no space after comma)]], ","), FuelList_Final_EF!$A$2:$B$32, 2, FALSE))</f>
        <v>97.137216657880856</v>
      </c>
      <c r="P1903" s="2">
        <f>(16112*Table1[[#This Row],[Generation (TWh)]]*10^9)/10^6</f>
        <v>6503782.8095999993</v>
      </c>
      <c r="Q1903" s="2">
        <f>Table1[[#This Row],[Emission Factor (kg CO2/ mmBtu)]]*Table1[[#This Row],[Fuel Consumption (mmBtu)]]*10^3</f>
        <v>631759359871.91614</v>
      </c>
      <c r="R1903" s="2">
        <f>(Table1[[#This Row],[CO2 Emissions (g CO2)]])/(Table1[[#This Row],[Generation (TWh)]]*10^9)</f>
        <v>1565.0748347917761</v>
      </c>
    </row>
    <row r="1904" spans="1:18">
      <c r="A1904" t="s">
        <v>1153</v>
      </c>
      <c r="B1904" t="s">
        <v>46</v>
      </c>
      <c r="C1904" t="str">
        <f>SUBSTITUTE(Table1[[#This Row],[Fuel]],", ",",")</f>
        <v>bioenergy: agricultural waste (solids)</v>
      </c>
      <c r="D1904" t="s">
        <v>46</v>
      </c>
      <c r="G1904">
        <v>30</v>
      </c>
      <c r="H1904" t="s">
        <v>27</v>
      </c>
      <c r="I1904" t="s">
        <v>21</v>
      </c>
      <c r="J1904" t="s">
        <v>21</v>
      </c>
      <c r="K1904">
        <v>-26.176600000000001</v>
      </c>
      <c r="L1904">
        <v>31.907900000000001</v>
      </c>
      <c r="M1904" t="s">
        <v>1154</v>
      </c>
      <c r="N1904" s="2">
        <f>Table1[[#This Row],[Capacity (MW)]]*8760*0.72*10^-6</f>
        <v>0.189216</v>
      </c>
      <c r="O1904" s="2" cm="1">
        <f t="array" ref="O1904">AVERAGE(VLOOKUP(_xlfn.TEXTSPLIT(Table1[[#This Row],[Fuel (no space after comma)]], ","), FuelList_Final_EF!$A$2:$B$32, 2, FALSE))</f>
        <v>118.17</v>
      </c>
      <c r="P1904" s="2">
        <f>(16112*Table1[[#This Row],[Generation (TWh)]]*10^9)/10^6</f>
        <v>3048648.1919999998</v>
      </c>
      <c r="Q1904" s="2">
        <f>Table1[[#This Row],[Emission Factor (kg CO2/ mmBtu)]]*Table1[[#This Row],[Fuel Consumption (mmBtu)]]*10^3</f>
        <v>360258756848.63995</v>
      </c>
      <c r="R1904" s="2">
        <f>(Table1[[#This Row],[CO2 Emissions (g CO2)]])/(Table1[[#This Row],[Generation (TWh)]]*10^9)</f>
        <v>1903.9550399999998</v>
      </c>
    </row>
    <row r="1905" spans="1:18" hidden="1">
      <c r="A1905" t="s">
        <v>1155</v>
      </c>
      <c r="B1905" t="s">
        <v>60</v>
      </c>
      <c r="C1905" t="str">
        <f>SUBSTITUTE(Table1[[#This Row],[Fuel]],", ",",")</f>
        <v>bioenergy: paper mill wastes,bioenergy: wood &amp; other biomass (solids)</v>
      </c>
      <c r="D1905" t="s">
        <v>61</v>
      </c>
      <c r="E1905" t="s">
        <v>25</v>
      </c>
      <c r="G1905">
        <v>110</v>
      </c>
      <c r="H1905" t="s">
        <v>27</v>
      </c>
      <c r="I1905">
        <v>2016</v>
      </c>
      <c r="J1905" t="s">
        <v>21</v>
      </c>
      <c r="K1905">
        <v>-2.7504201099999999</v>
      </c>
      <c r="L1905">
        <v>105.27820149999999</v>
      </c>
      <c r="M1905" t="s">
        <v>44</v>
      </c>
      <c r="N1905" s="2">
        <f>Table1[[#This Row],[Capacity (MW)]]*8760*0.72*10^-6</f>
        <v>0.69379199999999996</v>
      </c>
      <c r="O1905" s="2" cm="1">
        <f t="array" ref="O1905">AVERAGE(VLOOKUP(_xlfn.TEXTSPLIT(Table1[[#This Row],[Fuel (no space after comma)]], ","), FuelList_Final_EF!$A$2:$B$32, 2, FALSE))</f>
        <v>97.137216657880856</v>
      </c>
      <c r="P1905" s="2">
        <f>(16112*Table1[[#This Row],[Generation (TWh)]]*10^9)/10^6</f>
        <v>11178376.704</v>
      </c>
      <c r="Q1905" s="2">
        <f>Table1[[#This Row],[Emission Factor (kg CO2/ mmBtu)]]*Table1[[#This Row],[Fuel Consumption (mmBtu)]]*10^3</f>
        <v>1085836399779.8562</v>
      </c>
      <c r="R1905" s="2">
        <f>(Table1[[#This Row],[CO2 Emissions (g CO2)]])/(Table1[[#This Row],[Generation (TWh)]]*10^9)</f>
        <v>1565.0748347917765</v>
      </c>
    </row>
    <row r="1906" spans="1:18" hidden="1">
      <c r="A1906" t="s">
        <v>1155</v>
      </c>
      <c r="B1906" t="s">
        <v>60</v>
      </c>
      <c r="C1906" t="str">
        <f>SUBSTITUTE(Table1[[#This Row],[Fuel]],", ",",")</f>
        <v>bioenergy: paper mill wastes,bioenergy: wood &amp; other biomass (solids)</v>
      </c>
      <c r="D1906" t="s">
        <v>61</v>
      </c>
      <c r="E1906" t="s">
        <v>25</v>
      </c>
      <c r="G1906">
        <v>110</v>
      </c>
      <c r="H1906" t="s">
        <v>27</v>
      </c>
      <c r="I1906">
        <v>2016</v>
      </c>
      <c r="J1906" t="s">
        <v>21</v>
      </c>
      <c r="K1906">
        <v>-2.7504201099999999</v>
      </c>
      <c r="L1906">
        <v>105.27820149999999</v>
      </c>
      <c r="M1906" t="s">
        <v>44</v>
      </c>
      <c r="N1906" s="2">
        <f>Table1[[#This Row],[Capacity (MW)]]*8760*0.72*10^-6</f>
        <v>0.69379199999999996</v>
      </c>
      <c r="O1906" s="2" cm="1">
        <f t="array" ref="O1906">AVERAGE(VLOOKUP(_xlfn.TEXTSPLIT(Table1[[#This Row],[Fuel (no space after comma)]], ","), FuelList_Final_EF!$A$2:$B$32, 2, FALSE))</f>
        <v>97.137216657880856</v>
      </c>
      <c r="P1906" s="2">
        <f>(16112*Table1[[#This Row],[Generation (TWh)]]*10^9)/10^6</f>
        <v>11178376.704</v>
      </c>
      <c r="Q1906" s="2">
        <f>Table1[[#This Row],[Emission Factor (kg CO2/ mmBtu)]]*Table1[[#This Row],[Fuel Consumption (mmBtu)]]*10^3</f>
        <v>1085836399779.8562</v>
      </c>
      <c r="R1906" s="2">
        <f>(Table1[[#This Row],[CO2 Emissions (g CO2)]])/(Table1[[#This Row],[Generation (TWh)]]*10^9)</f>
        <v>1565.0748347917765</v>
      </c>
    </row>
    <row r="1907" spans="1:18">
      <c r="A1907" t="s">
        <v>148</v>
      </c>
      <c r="B1907" t="s">
        <v>68</v>
      </c>
      <c r="C1907" t="str">
        <f>SUBSTITUTE(Table1[[#This Row],[Fuel]],", ",",")</f>
        <v>bioenergy: wood &amp; other biomass (solids),fossil gas: natural gas</v>
      </c>
      <c r="D1907" t="s">
        <v>25</v>
      </c>
      <c r="E1907" t="s">
        <v>69</v>
      </c>
      <c r="G1907">
        <v>95</v>
      </c>
      <c r="H1907" t="s">
        <v>27</v>
      </c>
      <c r="I1907">
        <v>1951</v>
      </c>
      <c r="J1907" t="s">
        <v>21</v>
      </c>
      <c r="K1907">
        <v>55.512300000000003</v>
      </c>
      <c r="L1907">
        <v>9.6188000000000002</v>
      </c>
      <c r="M1907" t="s">
        <v>83</v>
      </c>
      <c r="N1907" s="2">
        <f>Table1[[#This Row],[Capacity (MW)]]*8760*0.72*10^-6</f>
        <v>0.59918399999999994</v>
      </c>
      <c r="O1907" s="2" cm="1">
        <f t="array" ref="O1907">AVERAGE(VLOOKUP(_xlfn.TEXTSPLIT(Table1[[#This Row],[Fuel (no space after comma)]], ","), FuelList_Final_EF!$A$2:$B$32, 2, FALSE))</f>
        <v>73.430000000000007</v>
      </c>
      <c r="P1907" s="2">
        <f>(16112*Table1[[#This Row],[Generation (TWh)]]*10^9)/10^6</f>
        <v>9654052.6079999972</v>
      </c>
      <c r="Q1907" s="2">
        <f>Table1[[#This Row],[Emission Factor (kg CO2/ mmBtu)]]*Table1[[#This Row],[Fuel Consumption (mmBtu)]]*10^3</f>
        <v>708897083005.43982</v>
      </c>
      <c r="R1907" s="2">
        <f>(Table1[[#This Row],[CO2 Emissions (g CO2)]])/(Table1[[#This Row],[Generation (TWh)]]*10^9)</f>
        <v>1183.1041599999999</v>
      </c>
    </row>
    <row r="1908" spans="1:18">
      <c r="A1908" t="s">
        <v>432</v>
      </c>
      <c r="B1908" t="s">
        <v>1156</v>
      </c>
      <c r="C1908" t="str">
        <f>SUBSTITUTE(Table1[[#This Row],[Fuel]],", ",",")</f>
        <v>bioenergy: paper mill wastes,bioenergy: wood &amp; other biomass (solids),fossil liquids: waste/other oil</v>
      </c>
      <c r="D1908" t="s">
        <v>61</v>
      </c>
      <c r="E1908" t="s">
        <v>25</v>
      </c>
      <c r="F1908" t="s">
        <v>33</v>
      </c>
      <c r="G1908">
        <v>50</v>
      </c>
      <c r="H1908" t="s">
        <v>27</v>
      </c>
      <c r="I1908" t="s">
        <v>21</v>
      </c>
      <c r="J1908" t="s">
        <v>21</v>
      </c>
      <c r="K1908">
        <v>58.579599999999999</v>
      </c>
      <c r="L1908">
        <v>15.905099999999999</v>
      </c>
      <c r="M1908" t="s">
        <v>34</v>
      </c>
      <c r="N1908" s="2">
        <f>Table1[[#This Row],[Capacity (MW)]]*8760*0.72*10^-6</f>
        <v>0.31535999999999997</v>
      </c>
      <c r="O1908" s="2" cm="1">
        <f t="array" ref="O1908">AVERAGE(VLOOKUP(_xlfn.TEXTSPLIT(Table1[[#This Row],[Fuel (no space after comma)]], ","), FuelList_Final_EF!$A$2:$B$32, 2, FALSE))</f>
        <v>90.518116324020369</v>
      </c>
      <c r="P1908" s="2">
        <f>(16112*Table1[[#This Row],[Generation (TWh)]]*10^9)/10^6</f>
        <v>5081080.32</v>
      </c>
      <c r="Q1908" s="2">
        <f>Table1[[#This Row],[Emission Factor (kg CO2/ mmBtu)]]*Table1[[#This Row],[Fuel Consumption (mmBtu)]]*10^3</f>
        <v>459929819457.45068</v>
      </c>
      <c r="R1908" s="2">
        <f>(Table1[[#This Row],[CO2 Emissions (g CO2)]])/(Table1[[#This Row],[Generation (TWh)]]*10^9)</f>
        <v>1458.4278902126164</v>
      </c>
    </row>
    <row r="1909" spans="1:18">
      <c r="A1909" t="s">
        <v>388</v>
      </c>
      <c r="B1909" t="s">
        <v>19</v>
      </c>
      <c r="C1909" t="str">
        <f>SUBSTITUTE(Table1[[#This Row],[Fuel]],", ",",")</f>
        <v>bioenergy: refuse (municipal and industrial wastes)</v>
      </c>
      <c r="D1909" t="s">
        <v>19</v>
      </c>
      <c r="G1909">
        <v>50</v>
      </c>
      <c r="H1909" t="s">
        <v>53</v>
      </c>
      <c r="I1909" t="s">
        <v>21</v>
      </c>
      <c r="J1909" t="s">
        <v>21</v>
      </c>
      <c r="K1909">
        <v>53.776400000000002</v>
      </c>
      <c r="L1909">
        <v>-1.4978</v>
      </c>
      <c r="M1909" t="s">
        <v>22</v>
      </c>
      <c r="N1909" s="2">
        <f>Table1[[#This Row],[Capacity (MW)]]*8760*0.72*10^-6</f>
        <v>0.31535999999999997</v>
      </c>
      <c r="O1909" s="2" cm="1">
        <f t="array" ref="O1909">AVERAGE(VLOOKUP(_xlfn.TEXTSPLIT(Table1[[#This Row],[Fuel (no space after comma)]], ","), FuelList_Final_EF!$A$2:$B$32, 2, FALSE))</f>
        <v>105.42962572482868</v>
      </c>
      <c r="P1909" s="2">
        <f>(16112*Table1[[#This Row],[Generation (TWh)]]*10^9)/10^6</f>
        <v>5081080.32</v>
      </c>
      <c r="Q1909" s="2">
        <f>Table1[[#This Row],[Emission Factor (kg CO2/ mmBtu)]]*Table1[[#This Row],[Fuel Consumption (mmBtu)]]*10^3</f>
        <v>535696396415.39276</v>
      </c>
      <c r="R1909" s="2">
        <f>(Table1[[#This Row],[CO2 Emissions (g CO2)]])/(Table1[[#This Row],[Generation (TWh)]]*10^9)</f>
        <v>1698.6821296784397</v>
      </c>
    </row>
    <row r="1910" spans="1:18">
      <c r="A1910" t="s">
        <v>21</v>
      </c>
      <c r="B1910" t="s">
        <v>61</v>
      </c>
      <c r="C1910" t="str">
        <f>SUBSTITUTE(Table1[[#This Row],[Fuel]],", ",",")</f>
        <v>bioenergy: paper mill wastes</v>
      </c>
      <c r="D1910" t="s">
        <v>61</v>
      </c>
      <c r="G1910">
        <v>58</v>
      </c>
      <c r="H1910" t="s">
        <v>27</v>
      </c>
      <c r="I1910" t="s">
        <v>21</v>
      </c>
      <c r="J1910" t="s">
        <v>21</v>
      </c>
      <c r="K1910">
        <v>59.3215</v>
      </c>
      <c r="L1910">
        <v>13.446999999999999</v>
      </c>
      <c r="M1910" t="s">
        <v>34</v>
      </c>
      <c r="N1910" s="2">
        <f>Table1[[#This Row],[Capacity (MW)]]*8760*0.72*10^-6</f>
        <v>0.36581759999999997</v>
      </c>
      <c r="O1910" s="2" cm="1">
        <f t="array" ref="O1910">AVERAGE(VLOOKUP(_xlfn.TEXTSPLIT(Table1[[#This Row],[Fuel (no space after comma)]], ","), FuelList_Final_EF!$A$2:$B$32, 2, FALSE))</f>
        <v>100.47443331576173</v>
      </c>
      <c r="P1910" s="2">
        <f>(16112*Table1[[#This Row],[Generation (TWh)]]*10^9)/10^6</f>
        <v>5894053.1711999988</v>
      </c>
      <c r="Q1910" s="2">
        <f>Table1[[#This Row],[Emission Factor (kg CO2/ mmBtu)]]*Table1[[#This Row],[Fuel Consumption (mmBtu)]]*10^3</f>
        <v>592201652309.28821</v>
      </c>
      <c r="R1910" s="2">
        <f>(Table1[[#This Row],[CO2 Emissions (g CO2)]])/(Table1[[#This Row],[Generation (TWh)]]*10^9)</f>
        <v>1618.8440695835529</v>
      </c>
    </row>
    <row r="1911" spans="1:18">
      <c r="A1911" t="s">
        <v>21</v>
      </c>
      <c r="B1911" t="s">
        <v>25</v>
      </c>
      <c r="C1911" t="str">
        <f>SUBSTITUTE(Table1[[#This Row],[Fuel]],", ",",")</f>
        <v>bioenergy: wood &amp; other biomass (solids)</v>
      </c>
      <c r="D1911" t="s">
        <v>25</v>
      </c>
      <c r="G1911">
        <v>51</v>
      </c>
      <c r="H1911" t="s">
        <v>27</v>
      </c>
      <c r="I1911" t="s">
        <v>21</v>
      </c>
      <c r="J1911" t="s">
        <v>21</v>
      </c>
      <c r="K1911">
        <v>49.528399999999998</v>
      </c>
      <c r="L1911">
        <v>-115.7578</v>
      </c>
      <c r="M1911" t="s">
        <v>79</v>
      </c>
      <c r="N1911" s="2">
        <f>Table1[[#This Row],[Capacity (MW)]]*8760*0.72*10^-6</f>
        <v>0.32166719999999999</v>
      </c>
      <c r="O1911" s="2" cm="1">
        <f t="array" ref="O1911">AVERAGE(VLOOKUP(_xlfn.TEXTSPLIT(Table1[[#This Row],[Fuel (no space after comma)]], ","), FuelList_Final_EF!$A$2:$B$32, 2, FALSE))</f>
        <v>93.8</v>
      </c>
      <c r="P1911" s="2">
        <f>(16112*Table1[[#This Row],[Generation (TWh)]]*10^9)/10^6</f>
        <v>5182701.9264000002</v>
      </c>
      <c r="Q1911" s="2">
        <f>Table1[[#This Row],[Emission Factor (kg CO2/ mmBtu)]]*Table1[[#This Row],[Fuel Consumption (mmBtu)]]*10^3</f>
        <v>486137440696.32001</v>
      </c>
      <c r="R1911" s="2">
        <f>(Table1[[#This Row],[CO2 Emissions (g CO2)]])/(Table1[[#This Row],[Generation (TWh)]]*10^9)</f>
        <v>1511.3055999999999</v>
      </c>
    </row>
    <row r="1912" spans="1:18" hidden="1">
      <c r="A1912" t="s">
        <v>959</v>
      </c>
      <c r="B1912" t="s">
        <v>653</v>
      </c>
      <c r="C1912" t="str">
        <f>SUBSTITUTE(Table1[[#This Row],[Fuel]],", ",",")</f>
        <v>bioenergy: wood &amp; other biomass (solids),bioenergy: paper mill wastes</v>
      </c>
      <c r="D1912" t="s">
        <v>25</v>
      </c>
      <c r="E1912" t="s">
        <v>61</v>
      </c>
      <c r="G1912">
        <v>46</v>
      </c>
      <c r="H1912" t="s">
        <v>27</v>
      </c>
      <c r="I1912">
        <v>2008</v>
      </c>
      <c r="J1912" t="s">
        <v>21</v>
      </c>
      <c r="K1912">
        <v>60.644599999999997</v>
      </c>
      <c r="L1912">
        <v>17.387</v>
      </c>
      <c r="M1912" t="s">
        <v>34</v>
      </c>
      <c r="N1912" s="2">
        <f>Table1[[#This Row],[Capacity (MW)]]*8760*0.72*10^-6</f>
        <v>0.29013119999999998</v>
      </c>
      <c r="O1912" s="2" cm="1">
        <f t="array" ref="O1912">AVERAGE(VLOOKUP(_xlfn.TEXTSPLIT(Table1[[#This Row],[Fuel (no space after comma)]], ","), FuelList_Final_EF!$A$2:$B$32, 2, FALSE))</f>
        <v>97.137216657880856</v>
      </c>
      <c r="P1912" s="2">
        <f>(16112*Table1[[#This Row],[Generation (TWh)]]*10^9)/10^6</f>
        <v>4674593.8943999996</v>
      </c>
      <c r="Q1912" s="2">
        <f>Table1[[#This Row],[Emission Factor (kg CO2/ mmBtu)]]*Table1[[#This Row],[Fuel Consumption (mmBtu)]]*10^3</f>
        <v>454077039907.93982</v>
      </c>
      <c r="R1912" s="2">
        <f>(Table1[[#This Row],[CO2 Emissions (g CO2)]])/(Table1[[#This Row],[Generation (TWh)]]*10^9)</f>
        <v>1565.0748347917763</v>
      </c>
    </row>
    <row r="1913" spans="1:18" hidden="1">
      <c r="A1913" t="s">
        <v>892</v>
      </c>
      <c r="B1913" t="s">
        <v>210</v>
      </c>
      <c r="C1913" t="str">
        <f>SUBSTITUTE(Table1[[#This Row],[Fuel]],", ",",")</f>
        <v>bioenergy: wood &amp; other biomass (solids),bioenergy: agricultural waste (solids)</v>
      </c>
      <c r="D1913" t="s">
        <v>25</v>
      </c>
      <c r="E1913" t="s">
        <v>46</v>
      </c>
      <c r="G1913">
        <v>38</v>
      </c>
      <c r="H1913" t="s">
        <v>27</v>
      </c>
      <c r="I1913">
        <v>2014</v>
      </c>
      <c r="J1913" t="s">
        <v>21</v>
      </c>
      <c r="K1913">
        <v>53.0002</v>
      </c>
      <c r="L1913">
        <v>-0.38229999999999997</v>
      </c>
      <c r="M1913" t="s">
        <v>22</v>
      </c>
      <c r="N1913" s="2">
        <f>Table1[[#This Row],[Capacity (MW)]]*8760*0.72*10^-6</f>
        <v>0.23967359999999996</v>
      </c>
      <c r="O1913" s="2" cm="1">
        <f t="array" ref="O1913">AVERAGE(VLOOKUP(_xlfn.TEXTSPLIT(Table1[[#This Row],[Fuel (no space after comma)]], ","), FuelList_Final_EF!$A$2:$B$32, 2, FALSE))</f>
        <v>105.985</v>
      </c>
      <c r="P1913" s="2">
        <f>(16112*Table1[[#This Row],[Generation (TWh)]]*10^9)/10^6</f>
        <v>3861621.0431999997</v>
      </c>
      <c r="Q1913" s="2">
        <f>Table1[[#This Row],[Emission Factor (kg CO2/ mmBtu)]]*Table1[[#This Row],[Fuel Consumption (mmBtu)]]*10^3</f>
        <v>409273906263.55194</v>
      </c>
      <c r="R1913" s="2">
        <f>(Table1[[#This Row],[CO2 Emissions (g CO2)]])/(Table1[[#This Row],[Generation (TWh)]]*10^9)</f>
        <v>1707.63032</v>
      </c>
    </row>
    <row r="1914" spans="1:18" hidden="1">
      <c r="A1914" t="s">
        <v>1030</v>
      </c>
      <c r="B1914" t="s">
        <v>1157</v>
      </c>
      <c r="C1914" t="str">
        <f>SUBSTITUTE(Table1[[#This Row],[Fuel]],", ",",")</f>
        <v>bioenergy: wastewater and sewage sludge (solids or biogas),bioenergy: refuse (municipal and industrial wastes)</v>
      </c>
      <c r="D1914" t="s">
        <v>42</v>
      </c>
      <c r="E1914" t="s">
        <v>19</v>
      </c>
      <c r="G1914">
        <v>20</v>
      </c>
      <c r="H1914" t="s">
        <v>27</v>
      </c>
      <c r="I1914">
        <v>1999</v>
      </c>
      <c r="J1914" t="s">
        <v>21</v>
      </c>
      <c r="K1914">
        <v>51.285699999999999</v>
      </c>
      <c r="L1914">
        <v>4.274</v>
      </c>
      <c r="M1914" t="s">
        <v>241</v>
      </c>
      <c r="N1914" s="2">
        <f>Table1[[#This Row],[Capacity (MW)]]*8760*0.72*10^-6</f>
        <v>0.12614400000000001</v>
      </c>
      <c r="O1914" s="2" cm="1">
        <f t="array" ref="O1914">AVERAGE(VLOOKUP(_xlfn.TEXTSPLIT(Table1[[#This Row],[Fuel (no space after comma)]], ","), FuelList_Final_EF!$A$2:$B$32, 2, FALSE))</f>
        <v>81.497100685292565</v>
      </c>
      <c r="P1914" s="2">
        <f>(16112*Table1[[#This Row],[Generation (TWh)]]*10^9)/10^6</f>
        <v>2032432.1280000003</v>
      </c>
      <c r="Q1914" s="2">
        <f>Table1[[#This Row],[Emission Factor (kg CO2/ mmBtu)]]*Table1[[#This Row],[Fuel Consumption (mmBtu)]]*10^3</f>
        <v>165637325771.63943</v>
      </c>
      <c r="R1914" s="2">
        <f>(Table1[[#This Row],[CO2 Emissions (g CO2)]])/(Table1[[#This Row],[Generation (TWh)]]*10^9)</f>
        <v>1313.0812862414339</v>
      </c>
    </row>
    <row r="1915" spans="1:18" hidden="1">
      <c r="A1915" t="s">
        <v>1158</v>
      </c>
      <c r="B1915" t="s">
        <v>1157</v>
      </c>
      <c r="C1915" t="str">
        <f>SUBSTITUTE(Table1[[#This Row],[Fuel]],", ",",")</f>
        <v>bioenergy: wastewater and sewage sludge (solids or biogas),bioenergy: refuse (municipal and industrial wastes)</v>
      </c>
      <c r="D1915" t="s">
        <v>42</v>
      </c>
      <c r="E1915" t="s">
        <v>19</v>
      </c>
      <c r="G1915">
        <v>20</v>
      </c>
      <c r="H1915" t="s">
        <v>27</v>
      </c>
      <c r="I1915">
        <v>1999</v>
      </c>
      <c r="J1915" t="s">
        <v>21</v>
      </c>
      <c r="K1915">
        <v>51.285699999999999</v>
      </c>
      <c r="L1915">
        <v>4.274</v>
      </c>
      <c r="M1915" t="s">
        <v>241</v>
      </c>
      <c r="N1915" s="2">
        <f>Table1[[#This Row],[Capacity (MW)]]*8760*0.72*10^-6</f>
        <v>0.12614400000000001</v>
      </c>
      <c r="O1915" s="2" cm="1">
        <f t="array" ref="O1915">AVERAGE(VLOOKUP(_xlfn.TEXTSPLIT(Table1[[#This Row],[Fuel (no space after comma)]], ","), FuelList_Final_EF!$A$2:$B$32, 2, FALSE))</f>
        <v>81.497100685292565</v>
      </c>
      <c r="P1915" s="2">
        <f>(16112*Table1[[#This Row],[Generation (TWh)]]*10^9)/10^6</f>
        <v>2032432.1280000003</v>
      </c>
      <c r="Q1915" s="2">
        <f>Table1[[#This Row],[Emission Factor (kg CO2/ mmBtu)]]*Table1[[#This Row],[Fuel Consumption (mmBtu)]]*10^3</f>
        <v>165637325771.63943</v>
      </c>
      <c r="R1915" s="2">
        <f>(Table1[[#This Row],[CO2 Emissions (g CO2)]])/(Table1[[#This Row],[Generation (TWh)]]*10^9)</f>
        <v>1313.0812862414339</v>
      </c>
    </row>
    <row r="1916" spans="1:18" hidden="1">
      <c r="A1916" t="s">
        <v>1159</v>
      </c>
      <c r="B1916" t="s">
        <v>141</v>
      </c>
      <c r="C1916" t="str">
        <f>SUBSTITUTE(Table1[[#This Row],[Fuel]],", ",",")</f>
        <v>bioenergy: refuse (municipal and industrial wastes),bioenergy: wood &amp; other biomass (solids)</v>
      </c>
      <c r="D1916" t="s">
        <v>19</v>
      </c>
      <c r="E1916" t="s">
        <v>25</v>
      </c>
      <c r="G1916">
        <v>25</v>
      </c>
      <c r="H1916" t="s">
        <v>53</v>
      </c>
      <c r="I1916">
        <v>2024</v>
      </c>
      <c r="J1916" t="s">
        <v>21</v>
      </c>
      <c r="K1916">
        <v>51.523899999999998</v>
      </c>
      <c r="L1916">
        <v>-0.62690000000000001</v>
      </c>
      <c r="M1916" t="s">
        <v>22</v>
      </c>
      <c r="N1916" s="2">
        <f>Table1[[#This Row],[Capacity (MW)]]*8760*0.72*10^-6</f>
        <v>0.15767999999999999</v>
      </c>
      <c r="O1916" s="2" cm="1">
        <f t="array" ref="O1916">AVERAGE(VLOOKUP(_xlfn.TEXTSPLIT(Table1[[#This Row],[Fuel (no space after comma)]], ","), FuelList_Final_EF!$A$2:$B$32, 2, FALSE))</f>
        <v>99.61481286241434</v>
      </c>
      <c r="P1916" s="2">
        <f>(16112*Table1[[#This Row],[Generation (TWh)]]*10^9)/10^6</f>
        <v>2540540.16</v>
      </c>
      <c r="Q1916" s="2">
        <f>Table1[[#This Row],[Emission Factor (kg CO2/ mmBtu)]]*Table1[[#This Row],[Fuel Consumption (mmBtu)]]*10^3</f>
        <v>253075432607.84821</v>
      </c>
      <c r="R1916" s="2">
        <f>(Table1[[#This Row],[CO2 Emissions (g CO2)]])/(Table1[[#This Row],[Generation (TWh)]]*10^9)</f>
        <v>1604.9938648392199</v>
      </c>
    </row>
    <row r="1917" spans="1:18" hidden="1">
      <c r="A1917" t="s">
        <v>870</v>
      </c>
      <c r="B1917" t="s">
        <v>141</v>
      </c>
      <c r="C1917" t="str">
        <f>SUBSTITUTE(Table1[[#This Row],[Fuel]],", ",",")</f>
        <v>bioenergy: refuse (municipal and industrial wastes),bioenergy: wood &amp; other biomass (solids)</v>
      </c>
      <c r="D1917" t="s">
        <v>19</v>
      </c>
      <c r="E1917" t="s">
        <v>25</v>
      </c>
      <c r="G1917">
        <v>25</v>
      </c>
      <c r="H1917" t="s">
        <v>53</v>
      </c>
      <c r="I1917">
        <v>2024</v>
      </c>
      <c r="J1917" t="s">
        <v>21</v>
      </c>
      <c r="K1917">
        <v>51.523899999999998</v>
      </c>
      <c r="L1917">
        <v>-0.62690000000000001</v>
      </c>
      <c r="M1917" t="s">
        <v>22</v>
      </c>
      <c r="N1917" s="2">
        <f>Table1[[#This Row],[Capacity (MW)]]*8760*0.72*10^-6</f>
        <v>0.15767999999999999</v>
      </c>
      <c r="O1917" s="2" cm="1">
        <f t="array" ref="O1917">AVERAGE(VLOOKUP(_xlfn.TEXTSPLIT(Table1[[#This Row],[Fuel (no space after comma)]], ","), FuelList_Final_EF!$A$2:$B$32, 2, FALSE))</f>
        <v>99.61481286241434</v>
      </c>
      <c r="P1917" s="2">
        <f>(16112*Table1[[#This Row],[Generation (TWh)]]*10^9)/10^6</f>
        <v>2540540.16</v>
      </c>
      <c r="Q1917" s="2">
        <f>Table1[[#This Row],[Emission Factor (kg CO2/ mmBtu)]]*Table1[[#This Row],[Fuel Consumption (mmBtu)]]*10^3</f>
        <v>253075432607.84821</v>
      </c>
      <c r="R1917" s="2">
        <f>(Table1[[#This Row],[CO2 Emissions (g CO2)]])/(Table1[[#This Row],[Generation (TWh)]]*10^9)</f>
        <v>1604.9938648392199</v>
      </c>
    </row>
    <row r="1918" spans="1:18" hidden="1">
      <c r="A1918" t="s">
        <v>232</v>
      </c>
      <c r="B1918" t="s">
        <v>210</v>
      </c>
      <c r="C1918" t="str">
        <f>SUBSTITUTE(Table1[[#This Row],[Fuel]],", ",",")</f>
        <v>bioenergy: wood &amp; other biomass (solids),bioenergy: agricultural waste (solids)</v>
      </c>
      <c r="D1918" t="s">
        <v>25</v>
      </c>
      <c r="E1918" t="s">
        <v>46</v>
      </c>
      <c r="G1918">
        <v>42</v>
      </c>
      <c r="H1918" t="s">
        <v>27</v>
      </c>
      <c r="I1918">
        <v>2017</v>
      </c>
      <c r="J1918" t="s">
        <v>21</v>
      </c>
      <c r="K1918">
        <v>52.4816</v>
      </c>
      <c r="L1918">
        <v>0.95409999999999995</v>
      </c>
      <c r="M1918" t="s">
        <v>22</v>
      </c>
      <c r="N1918" s="2">
        <f>Table1[[#This Row],[Capacity (MW)]]*8760*0.72*10^-6</f>
        <v>0.26490239999999993</v>
      </c>
      <c r="O1918" s="2" cm="1">
        <f t="array" ref="O1918">AVERAGE(VLOOKUP(_xlfn.TEXTSPLIT(Table1[[#This Row],[Fuel (no space after comma)]], ","), FuelList_Final_EF!$A$2:$B$32, 2, FALSE))</f>
        <v>105.985</v>
      </c>
      <c r="P1918" s="2">
        <f>(16112*Table1[[#This Row],[Generation (TWh)]]*10^9)/10^6</f>
        <v>4268107.468799999</v>
      </c>
      <c r="Q1918" s="2">
        <f>Table1[[#This Row],[Emission Factor (kg CO2/ mmBtu)]]*Table1[[#This Row],[Fuel Consumption (mmBtu)]]*10^3</f>
        <v>452355370080.76788</v>
      </c>
      <c r="R1918" s="2">
        <f>(Table1[[#This Row],[CO2 Emissions (g CO2)]])/(Table1[[#This Row],[Generation (TWh)]]*10^9)</f>
        <v>1707.63032</v>
      </c>
    </row>
    <row r="1919" spans="1:18" hidden="1">
      <c r="A1919" t="s">
        <v>1160</v>
      </c>
      <c r="B1919" t="s">
        <v>251</v>
      </c>
      <c r="C1919" t="str">
        <f>SUBSTITUTE(Table1[[#This Row],[Fuel]],", ",",")</f>
        <v>bioenergy: wood &amp; other biomass (solids),bioenergy: refuse (municipal and industrial wastes)</v>
      </c>
      <c r="D1919" t="s">
        <v>25</v>
      </c>
      <c r="E1919" t="s">
        <v>19</v>
      </c>
      <c r="G1919">
        <v>45</v>
      </c>
      <c r="H1919" t="s">
        <v>27</v>
      </c>
      <c r="I1919">
        <v>2019</v>
      </c>
      <c r="J1919" t="s">
        <v>21</v>
      </c>
      <c r="K1919">
        <v>57.653300000000002</v>
      </c>
      <c r="L1919">
        <v>12.9168</v>
      </c>
      <c r="M1919" t="s">
        <v>34</v>
      </c>
      <c r="N1919" s="2">
        <f>Table1[[#This Row],[Capacity (MW)]]*8760*0.72*10^-6</f>
        <v>0.28382399999999997</v>
      </c>
      <c r="O1919" s="2" cm="1">
        <f t="array" ref="O1919">AVERAGE(VLOOKUP(_xlfn.TEXTSPLIT(Table1[[#This Row],[Fuel (no space after comma)]], ","), FuelList_Final_EF!$A$2:$B$32, 2, FALSE))</f>
        <v>99.61481286241434</v>
      </c>
      <c r="P1919" s="2">
        <f>(16112*Table1[[#This Row],[Generation (TWh)]]*10^9)/10^6</f>
        <v>4572972.2879999988</v>
      </c>
      <c r="Q1919" s="2">
        <f>Table1[[#This Row],[Emission Factor (kg CO2/ mmBtu)]]*Table1[[#This Row],[Fuel Consumption (mmBtu)]]*10^3</f>
        <v>455535778694.12659</v>
      </c>
      <c r="R1919" s="2">
        <f>(Table1[[#This Row],[CO2 Emissions (g CO2)]])/(Table1[[#This Row],[Generation (TWh)]]*10^9)</f>
        <v>1604.9938648392197</v>
      </c>
    </row>
    <row r="1920" spans="1:18">
      <c r="A1920" t="s">
        <v>1161</v>
      </c>
      <c r="B1920" t="s">
        <v>19</v>
      </c>
      <c r="C1920" t="str">
        <f>SUBSTITUTE(Table1[[#This Row],[Fuel]],", ",",")</f>
        <v>bioenergy: refuse (municipal and industrial wastes)</v>
      </c>
      <c r="D1920" t="s">
        <v>19</v>
      </c>
      <c r="G1920">
        <v>30</v>
      </c>
      <c r="H1920" t="s">
        <v>53</v>
      </c>
      <c r="I1920" t="s">
        <v>21</v>
      </c>
      <c r="J1920" t="s">
        <v>21</v>
      </c>
      <c r="K1920">
        <v>21.3398</v>
      </c>
      <c r="L1920">
        <v>105.8357</v>
      </c>
      <c r="M1920" t="s">
        <v>326</v>
      </c>
      <c r="N1920" s="2">
        <f>Table1[[#This Row],[Capacity (MW)]]*8760*0.72*10^-6</f>
        <v>0.189216</v>
      </c>
      <c r="O1920" s="2" cm="1">
        <f t="array" ref="O1920">AVERAGE(VLOOKUP(_xlfn.TEXTSPLIT(Table1[[#This Row],[Fuel (no space after comma)]], ","), FuelList_Final_EF!$A$2:$B$32, 2, FALSE))</f>
        <v>105.42962572482868</v>
      </c>
      <c r="P1920" s="2">
        <f>(16112*Table1[[#This Row],[Generation (TWh)]]*10^9)/10^6</f>
        <v>3048648.1919999998</v>
      </c>
      <c r="Q1920" s="2">
        <f>Table1[[#This Row],[Emission Factor (kg CO2/ mmBtu)]]*Table1[[#This Row],[Fuel Consumption (mmBtu)]]*10^3</f>
        <v>321417837849.23566</v>
      </c>
      <c r="R1920" s="2">
        <f>(Table1[[#This Row],[CO2 Emissions (g CO2)]])/(Table1[[#This Row],[Generation (TWh)]]*10^9)</f>
        <v>1698.6821296784397</v>
      </c>
    </row>
    <row r="1921" spans="1:18">
      <c r="A1921" t="s">
        <v>1161</v>
      </c>
      <c r="B1921" t="s">
        <v>19</v>
      </c>
      <c r="C1921" t="str">
        <f>SUBSTITUTE(Table1[[#This Row],[Fuel]],", ",",")</f>
        <v>bioenergy: refuse (municipal and industrial wastes)</v>
      </c>
      <c r="D1921" t="s">
        <v>19</v>
      </c>
      <c r="G1921">
        <v>67</v>
      </c>
      <c r="H1921" t="s">
        <v>53</v>
      </c>
      <c r="I1921" t="s">
        <v>21</v>
      </c>
      <c r="J1921" t="s">
        <v>21</v>
      </c>
      <c r="K1921">
        <v>21.3398</v>
      </c>
      <c r="L1921">
        <v>105.8357</v>
      </c>
      <c r="M1921" t="s">
        <v>326</v>
      </c>
      <c r="N1921" s="2">
        <f>Table1[[#This Row],[Capacity (MW)]]*8760*0.72*10^-6</f>
        <v>0.42258239999999997</v>
      </c>
      <c r="O1921" s="2" cm="1">
        <f t="array" ref="O1921">AVERAGE(VLOOKUP(_xlfn.TEXTSPLIT(Table1[[#This Row],[Fuel (no space after comma)]], ","), FuelList_Final_EF!$A$2:$B$32, 2, FALSE))</f>
        <v>105.42962572482868</v>
      </c>
      <c r="P1921" s="2">
        <f>(16112*Table1[[#This Row],[Generation (TWh)]]*10^9)/10^6</f>
        <v>6808647.6287999991</v>
      </c>
      <c r="Q1921" s="2">
        <f>Table1[[#This Row],[Emission Factor (kg CO2/ mmBtu)]]*Table1[[#This Row],[Fuel Consumption (mmBtu)]]*10^3</f>
        <v>717833171196.62622</v>
      </c>
      <c r="R1921" s="2">
        <f>(Table1[[#This Row],[CO2 Emissions (g CO2)]])/(Table1[[#This Row],[Generation (TWh)]]*10^9)</f>
        <v>1698.6821296784399</v>
      </c>
    </row>
    <row r="1922" spans="1:18" hidden="1">
      <c r="A1922" t="s">
        <v>1162</v>
      </c>
      <c r="B1922" t="s">
        <v>25</v>
      </c>
      <c r="C1922" t="str">
        <f>SUBSTITUTE(Table1[[#This Row],[Fuel]],", ",",")</f>
        <v>bioenergy: wood &amp; other biomass (solids)</v>
      </c>
      <c r="D1922" t="s">
        <v>25</v>
      </c>
      <c r="G1922">
        <v>75</v>
      </c>
      <c r="H1922" t="s">
        <v>53</v>
      </c>
      <c r="I1922">
        <v>2025</v>
      </c>
      <c r="J1922" t="s">
        <v>21</v>
      </c>
      <c r="K1922">
        <v>35.4529</v>
      </c>
      <c r="L1922">
        <v>139.98079999999999</v>
      </c>
      <c r="M1922" t="s">
        <v>51</v>
      </c>
      <c r="N1922" s="2">
        <f>Table1[[#This Row],[Capacity (MW)]]*8760*0.72*10^-6</f>
        <v>0.47303999999999996</v>
      </c>
      <c r="O1922" s="2" cm="1">
        <f t="array" ref="O1922">AVERAGE(VLOOKUP(_xlfn.TEXTSPLIT(Table1[[#This Row],[Fuel (no space after comma)]], ","), FuelList_Final_EF!$A$2:$B$32, 2, FALSE))</f>
        <v>93.8</v>
      </c>
      <c r="P1922" s="2">
        <f>(16112*Table1[[#This Row],[Generation (TWh)]]*10^9)/10^6</f>
        <v>7621620.4800000004</v>
      </c>
      <c r="Q1922" s="2">
        <f>Table1[[#This Row],[Emission Factor (kg CO2/ mmBtu)]]*Table1[[#This Row],[Fuel Consumption (mmBtu)]]*10^3</f>
        <v>714908001024</v>
      </c>
      <c r="R1922" s="2">
        <f>(Table1[[#This Row],[CO2 Emissions (g CO2)]])/(Table1[[#This Row],[Generation (TWh)]]*10^9)</f>
        <v>1511.3056000000001</v>
      </c>
    </row>
    <row r="1923" spans="1:18" hidden="1">
      <c r="A1923" t="s">
        <v>1163</v>
      </c>
      <c r="B1923" t="s">
        <v>61</v>
      </c>
      <c r="C1923" t="str">
        <f>SUBSTITUTE(Table1[[#This Row],[Fuel]],", ",",")</f>
        <v>bioenergy: paper mill wastes</v>
      </c>
      <c r="D1923" t="s">
        <v>61</v>
      </c>
      <c r="G1923">
        <v>142</v>
      </c>
      <c r="H1923" t="s">
        <v>27</v>
      </c>
      <c r="I1923">
        <v>1958</v>
      </c>
      <c r="J1923" t="s">
        <v>21</v>
      </c>
      <c r="K1923">
        <v>57.0916</v>
      </c>
      <c r="L1923">
        <v>16.546099999999999</v>
      </c>
      <c r="M1923" t="s">
        <v>34</v>
      </c>
      <c r="N1923" s="2">
        <f>Table1[[#This Row],[Capacity (MW)]]*8760*0.72*10^-6</f>
        <v>0.89562239999999993</v>
      </c>
      <c r="O1923" s="2" cm="1">
        <f t="array" ref="O1923">AVERAGE(VLOOKUP(_xlfn.TEXTSPLIT(Table1[[#This Row],[Fuel (no space after comma)]], ","), FuelList_Final_EF!$A$2:$B$32, 2, FALSE))</f>
        <v>100.47443331576173</v>
      </c>
      <c r="P1923" s="2">
        <f>(16112*Table1[[#This Row],[Generation (TWh)]]*10^9)/10^6</f>
        <v>14430268.1088</v>
      </c>
      <c r="Q1923" s="2">
        <f>Table1[[#This Row],[Emission Factor (kg CO2/ mmBtu)]]*Table1[[#This Row],[Fuel Consumption (mmBtu)]]*10^3</f>
        <v>1449873010826.1885</v>
      </c>
      <c r="R1923" s="2">
        <f>(Table1[[#This Row],[CO2 Emissions (g CO2)]])/(Table1[[#This Row],[Generation (TWh)]]*10^9)</f>
        <v>1618.8440695835529</v>
      </c>
    </row>
    <row r="1924" spans="1:18" hidden="1">
      <c r="A1924" t="s">
        <v>1163</v>
      </c>
      <c r="B1924" t="s">
        <v>61</v>
      </c>
      <c r="C1924" t="str">
        <f>SUBSTITUTE(Table1[[#This Row],[Fuel]],", ",",")</f>
        <v>bioenergy: paper mill wastes</v>
      </c>
      <c r="D1924" t="s">
        <v>61</v>
      </c>
      <c r="G1924">
        <v>53</v>
      </c>
      <c r="H1924" t="s">
        <v>27</v>
      </c>
      <c r="I1924">
        <v>2011</v>
      </c>
      <c r="J1924" t="s">
        <v>21</v>
      </c>
      <c r="K1924">
        <v>56.160400000000003</v>
      </c>
      <c r="L1924">
        <v>14.763199999999999</v>
      </c>
      <c r="M1924" t="s">
        <v>34</v>
      </c>
      <c r="N1924" s="2">
        <f>Table1[[#This Row],[Capacity (MW)]]*8760*0.72*10^-6</f>
        <v>0.33428159999999996</v>
      </c>
      <c r="O1924" s="2" cm="1">
        <f t="array" ref="O1924">AVERAGE(VLOOKUP(_xlfn.TEXTSPLIT(Table1[[#This Row],[Fuel (no space after comma)]], ","), FuelList_Final_EF!$A$2:$B$32, 2, FALSE))</f>
        <v>100.47443331576173</v>
      </c>
      <c r="P1924" s="2">
        <f>(16112*Table1[[#This Row],[Generation (TWh)]]*10^9)/10^6</f>
        <v>5385945.1391999992</v>
      </c>
      <c r="Q1924" s="2">
        <f>Table1[[#This Row],[Emission Factor (kg CO2/ mmBtu)]]*Table1[[#This Row],[Fuel Consumption (mmBtu)]]*10^3</f>
        <v>541149785730.90137</v>
      </c>
      <c r="R1924" s="2">
        <f>(Table1[[#This Row],[CO2 Emissions (g CO2)]])/(Table1[[#This Row],[Generation (TWh)]]*10^9)</f>
        <v>1618.8440695835532</v>
      </c>
    </row>
    <row r="1925" spans="1:18" hidden="1">
      <c r="A1925" t="s">
        <v>1164</v>
      </c>
      <c r="B1925" t="s">
        <v>19</v>
      </c>
      <c r="C1925" t="str">
        <f>SUBSTITUTE(Table1[[#This Row],[Fuel]],", ",",")</f>
        <v>bioenergy: refuse (municipal and industrial wastes)</v>
      </c>
      <c r="D1925" t="s">
        <v>19</v>
      </c>
      <c r="G1925">
        <v>50</v>
      </c>
      <c r="H1925" t="s">
        <v>27</v>
      </c>
      <c r="I1925">
        <v>2000</v>
      </c>
      <c r="J1925" t="s">
        <v>21</v>
      </c>
      <c r="K1925">
        <v>43.170299999999997</v>
      </c>
      <c r="L1925">
        <v>-8.4402000000000008</v>
      </c>
      <c r="M1925" t="s">
        <v>328</v>
      </c>
      <c r="N1925" s="2">
        <f>Table1[[#This Row],[Capacity (MW)]]*8760*0.72*10^-6</f>
        <v>0.31535999999999997</v>
      </c>
      <c r="O1925" s="2" cm="1">
        <f t="array" ref="O1925">AVERAGE(VLOOKUP(_xlfn.TEXTSPLIT(Table1[[#This Row],[Fuel (no space after comma)]], ","), FuelList_Final_EF!$A$2:$B$32, 2, FALSE))</f>
        <v>105.42962572482868</v>
      </c>
      <c r="P1925" s="2">
        <f>(16112*Table1[[#This Row],[Generation (TWh)]]*10^9)/10^6</f>
        <v>5081080.32</v>
      </c>
      <c r="Q1925" s="2">
        <f>Table1[[#This Row],[Emission Factor (kg CO2/ mmBtu)]]*Table1[[#This Row],[Fuel Consumption (mmBtu)]]*10^3</f>
        <v>535696396415.39276</v>
      </c>
      <c r="R1925" s="2">
        <f>(Table1[[#This Row],[CO2 Emissions (g CO2)]])/(Table1[[#This Row],[Generation (TWh)]]*10^9)</f>
        <v>1698.6821296784397</v>
      </c>
    </row>
    <row r="1926" spans="1:18" hidden="1">
      <c r="A1926" t="s">
        <v>1165</v>
      </c>
      <c r="B1926" t="s">
        <v>145</v>
      </c>
      <c r="C1926" t="str">
        <f>SUBSTITUTE(Table1[[#This Row],[Fuel]],", ",",")</f>
        <v>bioenergy: paper mill wastes,bioenergy: wood &amp; other biomass (solids),fossil gas: natural gas</v>
      </c>
      <c r="D1926" t="s">
        <v>61</v>
      </c>
      <c r="E1926" t="s">
        <v>25</v>
      </c>
      <c r="F1926" t="s">
        <v>69</v>
      </c>
      <c r="G1926">
        <v>46</v>
      </c>
      <c r="H1926" t="s">
        <v>27</v>
      </c>
      <c r="I1926">
        <v>1976</v>
      </c>
      <c r="J1926" t="s">
        <v>21</v>
      </c>
      <c r="K1926">
        <v>44.703499999999998</v>
      </c>
      <c r="L1926">
        <v>-69.647400000000005</v>
      </c>
      <c r="M1926" t="s">
        <v>62</v>
      </c>
      <c r="N1926" s="2">
        <f>Table1[[#This Row],[Capacity (MW)]]*8760*0.72*10^-6</f>
        <v>0.29013119999999998</v>
      </c>
      <c r="O1926" s="2" cm="1">
        <f t="array" ref="O1926">AVERAGE(VLOOKUP(_xlfn.TEXTSPLIT(Table1[[#This Row],[Fuel (no space after comma)]], ","), FuelList_Final_EF!$A$2:$B$32, 2, FALSE))</f>
        <v>82.444811105253905</v>
      </c>
      <c r="P1926" s="2">
        <f>(16112*Table1[[#This Row],[Generation (TWh)]]*10^9)/10^6</f>
        <v>4674593.8943999996</v>
      </c>
      <c r="Q1926" s="2">
        <f>Table1[[#This Row],[Emission Factor (kg CO2/ mmBtu)]]*Table1[[#This Row],[Fuel Consumption (mmBtu)]]*10^3</f>
        <v>385396010617.58118</v>
      </c>
      <c r="R1926" s="2">
        <f>(Table1[[#This Row],[CO2 Emissions (g CO2)]])/(Table1[[#This Row],[Generation (TWh)]]*10^9)</f>
        <v>1328.3507965278507</v>
      </c>
    </row>
    <row r="1927" spans="1:18" hidden="1">
      <c r="A1927" t="s">
        <v>1165</v>
      </c>
      <c r="B1927" t="s">
        <v>145</v>
      </c>
      <c r="C1927" t="str">
        <f>SUBSTITUTE(Table1[[#This Row],[Fuel]],", ",",")</f>
        <v>bioenergy: paper mill wastes,bioenergy: wood &amp; other biomass (solids),fossil gas: natural gas</v>
      </c>
      <c r="D1927" t="s">
        <v>61</v>
      </c>
      <c r="E1927" t="s">
        <v>25</v>
      </c>
      <c r="F1927" t="s">
        <v>69</v>
      </c>
      <c r="G1927">
        <v>61</v>
      </c>
      <c r="H1927" t="s">
        <v>27</v>
      </c>
      <c r="I1927">
        <v>1990</v>
      </c>
      <c r="J1927" t="s">
        <v>21</v>
      </c>
      <c r="K1927">
        <v>44.703499999999998</v>
      </c>
      <c r="L1927">
        <v>-69.647400000000005</v>
      </c>
      <c r="M1927" t="s">
        <v>62</v>
      </c>
      <c r="N1927" s="2">
        <f>Table1[[#This Row],[Capacity (MW)]]*8760*0.72*10^-6</f>
        <v>0.3847392</v>
      </c>
      <c r="O1927" s="2" cm="1">
        <f t="array" ref="O1927">AVERAGE(VLOOKUP(_xlfn.TEXTSPLIT(Table1[[#This Row],[Fuel (no space after comma)]], ","), FuelList_Final_EF!$A$2:$B$32, 2, FALSE))</f>
        <v>82.444811105253905</v>
      </c>
      <c r="P1927" s="2">
        <f>(16112*Table1[[#This Row],[Generation (TWh)]]*10^9)/10^6</f>
        <v>6198917.9903999995</v>
      </c>
      <c r="Q1927" s="2">
        <f>Table1[[#This Row],[Emission Factor (kg CO2/ mmBtu)]]*Table1[[#This Row],[Fuel Consumption (mmBtu)]]*10^3</f>
        <v>511068622775.4881</v>
      </c>
      <c r="R1927" s="2">
        <f>(Table1[[#This Row],[CO2 Emissions (g CO2)]])/(Table1[[#This Row],[Generation (TWh)]]*10^9)</f>
        <v>1328.3507965278509</v>
      </c>
    </row>
    <row r="1928" spans="1:18" hidden="1">
      <c r="A1928" t="s">
        <v>1166</v>
      </c>
      <c r="B1928" t="s">
        <v>19</v>
      </c>
      <c r="C1928" t="str">
        <f>SUBSTITUTE(Table1[[#This Row],[Fuel]],", ",",")</f>
        <v>bioenergy: refuse (municipal and industrial wastes)</v>
      </c>
      <c r="D1928" t="s">
        <v>19</v>
      </c>
      <c r="G1928">
        <v>38</v>
      </c>
      <c r="H1928" t="s">
        <v>27</v>
      </c>
      <c r="I1928">
        <v>2011</v>
      </c>
      <c r="J1928" t="s">
        <v>21</v>
      </c>
      <c r="K1928">
        <v>39.644300000000001</v>
      </c>
      <c r="L1928">
        <v>2.6823999999999999</v>
      </c>
      <c r="M1928" t="s">
        <v>328</v>
      </c>
      <c r="N1928" s="2">
        <f>Table1[[#This Row],[Capacity (MW)]]*8760*0.72*10^-6</f>
        <v>0.23967359999999996</v>
      </c>
      <c r="O1928" s="2" cm="1">
        <f t="array" ref="O1928">AVERAGE(VLOOKUP(_xlfn.TEXTSPLIT(Table1[[#This Row],[Fuel (no space after comma)]], ","), FuelList_Final_EF!$A$2:$B$32, 2, FALSE))</f>
        <v>105.42962572482868</v>
      </c>
      <c r="P1928" s="2">
        <f>(16112*Table1[[#This Row],[Generation (TWh)]]*10^9)/10^6</f>
        <v>3861621.0431999997</v>
      </c>
      <c r="Q1928" s="2">
        <f>Table1[[#This Row],[Emission Factor (kg CO2/ mmBtu)]]*Table1[[#This Row],[Fuel Consumption (mmBtu)]]*10^3</f>
        <v>407129261275.69849</v>
      </c>
      <c r="R1928" s="2">
        <f>(Table1[[#This Row],[CO2 Emissions (g CO2)]])/(Table1[[#This Row],[Generation (TWh)]]*10^9)</f>
        <v>1698.6821296784399</v>
      </c>
    </row>
    <row r="1929" spans="1:18" hidden="1">
      <c r="A1929" t="s">
        <v>1167</v>
      </c>
      <c r="B1929" t="s">
        <v>46</v>
      </c>
      <c r="C1929" t="str">
        <f>SUBSTITUTE(Table1[[#This Row],[Fuel]],", ",",")</f>
        <v>bioenergy: agricultural waste (solids)</v>
      </c>
      <c r="D1929" t="s">
        <v>46</v>
      </c>
      <c r="G1929">
        <v>35</v>
      </c>
      <c r="H1929" t="s">
        <v>27</v>
      </c>
      <c r="I1929">
        <v>1984</v>
      </c>
      <c r="J1929" t="s">
        <v>21</v>
      </c>
      <c r="K1929">
        <v>-17.6173</v>
      </c>
      <c r="L1929">
        <v>-54.761499999999998</v>
      </c>
      <c r="M1929" t="s">
        <v>49</v>
      </c>
      <c r="N1929" s="2">
        <f>Table1[[#This Row],[Capacity (MW)]]*8760*0.72*10^-6</f>
        <v>0.220752</v>
      </c>
      <c r="O1929" s="2" cm="1">
        <f t="array" ref="O1929">AVERAGE(VLOOKUP(_xlfn.TEXTSPLIT(Table1[[#This Row],[Fuel (no space after comma)]], ","), FuelList_Final_EF!$A$2:$B$32, 2, FALSE))</f>
        <v>118.17</v>
      </c>
      <c r="P1929" s="2">
        <f>(16112*Table1[[#This Row],[Generation (TWh)]]*10^9)/10^6</f>
        <v>3556756.2239999999</v>
      </c>
      <c r="Q1929" s="2">
        <f>Table1[[#This Row],[Emission Factor (kg CO2/ mmBtu)]]*Table1[[#This Row],[Fuel Consumption (mmBtu)]]*10^3</f>
        <v>420301882990.08002</v>
      </c>
      <c r="R1929" s="2">
        <f>(Table1[[#This Row],[CO2 Emissions (g CO2)]])/(Table1[[#This Row],[Generation (TWh)]]*10^9)</f>
        <v>1903.9550400000001</v>
      </c>
    </row>
    <row r="1930" spans="1:18" hidden="1">
      <c r="A1930" t="s">
        <v>1168</v>
      </c>
      <c r="B1930" t="s">
        <v>19</v>
      </c>
      <c r="C1930" t="str">
        <f>SUBSTITUTE(Table1[[#This Row],[Fuel]],", ",",")</f>
        <v>bioenergy: refuse (municipal and industrial wastes)</v>
      </c>
      <c r="D1930" t="s">
        <v>19</v>
      </c>
      <c r="G1930">
        <v>95</v>
      </c>
      <c r="H1930" t="s">
        <v>53</v>
      </c>
      <c r="I1930">
        <v>2025</v>
      </c>
      <c r="J1930" t="s">
        <v>21</v>
      </c>
      <c r="K1930">
        <v>53.60078</v>
      </c>
      <c r="L1930">
        <v>-0.14462</v>
      </c>
      <c r="M1930" t="s">
        <v>22</v>
      </c>
      <c r="N1930" s="2">
        <f>Table1[[#This Row],[Capacity (MW)]]*8760*0.72*10^-6</f>
        <v>0.59918399999999994</v>
      </c>
      <c r="O1930" s="2" cm="1">
        <f t="array" ref="O1930">AVERAGE(VLOOKUP(_xlfn.TEXTSPLIT(Table1[[#This Row],[Fuel (no space after comma)]], ","), FuelList_Final_EF!$A$2:$B$32, 2, FALSE))</f>
        <v>105.42962572482868</v>
      </c>
      <c r="P1930" s="2">
        <f>(16112*Table1[[#This Row],[Generation (TWh)]]*10^9)/10^6</f>
        <v>9654052.6079999972</v>
      </c>
      <c r="Q1930" s="2">
        <f>Table1[[#This Row],[Emission Factor (kg CO2/ mmBtu)]]*Table1[[#This Row],[Fuel Consumption (mmBtu)]]*10^3</f>
        <v>1017823153189.246</v>
      </c>
      <c r="R1930" s="2">
        <f>(Table1[[#This Row],[CO2 Emissions (g CO2)]])/(Table1[[#This Row],[Generation (TWh)]]*10^9)</f>
        <v>1698.6821296784397</v>
      </c>
    </row>
    <row r="1931" spans="1:18" hidden="1">
      <c r="A1931" t="s">
        <v>81</v>
      </c>
      <c r="B1931" t="s">
        <v>25</v>
      </c>
      <c r="C1931" t="str">
        <f>SUBSTITUTE(Table1[[#This Row],[Fuel]],", ",",")</f>
        <v>bioenergy: wood &amp; other biomass (solids)</v>
      </c>
      <c r="D1931" t="s">
        <v>25</v>
      </c>
      <c r="G1931">
        <v>71</v>
      </c>
      <c r="H1931" t="s">
        <v>27</v>
      </c>
      <c r="I1931">
        <v>1992</v>
      </c>
      <c r="J1931" t="s">
        <v>21</v>
      </c>
      <c r="K1931">
        <v>36.652186999999998</v>
      </c>
      <c r="L1931">
        <v>-76.994911000000002</v>
      </c>
      <c r="M1931" t="s">
        <v>62</v>
      </c>
      <c r="N1931" s="2">
        <f>Table1[[#This Row],[Capacity (MW)]]*8760*0.72*10^-6</f>
        <v>0.44781119999999996</v>
      </c>
      <c r="O1931" s="2" cm="1">
        <f t="array" ref="O1931">AVERAGE(VLOOKUP(_xlfn.TEXTSPLIT(Table1[[#This Row],[Fuel (no space after comma)]], ","), FuelList_Final_EF!$A$2:$B$32, 2, FALSE))</f>
        <v>93.8</v>
      </c>
      <c r="P1931" s="2">
        <f>(16112*Table1[[#This Row],[Generation (TWh)]]*10^9)/10^6</f>
        <v>7215134.0543999998</v>
      </c>
      <c r="Q1931" s="2">
        <f>Table1[[#This Row],[Emission Factor (kg CO2/ mmBtu)]]*Table1[[#This Row],[Fuel Consumption (mmBtu)]]*10^3</f>
        <v>676779574302.71997</v>
      </c>
      <c r="R1931" s="2">
        <f>(Table1[[#This Row],[CO2 Emissions (g CO2)]])/(Table1[[#This Row],[Generation (TWh)]]*10^9)</f>
        <v>1511.3056000000001</v>
      </c>
    </row>
    <row r="1932" spans="1:18" hidden="1">
      <c r="A1932" t="s">
        <v>54</v>
      </c>
      <c r="B1932" t="s">
        <v>19</v>
      </c>
      <c r="C1932" t="str">
        <f>SUBSTITUTE(Table1[[#This Row],[Fuel]],", ",",")</f>
        <v>bioenergy: refuse (municipal and industrial wastes)</v>
      </c>
      <c r="D1932" t="s">
        <v>19</v>
      </c>
      <c r="G1932">
        <v>35</v>
      </c>
      <c r="H1932" t="s">
        <v>27</v>
      </c>
      <c r="I1932">
        <v>1994</v>
      </c>
      <c r="J1932" t="s">
        <v>21</v>
      </c>
      <c r="K1932">
        <v>51.485900000000001</v>
      </c>
      <c r="L1932">
        <v>-4.5999999999999999E-2</v>
      </c>
      <c r="M1932" t="s">
        <v>22</v>
      </c>
      <c r="N1932" s="2">
        <f>Table1[[#This Row],[Capacity (MW)]]*8760*0.72*10^-6</f>
        <v>0.220752</v>
      </c>
      <c r="O1932" s="2" cm="1">
        <f t="array" ref="O1932">AVERAGE(VLOOKUP(_xlfn.TEXTSPLIT(Table1[[#This Row],[Fuel (no space after comma)]], ","), FuelList_Final_EF!$A$2:$B$32, 2, FALSE))</f>
        <v>105.42962572482868</v>
      </c>
      <c r="P1932" s="2">
        <f>(16112*Table1[[#This Row],[Generation (TWh)]]*10^9)/10^6</f>
        <v>3556756.2239999999</v>
      </c>
      <c r="Q1932" s="2">
        <f>Table1[[#This Row],[Emission Factor (kg CO2/ mmBtu)]]*Table1[[#This Row],[Fuel Consumption (mmBtu)]]*10^3</f>
        <v>374987477490.7749</v>
      </c>
      <c r="R1932" s="2">
        <f>(Table1[[#This Row],[CO2 Emissions (g CO2)]])/(Table1[[#This Row],[Generation (TWh)]]*10^9)</f>
        <v>1698.6821296784397</v>
      </c>
    </row>
    <row r="1933" spans="1:18" hidden="1">
      <c r="A1933" t="s">
        <v>1151</v>
      </c>
      <c r="B1933" t="s">
        <v>25</v>
      </c>
      <c r="C1933" t="str">
        <f>SUBSTITUTE(Table1[[#This Row],[Fuel]],", ",",")</f>
        <v>bioenergy: wood &amp; other biomass (solids)</v>
      </c>
      <c r="D1933" t="s">
        <v>25</v>
      </c>
      <c r="G1933">
        <v>30</v>
      </c>
      <c r="H1933" t="s">
        <v>27</v>
      </c>
      <c r="I1933">
        <v>2015</v>
      </c>
      <c r="J1933" t="s">
        <v>21</v>
      </c>
      <c r="K1933">
        <v>40.472299999999997</v>
      </c>
      <c r="L1933">
        <v>-122.3242</v>
      </c>
      <c r="M1933" t="s">
        <v>62</v>
      </c>
      <c r="N1933" s="2">
        <f>Table1[[#This Row],[Capacity (MW)]]*8760*0.72*10^-6</f>
        <v>0.189216</v>
      </c>
      <c r="O1933" s="2" cm="1">
        <f t="array" ref="O1933">AVERAGE(VLOOKUP(_xlfn.TEXTSPLIT(Table1[[#This Row],[Fuel (no space after comma)]], ","), FuelList_Final_EF!$A$2:$B$32, 2, FALSE))</f>
        <v>93.8</v>
      </c>
      <c r="P1933" s="2">
        <f>(16112*Table1[[#This Row],[Generation (TWh)]]*10^9)/10^6</f>
        <v>3048648.1919999998</v>
      </c>
      <c r="Q1933" s="2">
        <f>Table1[[#This Row],[Emission Factor (kg CO2/ mmBtu)]]*Table1[[#This Row],[Fuel Consumption (mmBtu)]]*10^3</f>
        <v>285963200409.59998</v>
      </c>
      <c r="R1933" s="2">
        <f>(Table1[[#This Row],[CO2 Emissions (g CO2)]])/(Table1[[#This Row],[Generation (TWh)]]*10^9)</f>
        <v>1511.3055999999999</v>
      </c>
    </row>
    <row r="1934" spans="1:18">
      <c r="A1934" t="s">
        <v>21</v>
      </c>
      <c r="B1934" t="s">
        <v>96</v>
      </c>
      <c r="C1934" t="str">
        <f>SUBSTITUTE(Table1[[#This Row],[Fuel]],", ",",")</f>
        <v>bioenergy: unknown</v>
      </c>
      <c r="D1934" t="s">
        <v>96</v>
      </c>
      <c r="G1934">
        <v>37</v>
      </c>
      <c r="H1934" t="s">
        <v>97</v>
      </c>
      <c r="I1934" t="s">
        <v>21</v>
      </c>
      <c r="J1934" t="s">
        <v>21</v>
      </c>
      <c r="K1934">
        <v>35.541400000000003</v>
      </c>
      <c r="L1934">
        <v>133.24449999999999</v>
      </c>
      <c r="M1934" t="s">
        <v>51</v>
      </c>
      <c r="N1934" s="2">
        <f>Table1[[#This Row],[Capacity (MW)]]*8760*0.72*10^-6</f>
        <v>0.23336639999999997</v>
      </c>
      <c r="O1934" s="2" cm="1">
        <f t="array" ref="O1934">AVERAGE(VLOOKUP(_xlfn.TEXTSPLIT(Table1[[#This Row],[Fuel (no space after comma)]], ","), FuelList_Final_EF!$A$2:$B$32, 2, FALSE))</f>
        <v>72.785606017598653</v>
      </c>
      <c r="P1934" s="2">
        <f>(16112*Table1[[#This Row],[Generation (TWh)]]*10^9)/10^6</f>
        <v>3759999.4367999998</v>
      </c>
      <c r="Q1934" s="2">
        <f>Table1[[#This Row],[Emission Factor (kg CO2/ mmBtu)]]*Table1[[#This Row],[Fuel Consumption (mmBtu)]]*10^3</f>
        <v>273673837633.3176</v>
      </c>
      <c r="R1934" s="2">
        <f>(Table1[[#This Row],[CO2 Emissions (g CO2)]])/(Table1[[#This Row],[Generation (TWh)]]*10^9)</f>
        <v>1172.7216841555496</v>
      </c>
    </row>
    <row r="1935" spans="1:18" hidden="1">
      <c r="A1935" t="s">
        <v>225</v>
      </c>
      <c r="B1935" t="s">
        <v>231</v>
      </c>
      <c r="C1935" t="str">
        <f>SUBSTITUTE(Table1[[#This Row],[Fuel]],", ",",")</f>
        <v>bioenergy: paper mill wastes,fossil gas: natural gas</v>
      </c>
      <c r="D1935" t="s">
        <v>61</v>
      </c>
      <c r="E1935" t="s">
        <v>69</v>
      </c>
      <c r="G1935">
        <v>40</v>
      </c>
      <c r="H1935" t="s">
        <v>27</v>
      </c>
      <c r="I1935">
        <v>1976</v>
      </c>
      <c r="J1935" t="s">
        <v>21</v>
      </c>
      <c r="K1935">
        <v>44.056899999999999</v>
      </c>
      <c r="L1935">
        <v>-122.9555</v>
      </c>
      <c r="M1935" t="s">
        <v>62</v>
      </c>
      <c r="N1935" s="2">
        <f>Table1[[#This Row],[Capacity (MW)]]*8760*0.72*10^-6</f>
        <v>0.25228800000000001</v>
      </c>
      <c r="O1935" s="2" cm="1">
        <f t="array" ref="O1935">AVERAGE(VLOOKUP(_xlfn.TEXTSPLIT(Table1[[#This Row],[Fuel (no space after comma)]], ","), FuelList_Final_EF!$A$2:$B$32, 2, FALSE))</f>
        <v>76.767216657880866</v>
      </c>
      <c r="P1935" s="2">
        <f>(16112*Table1[[#This Row],[Generation (TWh)]]*10^9)/10^6</f>
        <v>4064864.2560000005</v>
      </c>
      <c r="Q1935" s="2">
        <f>Table1[[#This Row],[Emission Factor (kg CO2/ mmBtu)]]*Table1[[#This Row],[Fuel Consumption (mmBtu)]]*10^3</f>
        <v>312048315025.22772</v>
      </c>
      <c r="R1935" s="2">
        <f>(Table1[[#This Row],[CO2 Emissions (g CO2)]])/(Table1[[#This Row],[Generation (TWh)]]*10^9)</f>
        <v>1236.8733947917765</v>
      </c>
    </row>
    <row r="1936" spans="1:18" hidden="1">
      <c r="A1936" t="s">
        <v>1169</v>
      </c>
      <c r="B1936" t="s">
        <v>1170</v>
      </c>
      <c r="C1936" t="str">
        <f>SUBSTITUTE(Table1[[#This Row],[Fuel]],", ",",")</f>
        <v>bioenergy: wood &amp; other biomass (solids),bioenergy: agricultural waste (solids),fossil gas: natural gas</v>
      </c>
      <c r="D1936" t="s">
        <v>25</v>
      </c>
      <c r="E1936" t="s">
        <v>46</v>
      </c>
      <c r="F1936" t="s">
        <v>69</v>
      </c>
      <c r="G1936">
        <v>37</v>
      </c>
      <c r="H1936" t="s">
        <v>27</v>
      </c>
      <c r="I1936">
        <v>2003</v>
      </c>
      <c r="J1936" t="s">
        <v>21</v>
      </c>
      <c r="K1936">
        <v>44.942900000000002</v>
      </c>
      <c r="L1936">
        <v>-93.096599999999995</v>
      </c>
      <c r="M1936" t="s">
        <v>62</v>
      </c>
      <c r="N1936" s="2">
        <f>Table1[[#This Row],[Capacity (MW)]]*8760*0.72*10^-6</f>
        <v>0.23336639999999997</v>
      </c>
      <c r="O1936" s="2" cm="1">
        <f t="array" ref="O1936">AVERAGE(VLOOKUP(_xlfn.TEXTSPLIT(Table1[[#This Row],[Fuel (no space after comma)]], ","), FuelList_Final_EF!$A$2:$B$32, 2, FALSE))</f>
        <v>88.34333333333332</v>
      </c>
      <c r="P1936" s="2">
        <f>(16112*Table1[[#This Row],[Generation (TWh)]]*10^9)/10^6</f>
        <v>3759999.4367999998</v>
      </c>
      <c r="Q1936" s="2">
        <f>Table1[[#This Row],[Emission Factor (kg CO2/ mmBtu)]]*Table1[[#This Row],[Fuel Consumption (mmBtu)]]*10^3</f>
        <v>332170883578.36792</v>
      </c>
      <c r="R1936" s="2">
        <f>(Table1[[#This Row],[CO2 Emissions (g CO2)]])/(Table1[[#This Row],[Generation (TWh)]]*10^9)</f>
        <v>1423.3877866666664</v>
      </c>
    </row>
    <row r="1937" spans="1:18" hidden="1">
      <c r="A1937" t="s">
        <v>1033</v>
      </c>
      <c r="B1937" t="s">
        <v>25</v>
      </c>
      <c r="C1937" t="str">
        <f>SUBSTITUTE(Table1[[#This Row],[Fuel]],", ",",")</f>
        <v>bioenergy: wood &amp; other biomass (solids)</v>
      </c>
      <c r="D1937" t="s">
        <v>25</v>
      </c>
      <c r="G1937">
        <v>40</v>
      </c>
      <c r="H1937" t="s">
        <v>27</v>
      </c>
      <c r="I1937">
        <v>2014</v>
      </c>
      <c r="J1937" t="s">
        <v>21</v>
      </c>
      <c r="K1937">
        <v>52.726300000000002</v>
      </c>
      <c r="L1937">
        <v>12.011200000000001</v>
      </c>
      <c r="M1937" t="s">
        <v>154</v>
      </c>
      <c r="N1937" s="2">
        <f>Table1[[#This Row],[Capacity (MW)]]*8760*0.72*10^-6</f>
        <v>0.25228800000000001</v>
      </c>
      <c r="O1937" s="2" cm="1">
        <f t="array" ref="O1937">AVERAGE(VLOOKUP(_xlfn.TEXTSPLIT(Table1[[#This Row],[Fuel (no space after comma)]], ","), FuelList_Final_EF!$A$2:$B$32, 2, FALSE))</f>
        <v>93.8</v>
      </c>
      <c r="P1937" s="2">
        <f>(16112*Table1[[#This Row],[Generation (TWh)]]*10^9)/10^6</f>
        <v>4064864.2560000005</v>
      </c>
      <c r="Q1937" s="2">
        <f>Table1[[#This Row],[Emission Factor (kg CO2/ mmBtu)]]*Table1[[#This Row],[Fuel Consumption (mmBtu)]]*10^3</f>
        <v>381284267212.80005</v>
      </c>
      <c r="R1937" s="2">
        <f>(Table1[[#This Row],[CO2 Emissions (g CO2)]])/(Table1[[#This Row],[Generation (TWh)]]*10^9)</f>
        <v>1511.3056000000001</v>
      </c>
    </row>
    <row r="1938" spans="1:18" hidden="1">
      <c r="A1938" t="s">
        <v>1033</v>
      </c>
      <c r="B1938" t="s">
        <v>25</v>
      </c>
      <c r="C1938" t="str">
        <f>SUBSTITUTE(Table1[[#This Row],[Fuel]],", ",",")</f>
        <v>bioenergy: wood &amp; other biomass (solids)</v>
      </c>
      <c r="D1938" t="s">
        <v>25</v>
      </c>
      <c r="G1938">
        <v>100</v>
      </c>
      <c r="H1938" t="s">
        <v>27</v>
      </c>
      <c r="I1938">
        <v>2004</v>
      </c>
      <c r="J1938" t="s">
        <v>21</v>
      </c>
      <c r="K1938">
        <v>52.726300000000002</v>
      </c>
      <c r="L1938">
        <v>12.011200000000001</v>
      </c>
      <c r="M1938" t="s">
        <v>154</v>
      </c>
      <c r="N1938" s="2">
        <f>Table1[[#This Row],[Capacity (MW)]]*8760*0.72*10^-6</f>
        <v>0.63071999999999995</v>
      </c>
      <c r="O1938" s="2" cm="1">
        <f t="array" ref="O1938">AVERAGE(VLOOKUP(_xlfn.TEXTSPLIT(Table1[[#This Row],[Fuel (no space after comma)]], ","), FuelList_Final_EF!$A$2:$B$32, 2, FALSE))</f>
        <v>93.8</v>
      </c>
      <c r="P1938" s="2">
        <f>(16112*Table1[[#This Row],[Generation (TWh)]]*10^9)/10^6</f>
        <v>10162160.640000001</v>
      </c>
      <c r="Q1938" s="2">
        <f>Table1[[#This Row],[Emission Factor (kg CO2/ mmBtu)]]*Table1[[#This Row],[Fuel Consumption (mmBtu)]]*10^3</f>
        <v>953210668032.00012</v>
      </c>
      <c r="R1938" s="2">
        <f>(Table1[[#This Row],[CO2 Emissions (g CO2)]])/(Table1[[#This Row],[Generation (TWh)]]*10^9)</f>
        <v>1511.3056000000001</v>
      </c>
    </row>
    <row r="1939" spans="1:18" hidden="1">
      <c r="A1939" t="s">
        <v>218</v>
      </c>
      <c r="B1939" t="s">
        <v>25</v>
      </c>
      <c r="C1939" t="str">
        <f>SUBSTITUTE(Table1[[#This Row],[Fuel]],", ",",")</f>
        <v>bioenergy: wood &amp; other biomass (solids)</v>
      </c>
      <c r="D1939" t="s">
        <v>25</v>
      </c>
      <c r="G1939">
        <v>44</v>
      </c>
      <c r="H1939" t="s">
        <v>27</v>
      </c>
      <c r="I1939">
        <v>2008</v>
      </c>
      <c r="J1939" t="s">
        <v>21</v>
      </c>
      <c r="K1939">
        <v>55.152999999999999</v>
      </c>
      <c r="L1939">
        <v>-3.3805999999999998</v>
      </c>
      <c r="M1939" t="s">
        <v>22</v>
      </c>
      <c r="N1939" s="2">
        <f>Table1[[#This Row],[Capacity (MW)]]*8760*0.72*10^-6</f>
        <v>0.27751679999999995</v>
      </c>
      <c r="O1939" s="2" cm="1">
        <f t="array" ref="O1939">AVERAGE(VLOOKUP(_xlfn.TEXTSPLIT(Table1[[#This Row],[Fuel (no space after comma)]], ","), FuelList_Final_EF!$A$2:$B$32, 2, FALSE))</f>
        <v>93.8</v>
      </c>
      <c r="P1939" s="2">
        <f>(16112*Table1[[#This Row],[Generation (TWh)]]*10^9)/10^6</f>
        <v>4471350.6815999988</v>
      </c>
      <c r="Q1939" s="2">
        <f>Table1[[#This Row],[Emission Factor (kg CO2/ mmBtu)]]*Table1[[#This Row],[Fuel Consumption (mmBtu)]]*10^3</f>
        <v>419412693934.0799</v>
      </c>
      <c r="R1939" s="2">
        <f>(Table1[[#This Row],[CO2 Emissions (g CO2)]])/(Table1[[#This Row],[Generation (TWh)]]*10^9)</f>
        <v>1511.3055999999999</v>
      </c>
    </row>
    <row r="1940" spans="1:18" hidden="1">
      <c r="A1940" t="s">
        <v>1171</v>
      </c>
      <c r="B1940" t="s">
        <v>68</v>
      </c>
      <c r="C1940" t="str">
        <f>SUBSTITUTE(Table1[[#This Row],[Fuel]],", ",",")</f>
        <v>bioenergy: wood &amp; other biomass (solids),fossil gas: natural gas</v>
      </c>
      <c r="D1940" t="s">
        <v>25</v>
      </c>
      <c r="E1940" t="s">
        <v>69</v>
      </c>
      <c r="G1940">
        <v>54</v>
      </c>
      <c r="H1940" t="s">
        <v>27</v>
      </c>
      <c r="I1940">
        <v>1987</v>
      </c>
      <c r="J1940" t="s">
        <v>21</v>
      </c>
      <c r="K1940">
        <v>37.912455999999999</v>
      </c>
      <c r="L1940">
        <v>-121.261444</v>
      </c>
      <c r="M1940" t="s">
        <v>62</v>
      </c>
      <c r="N1940" s="2">
        <f>Table1[[#This Row],[Capacity (MW)]]*8760*0.72*10^-6</f>
        <v>0.34058879999999997</v>
      </c>
      <c r="O1940" s="2" cm="1">
        <f t="array" ref="O1940">AVERAGE(VLOOKUP(_xlfn.TEXTSPLIT(Table1[[#This Row],[Fuel (no space after comma)]], ","), FuelList_Final_EF!$A$2:$B$32, 2, FALSE))</f>
        <v>73.430000000000007</v>
      </c>
      <c r="P1940" s="2">
        <f>(16112*Table1[[#This Row],[Generation (TWh)]]*10^9)/10^6</f>
        <v>5487566.7455999991</v>
      </c>
      <c r="Q1940" s="2">
        <f>Table1[[#This Row],[Emission Factor (kg CO2/ mmBtu)]]*Table1[[#This Row],[Fuel Consumption (mmBtu)]]*10^3</f>
        <v>402952026129.40796</v>
      </c>
      <c r="R1940" s="2">
        <f>(Table1[[#This Row],[CO2 Emissions (g CO2)]])/(Table1[[#This Row],[Generation (TWh)]]*10^9)</f>
        <v>1183.1041600000001</v>
      </c>
    </row>
    <row r="1941" spans="1:18" hidden="1">
      <c r="A1941" t="s">
        <v>959</v>
      </c>
      <c r="B1941" t="s">
        <v>19</v>
      </c>
      <c r="C1941" t="str">
        <f>SUBSTITUTE(Table1[[#This Row],[Fuel]],", ",",")</f>
        <v>bioenergy: refuse (municipal and industrial wastes)</v>
      </c>
      <c r="D1941" t="s">
        <v>19</v>
      </c>
      <c r="G1941">
        <v>45</v>
      </c>
      <c r="H1941" t="s">
        <v>27</v>
      </c>
      <c r="I1941">
        <v>2010</v>
      </c>
      <c r="J1941" t="s">
        <v>21</v>
      </c>
      <c r="K1941">
        <v>51.109000000000002</v>
      </c>
      <c r="L1941">
        <v>3.734</v>
      </c>
      <c r="M1941" t="s">
        <v>241</v>
      </c>
      <c r="N1941" s="2">
        <f>Table1[[#This Row],[Capacity (MW)]]*8760*0.72*10^-6</f>
        <v>0.28382399999999997</v>
      </c>
      <c r="O1941" s="2" cm="1">
        <f t="array" ref="O1941">AVERAGE(VLOOKUP(_xlfn.TEXTSPLIT(Table1[[#This Row],[Fuel (no space after comma)]], ","), FuelList_Final_EF!$A$2:$B$32, 2, FALSE))</f>
        <v>105.42962572482868</v>
      </c>
      <c r="P1941" s="2">
        <f>(16112*Table1[[#This Row],[Generation (TWh)]]*10^9)/10^6</f>
        <v>4572972.2879999988</v>
      </c>
      <c r="Q1941" s="2">
        <f>Table1[[#This Row],[Emission Factor (kg CO2/ mmBtu)]]*Table1[[#This Row],[Fuel Consumption (mmBtu)]]*10^3</f>
        <v>482126756773.85333</v>
      </c>
      <c r="R1941" s="2">
        <f>(Table1[[#This Row],[CO2 Emissions (g CO2)]])/(Table1[[#This Row],[Generation (TWh)]]*10^9)</f>
        <v>1698.6821296784397</v>
      </c>
    </row>
    <row r="1942" spans="1:18" hidden="1">
      <c r="A1942" t="s">
        <v>148</v>
      </c>
      <c r="B1942" t="s">
        <v>25</v>
      </c>
      <c r="C1942" t="str">
        <f>SUBSTITUTE(Table1[[#This Row],[Fuel]],", ",",")</f>
        <v>bioenergy: wood &amp; other biomass (solids)</v>
      </c>
      <c r="D1942" t="s">
        <v>25</v>
      </c>
      <c r="G1942">
        <v>362</v>
      </c>
      <c r="H1942" t="s">
        <v>27</v>
      </c>
      <c r="I1942">
        <v>1985</v>
      </c>
      <c r="J1942" t="s">
        <v>21</v>
      </c>
      <c r="K1942">
        <v>56.250196000000003</v>
      </c>
      <c r="L1942">
        <v>10.344861</v>
      </c>
      <c r="M1942" t="s">
        <v>83</v>
      </c>
      <c r="N1942" s="2">
        <f>Table1[[#This Row],[Capacity (MW)]]*8760*0.72*10^-6</f>
        <v>2.2832063999999996</v>
      </c>
      <c r="O1942" s="2" cm="1">
        <f t="array" ref="O1942">AVERAGE(VLOOKUP(_xlfn.TEXTSPLIT(Table1[[#This Row],[Fuel (no space after comma)]], ","), FuelList_Final_EF!$A$2:$B$32, 2, FALSE))</f>
        <v>93.8</v>
      </c>
      <c r="P1942" s="2">
        <f>(16112*Table1[[#This Row],[Generation (TWh)]]*10^9)/10^6</f>
        <v>36787021.516799994</v>
      </c>
      <c r="Q1942" s="2">
        <f>Table1[[#This Row],[Emission Factor (kg CO2/ mmBtu)]]*Table1[[#This Row],[Fuel Consumption (mmBtu)]]*10^3</f>
        <v>3450622618275.8394</v>
      </c>
      <c r="R1942" s="2">
        <f>(Table1[[#This Row],[CO2 Emissions (g CO2)]])/(Table1[[#This Row],[Generation (TWh)]]*10^9)</f>
        <v>1511.3056000000001</v>
      </c>
    </row>
    <row r="1943" spans="1:18" hidden="1">
      <c r="A1943" t="s">
        <v>1172</v>
      </c>
      <c r="B1943" t="s">
        <v>351</v>
      </c>
      <c r="C1943" t="str">
        <f>SUBSTITUTE(Table1[[#This Row],[Fuel]],", ",",")</f>
        <v>bioenergy: refuse (landfill gas)</v>
      </c>
      <c r="D1943" t="s">
        <v>351</v>
      </c>
      <c r="G1943">
        <v>50</v>
      </c>
      <c r="H1943" t="s">
        <v>27</v>
      </c>
      <c r="I1943">
        <v>2007</v>
      </c>
      <c r="J1943" t="s">
        <v>21</v>
      </c>
      <c r="K1943">
        <v>37.576500000000003</v>
      </c>
      <c r="L1943">
        <v>126.66160000000001</v>
      </c>
      <c r="M1943" t="s">
        <v>333</v>
      </c>
      <c r="N1943" s="2">
        <f>Table1[[#This Row],[Capacity (MW)]]*8760*0.72*10^-6</f>
        <v>0.31535999999999997</v>
      </c>
      <c r="O1943" s="2" cm="1">
        <f t="array" ref="O1943">AVERAGE(VLOOKUP(_xlfn.TEXTSPLIT(Table1[[#This Row],[Fuel (no space after comma)]], ","), FuelList_Final_EF!$A$2:$B$32, 2, FALSE))</f>
        <v>52.07</v>
      </c>
      <c r="P1943" s="2">
        <f>(16112*Table1[[#This Row],[Generation (TWh)]]*10^9)/10^6</f>
        <v>5081080.32</v>
      </c>
      <c r="Q1943" s="2">
        <f>Table1[[#This Row],[Emission Factor (kg CO2/ mmBtu)]]*Table1[[#This Row],[Fuel Consumption (mmBtu)]]*10^3</f>
        <v>264571852262.40002</v>
      </c>
      <c r="R1943" s="2">
        <f>(Table1[[#This Row],[CO2 Emissions (g CO2)]])/(Table1[[#This Row],[Generation (TWh)]]*10^9)</f>
        <v>838.95184000000006</v>
      </c>
    </row>
    <row r="1944" spans="1:18">
      <c r="A1944" t="s">
        <v>1173</v>
      </c>
      <c r="B1944" t="s">
        <v>19</v>
      </c>
      <c r="C1944" t="str">
        <f>SUBSTITUTE(Table1[[#This Row],[Fuel]],", ",",")</f>
        <v>bioenergy: refuse (municipal and industrial wastes)</v>
      </c>
      <c r="D1944" t="s">
        <v>19</v>
      </c>
      <c r="G1944">
        <v>35</v>
      </c>
      <c r="H1944" t="s">
        <v>307</v>
      </c>
      <c r="I1944" t="s">
        <v>21</v>
      </c>
      <c r="J1944" t="s">
        <v>21</v>
      </c>
      <c r="K1944">
        <v>-6.1252000000000004</v>
      </c>
      <c r="L1944">
        <v>106.8566</v>
      </c>
      <c r="M1944" t="s">
        <v>44</v>
      </c>
      <c r="N1944" s="2">
        <f>Table1[[#This Row],[Capacity (MW)]]*8760*0.72*10^-6</f>
        <v>0.220752</v>
      </c>
      <c r="O1944" s="2" cm="1">
        <f t="array" ref="O1944">AVERAGE(VLOOKUP(_xlfn.TEXTSPLIT(Table1[[#This Row],[Fuel (no space after comma)]], ","), FuelList_Final_EF!$A$2:$B$32, 2, FALSE))</f>
        <v>105.42962572482868</v>
      </c>
      <c r="P1944" s="2">
        <f>(16112*Table1[[#This Row],[Generation (TWh)]]*10^9)/10^6</f>
        <v>3556756.2239999999</v>
      </c>
      <c r="Q1944" s="2">
        <f>Table1[[#This Row],[Emission Factor (kg CO2/ mmBtu)]]*Table1[[#This Row],[Fuel Consumption (mmBtu)]]*10^3</f>
        <v>374987477490.7749</v>
      </c>
      <c r="R1944" s="2">
        <f>(Table1[[#This Row],[CO2 Emissions (g CO2)]])/(Table1[[#This Row],[Generation (TWh)]]*10^9)</f>
        <v>1698.6821296784397</v>
      </c>
    </row>
    <row r="1945" spans="1:18" hidden="1">
      <c r="A1945" t="s">
        <v>135</v>
      </c>
      <c r="B1945" t="s">
        <v>61</v>
      </c>
      <c r="C1945" t="str">
        <f>SUBSTITUTE(Table1[[#This Row],[Fuel]],", ",",")</f>
        <v>bioenergy: paper mill wastes</v>
      </c>
      <c r="D1945" t="s">
        <v>61</v>
      </c>
      <c r="G1945">
        <v>384</v>
      </c>
      <c r="H1945" t="s">
        <v>53</v>
      </c>
      <c r="I1945">
        <v>2026</v>
      </c>
      <c r="J1945" t="s">
        <v>21</v>
      </c>
      <c r="K1945">
        <v>-20.4755</v>
      </c>
      <c r="L1945">
        <v>-53.675400000000003</v>
      </c>
      <c r="M1945" t="s">
        <v>49</v>
      </c>
      <c r="N1945" s="2">
        <f>Table1[[#This Row],[Capacity (MW)]]*8760*0.72*10^-6</f>
        <v>2.4219647999999996</v>
      </c>
      <c r="O1945" s="2" cm="1">
        <f t="array" ref="O1945">AVERAGE(VLOOKUP(_xlfn.TEXTSPLIT(Table1[[#This Row],[Fuel (no space after comma)]], ","), FuelList_Final_EF!$A$2:$B$32, 2, FALSE))</f>
        <v>100.47443331576173</v>
      </c>
      <c r="P1945" s="2">
        <f>(16112*Table1[[#This Row],[Generation (TWh)]]*10^9)/10^6</f>
        <v>39022696.857599989</v>
      </c>
      <c r="Q1945" s="2">
        <f>Table1[[#This Row],[Emission Factor (kg CO2/ mmBtu)]]*Table1[[#This Row],[Fuel Consumption (mmBtu)]]*10^3</f>
        <v>3920783353220.1147</v>
      </c>
      <c r="R1945" s="2">
        <f>(Table1[[#This Row],[CO2 Emissions (g CO2)]])/(Table1[[#This Row],[Generation (TWh)]]*10^9)</f>
        <v>1618.8440695835527</v>
      </c>
    </row>
    <row r="1946" spans="1:18" hidden="1">
      <c r="A1946" t="s">
        <v>135</v>
      </c>
      <c r="B1946" t="s">
        <v>61</v>
      </c>
      <c r="C1946" t="str">
        <f>SUBSTITUTE(Table1[[#This Row],[Fuel]],", ",",")</f>
        <v>bioenergy: paper mill wastes</v>
      </c>
      <c r="D1946" t="s">
        <v>61</v>
      </c>
      <c r="G1946">
        <v>127</v>
      </c>
      <c r="H1946" t="s">
        <v>27</v>
      </c>
      <c r="I1946">
        <v>2014</v>
      </c>
      <c r="J1946" t="s">
        <v>21</v>
      </c>
      <c r="K1946">
        <v>-5.3357999999999999</v>
      </c>
      <c r="L1946">
        <v>-47.565800000000003</v>
      </c>
      <c r="M1946" t="s">
        <v>49</v>
      </c>
      <c r="N1946" s="2">
        <f>Table1[[#This Row],[Capacity (MW)]]*8760*0.72*10^-6</f>
        <v>0.80101440000000002</v>
      </c>
      <c r="O1946" s="2" cm="1">
        <f t="array" ref="O1946">AVERAGE(VLOOKUP(_xlfn.TEXTSPLIT(Table1[[#This Row],[Fuel (no space after comma)]], ","), FuelList_Final_EF!$A$2:$B$32, 2, FALSE))</f>
        <v>100.47443331576173</v>
      </c>
      <c r="P1946" s="2">
        <f>(16112*Table1[[#This Row],[Generation (TWh)]]*10^9)/10^6</f>
        <v>12905944.012800001</v>
      </c>
      <c r="Q1946" s="2">
        <f>Table1[[#This Row],[Emission Factor (kg CO2/ mmBtu)]]*Table1[[#This Row],[Fuel Consumption (mmBtu)]]*10^3</f>
        <v>1296717411091.0281</v>
      </c>
      <c r="R1946" s="2">
        <f>(Table1[[#This Row],[CO2 Emissions (g CO2)]])/(Table1[[#This Row],[Generation (TWh)]]*10^9)</f>
        <v>1618.8440695835532</v>
      </c>
    </row>
    <row r="1947" spans="1:18" hidden="1">
      <c r="A1947" t="s">
        <v>135</v>
      </c>
      <c r="B1947" t="s">
        <v>61</v>
      </c>
      <c r="C1947" t="str">
        <f>SUBSTITUTE(Table1[[#This Row],[Fuel]],", ",",")</f>
        <v>bioenergy: paper mill wastes</v>
      </c>
      <c r="D1947" t="s">
        <v>61</v>
      </c>
      <c r="G1947">
        <v>128</v>
      </c>
      <c r="H1947" t="s">
        <v>27</v>
      </c>
      <c r="I1947">
        <v>2014</v>
      </c>
      <c r="J1947" t="s">
        <v>21</v>
      </c>
      <c r="K1947">
        <v>-5.3357999999999999</v>
      </c>
      <c r="L1947">
        <v>-47.565800000000003</v>
      </c>
      <c r="M1947" t="s">
        <v>49</v>
      </c>
      <c r="N1947" s="2">
        <f>Table1[[#This Row],[Capacity (MW)]]*8760*0.72*10^-6</f>
        <v>0.80732159999999997</v>
      </c>
      <c r="O1947" s="2" cm="1">
        <f t="array" ref="O1947">AVERAGE(VLOOKUP(_xlfn.TEXTSPLIT(Table1[[#This Row],[Fuel (no space after comma)]], ","), FuelList_Final_EF!$A$2:$B$32, 2, FALSE))</f>
        <v>100.47443331576173</v>
      </c>
      <c r="P1947" s="2">
        <f>(16112*Table1[[#This Row],[Generation (TWh)]]*10^9)/10^6</f>
        <v>13007565.619199999</v>
      </c>
      <c r="Q1947" s="2">
        <f>Table1[[#This Row],[Emission Factor (kg CO2/ mmBtu)]]*Table1[[#This Row],[Fuel Consumption (mmBtu)]]*10^3</f>
        <v>1306927784406.7051</v>
      </c>
      <c r="R1947" s="2">
        <f>(Table1[[#This Row],[CO2 Emissions (g CO2)]])/(Table1[[#This Row],[Generation (TWh)]]*10^9)</f>
        <v>1618.8440695835527</v>
      </c>
    </row>
    <row r="1948" spans="1:18" hidden="1">
      <c r="A1948" t="s">
        <v>135</v>
      </c>
      <c r="B1948" t="s">
        <v>61</v>
      </c>
      <c r="C1948" t="str">
        <f>SUBSTITUTE(Table1[[#This Row],[Fuel]],", ",",")</f>
        <v>bioenergy: paper mill wastes</v>
      </c>
      <c r="D1948" t="s">
        <v>61</v>
      </c>
      <c r="G1948">
        <v>38</v>
      </c>
      <c r="H1948" t="s">
        <v>27</v>
      </c>
      <c r="I1948">
        <v>1992</v>
      </c>
      <c r="J1948" t="s">
        <v>21</v>
      </c>
      <c r="K1948">
        <v>-18.0425</v>
      </c>
      <c r="L1948">
        <v>-39.919699999999999</v>
      </c>
      <c r="M1948" t="s">
        <v>49</v>
      </c>
      <c r="N1948" s="2">
        <f>Table1[[#This Row],[Capacity (MW)]]*8760*0.72*10^-6</f>
        <v>0.23967359999999996</v>
      </c>
      <c r="O1948" s="2" cm="1">
        <f t="array" ref="O1948">AVERAGE(VLOOKUP(_xlfn.TEXTSPLIT(Table1[[#This Row],[Fuel (no space after comma)]], ","), FuelList_Final_EF!$A$2:$B$32, 2, FALSE))</f>
        <v>100.47443331576173</v>
      </c>
      <c r="P1948" s="2">
        <f>(16112*Table1[[#This Row],[Generation (TWh)]]*10^9)/10^6</f>
        <v>3861621.0431999997</v>
      </c>
      <c r="Q1948" s="2">
        <f>Table1[[#This Row],[Emission Factor (kg CO2/ mmBtu)]]*Table1[[#This Row],[Fuel Consumption (mmBtu)]]*10^3</f>
        <v>387994185995.7406</v>
      </c>
      <c r="R1948" s="2">
        <f>(Table1[[#This Row],[CO2 Emissions (g CO2)]])/(Table1[[#This Row],[Generation (TWh)]]*10^9)</f>
        <v>1618.8440695835529</v>
      </c>
    </row>
    <row r="1949" spans="1:18" hidden="1">
      <c r="A1949" t="s">
        <v>135</v>
      </c>
      <c r="B1949" t="s">
        <v>61</v>
      </c>
      <c r="C1949" t="str">
        <f>SUBSTITUTE(Table1[[#This Row],[Fuel]],", ",",")</f>
        <v>bioenergy: paper mill wastes</v>
      </c>
      <c r="D1949" t="s">
        <v>61</v>
      </c>
      <c r="G1949">
        <v>38</v>
      </c>
      <c r="H1949" t="s">
        <v>27</v>
      </c>
      <c r="I1949">
        <v>1992</v>
      </c>
      <c r="J1949" t="s">
        <v>21</v>
      </c>
      <c r="K1949">
        <v>-18.0425</v>
      </c>
      <c r="L1949">
        <v>-39.919699999999999</v>
      </c>
      <c r="M1949" t="s">
        <v>49</v>
      </c>
      <c r="N1949" s="2">
        <f>Table1[[#This Row],[Capacity (MW)]]*8760*0.72*10^-6</f>
        <v>0.23967359999999996</v>
      </c>
      <c r="O1949" s="2" cm="1">
        <f t="array" ref="O1949">AVERAGE(VLOOKUP(_xlfn.TEXTSPLIT(Table1[[#This Row],[Fuel (no space after comma)]], ","), FuelList_Final_EF!$A$2:$B$32, 2, FALSE))</f>
        <v>100.47443331576173</v>
      </c>
      <c r="P1949" s="2">
        <f>(16112*Table1[[#This Row],[Generation (TWh)]]*10^9)/10^6</f>
        <v>3861621.0431999997</v>
      </c>
      <c r="Q1949" s="2">
        <f>Table1[[#This Row],[Emission Factor (kg CO2/ mmBtu)]]*Table1[[#This Row],[Fuel Consumption (mmBtu)]]*10^3</f>
        <v>387994185995.7406</v>
      </c>
      <c r="R1949" s="2">
        <f>(Table1[[#This Row],[CO2 Emissions (g CO2)]])/(Table1[[#This Row],[Generation (TWh)]]*10^9)</f>
        <v>1618.8440695835529</v>
      </c>
    </row>
    <row r="1950" spans="1:18" hidden="1">
      <c r="A1950" t="s">
        <v>135</v>
      </c>
      <c r="B1950" t="s">
        <v>61</v>
      </c>
      <c r="C1950" t="str">
        <f>SUBSTITUTE(Table1[[#This Row],[Fuel]],", ",",")</f>
        <v>bioenergy: paper mill wastes</v>
      </c>
      <c r="D1950" t="s">
        <v>61</v>
      </c>
      <c r="G1950">
        <v>61</v>
      </c>
      <c r="H1950" t="s">
        <v>27</v>
      </c>
      <c r="I1950">
        <v>2014</v>
      </c>
      <c r="J1950" t="s">
        <v>21</v>
      </c>
      <c r="K1950">
        <v>-18.0425</v>
      </c>
      <c r="L1950">
        <v>-39.919699999999999</v>
      </c>
      <c r="M1950" t="s">
        <v>49</v>
      </c>
      <c r="N1950" s="2">
        <f>Table1[[#This Row],[Capacity (MW)]]*8760*0.72*10^-6</f>
        <v>0.3847392</v>
      </c>
      <c r="O1950" s="2" cm="1">
        <f t="array" ref="O1950">AVERAGE(VLOOKUP(_xlfn.TEXTSPLIT(Table1[[#This Row],[Fuel (no space after comma)]], ","), FuelList_Final_EF!$A$2:$B$32, 2, FALSE))</f>
        <v>100.47443331576173</v>
      </c>
      <c r="P1950" s="2">
        <f>(16112*Table1[[#This Row],[Generation (TWh)]]*10^9)/10^6</f>
        <v>6198917.9903999995</v>
      </c>
      <c r="Q1950" s="2">
        <f>Table1[[#This Row],[Emission Factor (kg CO2/ mmBtu)]]*Table1[[#This Row],[Fuel Consumption (mmBtu)]]*10^3</f>
        <v>622832772256.32043</v>
      </c>
      <c r="R1950" s="2">
        <f>(Table1[[#This Row],[CO2 Emissions (g CO2)]])/(Table1[[#This Row],[Generation (TWh)]]*10^9)</f>
        <v>1618.8440695835527</v>
      </c>
    </row>
    <row r="1951" spans="1:18" hidden="1">
      <c r="A1951" t="s">
        <v>135</v>
      </c>
      <c r="B1951" t="s">
        <v>61</v>
      </c>
      <c r="C1951" t="str">
        <f>SUBSTITUTE(Table1[[#This Row],[Fuel]],", ",",")</f>
        <v>bioenergy: paper mill wastes</v>
      </c>
      <c r="D1951" t="s">
        <v>61</v>
      </c>
      <c r="G1951">
        <v>61</v>
      </c>
      <c r="H1951" t="s">
        <v>27</v>
      </c>
      <c r="I1951">
        <v>2014</v>
      </c>
      <c r="J1951" t="s">
        <v>21</v>
      </c>
      <c r="K1951">
        <v>-18.0425</v>
      </c>
      <c r="L1951">
        <v>-39.919699999999999</v>
      </c>
      <c r="M1951" t="s">
        <v>49</v>
      </c>
      <c r="N1951" s="2">
        <f>Table1[[#This Row],[Capacity (MW)]]*8760*0.72*10^-6</f>
        <v>0.3847392</v>
      </c>
      <c r="O1951" s="2" cm="1">
        <f t="array" ref="O1951">AVERAGE(VLOOKUP(_xlfn.TEXTSPLIT(Table1[[#This Row],[Fuel (no space after comma)]], ","), FuelList_Final_EF!$A$2:$B$32, 2, FALSE))</f>
        <v>100.47443331576173</v>
      </c>
      <c r="P1951" s="2">
        <f>(16112*Table1[[#This Row],[Generation (TWh)]]*10^9)/10^6</f>
        <v>6198917.9903999995</v>
      </c>
      <c r="Q1951" s="2">
        <f>Table1[[#This Row],[Emission Factor (kg CO2/ mmBtu)]]*Table1[[#This Row],[Fuel Consumption (mmBtu)]]*10^3</f>
        <v>622832772256.32043</v>
      </c>
      <c r="R1951" s="2">
        <f>(Table1[[#This Row],[CO2 Emissions (g CO2)]])/(Table1[[#This Row],[Generation (TWh)]]*10^9)</f>
        <v>1618.8440695835527</v>
      </c>
    </row>
    <row r="1952" spans="1:18" hidden="1">
      <c r="A1952" t="s">
        <v>1174</v>
      </c>
      <c r="B1952" t="s">
        <v>32</v>
      </c>
      <c r="C1952" t="str">
        <f>SUBSTITUTE(Table1[[#This Row],[Fuel]],", ",",")</f>
        <v>bioenergy: wood &amp; other biomass (solids),fossil liquids: waste/other oil</v>
      </c>
      <c r="D1952" t="s">
        <v>25</v>
      </c>
      <c r="E1952" t="s">
        <v>33</v>
      </c>
      <c r="G1952">
        <v>84</v>
      </c>
      <c r="H1952" t="s">
        <v>27</v>
      </c>
      <c r="I1952">
        <v>2016</v>
      </c>
      <c r="J1952" t="s">
        <v>21</v>
      </c>
      <c r="K1952">
        <v>35.143303000000003</v>
      </c>
      <c r="L1952">
        <v>138.71427399999999</v>
      </c>
      <c r="M1952" t="s">
        <v>51</v>
      </c>
      <c r="N1952" s="2">
        <f>Table1[[#This Row],[Capacity (MW)]]*8760*0.72*10^-6</f>
        <v>0.52980479999999985</v>
      </c>
      <c r="O1952" s="2" cm="1">
        <f t="array" ref="O1952">AVERAGE(VLOOKUP(_xlfn.TEXTSPLIT(Table1[[#This Row],[Fuel (no space after comma)]], ","), FuelList_Final_EF!$A$2:$B$32, 2, FALSE))</f>
        <v>85.53995782814971</v>
      </c>
      <c r="P1952" s="2">
        <f>(16112*Table1[[#This Row],[Generation (TWh)]]*10^9)/10^6</f>
        <v>8536214.937599998</v>
      </c>
      <c r="Q1952" s="2">
        <f>Table1[[#This Row],[Emission Factor (kg CO2/ mmBtu)]]*Table1[[#This Row],[Fuel Consumption (mmBtu)]]*10^3</f>
        <v>730187465774.32544</v>
      </c>
      <c r="R1952" s="2">
        <f>(Table1[[#This Row],[CO2 Emissions (g CO2)]])/(Table1[[#This Row],[Generation (TWh)]]*10^9)</f>
        <v>1378.2198005271482</v>
      </c>
    </row>
    <row r="1953" spans="1:18" hidden="1">
      <c r="A1953" t="s">
        <v>56</v>
      </c>
      <c r="B1953" t="s">
        <v>19</v>
      </c>
      <c r="C1953" t="str">
        <f>SUBSTITUTE(Table1[[#This Row],[Fuel]],", ",",")</f>
        <v>bioenergy: refuse (municipal and industrial wastes)</v>
      </c>
      <c r="D1953" t="s">
        <v>19</v>
      </c>
      <c r="G1953">
        <v>70</v>
      </c>
      <c r="H1953" t="s">
        <v>27</v>
      </c>
      <c r="I1953">
        <v>2024</v>
      </c>
      <c r="J1953" t="s">
        <v>21</v>
      </c>
      <c r="K1953">
        <v>55.235457500000003</v>
      </c>
      <c r="L1953">
        <v>38.486820399999999</v>
      </c>
      <c r="M1953" t="s">
        <v>57</v>
      </c>
      <c r="N1953" s="2">
        <f>Table1[[#This Row],[Capacity (MW)]]*8760*0.72*10^-6</f>
        <v>0.44150400000000001</v>
      </c>
      <c r="O1953" s="2" cm="1">
        <f t="array" ref="O1953">AVERAGE(VLOOKUP(_xlfn.TEXTSPLIT(Table1[[#This Row],[Fuel (no space after comma)]], ","), FuelList_Final_EF!$A$2:$B$32, 2, FALSE))</f>
        <v>105.42962572482868</v>
      </c>
      <c r="P1953" s="2">
        <f>(16112*Table1[[#This Row],[Generation (TWh)]]*10^9)/10^6</f>
        <v>7113512.4479999999</v>
      </c>
      <c r="Q1953" s="2">
        <f>Table1[[#This Row],[Emission Factor (kg CO2/ mmBtu)]]*Table1[[#This Row],[Fuel Consumption (mmBtu)]]*10^3</f>
        <v>749974954981.5498</v>
      </c>
      <c r="R1953" s="2">
        <f>(Table1[[#This Row],[CO2 Emissions (g CO2)]])/(Table1[[#This Row],[Generation (TWh)]]*10^9)</f>
        <v>1698.6821296784397</v>
      </c>
    </row>
    <row r="1954" spans="1:18" hidden="1">
      <c r="A1954" t="s">
        <v>1175</v>
      </c>
      <c r="B1954" t="s">
        <v>60</v>
      </c>
      <c r="C1954" t="str">
        <f>SUBSTITUTE(Table1[[#This Row],[Fuel]],", ",",")</f>
        <v>bioenergy: paper mill wastes,bioenergy: wood &amp; other biomass (solids)</v>
      </c>
      <c r="D1954" t="s">
        <v>61</v>
      </c>
      <c r="E1954" t="s">
        <v>25</v>
      </c>
      <c r="G1954">
        <v>88</v>
      </c>
      <c r="H1954" t="s">
        <v>27</v>
      </c>
      <c r="I1954">
        <v>2015</v>
      </c>
      <c r="J1954" t="s">
        <v>21</v>
      </c>
      <c r="K1954">
        <v>53.393628999999997</v>
      </c>
      <c r="L1954">
        <v>18.374224000000002</v>
      </c>
      <c r="M1954" t="s">
        <v>196</v>
      </c>
      <c r="N1954" s="2">
        <f>Table1[[#This Row],[Capacity (MW)]]*8760*0.72*10^-6</f>
        <v>0.5550335999999999</v>
      </c>
      <c r="O1954" s="2" cm="1">
        <f t="array" ref="O1954">AVERAGE(VLOOKUP(_xlfn.TEXTSPLIT(Table1[[#This Row],[Fuel (no space after comma)]], ","), FuelList_Final_EF!$A$2:$B$32, 2, FALSE))</f>
        <v>97.137216657880856</v>
      </c>
      <c r="P1954" s="2">
        <f>(16112*Table1[[#This Row],[Generation (TWh)]]*10^9)/10^6</f>
        <v>8942701.3631999977</v>
      </c>
      <c r="Q1954" s="2">
        <f>Table1[[#This Row],[Emission Factor (kg CO2/ mmBtu)]]*Table1[[#This Row],[Fuel Consumption (mmBtu)]]*10^3</f>
        <v>868669119823.88464</v>
      </c>
      <c r="R1954" s="2">
        <f>(Table1[[#This Row],[CO2 Emissions (g CO2)]])/(Table1[[#This Row],[Generation (TWh)]]*10^9)</f>
        <v>1565.0748347917763</v>
      </c>
    </row>
    <row r="1955" spans="1:18" hidden="1">
      <c r="A1955" t="s">
        <v>1176</v>
      </c>
      <c r="B1955" t="s">
        <v>25</v>
      </c>
      <c r="C1955" t="str">
        <f>SUBSTITUTE(Table1[[#This Row],[Fuel]],", ",",")</f>
        <v>bioenergy: wood &amp; other biomass (solids)</v>
      </c>
      <c r="D1955" t="s">
        <v>25</v>
      </c>
      <c r="G1955">
        <v>84</v>
      </c>
      <c r="H1955" t="s">
        <v>27</v>
      </c>
      <c r="I1955">
        <v>2020</v>
      </c>
      <c r="J1955" t="s">
        <v>21</v>
      </c>
      <c r="K1955">
        <v>61.818272</v>
      </c>
      <c r="L1955">
        <v>50.726258999999999</v>
      </c>
      <c r="M1955" t="s">
        <v>57</v>
      </c>
      <c r="N1955" s="2">
        <f>Table1[[#This Row],[Capacity (MW)]]*8760*0.72*10^-6</f>
        <v>0.52980479999999985</v>
      </c>
      <c r="O1955" s="2" cm="1">
        <f t="array" ref="O1955">AVERAGE(VLOOKUP(_xlfn.TEXTSPLIT(Table1[[#This Row],[Fuel (no space after comma)]], ","), FuelList_Final_EF!$A$2:$B$32, 2, FALSE))</f>
        <v>93.8</v>
      </c>
      <c r="P1955" s="2">
        <f>(16112*Table1[[#This Row],[Generation (TWh)]]*10^9)/10^6</f>
        <v>8536214.937599998</v>
      </c>
      <c r="Q1955" s="2">
        <f>Table1[[#This Row],[Emission Factor (kg CO2/ mmBtu)]]*Table1[[#This Row],[Fuel Consumption (mmBtu)]]*10^3</f>
        <v>800696961146.87976</v>
      </c>
      <c r="R1955" s="2">
        <f>(Table1[[#This Row],[CO2 Emissions (g CO2)]])/(Table1[[#This Row],[Generation (TWh)]]*10^9)</f>
        <v>1511.3055999999999</v>
      </c>
    </row>
    <row r="1956" spans="1:18" hidden="1">
      <c r="A1956" t="s">
        <v>1177</v>
      </c>
      <c r="B1956" t="s">
        <v>25</v>
      </c>
      <c r="C1956" t="str">
        <f>SUBSTITUTE(Table1[[#This Row],[Fuel]],", ",",")</f>
        <v>bioenergy: wood &amp; other biomass (solids)</v>
      </c>
      <c r="D1956" t="s">
        <v>25</v>
      </c>
      <c r="G1956">
        <v>30</v>
      </c>
      <c r="H1956" t="s">
        <v>27</v>
      </c>
      <c r="I1956">
        <v>2010</v>
      </c>
      <c r="J1956" t="s">
        <v>21</v>
      </c>
      <c r="K1956">
        <v>-12.9937</v>
      </c>
      <c r="L1956">
        <v>-45.508299999999998</v>
      </c>
      <c r="M1956" t="s">
        <v>49</v>
      </c>
      <c r="N1956" s="2">
        <f>Table1[[#This Row],[Capacity (MW)]]*8760*0.72*10^-6</f>
        <v>0.189216</v>
      </c>
      <c r="O1956" s="2" cm="1">
        <f t="array" ref="O1956">AVERAGE(VLOOKUP(_xlfn.TEXTSPLIT(Table1[[#This Row],[Fuel (no space after comma)]], ","), FuelList_Final_EF!$A$2:$B$32, 2, FALSE))</f>
        <v>93.8</v>
      </c>
      <c r="P1956" s="2">
        <f>(16112*Table1[[#This Row],[Generation (TWh)]]*10^9)/10^6</f>
        <v>3048648.1919999998</v>
      </c>
      <c r="Q1956" s="2">
        <f>Table1[[#This Row],[Emission Factor (kg CO2/ mmBtu)]]*Table1[[#This Row],[Fuel Consumption (mmBtu)]]*10^3</f>
        <v>285963200409.59998</v>
      </c>
      <c r="R1956" s="2">
        <f>(Table1[[#This Row],[CO2 Emissions (g CO2)]])/(Table1[[#This Row],[Generation (TWh)]]*10^9)</f>
        <v>1511.3055999999999</v>
      </c>
    </row>
    <row r="1957" spans="1:18" hidden="1">
      <c r="A1957" t="s">
        <v>1178</v>
      </c>
      <c r="B1957" t="s">
        <v>25</v>
      </c>
      <c r="C1957" t="str">
        <f>SUBSTITUTE(Table1[[#This Row],[Fuel]],", ",",")</f>
        <v>bioenergy: wood &amp; other biomass (solids)</v>
      </c>
      <c r="D1957" t="s">
        <v>25</v>
      </c>
      <c r="G1957">
        <v>68</v>
      </c>
      <c r="H1957" t="s">
        <v>27</v>
      </c>
      <c r="I1957">
        <v>2011</v>
      </c>
      <c r="J1957" t="s">
        <v>21</v>
      </c>
      <c r="K1957">
        <v>53.411270999999999</v>
      </c>
      <c r="L1957">
        <v>14.585981</v>
      </c>
      <c r="M1957" t="s">
        <v>196</v>
      </c>
      <c r="N1957" s="2">
        <f>Table1[[#This Row],[Capacity (MW)]]*8760*0.72*10^-6</f>
        <v>0.42888959999999998</v>
      </c>
      <c r="O1957" s="2" cm="1">
        <f t="array" ref="O1957">AVERAGE(VLOOKUP(_xlfn.TEXTSPLIT(Table1[[#This Row],[Fuel (no space after comma)]], ","), FuelList_Final_EF!$A$2:$B$32, 2, FALSE))</f>
        <v>93.8</v>
      </c>
      <c r="P1957" s="2">
        <f>(16112*Table1[[#This Row],[Generation (TWh)]]*10^9)/10^6</f>
        <v>6910269.2351999991</v>
      </c>
      <c r="Q1957" s="2">
        <f>Table1[[#This Row],[Emission Factor (kg CO2/ mmBtu)]]*Table1[[#This Row],[Fuel Consumption (mmBtu)]]*10^3</f>
        <v>648183254261.75989</v>
      </c>
      <c r="R1957" s="2">
        <f>(Table1[[#This Row],[CO2 Emissions (g CO2)]])/(Table1[[#This Row],[Generation (TWh)]]*10^9)</f>
        <v>1511.3055999999997</v>
      </c>
    </row>
    <row r="1958" spans="1:18" hidden="1">
      <c r="A1958" t="s">
        <v>21</v>
      </c>
      <c r="B1958" t="s">
        <v>96</v>
      </c>
      <c r="C1958" t="str">
        <f>SUBSTITUTE(Table1[[#This Row],[Fuel]],", ",",")</f>
        <v>bioenergy: unknown</v>
      </c>
      <c r="D1958" t="s">
        <v>96</v>
      </c>
      <c r="G1958">
        <v>50</v>
      </c>
      <c r="H1958" t="s">
        <v>27</v>
      </c>
      <c r="I1958">
        <v>2013</v>
      </c>
      <c r="J1958" t="s">
        <v>21</v>
      </c>
      <c r="K1958">
        <v>35.147799999999997</v>
      </c>
      <c r="L1958">
        <v>138.66980000000001</v>
      </c>
      <c r="M1958" t="s">
        <v>51</v>
      </c>
      <c r="N1958" s="2">
        <f>Table1[[#This Row],[Capacity (MW)]]*8760*0.72*10^-6</f>
        <v>0.31535999999999997</v>
      </c>
      <c r="O1958" s="2" cm="1">
        <f t="array" ref="O1958">AVERAGE(VLOOKUP(_xlfn.TEXTSPLIT(Table1[[#This Row],[Fuel (no space after comma)]], ","), FuelList_Final_EF!$A$2:$B$32, 2, FALSE))</f>
        <v>72.785606017598653</v>
      </c>
      <c r="P1958" s="2">
        <f>(16112*Table1[[#This Row],[Generation (TWh)]]*10^9)/10^6</f>
        <v>5081080.32</v>
      </c>
      <c r="Q1958" s="2">
        <f>Table1[[#This Row],[Emission Factor (kg CO2/ mmBtu)]]*Table1[[#This Row],[Fuel Consumption (mmBtu)]]*10^3</f>
        <v>369829510315.29407</v>
      </c>
      <c r="R1958" s="2">
        <f>(Table1[[#This Row],[CO2 Emissions (g CO2)]])/(Table1[[#This Row],[Generation (TWh)]]*10^9)</f>
        <v>1172.7216841555494</v>
      </c>
    </row>
    <row r="1959" spans="1:18" hidden="1">
      <c r="A1959" t="s">
        <v>1179</v>
      </c>
      <c r="B1959" t="s">
        <v>19</v>
      </c>
      <c r="C1959" t="str">
        <f>SUBSTITUTE(Table1[[#This Row],[Fuel]],", ",",")</f>
        <v>bioenergy: refuse (municipal and industrial wastes)</v>
      </c>
      <c r="D1959" t="s">
        <v>19</v>
      </c>
      <c r="G1959">
        <v>60</v>
      </c>
      <c r="H1959" t="s">
        <v>97</v>
      </c>
      <c r="I1959">
        <v>2027</v>
      </c>
      <c r="J1959" t="s">
        <v>21</v>
      </c>
      <c r="K1959">
        <v>24.139099999999999</v>
      </c>
      <c r="L1959">
        <v>55.812100000000001</v>
      </c>
      <c r="M1959" t="s">
        <v>58</v>
      </c>
      <c r="N1959" s="2">
        <f>Table1[[#This Row],[Capacity (MW)]]*8760*0.72*10^-6</f>
        <v>0.37843199999999999</v>
      </c>
      <c r="O1959" s="2" cm="1">
        <f t="array" ref="O1959">AVERAGE(VLOOKUP(_xlfn.TEXTSPLIT(Table1[[#This Row],[Fuel (no space after comma)]], ","), FuelList_Final_EF!$A$2:$B$32, 2, FALSE))</f>
        <v>105.42962572482868</v>
      </c>
      <c r="P1959" s="2">
        <f>(16112*Table1[[#This Row],[Generation (TWh)]]*10^9)/10^6</f>
        <v>6097296.3839999996</v>
      </c>
      <c r="Q1959" s="2">
        <f>Table1[[#This Row],[Emission Factor (kg CO2/ mmBtu)]]*Table1[[#This Row],[Fuel Consumption (mmBtu)]]*10^3</f>
        <v>642835675698.47131</v>
      </c>
      <c r="R1959" s="2">
        <f>(Table1[[#This Row],[CO2 Emissions (g CO2)]])/(Table1[[#This Row],[Generation (TWh)]]*10^9)</f>
        <v>1698.6821296784397</v>
      </c>
    </row>
    <row r="1960" spans="1:18" hidden="1">
      <c r="A1960" t="s">
        <v>1180</v>
      </c>
      <c r="B1960" t="s">
        <v>25</v>
      </c>
      <c r="C1960" t="str">
        <f>SUBSTITUTE(Table1[[#This Row],[Fuel]],", ",",")</f>
        <v>bioenergy: wood &amp; other biomass (solids)</v>
      </c>
      <c r="D1960" t="s">
        <v>25</v>
      </c>
      <c r="G1960">
        <v>50</v>
      </c>
      <c r="H1960" t="s">
        <v>53</v>
      </c>
      <c r="I1960">
        <v>2025</v>
      </c>
      <c r="J1960" t="s">
        <v>21</v>
      </c>
      <c r="K1960">
        <v>34.694000000000003</v>
      </c>
      <c r="L1960">
        <v>137.2449</v>
      </c>
      <c r="M1960" t="s">
        <v>51</v>
      </c>
      <c r="N1960" s="2">
        <f>Table1[[#This Row],[Capacity (MW)]]*8760*0.72*10^-6</f>
        <v>0.31535999999999997</v>
      </c>
      <c r="O1960" s="2" cm="1">
        <f t="array" ref="O1960">AVERAGE(VLOOKUP(_xlfn.TEXTSPLIT(Table1[[#This Row],[Fuel (no space after comma)]], ","), FuelList_Final_EF!$A$2:$B$32, 2, FALSE))</f>
        <v>93.8</v>
      </c>
      <c r="P1960" s="2">
        <f>(16112*Table1[[#This Row],[Generation (TWh)]]*10^9)/10^6</f>
        <v>5081080.32</v>
      </c>
      <c r="Q1960" s="2">
        <f>Table1[[#This Row],[Emission Factor (kg CO2/ mmBtu)]]*Table1[[#This Row],[Fuel Consumption (mmBtu)]]*10^3</f>
        <v>476605334016.00006</v>
      </c>
      <c r="R1960" s="2">
        <f>(Table1[[#This Row],[CO2 Emissions (g CO2)]])/(Table1[[#This Row],[Generation (TWh)]]*10^9)</f>
        <v>1511.3056000000001</v>
      </c>
    </row>
    <row r="1961" spans="1:18" hidden="1">
      <c r="A1961" t="s">
        <v>1181</v>
      </c>
      <c r="B1961" t="s">
        <v>25</v>
      </c>
      <c r="C1961" t="str">
        <f>SUBSTITUTE(Table1[[#This Row],[Fuel]],", ",",")</f>
        <v>bioenergy: wood &amp; other biomass (solids)</v>
      </c>
      <c r="D1961" t="s">
        <v>25</v>
      </c>
      <c r="G1961">
        <v>50</v>
      </c>
      <c r="H1961" t="s">
        <v>53</v>
      </c>
      <c r="I1961">
        <v>2025</v>
      </c>
      <c r="J1961" t="s">
        <v>21</v>
      </c>
      <c r="K1961">
        <v>34.697000000000003</v>
      </c>
      <c r="L1961">
        <v>137.2467</v>
      </c>
      <c r="M1961" t="s">
        <v>51</v>
      </c>
      <c r="N1961" s="2">
        <f>Table1[[#This Row],[Capacity (MW)]]*8760*0.72*10^-6</f>
        <v>0.31535999999999997</v>
      </c>
      <c r="O1961" s="2" cm="1">
        <f t="array" ref="O1961">AVERAGE(VLOOKUP(_xlfn.TEXTSPLIT(Table1[[#This Row],[Fuel (no space after comma)]], ","), FuelList_Final_EF!$A$2:$B$32, 2, FALSE))</f>
        <v>93.8</v>
      </c>
      <c r="P1961" s="2">
        <f>(16112*Table1[[#This Row],[Generation (TWh)]]*10^9)/10^6</f>
        <v>5081080.32</v>
      </c>
      <c r="Q1961" s="2">
        <f>Table1[[#This Row],[Emission Factor (kg CO2/ mmBtu)]]*Table1[[#This Row],[Fuel Consumption (mmBtu)]]*10^3</f>
        <v>476605334016.00006</v>
      </c>
      <c r="R1961" s="2">
        <f>(Table1[[#This Row],[CO2 Emissions (g CO2)]])/(Table1[[#This Row],[Generation (TWh)]]*10^9)</f>
        <v>1511.3056000000001</v>
      </c>
    </row>
    <row r="1962" spans="1:18" hidden="1">
      <c r="A1962" t="s">
        <v>1180</v>
      </c>
      <c r="B1962" t="s">
        <v>25</v>
      </c>
      <c r="C1962" t="str">
        <f>SUBSTITUTE(Table1[[#This Row],[Fuel]],", ",",")</f>
        <v>bioenergy: wood &amp; other biomass (solids)</v>
      </c>
      <c r="D1962" t="s">
        <v>25</v>
      </c>
      <c r="G1962">
        <v>112</v>
      </c>
      <c r="H1962" t="s">
        <v>53</v>
      </c>
      <c r="I1962">
        <v>2025</v>
      </c>
      <c r="J1962" t="s">
        <v>21</v>
      </c>
      <c r="K1962">
        <v>34.707099999999997</v>
      </c>
      <c r="L1962">
        <v>137.2687</v>
      </c>
      <c r="M1962" t="s">
        <v>51</v>
      </c>
      <c r="N1962" s="2">
        <f>Table1[[#This Row],[Capacity (MW)]]*8760*0.72*10^-6</f>
        <v>0.70640639999999999</v>
      </c>
      <c r="O1962" s="2" cm="1">
        <f t="array" ref="O1962">AVERAGE(VLOOKUP(_xlfn.TEXTSPLIT(Table1[[#This Row],[Fuel (no space after comma)]], ","), FuelList_Final_EF!$A$2:$B$32, 2, FALSE))</f>
        <v>93.8</v>
      </c>
      <c r="P1962" s="2">
        <f>(16112*Table1[[#This Row],[Generation (TWh)]]*10^9)/10^6</f>
        <v>11381619.9168</v>
      </c>
      <c r="Q1962" s="2">
        <f>Table1[[#This Row],[Emission Factor (kg CO2/ mmBtu)]]*Table1[[#This Row],[Fuel Consumption (mmBtu)]]*10^3</f>
        <v>1067595948195.84</v>
      </c>
      <c r="R1962" s="2">
        <f>(Table1[[#This Row],[CO2 Emissions (g CO2)]])/(Table1[[#This Row],[Generation (TWh)]]*10^9)</f>
        <v>1511.3055999999999</v>
      </c>
    </row>
    <row r="1963" spans="1:18">
      <c r="A1963" t="s">
        <v>465</v>
      </c>
      <c r="B1963" t="s">
        <v>466</v>
      </c>
      <c r="C1963" t="str">
        <f>SUBSTITUTE(Table1[[#This Row],[Fuel]],", ",",")</f>
        <v>bioenergy: paper mill wastes,bioenergy: wastewater and sewage sludge (solids or biogas)</v>
      </c>
      <c r="D1963" t="s">
        <v>61</v>
      </c>
      <c r="E1963" t="s">
        <v>42</v>
      </c>
      <c r="G1963">
        <v>50</v>
      </c>
      <c r="H1963" t="s">
        <v>27</v>
      </c>
      <c r="I1963" t="s">
        <v>21</v>
      </c>
      <c r="J1963" t="s">
        <v>21</v>
      </c>
      <c r="K1963">
        <v>35.545299999999997</v>
      </c>
      <c r="L1963">
        <v>116.8021</v>
      </c>
      <c r="M1963" t="s">
        <v>102</v>
      </c>
      <c r="N1963" s="2">
        <f>Table1[[#This Row],[Capacity (MW)]]*8760*0.72*10^-6</f>
        <v>0.31535999999999997</v>
      </c>
      <c r="O1963" s="2" cm="1">
        <f t="array" ref="O1963">AVERAGE(VLOOKUP(_xlfn.TEXTSPLIT(Table1[[#This Row],[Fuel (no space after comma)]], ","), FuelList_Final_EF!$A$2:$B$32, 2, FALSE))</f>
        <v>79.019504480759096</v>
      </c>
      <c r="P1963" s="2">
        <f>(16112*Table1[[#This Row],[Generation (TWh)]]*10^9)/10^6</f>
        <v>5081080.32</v>
      </c>
      <c r="Q1963" s="2">
        <f>Table1[[#This Row],[Emission Factor (kg CO2/ mmBtu)]]*Table1[[#This Row],[Fuel Consumption (mmBtu)]]*10^3</f>
        <v>401504449113.33685</v>
      </c>
      <c r="R1963" s="2">
        <f>(Table1[[#This Row],[CO2 Emissions (g CO2)]])/(Table1[[#This Row],[Generation (TWh)]]*10^9)</f>
        <v>1273.1622561939905</v>
      </c>
    </row>
    <row r="1964" spans="1:18">
      <c r="A1964" t="s">
        <v>1182</v>
      </c>
      <c r="B1964" t="s">
        <v>46</v>
      </c>
      <c r="C1964" t="str">
        <f>SUBSTITUTE(Table1[[#This Row],[Fuel]],", ",",")</f>
        <v>bioenergy: agricultural waste (solids)</v>
      </c>
      <c r="D1964" t="s">
        <v>46</v>
      </c>
      <c r="G1964">
        <v>74</v>
      </c>
      <c r="H1964" t="s">
        <v>97</v>
      </c>
      <c r="I1964" t="s">
        <v>21</v>
      </c>
      <c r="J1964" t="s">
        <v>21</v>
      </c>
      <c r="K1964">
        <v>22.7286</v>
      </c>
      <c r="L1964">
        <v>-98.981899999999996</v>
      </c>
      <c r="M1964" t="s">
        <v>695</v>
      </c>
      <c r="N1964" s="2">
        <f>Table1[[#This Row],[Capacity (MW)]]*8760*0.72*10^-6</f>
        <v>0.46673279999999995</v>
      </c>
      <c r="O1964" s="2" cm="1">
        <f t="array" ref="O1964">AVERAGE(VLOOKUP(_xlfn.TEXTSPLIT(Table1[[#This Row],[Fuel (no space after comma)]], ","), FuelList_Final_EF!$A$2:$B$32, 2, FALSE))</f>
        <v>118.17</v>
      </c>
      <c r="P1964" s="2">
        <f>(16112*Table1[[#This Row],[Generation (TWh)]]*10^9)/10^6</f>
        <v>7519998.8735999996</v>
      </c>
      <c r="Q1964" s="2">
        <f>Table1[[#This Row],[Emission Factor (kg CO2/ mmBtu)]]*Table1[[#This Row],[Fuel Consumption (mmBtu)]]*10^3</f>
        <v>888638266893.31201</v>
      </c>
      <c r="R1964" s="2">
        <f>(Table1[[#This Row],[CO2 Emissions (g CO2)]])/(Table1[[#This Row],[Generation (TWh)]]*10^9)</f>
        <v>1903.9550400000003</v>
      </c>
    </row>
    <row r="1965" spans="1:18" hidden="1">
      <c r="A1965" t="s">
        <v>21</v>
      </c>
      <c r="B1965" t="s">
        <v>46</v>
      </c>
      <c r="C1965" t="str">
        <f>SUBSTITUTE(Table1[[#This Row],[Fuel]],", ",",")</f>
        <v>bioenergy: agricultural waste (solids)</v>
      </c>
      <c r="D1965" t="s">
        <v>46</v>
      </c>
      <c r="G1965">
        <v>45</v>
      </c>
      <c r="H1965" t="s">
        <v>27</v>
      </c>
      <c r="I1965">
        <v>2021</v>
      </c>
      <c r="J1965" t="s">
        <v>21</v>
      </c>
      <c r="K1965">
        <v>11.5655</v>
      </c>
      <c r="L1965">
        <v>36.460999999999999</v>
      </c>
      <c r="M1965" t="s">
        <v>391</v>
      </c>
      <c r="N1965" s="2">
        <f>Table1[[#This Row],[Capacity (MW)]]*8760*0.72*10^-6</f>
        <v>0.28382399999999997</v>
      </c>
      <c r="O1965" s="2" cm="1">
        <f t="array" ref="O1965">AVERAGE(VLOOKUP(_xlfn.TEXTSPLIT(Table1[[#This Row],[Fuel (no space after comma)]], ","), FuelList_Final_EF!$A$2:$B$32, 2, FALSE))</f>
        <v>118.17</v>
      </c>
      <c r="P1965" s="2">
        <f>(16112*Table1[[#This Row],[Generation (TWh)]]*10^9)/10^6</f>
        <v>4572972.2879999988</v>
      </c>
      <c r="Q1965" s="2">
        <f>Table1[[#This Row],[Emission Factor (kg CO2/ mmBtu)]]*Table1[[#This Row],[Fuel Consumption (mmBtu)]]*10^3</f>
        <v>540388135272.95984</v>
      </c>
      <c r="R1965" s="2">
        <f>(Table1[[#This Row],[CO2 Emissions (g CO2)]])/(Table1[[#This Row],[Generation (TWh)]]*10^9)</f>
        <v>1903.9550399999998</v>
      </c>
    </row>
    <row r="1966" spans="1:18" hidden="1">
      <c r="A1966" t="s">
        <v>1183</v>
      </c>
      <c r="B1966" t="s">
        <v>19</v>
      </c>
      <c r="C1966" t="str">
        <f>SUBSTITUTE(Table1[[#This Row],[Fuel]],", ",",")</f>
        <v>bioenergy: refuse (municipal and industrial wastes)</v>
      </c>
      <c r="D1966" t="s">
        <v>19</v>
      </c>
      <c r="G1966">
        <v>40</v>
      </c>
      <c r="H1966" t="s">
        <v>27</v>
      </c>
      <c r="I1966">
        <v>2001</v>
      </c>
      <c r="J1966" t="s">
        <v>21</v>
      </c>
      <c r="K1966">
        <v>24.991700000000002</v>
      </c>
      <c r="L1966">
        <v>121.24939999999999</v>
      </c>
      <c r="M1966" t="s">
        <v>171</v>
      </c>
      <c r="N1966" s="2">
        <f>Table1[[#This Row],[Capacity (MW)]]*8760*0.72*10^-6</f>
        <v>0.25228800000000001</v>
      </c>
      <c r="O1966" s="2" cm="1">
        <f t="array" ref="O1966">AVERAGE(VLOOKUP(_xlfn.TEXTSPLIT(Table1[[#This Row],[Fuel (no space after comma)]], ","), FuelList_Final_EF!$A$2:$B$32, 2, FALSE))</f>
        <v>105.42962572482868</v>
      </c>
      <c r="P1966" s="2">
        <f>(16112*Table1[[#This Row],[Generation (TWh)]]*10^9)/10^6</f>
        <v>4064864.2560000005</v>
      </c>
      <c r="Q1966" s="2">
        <f>Table1[[#This Row],[Emission Factor (kg CO2/ mmBtu)]]*Table1[[#This Row],[Fuel Consumption (mmBtu)]]*10^3</f>
        <v>428557117132.31427</v>
      </c>
      <c r="R1966" s="2">
        <f>(Table1[[#This Row],[CO2 Emissions (g CO2)]])/(Table1[[#This Row],[Generation (TWh)]]*10^9)</f>
        <v>1698.6821296784401</v>
      </c>
    </row>
    <row r="1967" spans="1:18">
      <c r="A1967" t="s">
        <v>1184</v>
      </c>
      <c r="B1967" t="s">
        <v>46</v>
      </c>
      <c r="C1967" t="str">
        <f>SUBSTITUTE(Table1[[#This Row],[Fuel]],", ",",")</f>
        <v>bioenergy: agricultural waste (solids)</v>
      </c>
      <c r="D1967" t="s">
        <v>46</v>
      </c>
      <c r="G1967">
        <v>74.95</v>
      </c>
      <c r="H1967" t="s">
        <v>138</v>
      </c>
      <c r="I1967" t="s">
        <v>21</v>
      </c>
      <c r="J1967" t="s">
        <v>21</v>
      </c>
      <c r="K1967">
        <v>34.697622760000002</v>
      </c>
      <c r="L1967">
        <v>137.2430281</v>
      </c>
      <c r="M1967" t="s">
        <v>51</v>
      </c>
      <c r="N1967" s="2">
        <f>Table1[[#This Row],[Capacity (MW)]]*8760*0.72*10^-6</f>
        <v>0.47272463999999992</v>
      </c>
      <c r="O1967" s="2" cm="1">
        <f t="array" ref="O1967">AVERAGE(VLOOKUP(_xlfn.TEXTSPLIT(Table1[[#This Row],[Fuel (no space after comma)]], ","), FuelList_Final_EF!$A$2:$B$32, 2, FALSE))</f>
        <v>118.17</v>
      </c>
      <c r="P1967" s="2">
        <f>(16112*Table1[[#This Row],[Generation (TWh)]]*10^9)/10^6</f>
        <v>7616539.3996799979</v>
      </c>
      <c r="Q1967" s="2">
        <f>Table1[[#This Row],[Emission Factor (kg CO2/ mmBtu)]]*Table1[[#This Row],[Fuel Consumption (mmBtu)]]*10^3</f>
        <v>900046460860.18542</v>
      </c>
      <c r="R1967" s="2">
        <f>(Table1[[#This Row],[CO2 Emissions (g CO2)]])/(Table1[[#This Row],[Generation (TWh)]]*10^9)</f>
        <v>1903.9550399999998</v>
      </c>
    </row>
    <row r="1968" spans="1:18">
      <c r="A1968" t="s">
        <v>1185</v>
      </c>
      <c r="B1968" t="s">
        <v>25</v>
      </c>
      <c r="C1968" t="str">
        <f>SUBSTITUTE(Table1[[#This Row],[Fuel]],", ",",")</f>
        <v>bioenergy: wood &amp; other biomass (solids)</v>
      </c>
      <c r="D1968" t="s">
        <v>25</v>
      </c>
      <c r="G1968">
        <v>299</v>
      </c>
      <c r="H1968" t="s">
        <v>53</v>
      </c>
      <c r="I1968" t="s">
        <v>21</v>
      </c>
      <c r="J1968" t="s">
        <v>21</v>
      </c>
      <c r="K1968">
        <v>54.600200000000001</v>
      </c>
      <c r="L1968">
        <v>-1.1586000000000001</v>
      </c>
      <c r="M1968" t="s">
        <v>22</v>
      </c>
      <c r="N1968" s="2">
        <f>Table1[[#This Row],[Capacity (MW)]]*8760*0.72*10^-6</f>
        <v>1.8858527999999999</v>
      </c>
      <c r="O1968" s="2" cm="1">
        <f t="array" ref="O1968">AVERAGE(VLOOKUP(_xlfn.TEXTSPLIT(Table1[[#This Row],[Fuel (no space after comma)]], ","), FuelList_Final_EF!$A$2:$B$32, 2, FALSE))</f>
        <v>93.8</v>
      </c>
      <c r="P1968" s="2">
        <f>(16112*Table1[[#This Row],[Generation (TWh)]]*10^9)/10^6</f>
        <v>30384860.3136</v>
      </c>
      <c r="Q1968" s="2">
        <f>Table1[[#This Row],[Emission Factor (kg CO2/ mmBtu)]]*Table1[[#This Row],[Fuel Consumption (mmBtu)]]*10^3</f>
        <v>2850099897415.6797</v>
      </c>
      <c r="R1968" s="2">
        <f>(Table1[[#This Row],[CO2 Emissions (g CO2)]])/(Table1[[#This Row],[Generation (TWh)]]*10^9)</f>
        <v>1511.3055999999999</v>
      </c>
    </row>
    <row r="1969" spans="1:18" hidden="1">
      <c r="A1969" t="s">
        <v>1186</v>
      </c>
      <c r="B1969" t="s">
        <v>19</v>
      </c>
      <c r="C1969" t="str">
        <f>SUBSTITUTE(Table1[[#This Row],[Fuel]],", ",",")</f>
        <v>bioenergy: refuse (municipal and industrial wastes)</v>
      </c>
      <c r="D1969" t="s">
        <v>19</v>
      </c>
      <c r="G1969">
        <v>50</v>
      </c>
      <c r="H1969" t="s">
        <v>20</v>
      </c>
      <c r="I1969">
        <v>2026</v>
      </c>
      <c r="J1969" t="s">
        <v>21</v>
      </c>
      <c r="K1969">
        <v>54.597700000000003</v>
      </c>
      <c r="L1969">
        <v>-1.0903</v>
      </c>
      <c r="M1969" t="s">
        <v>22</v>
      </c>
      <c r="N1969" s="2">
        <f>Table1[[#This Row],[Capacity (MW)]]*8760*0.72*10^-6</f>
        <v>0.31535999999999997</v>
      </c>
      <c r="O1969" s="2" cm="1">
        <f t="array" ref="O1969">AVERAGE(VLOOKUP(_xlfn.TEXTSPLIT(Table1[[#This Row],[Fuel (no space after comma)]], ","), FuelList_Final_EF!$A$2:$B$32, 2, FALSE))</f>
        <v>105.42962572482868</v>
      </c>
      <c r="P1969" s="2">
        <f>(16112*Table1[[#This Row],[Generation (TWh)]]*10^9)/10^6</f>
        <v>5081080.32</v>
      </c>
      <c r="Q1969" s="2">
        <f>Table1[[#This Row],[Emission Factor (kg CO2/ mmBtu)]]*Table1[[#This Row],[Fuel Consumption (mmBtu)]]*10^3</f>
        <v>535696396415.39276</v>
      </c>
      <c r="R1969" s="2">
        <f>(Table1[[#This Row],[CO2 Emissions (g CO2)]])/(Table1[[#This Row],[Generation (TWh)]]*10^9)</f>
        <v>1698.6821296784397</v>
      </c>
    </row>
    <row r="1970" spans="1:18">
      <c r="A1970" t="s">
        <v>1187</v>
      </c>
      <c r="B1970" t="s">
        <v>19</v>
      </c>
      <c r="C1970" t="str">
        <f>SUBSTITUTE(Table1[[#This Row],[Fuel]],", ",",")</f>
        <v>bioenergy: refuse (municipal and industrial wastes)</v>
      </c>
      <c r="D1970" t="s">
        <v>19</v>
      </c>
      <c r="G1970">
        <v>60</v>
      </c>
      <c r="H1970" t="s">
        <v>138</v>
      </c>
      <c r="I1970" t="s">
        <v>21</v>
      </c>
      <c r="J1970" t="s">
        <v>21</v>
      </c>
      <c r="K1970">
        <v>5.7355</v>
      </c>
      <c r="L1970">
        <v>3.1600000000000003E-2</v>
      </c>
      <c r="M1970" t="s">
        <v>151</v>
      </c>
      <c r="N1970" s="2">
        <f>Table1[[#This Row],[Capacity (MW)]]*8760*0.72*10^-6</f>
        <v>0.37843199999999999</v>
      </c>
      <c r="O1970" s="2" cm="1">
        <f t="array" ref="O1970">AVERAGE(VLOOKUP(_xlfn.TEXTSPLIT(Table1[[#This Row],[Fuel (no space after comma)]], ","), FuelList_Final_EF!$A$2:$B$32, 2, FALSE))</f>
        <v>105.42962572482868</v>
      </c>
      <c r="P1970" s="2">
        <f>(16112*Table1[[#This Row],[Generation (TWh)]]*10^9)/10^6</f>
        <v>6097296.3839999996</v>
      </c>
      <c r="Q1970" s="2">
        <f>Table1[[#This Row],[Emission Factor (kg CO2/ mmBtu)]]*Table1[[#This Row],[Fuel Consumption (mmBtu)]]*10^3</f>
        <v>642835675698.47131</v>
      </c>
      <c r="R1970" s="2">
        <f>(Table1[[#This Row],[CO2 Emissions (g CO2)]])/(Table1[[#This Row],[Generation (TWh)]]*10^9)</f>
        <v>1698.6821296784397</v>
      </c>
    </row>
    <row r="1971" spans="1:18">
      <c r="A1971" t="s">
        <v>751</v>
      </c>
      <c r="B1971" t="s">
        <v>61</v>
      </c>
      <c r="C1971" t="str">
        <f>SUBSTITUTE(Table1[[#This Row],[Fuel]],", ",",")</f>
        <v>bioenergy: paper mill wastes</v>
      </c>
      <c r="D1971" t="s">
        <v>61</v>
      </c>
      <c r="G1971">
        <v>50</v>
      </c>
      <c r="H1971" t="s">
        <v>27</v>
      </c>
      <c r="I1971" t="s">
        <v>21</v>
      </c>
      <c r="J1971" t="s">
        <v>21</v>
      </c>
      <c r="K1971">
        <v>46.709400000000002</v>
      </c>
      <c r="L1971">
        <v>-79.095399999999998</v>
      </c>
      <c r="M1971" t="s">
        <v>79</v>
      </c>
      <c r="N1971" s="2">
        <f>Table1[[#This Row],[Capacity (MW)]]*8760*0.72*10^-6</f>
        <v>0.31535999999999997</v>
      </c>
      <c r="O1971" s="2" cm="1">
        <f t="array" ref="O1971">AVERAGE(VLOOKUP(_xlfn.TEXTSPLIT(Table1[[#This Row],[Fuel (no space after comma)]], ","), FuelList_Final_EF!$A$2:$B$32, 2, FALSE))</f>
        <v>100.47443331576173</v>
      </c>
      <c r="P1971" s="2">
        <f>(16112*Table1[[#This Row],[Generation (TWh)]]*10^9)/10^6</f>
        <v>5081080.32</v>
      </c>
      <c r="Q1971" s="2">
        <f>Table1[[#This Row],[Emission Factor (kg CO2/ mmBtu)]]*Table1[[#This Row],[Fuel Consumption (mmBtu)]]*10^3</f>
        <v>510518665783.86932</v>
      </c>
      <c r="R1971" s="2">
        <f>(Table1[[#This Row],[CO2 Emissions (g CO2)]])/(Table1[[#This Row],[Generation (TWh)]]*10^9)</f>
        <v>1618.8440695835532</v>
      </c>
    </row>
    <row r="1972" spans="1:18" hidden="1">
      <c r="A1972" t="s">
        <v>892</v>
      </c>
      <c r="B1972" t="s">
        <v>25</v>
      </c>
      <c r="C1972" t="str">
        <f>SUBSTITUTE(Table1[[#This Row],[Fuel]],", ",",")</f>
        <v>bioenergy: wood &amp; other biomass (solids)</v>
      </c>
      <c r="D1972" t="s">
        <v>25</v>
      </c>
      <c r="G1972">
        <v>44</v>
      </c>
      <c r="H1972" t="s">
        <v>27</v>
      </c>
      <c r="I1972">
        <v>2018</v>
      </c>
      <c r="J1972" t="s">
        <v>21</v>
      </c>
      <c r="K1972">
        <v>53.423099999999998</v>
      </c>
      <c r="L1972">
        <v>-1.373</v>
      </c>
      <c r="M1972" t="s">
        <v>22</v>
      </c>
      <c r="N1972" s="2">
        <f>Table1[[#This Row],[Capacity (MW)]]*8760*0.72*10^-6</f>
        <v>0.27751679999999995</v>
      </c>
      <c r="O1972" s="2" cm="1">
        <f t="array" ref="O1972">AVERAGE(VLOOKUP(_xlfn.TEXTSPLIT(Table1[[#This Row],[Fuel (no space after comma)]], ","), FuelList_Final_EF!$A$2:$B$32, 2, FALSE))</f>
        <v>93.8</v>
      </c>
      <c r="P1972" s="2">
        <f>(16112*Table1[[#This Row],[Generation (TWh)]]*10^9)/10^6</f>
        <v>4471350.6815999988</v>
      </c>
      <c r="Q1972" s="2">
        <f>Table1[[#This Row],[Emission Factor (kg CO2/ mmBtu)]]*Table1[[#This Row],[Fuel Consumption (mmBtu)]]*10^3</f>
        <v>419412693934.0799</v>
      </c>
      <c r="R1972" s="2">
        <f>(Table1[[#This Row],[CO2 Emissions (g CO2)]])/(Table1[[#This Row],[Generation (TWh)]]*10^9)</f>
        <v>1511.3055999999999</v>
      </c>
    </row>
    <row r="1973" spans="1:18" hidden="1">
      <c r="A1973" t="s">
        <v>950</v>
      </c>
      <c r="B1973" t="s">
        <v>46</v>
      </c>
      <c r="C1973" t="str">
        <f>SUBSTITUTE(Table1[[#This Row],[Fuel]],", ",",")</f>
        <v>bioenergy: agricultural waste (solids)</v>
      </c>
      <c r="D1973" t="s">
        <v>46</v>
      </c>
      <c r="G1973">
        <v>60</v>
      </c>
      <c r="H1973" t="s">
        <v>94</v>
      </c>
      <c r="I1973">
        <v>2014</v>
      </c>
      <c r="J1973" t="s">
        <v>21</v>
      </c>
      <c r="K1973">
        <v>11.5504</v>
      </c>
      <c r="L1973">
        <v>41.389299999999999</v>
      </c>
      <c r="M1973" t="s">
        <v>391</v>
      </c>
      <c r="N1973" s="2">
        <f>Table1[[#This Row],[Capacity (MW)]]*8760*0.72*10^-6</f>
        <v>0.37843199999999999</v>
      </c>
      <c r="O1973" s="2" cm="1">
        <f t="array" ref="O1973">AVERAGE(VLOOKUP(_xlfn.TEXTSPLIT(Table1[[#This Row],[Fuel (no space after comma)]], ","), FuelList_Final_EF!$A$2:$B$32, 2, FALSE))</f>
        <v>118.17</v>
      </c>
      <c r="P1973" s="2">
        <f>(16112*Table1[[#This Row],[Generation (TWh)]]*10^9)/10^6</f>
        <v>6097296.3839999996</v>
      </c>
      <c r="Q1973" s="2">
        <f>Table1[[#This Row],[Emission Factor (kg CO2/ mmBtu)]]*Table1[[#This Row],[Fuel Consumption (mmBtu)]]*10^3</f>
        <v>720517513697.27991</v>
      </c>
      <c r="R1973" s="2">
        <f>(Table1[[#This Row],[CO2 Emissions (g CO2)]])/(Table1[[#This Row],[Generation (TWh)]]*10^9)</f>
        <v>1903.9550399999998</v>
      </c>
    </row>
    <row r="1974" spans="1:18">
      <c r="A1974" t="s">
        <v>950</v>
      </c>
      <c r="B1974" t="s">
        <v>46</v>
      </c>
      <c r="C1974" t="str">
        <f>SUBSTITUTE(Table1[[#This Row],[Fuel]],", ",",")</f>
        <v>bioenergy: agricultural waste (solids)</v>
      </c>
      <c r="D1974" t="s">
        <v>46</v>
      </c>
      <c r="G1974">
        <v>80</v>
      </c>
      <c r="H1974" t="s">
        <v>307</v>
      </c>
      <c r="I1974" t="s">
        <v>21</v>
      </c>
      <c r="J1974" t="s">
        <v>21</v>
      </c>
      <c r="K1974">
        <v>11.5504</v>
      </c>
      <c r="L1974">
        <v>41.389299999999999</v>
      </c>
      <c r="M1974" t="s">
        <v>391</v>
      </c>
      <c r="N1974" s="2">
        <f>Table1[[#This Row],[Capacity (MW)]]*8760*0.72*10^-6</f>
        <v>0.50457600000000002</v>
      </c>
      <c r="O1974" s="2" cm="1">
        <f t="array" ref="O1974">AVERAGE(VLOOKUP(_xlfn.TEXTSPLIT(Table1[[#This Row],[Fuel (no space after comma)]], ","), FuelList_Final_EF!$A$2:$B$32, 2, FALSE))</f>
        <v>118.17</v>
      </c>
      <c r="P1974" s="2">
        <f>(16112*Table1[[#This Row],[Generation (TWh)]]*10^9)/10^6</f>
        <v>8129728.512000001</v>
      </c>
      <c r="Q1974" s="2">
        <f>Table1[[#This Row],[Emission Factor (kg CO2/ mmBtu)]]*Table1[[#This Row],[Fuel Consumption (mmBtu)]]*10^3</f>
        <v>960690018263.04016</v>
      </c>
      <c r="R1974" s="2">
        <f>(Table1[[#This Row],[CO2 Emissions (g CO2)]])/(Table1[[#This Row],[Generation (TWh)]]*10^9)</f>
        <v>1903.9550400000003</v>
      </c>
    </row>
    <row r="1975" spans="1:18" hidden="1">
      <c r="A1975" t="s">
        <v>54</v>
      </c>
      <c r="B1975" t="s">
        <v>145</v>
      </c>
      <c r="C1975" t="str">
        <f>SUBSTITUTE(Table1[[#This Row],[Fuel]],", ",",")</f>
        <v>bioenergy: paper mill wastes,bioenergy: wood &amp; other biomass (solids),fossil gas: natural gas</v>
      </c>
      <c r="D1975" t="s">
        <v>61</v>
      </c>
      <c r="E1975" t="s">
        <v>25</v>
      </c>
      <c r="F1975" t="s">
        <v>69</v>
      </c>
      <c r="G1975">
        <v>40</v>
      </c>
      <c r="H1975" t="s">
        <v>27</v>
      </c>
      <c r="I1975">
        <v>1981</v>
      </c>
      <c r="J1975" t="s">
        <v>21</v>
      </c>
      <c r="K1975">
        <v>33.255299999999998</v>
      </c>
      <c r="L1975">
        <v>-94.069599999999994</v>
      </c>
      <c r="M1975" t="s">
        <v>62</v>
      </c>
      <c r="N1975" s="2">
        <f>Table1[[#This Row],[Capacity (MW)]]*8760*0.72*10^-6</f>
        <v>0.25228800000000001</v>
      </c>
      <c r="O1975" s="2" cm="1">
        <f t="array" ref="O1975">AVERAGE(VLOOKUP(_xlfn.TEXTSPLIT(Table1[[#This Row],[Fuel (no space after comma)]], ","), FuelList_Final_EF!$A$2:$B$32, 2, FALSE))</f>
        <v>82.444811105253905</v>
      </c>
      <c r="P1975" s="2">
        <f>(16112*Table1[[#This Row],[Generation (TWh)]]*10^9)/10^6</f>
        <v>4064864.2560000005</v>
      </c>
      <c r="Q1975" s="2">
        <f>Table1[[#This Row],[Emission Factor (kg CO2/ mmBtu)]]*Table1[[#This Row],[Fuel Consumption (mmBtu)]]*10^3</f>
        <v>335126965754.41852</v>
      </c>
      <c r="R1975" s="2">
        <f>(Table1[[#This Row],[CO2 Emissions (g CO2)]])/(Table1[[#This Row],[Generation (TWh)]]*10^9)</f>
        <v>1328.3507965278511</v>
      </c>
    </row>
    <row r="1976" spans="1:18">
      <c r="A1976" t="s">
        <v>1188</v>
      </c>
      <c r="B1976" t="s">
        <v>19</v>
      </c>
      <c r="C1976" t="str">
        <f>SUBSTITUTE(Table1[[#This Row],[Fuel]],", ",",")</f>
        <v>bioenergy: refuse (municipal and industrial wastes)</v>
      </c>
      <c r="D1976" t="s">
        <v>19</v>
      </c>
      <c r="G1976">
        <v>30</v>
      </c>
      <c r="H1976" t="s">
        <v>307</v>
      </c>
      <c r="I1976" t="s">
        <v>21</v>
      </c>
      <c r="J1976" t="s">
        <v>21</v>
      </c>
      <c r="K1976">
        <v>57.257100000000001</v>
      </c>
      <c r="L1976">
        <v>-2.3653</v>
      </c>
      <c r="M1976" t="s">
        <v>22</v>
      </c>
      <c r="N1976" s="2">
        <f>Table1[[#This Row],[Capacity (MW)]]*8760*0.72*10^-6</f>
        <v>0.189216</v>
      </c>
      <c r="O1976" s="2" cm="1">
        <f t="array" ref="O1976">AVERAGE(VLOOKUP(_xlfn.TEXTSPLIT(Table1[[#This Row],[Fuel (no space after comma)]], ","), FuelList_Final_EF!$A$2:$B$32, 2, FALSE))</f>
        <v>105.42962572482868</v>
      </c>
      <c r="P1976" s="2">
        <f>(16112*Table1[[#This Row],[Generation (TWh)]]*10^9)/10^6</f>
        <v>3048648.1919999998</v>
      </c>
      <c r="Q1976" s="2">
        <f>Table1[[#This Row],[Emission Factor (kg CO2/ mmBtu)]]*Table1[[#This Row],[Fuel Consumption (mmBtu)]]*10^3</f>
        <v>321417837849.23566</v>
      </c>
      <c r="R1976" s="2">
        <f>(Table1[[#This Row],[CO2 Emissions (g CO2)]])/(Table1[[#This Row],[Generation (TWh)]]*10^9)</f>
        <v>1698.6821296784397</v>
      </c>
    </row>
    <row r="1977" spans="1:18" hidden="1">
      <c r="A1977" t="s">
        <v>157</v>
      </c>
      <c r="B1977" t="s">
        <v>19</v>
      </c>
      <c r="C1977" t="str">
        <f>SUBSTITUTE(Table1[[#This Row],[Fuel]],", ",",")</f>
        <v>bioenergy: refuse (municipal and industrial wastes)</v>
      </c>
      <c r="D1977" t="s">
        <v>19</v>
      </c>
      <c r="G1977">
        <v>44</v>
      </c>
      <c r="H1977" t="s">
        <v>53</v>
      </c>
      <c r="I1977">
        <v>2028</v>
      </c>
      <c r="J1977" t="s">
        <v>21</v>
      </c>
      <c r="K1977">
        <v>51.453499999999998</v>
      </c>
      <c r="L1977">
        <v>0.35149999999999998</v>
      </c>
      <c r="M1977" t="s">
        <v>22</v>
      </c>
      <c r="N1977" s="2">
        <f>Table1[[#This Row],[Capacity (MW)]]*8760*0.72*10^-6</f>
        <v>0.27751679999999995</v>
      </c>
      <c r="O1977" s="2" cm="1">
        <f t="array" ref="O1977">AVERAGE(VLOOKUP(_xlfn.TEXTSPLIT(Table1[[#This Row],[Fuel (no space after comma)]], ","), FuelList_Final_EF!$A$2:$B$32, 2, FALSE))</f>
        <v>105.42962572482868</v>
      </c>
      <c r="P1977" s="2">
        <f>(16112*Table1[[#This Row],[Generation (TWh)]]*10^9)/10^6</f>
        <v>4471350.6815999988</v>
      </c>
      <c r="Q1977" s="2">
        <f>Table1[[#This Row],[Emission Factor (kg CO2/ mmBtu)]]*Table1[[#This Row],[Fuel Consumption (mmBtu)]]*10^3</f>
        <v>471412828845.54547</v>
      </c>
      <c r="R1977" s="2">
        <f>(Table1[[#This Row],[CO2 Emissions (g CO2)]])/(Table1[[#This Row],[Generation (TWh)]]*10^9)</f>
        <v>1698.6821296784397</v>
      </c>
    </row>
    <row r="1978" spans="1:18" hidden="1">
      <c r="A1978" t="s">
        <v>1189</v>
      </c>
      <c r="B1978" t="s">
        <v>46</v>
      </c>
      <c r="C1978" t="str">
        <f>SUBSTITUTE(Table1[[#This Row],[Fuel]],", ",",")</f>
        <v>bioenergy: agricultural waste (solids)</v>
      </c>
      <c r="D1978" t="s">
        <v>46</v>
      </c>
      <c r="G1978">
        <v>44</v>
      </c>
      <c r="H1978" t="s">
        <v>27</v>
      </c>
      <c r="I1978">
        <v>1999</v>
      </c>
      <c r="J1978" t="s">
        <v>21</v>
      </c>
      <c r="K1978">
        <v>52.448599999999999</v>
      </c>
      <c r="L1978">
        <v>0.72529999999999994</v>
      </c>
      <c r="M1978" t="s">
        <v>22</v>
      </c>
      <c r="N1978" s="2">
        <f>Table1[[#This Row],[Capacity (MW)]]*8760*0.72*10^-6</f>
        <v>0.27751679999999995</v>
      </c>
      <c r="O1978" s="2" cm="1">
        <f t="array" ref="O1978">AVERAGE(VLOOKUP(_xlfn.TEXTSPLIT(Table1[[#This Row],[Fuel (no space after comma)]], ","), FuelList_Final_EF!$A$2:$B$32, 2, FALSE))</f>
        <v>118.17</v>
      </c>
      <c r="P1978" s="2">
        <f>(16112*Table1[[#This Row],[Generation (TWh)]]*10^9)/10^6</f>
        <v>4471350.6815999988</v>
      </c>
      <c r="Q1978" s="2">
        <f>Table1[[#This Row],[Emission Factor (kg CO2/ mmBtu)]]*Table1[[#This Row],[Fuel Consumption (mmBtu)]]*10^3</f>
        <v>528379510044.67188</v>
      </c>
      <c r="R1978" s="2">
        <f>(Table1[[#This Row],[CO2 Emissions (g CO2)]])/(Table1[[#This Row],[Generation (TWh)]]*10^9)</f>
        <v>1903.9550400000001</v>
      </c>
    </row>
    <row r="1979" spans="1:18" hidden="1">
      <c r="A1979" t="s">
        <v>1072</v>
      </c>
      <c r="B1979" t="s">
        <v>25</v>
      </c>
      <c r="C1979" t="str">
        <f>SUBSTITUTE(Table1[[#This Row],[Fuel]],", ",",")</f>
        <v>bioenergy: wood &amp; other biomass (solids)</v>
      </c>
      <c r="D1979" t="s">
        <v>25</v>
      </c>
      <c r="G1979">
        <v>62</v>
      </c>
      <c r="H1979" t="s">
        <v>27</v>
      </c>
      <c r="I1979">
        <v>2013</v>
      </c>
      <c r="J1979" t="s">
        <v>21</v>
      </c>
      <c r="K1979">
        <v>48.357900000000001</v>
      </c>
      <c r="L1979">
        <v>-89.231700000000004</v>
      </c>
      <c r="M1979" t="s">
        <v>79</v>
      </c>
      <c r="N1979" s="2">
        <f>Table1[[#This Row],[Capacity (MW)]]*8760*0.72*10^-6</f>
        <v>0.39104639999999996</v>
      </c>
      <c r="O1979" s="2" cm="1">
        <f t="array" ref="O1979">AVERAGE(VLOOKUP(_xlfn.TEXTSPLIT(Table1[[#This Row],[Fuel (no space after comma)]], ","), FuelList_Final_EF!$A$2:$B$32, 2, FALSE))</f>
        <v>93.8</v>
      </c>
      <c r="P1979" s="2">
        <f>(16112*Table1[[#This Row],[Generation (TWh)]]*10^9)/10^6</f>
        <v>6300539.5967999995</v>
      </c>
      <c r="Q1979" s="2">
        <f>Table1[[#This Row],[Emission Factor (kg CO2/ mmBtu)]]*Table1[[#This Row],[Fuel Consumption (mmBtu)]]*10^3</f>
        <v>590990614179.83997</v>
      </c>
      <c r="R1979" s="2">
        <f>(Table1[[#This Row],[CO2 Emissions (g CO2)]])/(Table1[[#This Row],[Generation (TWh)]]*10^9)</f>
        <v>1511.3056000000001</v>
      </c>
    </row>
    <row r="1980" spans="1:18" hidden="1">
      <c r="A1980" t="s">
        <v>1190</v>
      </c>
      <c r="B1980" t="s">
        <v>19</v>
      </c>
      <c r="C1980" t="str">
        <f>SUBSTITUTE(Table1[[#This Row],[Fuel]],", ",",")</f>
        <v>bioenergy: refuse (municipal and industrial wastes)</v>
      </c>
      <c r="D1980" t="s">
        <v>19</v>
      </c>
      <c r="G1980">
        <v>4</v>
      </c>
      <c r="H1980" t="s">
        <v>27</v>
      </c>
      <c r="I1980">
        <v>2020</v>
      </c>
      <c r="J1980" t="s">
        <v>21</v>
      </c>
      <c r="K1980">
        <v>39.241900000000001</v>
      </c>
      <c r="L1980">
        <v>117.0381</v>
      </c>
      <c r="M1980" t="s">
        <v>102</v>
      </c>
      <c r="N1980" s="2">
        <f>Table1[[#This Row],[Capacity (MW)]]*8760*0.72*10^-6</f>
        <v>2.5228799999999999E-2</v>
      </c>
      <c r="O1980" s="2" cm="1">
        <f t="array" ref="O1980">AVERAGE(VLOOKUP(_xlfn.TEXTSPLIT(Table1[[#This Row],[Fuel (no space after comma)]], ","), FuelList_Final_EF!$A$2:$B$32, 2, FALSE))</f>
        <v>105.42962572482868</v>
      </c>
      <c r="P1980" s="2">
        <f>(16112*Table1[[#This Row],[Generation (TWh)]]*10^9)/10^6</f>
        <v>406486.42559999996</v>
      </c>
      <c r="Q1980" s="2">
        <f>Table1[[#This Row],[Emission Factor (kg CO2/ mmBtu)]]*Table1[[#This Row],[Fuel Consumption (mmBtu)]]*10^3</f>
        <v>42855711713.231415</v>
      </c>
      <c r="R1980" s="2">
        <f>(Table1[[#This Row],[CO2 Emissions (g CO2)]])/(Table1[[#This Row],[Generation (TWh)]]*10^9)</f>
        <v>1698.6821296784394</v>
      </c>
    </row>
    <row r="1981" spans="1:18" hidden="1">
      <c r="A1981" t="s">
        <v>541</v>
      </c>
      <c r="B1981" t="s">
        <v>19</v>
      </c>
      <c r="C1981" t="str">
        <f>SUBSTITUTE(Table1[[#This Row],[Fuel]],", ",",")</f>
        <v>bioenergy: refuse (municipal and industrial wastes)</v>
      </c>
      <c r="D1981" t="s">
        <v>19</v>
      </c>
      <c r="G1981">
        <v>36</v>
      </c>
      <c r="H1981" t="s">
        <v>27</v>
      </c>
      <c r="I1981">
        <v>2020</v>
      </c>
      <c r="J1981" t="s">
        <v>21</v>
      </c>
      <c r="K1981">
        <v>39.241900000000001</v>
      </c>
      <c r="L1981">
        <v>117.0381</v>
      </c>
      <c r="M1981" t="s">
        <v>102</v>
      </c>
      <c r="N1981" s="2">
        <f>Table1[[#This Row],[Capacity (MW)]]*8760*0.72*10^-6</f>
        <v>0.22705919999999996</v>
      </c>
      <c r="O1981" s="2" cm="1">
        <f t="array" ref="O1981">AVERAGE(VLOOKUP(_xlfn.TEXTSPLIT(Table1[[#This Row],[Fuel (no space after comma)]], ","), FuelList_Final_EF!$A$2:$B$32, 2, FALSE))</f>
        <v>105.42962572482868</v>
      </c>
      <c r="P1981" s="2">
        <f>(16112*Table1[[#This Row],[Generation (TWh)]]*10^9)/10^6</f>
        <v>3658377.8303999994</v>
      </c>
      <c r="Q1981" s="2">
        <f>Table1[[#This Row],[Emission Factor (kg CO2/ mmBtu)]]*Table1[[#This Row],[Fuel Consumption (mmBtu)]]*10^3</f>
        <v>385701405419.0827</v>
      </c>
      <c r="R1981" s="2">
        <f>(Table1[[#This Row],[CO2 Emissions (g CO2)]])/(Table1[[#This Row],[Generation (TWh)]]*10^9)</f>
        <v>1698.6821296784397</v>
      </c>
    </row>
    <row r="1982" spans="1:18" hidden="1">
      <c r="A1982" t="s">
        <v>1190</v>
      </c>
      <c r="B1982" t="s">
        <v>19</v>
      </c>
      <c r="C1982" t="str">
        <f>SUBSTITUTE(Table1[[#This Row],[Fuel]],", ",",")</f>
        <v>bioenergy: refuse (municipal and industrial wastes)</v>
      </c>
      <c r="D1982" t="s">
        <v>19</v>
      </c>
      <c r="G1982">
        <v>4</v>
      </c>
      <c r="H1982" t="s">
        <v>27</v>
      </c>
      <c r="I1982">
        <v>2020</v>
      </c>
      <c r="J1982" t="s">
        <v>21</v>
      </c>
      <c r="K1982">
        <v>39.241900000000001</v>
      </c>
      <c r="L1982">
        <v>117.0381</v>
      </c>
      <c r="M1982" t="s">
        <v>102</v>
      </c>
      <c r="N1982" s="2">
        <f>Table1[[#This Row],[Capacity (MW)]]*8760*0.72*10^-6</f>
        <v>2.5228799999999999E-2</v>
      </c>
      <c r="O1982" s="2" cm="1">
        <f t="array" ref="O1982">AVERAGE(VLOOKUP(_xlfn.TEXTSPLIT(Table1[[#This Row],[Fuel (no space after comma)]], ","), FuelList_Final_EF!$A$2:$B$32, 2, FALSE))</f>
        <v>105.42962572482868</v>
      </c>
      <c r="P1982" s="2">
        <f>(16112*Table1[[#This Row],[Generation (TWh)]]*10^9)/10^6</f>
        <v>406486.42559999996</v>
      </c>
      <c r="Q1982" s="2">
        <f>Table1[[#This Row],[Emission Factor (kg CO2/ mmBtu)]]*Table1[[#This Row],[Fuel Consumption (mmBtu)]]*10^3</f>
        <v>42855711713.231415</v>
      </c>
      <c r="R1982" s="2">
        <f>(Table1[[#This Row],[CO2 Emissions (g CO2)]])/(Table1[[#This Row],[Generation (TWh)]]*10^9)</f>
        <v>1698.6821296784394</v>
      </c>
    </row>
    <row r="1983" spans="1:18" hidden="1">
      <c r="A1983" t="s">
        <v>541</v>
      </c>
      <c r="B1983" t="s">
        <v>19</v>
      </c>
      <c r="C1983" t="str">
        <f>SUBSTITUTE(Table1[[#This Row],[Fuel]],", ",",")</f>
        <v>bioenergy: refuse (municipal and industrial wastes)</v>
      </c>
      <c r="D1983" t="s">
        <v>19</v>
      </c>
      <c r="G1983">
        <v>36</v>
      </c>
      <c r="H1983" t="s">
        <v>27</v>
      </c>
      <c r="I1983">
        <v>2020</v>
      </c>
      <c r="J1983" t="s">
        <v>21</v>
      </c>
      <c r="K1983">
        <v>39.241900000000001</v>
      </c>
      <c r="L1983">
        <v>117.0381</v>
      </c>
      <c r="M1983" t="s">
        <v>102</v>
      </c>
      <c r="N1983" s="2">
        <f>Table1[[#This Row],[Capacity (MW)]]*8760*0.72*10^-6</f>
        <v>0.22705919999999996</v>
      </c>
      <c r="O1983" s="2" cm="1">
        <f t="array" ref="O1983">AVERAGE(VLOOKUP(_xlfn.TEXTSPLIT(Table1[[#This Row],[Fuel (no space after comma)]], ","), FuelList_Final_EF!$A$2:$B$32, 2, FALSE))</f>
        <v>105.42962572482868</v>
      </c>
      <c r="P1983" s="2">
        <f>(16112*Table1[[#This Row],[Generation (TWh)]]*10^9)/10^6</f>
        <v>3658377.8303999994</v>
      </c>
      <c r="Q1983" s="2">
        <f>Table1[[#This Row],[Emission Factor (kg CO2/ mmBtu)]]*Table1[[#This Row],[Fuel Consumption (mmBtu)]]*10^3</f>
        <v>385701405419.0827</v>
      </c>
      <c r="R1983" s="2">
        <f>(Table1[[#This Row],[CO2 Emissions (g CO2)]])/(Table1[[#This Row],[Generation (TWh)]]*10^9)</f>
        <v>1698.6821296784397</v>
      </c>
    </row>
    <row r="1984" spans="1:18" hidden="1">
      <c r="A1984" t="s">
        <v>1191</v>
      </c>
      <c r="B1984" t="s">
        <v>19</v>
      </c>
      <c r="C1984" t="str">
        <f>SUBSTITUTE(Table1[[#This Row],[Fuel]],", ",",")</f>
        <v>bioenergy: refuse (municipal and industrial wastes)</v>
      </c>
      <c r="D1984" t="s">
        <v>19</v>
      </c>
      <c r="G1984">
        <v>4</v>
      </c>
      <c r="H1984" t="s">
        <v>27</v>
      </c>
      <c r="I1984">
        <v>2021</v>
      </c>
      <c r="J1984" t="s">
        <v>21</v>
      </c>
      <c r="K1984">
        <v>39.223700000000001</v>
      </c>
      <c r="L1984">
        <v>117.3308</v>
      </c>
      <c r="M1984" t="s">
        <v>102</v>
      </c>
      <c r="N1984" s="2">
        <f>Table1[[#This Row],[Capacity (MW)]]*8760*0.72*10^-6</f>
        <v>2.5228799999999999E-2</v>
      </c>
      <c r="O1984" s="2" cm="1">
        <f t="array" ref="O1984">AVERAGE(VLOOKUP(_xlfn.TEXTSPLIT(Table1[[#This Row],[Fuel (no space after comma)]], ","), FuelList_Final_EF!$A$2:$B$32, 2, FALSE))</f>
        <v>105.42962572482868</v>
      </c>
      <c r="P1984" s="2">
        <f>(16112*Table1[[#This Row],[Generation (TWh)]]*10^9)/10^6</f>
        <v>406486.42559999996</v>
      </c>
      <c r="Q1984" s="2">
        <f>Table1[[#This Row],[Emission Factor (kg CO2/ mmBtu)]]*Table1[[#This Row],[Fuel Consumption (mmBtu)]]*10^3</f>
        <v>42855711713.231415</v>
      </c>
      <c r="R1984" s="2">
        <f>(Table1[[#This Row],[CO2 Emissions (g CO2)]])/(Table1[[#This Row],[Generation (TWh)]]*10^9)</f>
        <v>1698.6821296784394</v>
      </c>
    </row>
    <row r="1985" spans="1:18" hidden="1">
      <c r="A1985" t="s">
        <v>1192</v>
      </c>
      <c r="B1985" t="s">
        <v>19</v>
      </c>
      <c r="C1985" t="str">
        <f>SUBSTITUTE(Table1[[#This Row],[Fuel]],", ",",")</f>
        <v>bioenergy: refuse (municipal and industrial wastes)</v>
      </c>
      <c r="D1985" t="s">
        <v>19</v>
      </c>
      <c r="G1985">
        <v>36</v>
      </c>
      <c r="H1985" t="s">
        <v>27</v>
      </c>
      <c r="I1985">
        <v>2021</v>
      </c>
      <c r="J1985" t="s">
        <v>21</v>
      </c>
      <c r="K1985">
        <v>39.223700000000001</v>
      </c>
      <c r="L1985">
        <v>117.3308</v>
      </c>
      <c r="M1985" t="s">
        <v>102</v>
      </c>
      <c r="N1985" s="2">
        <f>Table1[[#This Row],[Capacity (MW)]]*8760*0.72*10^-6</f>
        <v>0.22705919999999996</v>
      </c>
      <c r="O1985" s="2" cm="1">
        <f t="array" ref="O1985">AVERAGE(VLOOKUP(_xlfn.TEXTSPLIT(Table1[[#This Row],[Fuel (no space after comma)]], ","), FuelList_Final_EF!$A$2:$B$32, 2, FALSE))</f>
        <v>105.42962572482868</v>
      </c>
      <c r="P1985" s="2">
        <f>(16112*Table1[[#This Row],[Generation (TWh)]]*10^9)/10^6</f>
        <v>3658377.8303999994</v>
      </c>
      <c r="Q1985" s="2">
        <f>Table1[[#This Row],[Emission Factor (kg CO2/ mmBtu)]]*Table1[[#This Row],[Fuel Consumption (mmBtu)]]*10^3</f>
        <v>385701405419.0827</v>
      </c>
      <c r="R1985" s="2">
        <f>(Table1[[#This Row],[CO2 Emissions (g CO2)]])/(Table1[[#This Row],[Generation (TWh)]]*10^9)</f>
        <v>1698.6821296784397</v>
      </c>
    </row>
    <row r="1986" spans="1:18" hidden="1">
      <c r="A1986" t="s">
        <v>1192</v>
      </c>
      <c r="B1986" t="s">
        <v>19</v>
      </c>
      <c r="C1986" t="str">
        <f>SUBSTITUTE(Table1[[#This Row],[Fuel]],", ",",")</f>
        <v>bioenergy: refuse (municipal and industrial wastes)</v>
      </c>
      <c r="D1986" t="s">
        <v>19</v>
      </c>
      <c r="G1986">
        <v>36</v>
      </c>
      <c r="H1986" t="s">
        <v>27</v>
      </c>
      <c r="I1986">
        <v>2021</v>
      </c>
      <c r="J1986" t="s">
        <v>21</v>
      </c>
      <c r="K1986">
        <v>39.223700000000001</v>
      </c>
      <c r="L1986">
        <v>117.3308</v>
      </c>
      <c r="M1986" t="s">
        <v>102</v>
      </c>
      <c r="N1986" s="2">
        <f>Table1[[#This Row],[Capacity (MW)]]*8760*0.72*10^-6</f>
        <v>0.22705919999999996</v>
      </c>
      <c r="O1986" s="2" cm="1">
        <f t="array" ref="O1986">AVERAGE(VLOOKUP(_xlfn.TEXTSPLIT(Table1[[#This Row],[Fuel (no space after comma)]], ","), FuelList_Final_EF!$A$2:$B$32, 2, FALSE))</f>
        <v>105.42962572482868</v>
      </c>
      <c r="P1986" s="2">
        <f>(16112*Table1[[#This Row],[Generation (TWh)]]*10^9)/10^6</f>
        <v>3658377.8303999994</v>
      </c>
      <c r="Q1986" s="2">
        <f>Table1[[#This Row],[Emission Factor (kg CO2/ mmBtu)]]*Table1[[#This Row],[Fuel Consumption (mmBtu)]]*10^3</f>
        <v>385701405419.0827</v>
      </c>
      <c r="R1986" s="2">
        <f>(Table1[[#This Row],[CO2 Emissions (g CO2)]])/(Table1[[#This Row],[Generation (TWh)]]*10^9)</f>
        <v>1698.6821296784397</v>
      </c>
    </row>
    <row r="1987" spans="1:18" hidden="1">
      <c r="A1987" t="s">
        <v>1191</v>
      </c>
      <c r="B1987" t="s">
        <v>19</v>
      </c>
      <c r="C1987" t="str">
        <f>SUBSTITUTE(Table1[[#This Row],[Fuel]],", ",",")</f>
        <v>bioenergy: refuse (municipal and industrial wastes)</v>
      </c>
      <c r="D1987" t="s">
        <v>19</v>
      </c>
      <c r="G1987">
        <v>4</v>
      </c>
      <c r="H1987" t="s">
        <v>27</v>
      </c>
      <c r="I1987">
        <v>2021</v>
      </c>
      <c r="J1987" t="s">
        <v>21</v>
      </c>
      <c r="K1987">
        <v>39.223700000000001</v>
      </c>
      <c r="L1987">
        <v>117.3308</v>
      </c>
      <c r="M1987" t="s">
        <v>102</v>
      </c>
      <c r="N1987" s="2">
        <f>Table1[[#This Row],[Capacity (MW)]]*8760*0.72*10^-6</f>
        <v>2.5228799999999999E-2</v>
      </c>
      <c r="O1987" s="2" cm="1">
        <f t="array" ref="O1987">AVERAGE(VLOOKUP(_xlfn.TEXTSPLIT(Table1[[#This Row],[Fuel (no space after comma)]], ","), FuelList_Final_EF!$A$2:$B$32, 2, FALSE))</f>
        <v>105.42962572482868</v>
      </c>
      <c r="P1987" s="2">
        <f>(16112*Table1[[#This Row],[Generation (TWh)]]*10^9)/10^6</f>
        <v>406486.42559999996</v>
      </c>
      <c r="Q1987" s="2">
        <f>Table1[[#This Row],[Emission Factor (kg CO2/ mmBtu)]]*Table1[[#This Row],[Fuel Consumption (mmBtu)]]*10^3</f>
        <v>42855711713.231415</v>
      </c>
      <c r="R1987" s="2">
        <f>(Table1[[#This Row],[CO2 Emissions (g CO2)]])/(Table1[[#This Row],[Generation (TWh)]]*10^9)</f>
        <v>1698.6821296784394</v>
      </c>
    </row>
    <row r="1988" spans="1:18" hidden="1">
      <c r="A1988" t="s">
        <v>1193</v>
      </c>
      <c r="B1988" t="s">
        <v>19</v>
      </c>
      <c r="C1988" t="str">
        <f>SUBSTITUTE(Table1[[#This Row],[Fuel]],", ",",")</f>
        <v>bioenergy: refuse (municipal and industrial wastes)</v>
      </c>
      <c r="D1988" t="s">
        <v>19</v>
      </c>
      <c r="G1988">
        <v>3</v>
      </c>
      <c r="H1988" t="s">
        <v>27</v>
      </c>
      <c r="I1988">
        <v>2020</v>
      </c>
      <c r="J1988" t="s">
        <v>21</v>
      </c>
      <c r="K1988">
        <v>38.852400000000003</v>
      </c>
      <c r="L1988">
        <v>117.32859999999999</v>
      </c>
      <c r="M1988" t="s">
        <v>102</v>
      </c>
      <c r="N1988" s="2">
        <f>Table1[[#This Row],[Capacity (MW)]]*8760*0.72*10^-6</f>
        <v>1.8921599999999997E-2</v>
      </c>
      <c r="O1988" s="2" cm="1">
        <f t="array" ref="O1988">AVERAGE(VLOOKUP(_xlfn.TEXTSPLIT(Table1[[#This Row],[Fuel (no space after comma)]], ","), FuelList_Final_EF!$A$2:$B$32, 2, FALSE))</f>
        <v>105.42962572482868</v>
      </c>
      <c r="P1988" s="2">
        <f>(16112*Table1[[#This Row],[Generation (TWh)]]*10^9)/10^6</f>
        <v>304864.81919999991</v>
      </c>
      <c r="Q1988" s="2">
        <f>Table1[[#This Row],[Emission Factor (kg CO2/ mmBtu)]]*Table1[[#This Row],[Fuel Consumption (mmBtu)]]*10^3</f>
        <v>32141783784.923557</v>
      </c>
      <c r="R1988" s="2">
        <f>(Table1[[#This Row],[CO2 Emissions (g CO2)]])/(Table1[[#This Row],[Generation (TWh)]]*10^9)</f>
        <v>1698.6821296784397</v>
      </c>
    </row>
    <row r="1989" spans="1:18" hidden="1">
      <c r="A1989" t="s">
        <v>541</v>
      </c>
      <c r="B1989" t="s">
        <v>19</v>
      </c>
      <c r="C1989" t="str">
        <f>SUBSTITUTE(Table1[[#This Row],[Fuel]],", ",",")</f>
        <v>bioenergy: refuse (municipal and industrial wastes)</v>
      </c>
      <c r="D1989" t="s">
        <v>19</v>
      </c>
      <c r="G1989">
        <v>27</v>
      </c>
      <c r="H1989" t="s">
        <v>27</v>
      </c>
      <c r="I1989">
        <v>2020</v>
      </c>
      <c r="J1989" t="s">
        <v>21</v>
      </c>
      <c r="K1989">
        <v>38.852400000000003</v>
      </c>
      <c r="L1989">
        <v>117.32859999999999</v>
      </c>
      <c r="M1989" t="s">
        <v>102</v>
      </c>
      <c r="N1989" s="2">
        <f>Table1[[#This Row],[Capacity (MW)]]*8760*0.72*10^-6</f>
        <v>0.17029439999999998</v>
      </c>
      <c r="O1989" s="2" cm="1">
        <f t="array" ref="O1989">AVERAGE(VLOOKUP(_xlfn.TEXTSPLIT(Table1[[#This Row],[Fuel (no space after comma)]], ","), FuelList_Final_EF!$A$2:$B$32, 2, FALSE))</f>
        <v>105.42962572482868</v>
      </c>
      <c r="P1989" s="2">
        <f>(16112*Table1[[#This Row],[Generation (TWh)]]*10^9)/10^6</f>
        <v>2743783.3727999995</v>
      </c>
      <c r="Q1989" s="2">
        <f>Table1[[#This Row],[Emission Factor (kg CO2/ mmBtu)]]*Table1[[#This Row],[Fuel Consumption (mmBtu)]]*10^3</f>
        <v>289276054064.31201</v>
      </c>
      <c r="R1989" s="2">
        <f>(Table1[[#This Row],[CO2 Emissions (g CO2)]])/(Table1[[#This Row],[Generation (TWh)]]*10^9)</f>
        <v>1698.6821296784397</v>
      </c>
    </row>
    <row r="1990" spans="1:18" hidden="1">
      <c r="A1990" t="s">
        <v>541</v>
      </c>
      <c r="B1990" t="s">
        <v>19</v>
      </c>
      <c r="C1990" t="str">
        <f>SUBSTITUTE(Table1[[#This Row],[Fuel]],", ",",")</f>
        <v>bioenergy: refuse (municipal and industrial wastes)</v>
      </c>
      <c r="D1990" t="s">
        <v>19</v>
      </c>
      <c r="G1990">
        <v>27</v>
      </c>
      <c r="H1990" t="s">
        <v>27</v>
      </c>
      <c r="I1990">
        <v>2020</v>
      </c>
      <c r="J1990" t="s">
        <v>21</v>
      </c>
      <c r="K1990">
        <v>38.852400000000003</v>
      </c>
      <c r="L1990">
        <v>117.32859999999999</v>
      </c>
      <c r="M1990" t="s">
        <v>102</v>
      </c>
      <c r="N1990" s="2">
        <f>Table1[[#This Row],[Capacity (MW)]]*8760*0.72*10^-6</f>
        <v>0.17029439999999998</v>
      </c>
      <c r="O1990" s="2" cm="1">
        <f t="array" ref="O1990">AVERAGE(VLOOKUP(_xlfn.TEXTSPLIT(Table1[[#This Row],[Fuel (no space after comma)]], ","), FuelList_Final_EF!$A$2:$B$32, 2, FALSE))</f>
        <v>105.42962572482868</v>
      </c>
      <c r="P1990" s="2">
        <f>(16112*Table1[[#This Row],[Generation (TWh)]]*10^9)/10^6</f>
        <v>2743783.3727999995</v>
      </c>
      <c r="Q1990" s="2">
        <f>Table1[[#This Row],[Emission Factor (kg CO2/ mmBtu)]]*Table1[[#This Row],[Fuel Consumption (mmBtu)]]*10^3</f>
        <v>289276054064.31201</v>
      </c>
      <c r="R1990" s="2">
        <f>(Table1[[#This Row],[CO2 Emissions (g CO2)]])/(Table1[[#This Row],[Generation (TWh)]]*10^9)</f>
        <v>1698.6821296784397</v>
      </c>
    </row>
    <row r="1991" spans="1:18" hidden="1">
      <c r="A1991" t="s">
        <v>1193</v>
      </c>
      <c r="B1991" t="s">
        <v>19</v>
      </c>
      <c r="C1991" t="str">
        <f>SUBSTITUTE(Table1[[#This Row],[Fuel]],", ",",")</f>
        <v>bioenergy: refuse (municipal and industrial wastes)</v>
      </c>
      <c r="D1991" t="s">
        <v>19</v>
      </c>
      <c r="G1991">
        <v>3</v>
      </c>
      <c r="H1991" t="s">
        <v>27</v>
      </c>
      <c r="I1991">
        <v>2020</v>
      </c>
      <c r="J1991" t="s">
        <v>21</v>
      </c>
      <c r="K1991">
        <v>38.852400000000003</v>
      </c>
      <c r="L1991">
        <v>117.32859999999999</v>
      </c>
      <c r="M1991" t="s">
        <v>102</v>
      </c>
      <c r="N1991" s="2">
        <f>Table1[[#This Row],[Capacity (MW)]]*8760*0.72*10^-6</f>
        <v>1.8921599999999997E-2</v>
      </c>
      <c r="O1991" s="2" cm="1">
        <f t="array" ref="O1991">AVERAGE(VLOOKUP(_xlfn.TEXTSPLIT(Table1[[#This Row],[Fuel (no space after comma)]], ","), FuelList_Final_EF!$A$2:$B$32, 2, FALSE))</f>
        <v>105.42962572482868</v>
      </c>
      <c r="P1991" s="2">
        <f>(16112*Table1[[#This Row],[Generation (TWh)]]*10^9)/10^6</f>
        <v>304864.81919999991</v>
      </c>
      <c r="Q1991" s="2">
        <f>Table1[[#This Row],[Emission Factor (kg CO2/ mmBtu)]]*Table1[[#This Row],[Fuel Consumption (mmBtu)]]*10^3</f>
        <v>32141783784.923557</v>
      </c>
      <c r="R1991" s="2">
        <f>(Table1[[#This Row],[CO2 Emissions (g CO2)]])/(Table1[[#This Row],[Generation (TWh)]]*10^9)</f>
        <v>1698.6821296784397</v>
      </c>
    </row>
    <row r="1992" spans="1:18">
      <c r="A1992" t="s">
        <v>1194</v>
      </c>
      <c r="B1992" t="s">
        <v>46</v>
      </c>
      <c r="C1992" t="str">
        <f>SUBSTITUTE(Table1[[#This Row],[Fuel]],", ",",")</f>
        <v>bioenergy: agricultural waste (solids)</v>
      </c>
      <c r="D1992" t="s">
        <v>46</v>
      </c>
      <c r="G1992">
        <v>50</v>
      </c>
      <c r="H1992" t="s">
        <v>20</v>
      </c>
      <c r="I1992" t="s">
        <v>21</v>
      </c>
      <c r="J1992" t="s">
        <v>21</v>
      </c>
      <c r="K1992">
        <v>-19.353000000000002</v>
      </c>
      <c r="L1992">
        <v>-48.242199999999997</v>
      </c>
      <c r="M1992" t="s">
        <v>49</v>
      </c>
      <c r="N1992" s="2">
        <f>Table1[[#This Row],[Capacity (MW)]]*8760*0.72*10^-6</f>
        <v>0.31535999999999997</v>
      </c>
      <c r="O1992" s="2" cm="1">
        <f t="array" ref="O1992">AVERAGE(VLOOKUP(_xlfn.TEXTSPLIT(Table1[[#This Row],[Fuel (no space after comma)]], ","), FuelList_Final_EF!$A$2:$B$32, 2, FALSE))</f>
        <v>118.17</v>
      </c>
      <c r="P1992" s="2">
        <f>(16112*Table1[[#This Row],[Generation (TWh)]]*10^9)/10^6</f>
        <v>5081080.32</v>
      </c>
      <c r="Q1992" s="2">
        <f>Table1[[#This Row],[Emission Factor (kg CO2/ mmBtu)]]*Table1[[#This Row],[Fuel Consumption (mmBtu)]]*10^3</f>
        <v>600431261414.40015</v>
      </c>
      <c r="R1992" s="2">
        <f>(Table1[[#This Row],[CO2 Emissions (g CO2)]])/(Table1[[#This Row],[Generation (TWh)]]*10^9)</f>
        <v>1903.9550400000005</v>
      </c>
    </row>
    <row r="1993" spans="1:18" hidden="1">
      <c r="A1993" t="s">
        <v>1195</v>
      </c>
      <c r="B1993" t="s">
        <v>251</v>
      </c>
      <c r="C1993" t="str">
        <f>SUBSTITUTE(Table1[[#This Row],[Fuel]],", ",",")</f>
        <v>bioenergy: wood &amp; other biomass (solids),bioenergy: refuse (municipal and industrial wastes)</v>
      </c>
      <c r="D1993" t="s">
        <v>25</v>
      </c>
      <c r="E1993" t="s">
        <v>19</v>
      </c>
      <c r="G1993">
        <v>21.07</v>
      </c>
      <c r="H1993" t="s">
        <v>27</v>
      </c>
      <c r="I1993">
        <v>2017</v>
      </c>
      <c r="J1993" t="s">
        <v>21</v>
      </c>
      <c r="K1993">
        <v>54.567500000000003</v>
      </c>
      <c r="L1993">
        <v>-1.0968</v>
      </c>
      <c r="M1993" t="s">
        <v>22</v>
      </c>
      <c r="N1993" s="2">
        <f>Table1[[#This Row],[Capacity (MW)]]*8760*0.72*10^-6</f>
        <v>0.132892704</v>
      </c>
      <c r="O1993" s="2" cm="1">
        <f t="array" ref="O1993">AVERAGE(VLOOKUP(_xlfn.TEXTSPLIT(Table1[[#This Row],[Fuel (no space after comma)]], ","), FuelList_Final_EF!$A$2:$B$32, 2, FALSE))</f>
        <v>99.61481286241434</v>
      </c>
      <c r="P1993" s="2">
        <f>(16112*Table1[[#This Row],[Generation (TWh)]]*10^9)/10^6</f>
        <v>2141167.2468480002</v>
      </c>
      <c r="Q1993" s="2">
        <f>Table1[[#This Row],[Emission Factor (kg CO2/ mmBtu)]]*Table1[[#This Row],[Fuel Consumption (mmBtu)]]*10^3</f>
        <v>213291974601.89447</v>
      </c>
      <c r="R1993" s="2">
        <f>(Table1[[#This Row],[CO2 Emissions (g CO2)]])/(Table1[[#This Row],[Generation (TWh)]]*10^9)</f>
        <v>1604.9938648392199</v>
      </c>
    </row>
    <row r="1994" spans="1:18" hidden="1">
      <c r="A1994" t="s">
        <v>264</v>
      </c>
      <c r="B1994" t="s">
        <v>251</v>
      </c>
      <c r="C1994" t="str">
        <f>SUBSTITUTE(Table1[[#This Row],[Fuel]],", ",",")</f>
        <v>bioenergy: wood &amp; other biomass (solids),bioenergy: refuse (municipal and industrial wastes)</v>
      </c>
      <c r="D1994" t="s">
        <v>25</v>
      </c>
      <c r="E1994" t="s">
        <v>19</v>
      </c>
      <c r="G1994">
        <v>21.93</v>
      </c>
      <c r="H1994" t="s">
        <v>27</v>
      </c>
      <c r="I1994">
        <v>2017</v>
      </c>
      <c r="J1994" t="s">
        <v>21</v>
      </c>
      <c r="K1994">
        <v>54.567500000000003</v>
      </c>
      <c r="L1994">
        <v>-1.0968</v>
      </c>
      <c r="M1994" t="s">
        <v>22</v>
      </c>
      <c r="N1994" s="2">
        <f>Table1[[#This Row],[Capacity (MW)]]*8760*0.72*10^-6</f>
        <v>0.13831689599999997</v>
      </c>
      <c r="O1994" s="2" cm="1">
        <f t="array" ref="O1994">AVERAGE(VLOOKUP(_xlfn.TEXTSPLIT(Table1[[#This Row],[Fuel (no space after comma)]], ","), FuelList_Final_EF!$A$2:$B$32, 2, FALSE))</f>
        <v>99.61481286241434</v>
      </c>
      <c r="P1994" s="2">
        <f>(16112*Table1[[#This Row],[Generation (TWh)]]*10^9)/10^6</f>
        <v>2228561.8283519996</v>
      </c>
      <c r="Q1994" s="2">
        <f>Table1[[#This Row],[Emission Factor (kg CO2/ mmBtu)]]*Table1[[#This Row],[Fuel Consumption (mmBtu)]]*10^3</f>
        <v>221997769483.6044</v>
      </c>
      <c r="R1994" s="2">
        <f>(Table1[[#This Row],[CO2 Emissions (g CO2)]])/(Table1[[#This Row],[Generation (TWh)]]*10^9)</f>
        <v>1604.9938648392199</v>
      </c>
    </row>
    <row r="1995" spans="1:18">
      <c r="A1995" t="s">
        <v>1195</v>
      </c>
      <c r="B1995" t="s">
        <v>251</v>
      </c>
      <c r="C1995" t="str">
        <f>SUBSTITUTE(Table1[[#This Row],[Fuel]],", ",",")</f>
        <v>bioenergy: wood &amp; other biomass (solids),bioenergy: refuse (municipal and industrial wastes)</v>
      </c>
      <c r="D1995" t="s">
        <v>25</v>
      </c>
      <c r="E1995" t="s">
        <v>19</v>
      </c>
      <c r="G1995">
        <v>22.05</v>
      </c>
      <c r="H1995" t="s">
        <v>20</v>
      </c>
      <c r="I1995" t="s">
        <v>21</v>
      </c>
      <c r="J1995" t="s">
        <v>21</v>
      </c>
      <c r="K1995">
        <v>51.464500000000001</v>
      </c>
      <c r="L1995">
        <v>0.34560000000000002</v>
      </c>
      <c r="M1995" t="s">
        <v>22</v>
      </c>
      <c r="N1995" s="2">
        <f>Table1[[#This Row],[Capacity (MW)]]*8760*0.72*10^-6</f>
        <v>0.13907375999999999</v>
      </c>
      <c r="O1995" s="2" cm="1">
        <f t="array" ref="O1995">AVERAGE(VLOOKUP(_xlfn.TEXTSPLIT(Table1[[#This Row],[Fuel (no space after comma)]], ","), FuelList_Final_EF!$A$2:$B$32, 2, FALSE))</f>
        <v>99.61481286241434</v>
      </c>
      <c r="P1995" s="2">
        <f>(16112*Table1[[#This Row],[Generation (TWh)]]*10^9)/10^6</f>
        <v>2240756.4211199996</v>
      </c>
      <c r="Q1995" s="2">
        <f>Table1[[#This Row],[Emission Factor (kg CO2/ mmBtu)]]*Table1[[#This Row],[Fuel Consumption (mmBtu)]]*10^3</f>
        <v>223212531560.12207</v>
      </c>
      <c r="R1995" s="2">
        <f>(Table1[[#This Row],[CO2 Emissions (g CO2)]])/(Table1[[#This Row],[Generation (TWh)]]*10^9)</f>
        <v>1604.9938648392197</v>
      </c>
    </row>
    <row r="1996" spans="1:18">
      <c r="A1996" t="s">
        <v>264</v>
      </c>
      <c r="B1996" t="s">
        <v>251</v>
      </c>
      <c r="C1996" t="str">
        <f>SUBSTITUTE(Table1[[#This Row],[Fuel]],", ",",")</f>
        <v>bioenergy: wood &amp; other biomass (solids),bioenergy: refuse (municipal and industrial wastes)</v>
      </c>
      <c r="D1996" t="s">
        <v>25</v>
      </c>
      <c r="E1996" t="s">
        <v>19</v>
      </c>
      <c r="G1996">
        <v>22.95</v>
      </c>
      <c r="H1996" t="s">
        <v>20</v>
      </c>
      <c r="I1996" t="s">
        <v>21</v>
      </c>
      <c r="J1996" t="s">
        <v>21</v>
      </c>
      <c r="K1996">
        <v>51.464500000000001</v>
      </c>
      <c r="L1996">
        <v>0.34560000000000002</v>
      </c>
      <c r="M1996" t="s">
        <v>22</v>
      </c>
      <c r="N1996" s="2">
        <f>Table1[[#This Row],[Capacity (MW)]]*8760*0.72*10^-6</f>
        <v>0.14475023999999997</v>
      </c>
      <c r="O1996" s="2" cm="1">
        <f t="array" ref="O1996">AVERAGE(VLOOKUP(_xlfn.TEXTSPLIT(Table1[[#This Row],[Fuel (no space after comma)]], ","), FuelList_Final_EF!$A$2:$B$32, 2, FALSE))</f>
        <v>99.61481286241434</v>
      </c>
      <c r="P1996" s="2">
        <f>(16112*Table1[[#This Row],[Generation (TWh)]]*10^9)/10^6</f>
        <v>2332215.8668800001</v>
      </c>
      <c r="Q1996" s="2">
        <f>Table1[[#This Row],[Emission Factor (kg CO2/ mmBtu)]]*Table1[[#This Row],[Fuel Consumption (mmBtu)]]*10^3</f>
        <v>232323247134.00464</v>
      </c>
      <c r="R1996" s="2">
        <f>(Table1[[#This Row],[CO2 Emissions (g CO2)]])/(Table1[[#This Row],[Generation (TWh)]]*10^9)</f>
        <v>1604.9938648392201</v>
      </c>
    </row>
    <row r="1997" spans="1:18" hidden="1">
      <c r="A1997" t="s">
        <v>1196</v>
      </c>
      <c r="B1997" t="s">
        <v>210</v>
      </c>
      <c r="C1997" t="str">
        <f>SUBSTITUTE(Table1[[#This Row],[Fuel]],", ",",")</f>
        <v>bioenergy: wood &amp; other biomass (solids),bioenergy: agricultural waste (solids)</v>
      </c>
      <c r="D1997" t="s">
        <v>25</v>
      </c>
      <c r="E1997" t="s">
        <v>46</v>
      </c>
      <c r="G1997">
        <v>75</v>
      </c>
      <c r="H1997" t="s">
        <v>27</v>
      </c>
      <c r="I1997">
        <v>2023</v>
      </c>
      <c r="J1997" t="s">
        <v>21</v>
      </c>
      <c r="K1997">
        <v>34.045299999999997</v>
      </c>
      <c r="L1997">
        <v>134.59139999999999</v>
      </c>
      <c r="M1997" t="s">
        <v>51</v>
      </c>
      <c r="N1997" s="2">
        <f>Table1[[#This Row],[Capacity (MW)]]*8760*0.72*10^-6</f>
        <v>0.47303999999999996</v>
      </c>
      <c r="O1997" s="2" cm="1">
        <f t="array" ref="O1997">AVERAGE(VLOOKUP(_xlfn.TEXTSPLIT(Table1[[#This Row],[Fuel (no space after comma)]], ","), FuelList_Final_EF!$A$2:$B$32, 2, FALSE))</f>
        <v>105.985</v>
      </c>
      <c r="P1997" s="2">
        <f>(16112*Table1[[#This Row],[Generation (TWh)]]*10^9)/10^6</f>
        <v>7621620.4800000004</v>
      </c>
      <c r="Q1997" s="2">
        <f>Table1[[#This Row],[Emission Factor (kg CO2/ mmBtu)]]*Table1[[#This Row],[Fuel Consumption (mmBtu)]]*10^3</f>
        <v>807777446572.80005</v>
      </c>
      <c r="R1997" s="2">
        <f>(Table1[[#This Row],[CO2 Emissions (g CO2)]])/(Table1[[#This Row],[Generation (TWh)]]*10^9)</f>
        <v>1707.6303200000002</v>
      </c>
    </row>
    <row r="1998" spans="1:18" hidden="1">
      <c r="A1998" t="s">
        <v>1197</v>
      </c>
      <c r="B1998" t="s">
        <v>210</v>
      </c>
      <c r="C1998" t="str">
        <f>SUBSTITUTE(Table1[[#This Row],[Fuel]],", ",",")</f>
        <v>bioenergy: wood &amp; other biomass (solids),bioenergy: agricultural waste (solids)</v>
      </c>
      <c r="D1998" t="s">
        <v>25</v>
      </c>
      <c r="E1998" t="s">
        <v>46</v>
      </c>
      <c r="G1998">
        <v>50</v>
      </c>
      <c r="H1998" t="s">
        <v>20</v>
      </c>
      <c r="I1998">
        <v>2025</v>
      </c>
      <c r="J1998" t="s">
        <v>21</v>
      </c>
      <c r="K1998">
        <v>42.621400000000001</v>
      </c>
      <c r="L1998">
        <v>141.80260000000001</v>
      </c>
      <c r="M1998" t="s">
        <v>51</v>
      </c>
      <c r="N1998" s="2">
        <f>Table1[[#This Row],[Capacity (MW)]]*8760*0.72*10^-6</f>
        <v>0.31535999999999997</v>
      </c>
      <c r="O1998" s="2" cm="1">
        <f t="array" ref="O1998">AVERAGE(VLOOKUP(_xlfn.TEXTSPLIT(Table1[[#This Row],[Fuel (no space after comma)]], ","), FuelList_Final_EF!$A$2:$B$32, 2, FALSE))</f>
        <v>105.985</v>
      </c>
      <c r="P1998" s="2">
        <f>(16112*Table1[[#This Row],[Generation (TWh)]]*10^9)/10^6</f>
        <v>5081080.32</v>
      </c>
      <c r="Q1998" s="2">
        <f>Table1[[#This Row],[Emission Factor (kg CO2/ mmBtu)]]*Table1[[#This Row],[Fuel Consumption (mmBtu)]]*10^3</f>
        <v>538518297715.20007</v>
      </c>
      <c r="R1998" s="2">
        <f>(Table1[[#This Row],[CO2 Emissions (g CO2)]])/(Table1[[#This Row],[Generation (TWh)]]*10^9)</f>
        <v>1707.6303200000002</v>
      </c>
    </row>
    <row r="1999" spans="1:18" hidden="1">
      <c r="A1999" t="s">
        <v>1198</v>
      </c>
      <c r="B1999" t="s">
        <v>901</v>
      </c>
      <c r="C1999" t="str">
        <f>SUBSTITUTE(Table1[[#This Row],[Fuel]],", ",",")</f>
        <v>bioenergy: wood &amp; other biomass (biocoal)</v>
      </c>
      <c r="D1999" t="s">
        <v>901</v>
      </c>
      <c r="G1999">
        <v>35</v>
      </c>
      <c r="H1999" t="s">
        <v>27</v>
      </c>
      <c r="I1999">
        <v>2014</v>
      </c>
      <c r="J1999" t="s">
        <v>21</v>
      </c>
      <c r="K1999">
        <v>57.696100000000001</v>
      </c>
      <c r="L1999">
        <v>14.153499999999999</v>
      </c>
      <c r="M1999" t="s">
        <v>34</v>
      </c>
      <c r="N1999" s="2">
        <f>Table1[[#This Row],[Capacity (MW)]]*8760*0.72*10^-6</f>
        <v>0.220752</v>
      </c>
      <c r="O1999" s="2" cm="1">
        <f t="array" ref="O1999">AVERAGE(VLOOKUP(_xlfn.TEXTSPLIT(Table1[[#This Row],[Fuel (no space after comma)]], ","), FuelList_Final_EF!$A$2:$B$32, 2, FALSE))</f>
        <v>83.92198207696363</v>
      </c>
      <c r="P1999" s="2">
        <f>(16112*Table1[[#This Row],[Generation (TWh)]]*10^9)/10^6</f>
        <v>3556756.2239999999</v>
      </c>
      <c r="Q1999" s="2">
        <f>Table1[[#This Row],[Emission Factor (kg CO2/ mmBtu)]]*Table1[[#This Row],[Fuel Consumption (mmBtu)]]*10^3</f>
        <v>298490032082.65686</v>
      </c>
      <c r="R1999" s="2">
        <f>(Table1[[#This Row],[CO2 Emissions (g CO2)]])/(Table1[[#This Row],[Generation (TWh)]]*10^9)</f>
        <v>1352.1509752240381</v>
      </c>
    </row>
    <row r="2000" spans="1:18" hidden="1">
      <c r="A2000" t="s">
        <v>1199</v>
      </c>
      <c r="B2000" t="s">
        <v>19</v>
      </c>
      <c r="C2000" t="str">
        <f>SUBSTITUTE(Table1[[#This Row],[Fuel]],", ",",")</f>
        <v>bioenergy: refuse (municipal and industrial wastes)</v>
      </c>
      <c r="D2000" t="s">
        <v>19</v>
      </c>
      <c r="G2000">
        <v>70</v>
      </c>
      <c r="H2000" t="s">
        <v>27</v>
      </c>
      <c r="I2000">
        <v>2018</v>
      </c>
      <c r="J2000" t="s">
        <v>21</v>
      </c>
      <c r="K2000">
        <v>14.645300000000001</v>
      </c>
      <c r="L2000">
        <v>101.1254</v>
      </c>
      <c r="M2000" t="s">
        <v>819</v>
      </c>
      <c r="N2000" s="2">
        <f>Table1[[#This Row],[Capacity (MW)]]*8760*0.72*10^-6</f>
        <v>0.44150400000000001</v>
      </c>
      <c r="O2000" s="2" cm="1">
        <f t="array" ref="O2000">AVERAGE(VLOOKUP(_xlfn.TEXTSPLIT(Table1[[#This Row],[Fuel (no space after comma)]], ","), FuelList_Final_EF!$A$2:$B$32, 2, FALSE))</f>
        <v>105.42962572482868</v>
      </c>
      <c r="P2000" s="2">
        <f>(16112*Table1[[#This Row],[Generation (TWh)]]*10^9)/10^6</f>
        <v>7113512.4479999999</v>
      </c>
      <c r="Q2000" s="2">
        <f>Table1[[#This Row],[Emission Factor (kg CO2/ mmBtu)]]*Table1[[#This Row],[Fuel Consumption (mmBtu)]]*10^3</f>
        <v>749974954981.5498</v>
      </c>
      <c r="R2000" s="2">
        <f>(Table1[[#This Row],[CO2 Emissions (g CO2)]])/(Table1[[#This Row],[Generation (TWh)]]*10^9)</f>
        <v>1698.6821296784397</v>
      </c>
    </row>
    <row r="2001" spans="1:18" hidden="1">
      <c r="A2001" t="s">
        <v>1199</v>
      </c>
      <c r="B2001" t="s">
        <v>19</v>
      </c>
      <c r="C2001" t="str">
        <f>SUBSTITUTE(Table1[[#This Row],[Fuel]],", ",",")</f>
        <v>bioenergy: refuse (municipal and industrial wastes)</v>
      </c>
      <c r="D2001" t="s">
        <v>19</v>
      </c>
      <c r="G2001">
        <v>90</v>
      </c>
      <c r="H2001" t="s">
        <v>27</v>
      </c>
      <c r="I2001">
        <v>2015</v>
      </c>
      <c r="J2001" t="s">
        <v>21</v>
      </c>
      <c r="K2001">
        <v>14.645300000000001</v>
      </c>
      <c r="L2001">
        <v>101.1254</v>
      </c>
      <c r="M2001" t="s">
        <v>819</v>
      </c>
      <c r="N2001" s="2">
        <f>Table1[[#This Row],[Capacity (MW)]]*8760*0.72*10^-6</f>
        <v>0.56764799999999993</v>
      </c>
      <c r="O2001" s="2" cm="1">
        <f t="array" ref="O2001">AVERAGE(VLOOKUP(_xlfn.TEXTSPLIT(Table1[[#This Row],[Fuel (no space after comma)]], ","), FuelList_Final_EF!$A$2:$B$32, 2, FALSE))</f>
        <v>105.42962572482868</v>
      </c>
      <c r="P2001" s="2">
        <f>(16112*Table1[[#This Row],[Generation (TWh)]]*10^9)/10^6</f>
        <v>9145944.5759999976</v>
      </c>
      <c r="Q2001" s="2">
        <f>Table1[[#This Row],[Emission Factor (kg CO2/ mmBtu)]]*Table1[[#This Row],[Fuel Consumption (mmBtu)]]*10^3</f>
        <v>964253513547.70667</v>
      </c>
      <c r="R2001" s="2">
        <f>(Table1[[#This Row],[CO2 Emissions (g CO2)]])/(Table1[[#This Row],[Generation (TWh)]]*10^9)</f>
        <v>1698.6821296784397</v>
      </c>
    </row>
    <row r="2002" spans="1:18">
      <c r="A2002" t="s">
        <v>1200</v>
      </c>
      <c r="B2002" t="s">
        <v>46</v>
      </c>
      <c r="C2002" t="str">
        <f>SUBSTITUTE(Table1[[#This Row],[Fuel]],", ",",")</f>
        <v>bioenergy: agricultural waste (solids)</v>
      </c>
      <c r="D2002" t="s">
        <v>46</v>
      </c>
      <c r="G2002">
        <v>35</v>
      </c>
      <c r="H2002" t="s">
        <v>27</v>
      </c>
      <c r="I2002" t="s">
        <v>21</v>
      </c>
      <c r="J2002" t="s">
        <v>21</v>
      </c>
      <c r="K2002">
        <v>-21.022300000000001</v>
      </c>
      <c r="L2002">
        <v>31.442299999999999</v>
      </c>
      <c r="M2002" t="s">
        <v>280</v>
      </c>
      <c r="N2002" s="2">
        <f>Table1[[#This Row],[Capacity (MW)]]*8760*0.72*10^-6</f>
        <v>0.220752</v>
      </c>
      <c r="O2002" s="2" cm="1">
        <f t="array" ref="O2002">AVERAGE(VLOOKUP(_xlfn.TEXTSPLIT(Table1[[#This Row],[Fuel (no space after comma)]], ","), FuelList_Final_EF!$A$2:$B$32, 2, FALSE))</f>
        <v>118.17</v>
      </c>
      <c r="P2002" s="2">
        <f>(16112*Table1[[#This Row],[Generation (TWh)]]*10^9)/10^6</f>
        <v>3556756.2239999999</v>
      </c>
      <c r="Q2002" s="2">
        <f>Table1[[#This Row],[Emission Factor (kg CO2/ mmBtu)]]*Table1[[#This Row],[Fuel Consumption (mmBtu)]]*10^3</f>
        <v>420301882990.08002</v>
      </c>
      <c r="R2002" s="2">
        <f>(Table1[[#This Row],[CO2 Emissions (g CO2)]])/(Table1[[#This Row],[Generation (TWh)]]*10^9)</f>
        <v>1903.9550400000001</v>
      </c>
    </row>
    <row r="2003" spans="1:18" hidden="1">
      <c r="A2003" t="s">
        <v>1201</v>
      </c>
      <c r="B2003" t="s">
        <v>46</v>
      </c>
      <c r="C2003" t="str">
        <f>SUBSTITUTE(Table1[[#This Row],[Fuel]],", ",",")</f>
        <v>bioenergy: agricultural waste (solids)</v>
      </c>
      <c r="D2003" t="s">
        <v>46</v>
      </c>
      <c r="G2003">
        <v>40</v>
      </c>
      <c r="H2003" t="s">
        <v>53</v>
      </c>
      <c r="I2003">
        <v>2026</v>
      </c>
      <c r="J2003" t="s">
        <v>21</v>
      </c>
      <c r="K2003">
        <v>-18.7563</v>
      </c>
      <c r="L2003">
        <v>-48.6113</v>
      </c>
      <c r="M2003" t="s">
        <v>49</v>
      </c>
      <c r="N2003" s="2">
        <f>Table1[[#This Row],[Capacity (MW)]]*8760*0.72*10^-6</f>
        <v>0.25228800000000001</v>
      </c>
      <c r="O2003" s="2" cm="1">
        <f t="array" ref="O2003">AVERAGE(VLOOKUP(_xlfn.TEXTSPLIT(Table1[[#This Row],[Fuel (no space after comma)]], ","), FuelList_Final_EF!$A$2:$B$32, 2, FALSE))</f>
        <v>118.17</v>
      </c>
      <c r="P2003" s="2">
        <f>(16112*Table1[[#This Row],[Generation (TWh)]]*10^9)/10^6</f>
        <v>4064864.2560000005</v>
      </c>
      <c r="Q2003" s="2">
        <f>Table1[[#This Row],[Emission Factor (kg CO2/ mmBtu)]]*Table1[[#This Row],[Fuel Consumption (mmBtu)]]*10^3</f>
        <v>480345009131.52008</v>
      </c>
      <c r="R2003" s="2">
        <f>(Table1[[#This Row],[CO2 Emissions (g CO2)]])/(Table1[[#This Row],[Generation (TWh)]]*10^9)</f>
        <v>1903.9550400000003</v>
      </c>
    </row>
    <row r="2004" spans="1:18" hidden="1">
      <c r="A2004" t="s">
        <v>1202</v>
      </c>
      <c r="B2004" t="s">
        <v>64</v>
      </c>
      <c r="C2004" t="str">
        <f>SUBSTITUTE(Table1[[#This Row],[Fuel]],", ",",")</f>
        <v>bioenergy: agricultural waste (solids),coal: unknown</v>
      </c>
      <c r="D2004" t="s">
        <v>46</v>
      </c>
      <c r="E2004" t="s">
        <v>65</v>
      </c>
      <c r="G2004">
        <v>46</v>
      </c>
      <c r="H2004" t="s">
        <v>27</v>
      </c>
      <c r="I2004">
        <v>2005</v>
      </c>
      <c r="J2004" t="s">
        <v>21</v>
      </c>
      <c r="K2004">
        <v>14.151</v>
      </c>
      <c r="L2004">
        <v>-90.840999999999994</v>
      </c>
      <c r="M2004" t="s">
        <v>708</v>
      </c>
      <c r="N2004" s="2">
        <f>Table1[[#This Row],[Capacity (MW)]]*8760*0.72*10^-6</f>
        <v>0.29013119999999998</v>
      </c>
      <c r="O2004" s="2" cm="1">
        <f t="array" ref="O2004">AVERAGE(VLOOKUP(_xlfn.TEXTSPLIT(Table1[[#This Row],[Fuel (no space after comma)]], ","), FuelList_Final_EF!$A$2:$B$32, 2, FALSE))</f>
        <v>109.63850553505534</v>
      </c>
      <c r="P2004" s="2">
        <f>(16112*Table1[[#This Row],[Generation (TWh)]]*10^9)/10^6</f>
        <v>4674593.8943999996</v>
      </c>
      <c r="Q2004" s="2">
        <f>Table1[[#This Row],[Emission Factor (kg CO2/ mmBtu)]]*Table1[[#This Row],[Fuel Consumption (mmBtu)]]*10^3</f>
        <v>512515488565.3103</v>
      </c>
      <c r="R2004" s="2">
        <f>(Table1[[#This Row],[CO2 Emissions (g CO2)]])/(Table1[[#This Row],[Generation (TWh)]]*10^9)</f>
        <v>1766.4956011808117</v>
      </c>
    </row>
    <row r="2005" spans="1:18" hidden="1">
      <c r="A2005" t="s">
        <v>1202</v>
      </c>
      <c r="B2005" t="s">
        <v>64</v>
      </c>
      <c r="C2005" t="str">
        <f>SUBSTITUTE(Table1[[#This Row],[Fuel]],", ",",")</f>
        <v>bioenergy: agricultural waste (solids),coal: unknown</v>
      </c>
      <c r="D2005" t="s">
        <v>46</v>
      </c>
      <c r="E2005" t="s">
        <v>65</v>
      </c>
      <c r="G2005">
        <v>46</v>
      </c>
      <c r="H2005" t="s">
        <v>27</v>
      </c>
      <c r="I2005">
        <v>2016</v>
      </c>
      <c r="J2005" t="s">
        <v>21</v>
      </c>
      <c r="K2005">
        <v>14.151</v>
      </c>
      <c r="L2005">
        <v>-90.840999999999994</v>
      </c>
      <c r="M2005" t="s">
        <v>708</v>
      </c>
      <c r="N2005" s="2">
        <f>Table1[[#This Row],[Capacity (MW)]]*8760*0.72*10^-6</f>
        <v>0.29013119999999998</v>
      </c>
      <c r="O2005" s="2" cm="1">
        <f t="array" ref="O2005">AVERAGE(VLOOKUP(_xlfn.TEXTSPLIT(Table1[[#This Row],[Fuel (no space after comma)]], ","), FuelList_Final_EF!$A$2:$B$32, 2, FALSE))</f>
        <v>109.63850553505534</v>
      </c>
      <c r="P2005" s="2">
        <f>(16112*Table1[[#This Row],[Generation (TWh)]]*10^9)/10^6</f>
        <v>4674593.8943999996</v>
      </c>
      <c r="Q2005" s="2">
        <f>Table1[[#This Row],[Emission Factor (kg CO2/ mmBtu)]]*Table1[[#This Row],[Fuel Consumption (mmBtu)]]*10^3</f>
        <v>512515488565.3103</v>
      </c>
      <c r="R2005" s="2">
        <f>(Table1[[#This Row],[CO2 Emissions (g CO2)]])/(Table1[[#This Row],[Generation (TWh)]]*10^9)</f>
        <v>1766.4956011808117</v>
      </c>
    </row>
    <row r="2006" spans="1:18" hidden="1">
      <c r="A2006" t="s">
        <v>1203</v>
      </c>
      <c r="B2006" t="s">
        <v>46</v>
      </c>
      <c r="C2006" t="str">
        <f>SUBSTITUTE(Table1[[#This Row],[Fuel]],", ",",")</f>
        <v>bioenergy: agricultural waste (solids)</v>
      </c>
      <c r="D2006" t="s">
        <v>46</v>
      </c>
      <c r="G2006">
        <v>32</v>
      </c>
      <c r="H2006" t="s">
        <v>27</v>
      </c>
      <c r="I2006">
        <v>2014</v>
      </c>
      <c r="J2006" t="s">
        <v>21</v>
      </c>
      <c r="K2006">
        <v>-17.681899999999999</v>
      </c>
      <c r="L2006">
        <v>-50.103099999999998</v>
      </c>
      <c r="M2006" t="s">
        <v>49</v>
      </c>
      <c r="N2006" s="2">
        <f>Table1[[#This Row],[Capacity (MW)]]*8760*0.72*10^-6</f>
        <v>0.20183039999999999</v>
      </c>
      <c r="O2006" s="2" cm="1">
        <f t="array" ref="O2006">AVERAGE(VLOOKUP(_xlfn.TEXTSPLIT(Table1[[#This Row],[Fuel (no space after comma)]], ","), FuelList_Final_EF!$A$2:$B$32, 2, FALSE))</f>
        <v>118.17</v>
      </c>
      <c r="P2006" s="2">
        <f>(16112*Table1[[#This Row],[Generation (TWh)]]*10^9)/10^6</f>
        <v>3251891.4047999997</v>
      </c>
      <c r="Q2006" s="2">
        <f>Table1[[#This Row],[Emission Factor (kg CO2/ mmBtu)]]*Table1[[#This Row],[Fuel Consumption (mmBtu)]]*10^3</f>
        <v>384276007305.21594</v>
      </c>
      <c r="R2006" s="2">
        <f>(Table1[[#This Row],[CO2 Emissions (g CO2)]])/(Table1[[#This Row],[Generation (TWh)]]*10^9)</f>
        <v>1903.9550399999998</v>
      </c>
    </row>
    <row r="2007" spans="1:18" hidden="1">
      <c r="A2007" t="s">
        <v>1203</v>
      </c>
      <c r="B2007" t="s">
        <v>46</v>
      </c>
      <c r="C2007" t="str">
        <f>SUBSTITUTE(Table1[[#This Row],[Fuel]],", ",",")</f>
        <v>bioenergy: agricultural waste (solids)</v>
      </c>
      <c r="D2007" t="s">
        <v>46</v>
      </c>
      <c r="G2007">
        <v>80</v>
      </c>
      <c r="H2007" t="s">
        <v>27</v>
      </c>
      <c r="I2007">
        <v>2009</v>
      </c>
      <c r="J2007" t="s">
        <v>21</v>
      </c>
      <c r="K2007">
        <v>-17.338100000000001</v>
      </c>
      <c r="L2007">
        <v>-49.934399999999997</v>
      </c>
      <c r="M2007" t="s">
        <v>49</v>
      </c>
      <c r="N2007" s="2">
        <f>Table1[[#This Row],[Capacity (MW)]]*8760*0.72*10^-6</f>
        <v>0.50457600000000002</v>
      </c>
      <c r="O2007" s="2" cm="1">
        <f t="array" ref="O2007">AVERAGE(VLOOKUP(_xlfn.TEXTSPLIT(Table1[[#This Row],[Fuel (no space after comma)]], ","), FuelList_Final_EF!$A$2:$B$32, 2, FALSE))</f>
        <v>118.17</v>
      </c>
      <c r="P2007" s="2">
        <f>(16112*Table1[[#This Row],[Generation (TWh)]]*10^9)/10^6</f>
        <v>8129728.512000001</v>
      </c>
      <c r="Q2007" s="2">
        <f>Table1[[#This Row],[Emission Factor (kg CO2/ mmBtu)]]*Table1[[#This Row],[Fuel Consumption (mmBtu)]]*10^3</f>
        <v>960690018263.04016</v>
      </c>
      <c r="R2007" s="2">
        <f>(Table1[[#This Row],[CO2 Emissions (g CO2)]])/(Table1[[#This Row],[Generation (TWh)]]*10^9)</f>
        <v>1903.9550400000003</v>
      </c>
    </row>
    <row r="2008" spans="1:18" hidden="1">
      <c r="A2008" t="s">
        <v>1204</v>
      </c>
      <c r="B2008" t="s">
        <v>25</v>
      </c>
      <c r="C2008" t="str">
        <f>SUBSTITUTE(Table1[[#This Row],[Fuel]],", ",",")</f>
        <v>bioenergy: wood &amp; other biomass (solids)</v>
      </c>
      <c r="D2008" t="s">
        <v>25</v>
      </c>
      <c r="G2008">
        <v>37</v>
      </c>
      <c r="H2008" t="s">
        <v>27</v>
      </c>
      <c r="I2008">
        <v>2017</v>
      </c>
      <c r="J2008" t="s">
        <v>21</v>
      </c>
      <c r="K2008">
        <v>35.640999999999998</v>
      </c>
      <c r="L2008">
        <v>136.05539999999999</v>
      </c>
      <c r="M2008" t="s">
        <v>51</v>
      </c>
      <c r="N2008" s="2">
        <f>Table1[[#This Row],[Capacity (MW)]]*8760*0.72*10^-6</f>
        <v>0.23336639999999997</v>
      </c>
      <c r="O2008" s="2" cm="1">
        <f t="array" ref="O2008">AVERAGE(VLOOKUP(_xlfn.TEXTSPLIT(Table1[[#This Row],[Fuel (no space after comma)]], ","), FuelList_Final_EF!$A$2:$B$32, 2, FALSE))</f>
        <v>93.8</v>
      </c>
      <c r="P2008" s="2">
        <f>(16112*Table1[[#This Row],[Generation (TWh)]]*10^9)/10^6</f>
        <v>3759999.4367999998</v>
      </c>
      <c r="Q2008" s="2">
        <f>Table1[[#This Row],[Emission Factor (kg CO2/ mmBtu)]]*Table1[[#This Row],[Fuel Consumption (mmBtu)]]*10^3</f>
        <v>352687947171.83997</v>
      </c>
      <c r="R2008" s="2">
        <f>(Table1[[#This Row],[CO2 Emissions (g CO2)]])/(Table1[[#This Row],[Generation (TWh)]]*10^9)</f>
        <v>1511.3056000000001</v>
      </c>
    </row>
    <row r="2009" spans="1:18" hidden="1">
      <c r="A2009" t="s">
        <v>21</v>
      </c>
      <c r="B2009" t="s">
        <v>1157</v>
      </c>
      <c r="C2009" t="str">
        <f>SUBSTITUTE(Table1[[#This Row],[Fuel]],", ",",")</f>
        <v>bioenergy: wastewater and sewage sludge (solids or biogas),bioenergy: refuse (municipal and industrial wastes)</v>
      </c>
      <c r="D2009" t="s">
        <v>42</v>
      </c>
      <c r="E2009" t="s">
        <v>19</v>
      </c>
      <c r="G2009">
        <v>80</v>
      </c>
      <c r="H2009" t="s">
        <v>53</v>
      </c>
      <c r="I2009">
        <v>2024</v>
      </c>
      <c r="J2009" t="s">
        <v>21</v>
      </c>
      <c r="K2009">
        <v>1.2827999999999999</v>
      </c>
      <c r="L2009">
        <v>103.64619999999999</v>
      </c>
      <c r="M2009" t="s">
        <v>1205</v>
      </c>
      <c r="N2009" s="2">
        <f>Table1[[#This Row],[Capacity (MW)]]*8760*0.72*10^-6</f>
        <v>0.50457600000000002</v>
      </c>
      <c r="O2009" s="2" cm="1">
        <f t="array" ref="O2009">AVERAGE(VLOOKUP(_xlfn.TEXTSPLIT(Table1[[#This Row],[Fuel (no space after comma)]], ","), FuelList_Final_EF!$A$2:$B$32, 2, FALSE))</f>
        <v>81.497100685292565</v>
      </c>
      <c r="P2009" s="2">
        <f>(16112*Table1[[#This Row],[Generation (TWh)]]*10^9)/10^6</f>
        <v>8129728.512000001</v>
      </c>
      <c r="Q2009" s="2">
        <f>Table1[[#This Row],[Emission Factor (kg CO2/ mmBtu)]]*Table1[[#This Row],[Fuel Consumption (mmBtu)]]*10^3</f>
        <v>662549303086.55774</v>
      </c>
      <c r="R2009" s="2">
        <f>(Table1[[#This Row],[CO2 Emissions (g CO2)]])/(Table1[[#This Row],[Generation (TWh)]]*10^9)</f>
        <v>1313.0812862414339</v>
      </c>
    </row>
    <row r="2010" spans="1:18" hidden="1">
      <c r="A2010" t="s">
        <v>1206</v>
      </c>
      <c r="B2010" t="s">
        <v>19</v>
      </c>
      <c r="C2010" t="str">
        <f>SUBSTITUTE(Table1[[#This Row],[Fuel]],", ",",")</f>
        <v>bioenergy: refuse (municipal and industrial wastes)</v>
      </c>
      <c r="D2010" t="s">
        <v>19</v>
      </c>
      <c r="G2010">
        <v>40</v>
      </c>
      <c r="H2010" t="s">
        <v>27</v>
      </c>
      <c r="I2010">
        <v>2000</v>
      </c>
      <c r="J2010" t="s">
        <v>21</v>
      </c>
      <c r="K2010">
        <v>1.2961</v>
      </c>
      <c r="L2010">
        <v>103.6206</v>
      </c>
      <c r="M2010" t="s">
        <v>1205</v>
      </c>
      <c r="N2010" s="2">
        <f>Table1[[#This Row],[Capacity (MW)]]*8760*0.72*10^-6</f>
        <v>0.25228800000000001</v>
      </c>
      <c r="O2010" s="2" cm="1">
        <f t="array" ref="O2010">AVERAGE(VLOOKUP(_xlfn.TEXTSPLIT(Table1[[#This Row],[Fuel (no space after comma)]], ","), FuelList_Final_EF!$A$2:$B$32, 2, FALSE))</f>
        <v>105.42962572482868</v>
      </c>
      <c r="P2010" s="2">
        <f>(16112*Table1[[#This Row],[Generation (TWh)]]*10^9)/10^6</f>
        <v>4064864.2560000005</v>
      </c>
      <c r="Q2010" s="2">
        <f>Table1[[#This Row],[Emission Factor (kg CO2/ mmBtu)]]*Table1[[#This Row],[Fuel Consumption (mmBtu)]]*10^3</f>
        <v>428557117132.31427</v>
      </c>
      <c r="R2010" s="2">
        <f>(Table1[[#This Row],[CO2 Emissions (g CO2)]])/(Table1[[#This Row],[Generation (TWh)]]*10^9)</f>
        <v>1698.6821296784401</v>
      </c>
    </row>
    <row r="2011" spans="1:18" hidden="1">
      <c r="A2011" t="s">
        <v>1206</v>
      </c>
      <c r="B2011" t="s">
        <v>19</v>
      </c>
      <c r="C2011" t="str">
        <f>SUBSTITUTE(Table1[[#This Row],[Fuel]],", ",",")</f>
        <v>bioenergy: refuse (municipal and industrial wastes)</v>
      </c>
      <c r="D2011" t="s">
        <v>19</v>
      </c>
      <c r="G2011">
        <v>40</v>
      </c>
      <c r="H2011" t="s">
        <v>27</v>
      </c>
      <c r="I2011">
        <v>2000</v>
      </c>
      <c r="J2011" t="s">
        <v>21</v>
      </c>
      <c r="K2011">
        <v>1.2961</v>
      </c>
      <c r="L2011">
        <v>103.6206</v>
      </c>
      <c r="M2011" t="s">
        <v>1205</v>
      </c>
      <c r="N2011" s="2">
        <f>Table1[[#This Row],[Capacity (MW)]]*8760*0.72*10^-6</f>
        <v>0.25228800000000001</v>
      </c>
      <c r="O2011" s="2" cm="1">
        <f t="array" ref="O2011">AVERAGE(VLOOKUP(_xlfn.TEXTSPLIT(Table1[[#This Row],[Fuel (no space after comma)]], ","), FuelList_Final_EF!$A$2:$B$32, 2, FALSE))</f>
        <v>105.42962572482868</v>
      </c>
      <c r="P2011" s="2">
        <f>(16112*Table1[[#This Row],[Generation (TWh)]]*10^9)/10^6</f>
        <v>4064864.2560000005</v>
      </c>
      <c r="Q2011" s="2">
        <f>Table1[[#This Row],[Emission Factor (kg CO2/ mmBtu)]]*Table1[[#This Row],[Fuel Consumption (mmBtu)]]*10^3</f>
        <v>428557117132.31427</v>
      </c>
      <c r="R2011" s="2">
        <f>(Table1[[#This Row],[CO2 Emissions (g CO2)]])/(Table1[[#This Row],[Generation (TWh)]]*10^9)</f>
        <v>1698.6821296784401</v>
      </c>
    </row>
    <row r="2012" spans="1:18" hidden="1">
      <c r="A2012" t="s">
        <v>54</v>
      </c>
      <c r="B2012" t="s">
        <v>19</v>
      </c>
      <c r="C2012" t="str">
        <f>SUBSTITUTE(Table1[[#This Row],[Fuel]],", ",",")</f>
        <v>bioenergy: refuse (municipal and industrial wastes)</v>
      </c>
      <c r="D2012" t="s">
        <v>19</v>
      </c>
      <c r="G2012">
        <v>120</v>
      </c>
      <c r="H2012" t="s">
        <v>27</v>
      </c>
      <c r="I2012">
        <v>2021</v>
      </c>
      <c r="J2012" t="s">
        <v>21</v>
      </c>
      <c r="K2012">
        <v>1.2989999999999999</v>
      </c>
      <c r="L2012">
        <v>103.6212</v>
      </c>
      <c r="M2012" t="s">
        <v>1205</v>
      </c>
      <c r="N2012" s="2">
        <f>Table1[[#This Row],[Capacity (MW)]]*8760*0.72*10^-6</f>
        <v>0.75686399999999998</v>
      </c>
      <c r="O2012" s="2" cm="1">
        <f t="array" ref="O2012">AVERAGE(VLOOKUP(_xlfn.TEXTSPLIT(Table1[[#This Row],[Fuel (no space after comma)]], ","), FuelList_Final_EF!$A$2:$B$32, 2, FALSE))</f>
        <v>105.42962572482868</v>
      </c>
      <c r="P2012" s="2">
        <f>(16112*Table1[[#This Row],[Generation (TWh)]]*10^9)/10^6</f>
        <v>12194592.767999999</v>
      </c>
      <c r="Q2012" s="2">
        <f>Table1[[#This Row],[Emission Factor (kg CO2/ mmBtu)]]*Table1[[#This Row],[Fuel Consumption (mmBtu)]]*10^3</f>
        <v>1285671351396.9426</v>
      </c>
      <c r="R2012" s="2">
        <f>(Table1[[#This Row],[CO2 Emissions (g CO2)]])/(Table1[[#This Row],[Generation (TWh)]]*10^9)</f>
        <v>1698.6821296784397</v>
      </c>
    </row>
    <row r="2013" spans="1:18" hidden="1">
      <c r="A2013" t="s">
        <v>1207</v>
      </c>
      <c r="B2013" t="s">
        <v>19</v>
      </c>
      <c r="C2013" t="str">
        <f>SUBSTITUTE(Table1[[#This Row],[Fuel]],", ",",")</f>
        <v>bioenergy: refuse (municipal and industrial wastes)</v>
      </c>
      <c r="D2013" t="s">
        <v>19</v>
      </c>
      <c r="G2013">
        <v>65</v>
      </c>
      <c r="H2013" t="s">
        <v>27</v>
      </c>
      <c r="I2013">
        <v>2013</v>
      </c>
      <c r="J2013" t="s">
        <v>21</v>
      </c>
      <c r="K2013">
        <v>45.036999999999999</v>
      </c>
      <c r="L2013">
        <v>7.5868000000000002</v>
      </c>
      <c r="M2013" t="s">
        <v>37</v>
      </c>
      <c r="N2013" s="2">
        <f>Table1[[#This Row],[Capacity (MW)]]*8760*0.72*10^-6</f>
        <v>0.409968</v>
      </c>
      <c r="O2013" s="2" cm="1">
        <f t="array" ref="O2013">AVERAGE(VLOOKUP(_xlfn.TEXTSPLIT(Table1[[#This Row],[Fuel (no space after comma)]], ","), FuelList_Final_EF!$A$2:$B$32, 2, FALSE))</f>
        <v>105.42962572482868</v>
      </c>
      <c r="P2013" s="2">
        <f>(16112*Table1[[#This Row],[Generation (TWh)]]*10^9)/10^6</f>
        <v>6605404.4160000002</v>
      </c>
      <c r="Q2013" s="2">
        <f>Table1[[#This Row],[Emission Factor (kg CO2/ mmBtu)]]*Table1[[#This Row],[Fuel Consumption (mmBtu)]]*10^3</f>
        <v>696405315340.01062</v>
      </c>
      <c r="R2013" s="2">
        <f>(Table1[[#This Row],[CO2 Emissions (g CO2)]])/(Table1[[#This Row],[Generation (TWh)]]*10^9)</f>
        <v>1698.6821296784399</v>
      </c>
    </row>
    <row r="2014" spans="1:18" hidden="1">
      <c r="A2014" t="s">
        <v>1208</v>
      </c>
      <c r="B2014" t="s">
        <v>251</v>
      </c>
      <c r="C2014" t="str">
        <f>SUBSTITUTE(Table1[[#This Row],[Fuel]],", ",",")</f>
        <v>bioenergy: wood &amp; other biomass (solids),bioenergy: refuse (municipal and industrial wastes)</v>
      </c>
      <c r="D2014" t="s">
        <v>25</v>
      </c>
      <c r="E2014" t="s">
        <v>19</v>
      </c>
      <c r="G2014">
        <v>50</v>
      </c>
      <c r="H2014" t="s">
        <v>97</v>
      </c>
      <c r="I2014">
        <v>2024</v>
      </c>
      <c r="J2014" t="s">
        <v>21</v>
      </c>
      <c r="K2014">
        <v>44.521039999999999</v>
      </c>
      <c r="L2014">
        <v>18.606442999999999</v>
      </c>
      <c r="M2014" t="s">
        <v>1209</v>
      </c>
      <c r="N2014" s="2">
        <f>Table1[[#This Row],[Capacity (MW)]]*8760*0.72*10^-6</f>
        <v>0.31535999999999997</v>
      </c>
      <c r="O2014" s="2" cm="1">
        <f t="array" ref="O2014">AVERAGE(VLOOKUP(_xlfn.TEXTSPLIT(Table1[[#This Row],[Fuel (no space after comma)]], ","), FuelList_Final_EF!$A$2:$B$32, 2, FALSE))</f>
        <v>99.61481286241434</v>
      </c>
      <c r="P2014" s="2">
        <f>(16112*Table1[[#This Row],[Generation (TWh)]]*10^9)/10^6</f>
        <v>5081080.32</v>
      </c>
      <c r="Q2014" s="2">
        <f>Table1[[#This Row],[Emission Factor (kg CO2/ mmBtu)]]*Table1[[#This Row],[Fuel Consumption (mmBtu)]]*10^3</f>
        <v>506150865215.69641</v>
      </c>
      <c r="R2014" s="2">
        <f>(Table1[[#This Row],[CO2 Emissions (g CO2)]])/(Table1[[#This Row],[Generation (TWh)]]*10^9)</f>
        <v>1604.9938648392199</v>
      </c>
    </row>
    <row r="2015" spans="1:18" hidden="1">
      <c r="A2015" t="s">
        <v>1210</v>
      </c>
      <c r="B2015" t="s">
        <v>19</v>
      </c>
      <c r="C2015" t="str">
        <f>SUBSTITUTE(Table1[[#This Row],[Fuel]],", ",",")</f>
        <v>bioenergy: refuse (municipal and industrial wastes)</v>
      </c>
      <c r="D2015" t="s">
        <v>19</v>
      </c>
      <c r="G2015">
        <v>56</v>
      </c>
      <c r="H2015" t="s">
        <v>27</v>
      </c>
      <c r="I2015">
        <v>1997</v>
      </c>
      <c r="J2015" t="s">
        <v>21</v>
      </c>
      <c r="K2015">
        <v>52.234200000000001</v>
      </c>
      <c r="L2015">
        <v>6.7862</v>
      </c>
      <c r="M2015" t="s">
        <v>39</v>
      </c>
      <c r="N2015" s="2">
        <f>Table1[[#This Row],[Capacity (MW)]]*8760*0.72*10^-6</f>
        <v>0.35320319999999999</v>
      </c>
      <c r="O2015" s="2" cm="1">
        <f t="array" ref="O2015">AVERAGE(VLOOKUP(_xlfn.TEXTSPLIT(Table1[[#This Row],[Fuel (no space after comma)]], ","), FuelList_Final_EF!$A$2:$B$32, 2, FALSE))</f>
        <v>105.42962572482868</v>
      </c>
      <c r="P2015" s="2">
        <f>(16112*Table1[[#This Row],[Generation (TWh)]]*10^9)/10^6</f>
        <v>5690809.9583999999</v>
      </c>
      <c r="Q2015" s="2">
        <f>Table1[[#This Row],[Emission Factor (kg CO2/ mmBtu)]]*Table1[[#This Row],[Fuel Consumption (mmBtu)]]*10^3</f>
        <v>599979963985.23987</v>
      </c>
      <c r="R2015" s="2">
        <f>(Table1[[#This Row],[CO2 Emissions (g CO2)]])/(Table1[[#This Row],[Generation (TWh)]]*10^9)</f>
        <v>1698.6821296784397</v>
      </c>
    </row>
    <row r="2016" spans="1:18" hidden="1">
      <c r="A2016" t="s">
        <v>1211</v>
      </c>
      <c r="B2016" t="s">
        <v>25</v>
      </c>
      <c r="C2016" t="str">
        <f>SUBSTITUTE(Table1[[#This Row],[Fuel]],", ",",")</f>
        <v>bioenergy: wood &amp; other biomass (solids)</v>
      </c>
      <c r="D2016" t="s">
        <v>25</v>
      </c>
      <c r="G2016">
        <v>40</v>
      </c>
      <c r="H2016" t="s">
        <v>27</v>
      </c>
      <c r="I2016">
        <v>2013</v>
      </c>
      <c r="J2016" t="s">
        <v>21</v>
      </c>
      <c r="K2016">
        <v>50.106000000000002</v>
      </c>
      <c r="L2016">
        <v>19.013999999999999</v>
      </c>
      <c r="M2016" t="s">
        <v>196</v>
      </c>
      <c r="N2016" s="2">
        <f>Table1[[#This Row],[Capacity (MW)]]*8760*0.72*10^-6</f>
        <v>0.25228800000000001</v>
      </c>
      <c r="O2016" s="2" cm="1">
        <f t="array" ref="O2016">AVERAGE(VLOOKUP(_xlfn.TEXTSPLIT(Table1[[#This Row],[Fuel (no space after comma)]], ","), FuelList_Final_EF!$A$2:$B$32, 2, FALSE))</f>
        <v>93.8</v>
      </c>
      <c r="P2016" s="2">
        <f>(16112*Table1[[#This Row],[Generation (TWh)]]*10^9)/10^6</f>
        <v>4064864.2560000005</v>
      </c>
      <c r="Q2016" s="2">
        <f>Table1[[#This Row],[Emission Factor (kg CO2/ mmBtu)]]*Table1[[#This Row],[Fuel Consumption (mmBtu)]]*10^3</f>
        <v>381284267212.80005</v>
      </c>
      <c r="R2016" s="2">
        <f>(Table1[[#This Row],[CO2 Emissions (g CO2)]])/(Table1[[#This Row],[Generation (TWh)]]*10^9)</f>
        <v>1511.3056000000001</v>
      </c>
    </row>
    <row r="2017" spans="1:18" hidden="1">
      <c r="A2017" t="s">
        <v>1212</v>
      </c>
      <c r="B2017" t="s">
        <v>46</v>
      </c>
      <c r="C2017" t="str">
        <f>SUBSTITUTE(Table1[[#This Row],[Fuel]],", ",",")</f>
        <v>bioenergy: agricultural waste (solids)</v>
      </c>
      <c r="D2017" t="s">
        <v>46</v>
      </c>
      <c r="G2017">
        <v>50</v>
      </c>
      <c r="H2017" t="s">
        <v>53</v>
      </c>
      <c r="I2017">
        <v>2026</v>
      </c>
      <c r="J2017" t="s">
        <v>21</v>
      </c>
      <c r="K2017">
        <v>-19.391400000000001</v>
      </c>
      <c r="L2017">
        <v>-47.816899999999997</v>
      </c>
      <c r="M2017" t="s">
        <v>49</v>
      </c>
      <c r="N2017" s="2">
        <f>Table1[[#This Row],[Capacity (MW)]]*8760*0.72*10^-6</f>
        <v>0.31535999999999997</v>
      </c>
      <c r="O2017" s="2" cm="1">
        <f t="array" ref="O2017">AVERAGE(VLOOKUP(_xlfn.TEXTSPLIT(Table1[[#This Row],[Fuel (no space after comma)]], ","), FuelList_Final_EF!$A$2:$B$32, 2, FALSE))</f>
        <v>118.17</v>
      </c>
      <c r="P2017" s="2">
        <f>(16112*Table1[[#This Row],[Generation (TWh)]]*10^9)/10^6</f>
        <v>5081080.32</v>
      </c>
      <c r="Q2017" s="2">
        <f>Table1[[#This Row],[Emission Factor (kg CO2/ mmBtu)]]*Table1[[#This Row],[Fuel Consumption (mmBtu)]]*10^3</f>
        <v>600431261414.40015</v>
      </c>
      <c r="R2017" s="2">
        <f>(Table1[[#This Row],[CO2 Emissions (g CO2)]])/(Table1[[#This Row],[Generation (TWh)]]*10^9)</f>
        <v>1903.9550400000005</v>
      </c>
    </row>
    <row r="2018" spans="1:18">
      <c r="A2018" t="s">
        <v>1213</v>
      </c>
      <c r="B2018" t="s">
        <v>46</v>
      </c>
      <c r="C2018" t="str">
        <f>SUBSTITUTE(Table1[[#This Row],[Fuel]],", ",",")</f>
        <v>bioenergy: agricultural waste (solids)</v>
      </c>
      <c r="D2018" t="s">
        <v>46</v>
      </c>
      <c r="G2018">
        <v>40</v>
      </c>
      <c r="H2018" t="s">
        <v>27</v>
      </c>
      <c r="I2018" t="s">
        <v>21</v>
      </c>
      <c r="J2018" t="s">
        <v>21</v>
      </c>
      <c r="K2018">
        <v>-26.775600000000001</v>
      </c>
      <c r="L2018">
        <v>31.938600000000001</v>
      </c>
      <c r="M2018" t="s">
        <v>1154</v>
      </c>
      <c r="N2018" s="2">
        <f>Table1[[#This Row],[Capacity (MW)]]*8760*0.72*10^-6</f>
        <v>0.25228800000000001</v>
      </c>
      <c r="O2018" s="2" cm="1">
        <f t="array" ref="O2018">AVERAGE(VLOOKUP(_xlfn.TEXTSPLIT(Table1[[#This Row],[Fuel (no space after comma)]], ","), FuelList_Final_EF!$A$2:$B$32, 2, FALSE))</f>
        <v>118.17</v>
      </c>
      <c r="P2018" s="2">
        <f>(16112*Table1[[#This Row],[Generation (TWh)]]*10^9)/10^6</f>
        <v>4064864.2560000005</v>
      </c>
      <c r="Q2018" s="2">
        <f>Table1[[#This Row],[Emission Factor (kg CO2/ mmBtu)]]*Table1[[#This Row],[Fuel Consumption (mmBtu)]]*10^3</f>
        <v>480345009131.52008</v>
      </c>
      <c r="R2018" s="2">
        <f>(Table1[[#This Row],[CO2 Emissions (g CO2)]])/(Table1[[#This Row],[Generation (TWh)]]*10^9)</f>
        <v>1903.9550400000003</v>
      </c>
    </row>
    <row r="2019" spans="1:18" hidden="1">
      <c r="A2019" t="s">
        <v>1214</v>
      </c>
      <c r="B2019" t="s">
        <v>46</v>
      </c>
      <c r="C2019" t="str">
        <f>SUBSTITUTE(Table1[[#This Row],[Fuel]],", ",",")</f>
        <v>bioenergy: agricultural waste (solids)</v>
      </c>
      <c r="D2019" t="s">
        <v>46</v>
      </c>
      <c r="G2019">
        <v>42</v>
      </c>
      <c r="H2019" t="s">
        <v>27</v>
      </c>
      <c r="I2019">
        <v>2014</v>
      </c>
      <c r="J2019" t="s">
        <v>21</v>
      </c>
      <c r="K2019">
        <v>-22.858499999999999</v>
      </c>
      <c r="L2019">
        <v>-51.377499999999998</v>
      </c>
      <c r="M2019" t="s">
        <v>49</v>
      </c>
      <c r="N2019" s="2">
        <f>Table1[[#This Row],[Capacity (MW)]]*8760*0.72*10^-6</f>
        <v>0.26490239999999993</v>
      </c>
      <c r="O2019" s="2" cm="1">
        <f t="array" ref="O2019">AVERAGE(VLOOKUP(_xlfn.TEXTSPLIT(Table1[[#This Row],[Fuel (no space after comma)]], ","), FuelList_Final_EF!$A$2:$B$32, 2, FALSE))</f>
        <v>118.17</v>
      </c>
      <c r="P2019" s="2">
        <f>(16112*Table1[[#This Row],[Generation (TWh)]]*10^9)/10^6</f>
        <v>4268107.468799999</v>
      </c>
      <c r="Q2019" s="2">
        <f>Table1[[#This Row],[Emission Factor (kg CO2/ mmBtu)]]*Table1[[#This Row],[Fuel Consumption (mmBtu)]]*10^3</f>
        <v>504362259588.09589</v>
      </c>
      <c r="R2019" s="2">
        <f>(Table1[[#This Row],[CO2 Emissions (g CO2)]])/(Table1[[#This Row],[Generation (TWh)]]*10^9)</f>
        <v>1903.9550400000001</v>
      </c>
    </row>
    <row r="2020" spans="1:18" hidden="1">
      <c r="A2020" t="s">
        <v>959</v>
      </c>
      <c r="B2020" t="s">
        <v>1215</v>
      </c>
      <c r="C2020" t="str">
        <f>SUBSTITUTE(Table1[[#This Row],[Fuel]],", ",",")</f>
        <v>bioenergy: paper mill wastes,bioenergy: wood &amp; other biomass (solids),bioenergy: agricultural waste (unknown)</v>
      </c>
      <c r="D2020" t="s">
        <v>61</v>
      </c>
      <c r="E2020" t="s">
        <v>25</v>
      </c>
      <c r="F2020" t="s">
        <v>75</v>
      </c>
      <c r="G2020">
        <v>107</v>
      </c>
      <c r="H2020" t="s">
        <v>27</v>
      </c>
      <c r="I2020">
        <v>2014</v>
      </c>
      <c r="J2020" t="s">
        <v>21</v>
      </c>
      <c r="K2020">
        <v>62.921199999999999</v>
      </c>
      <c r="L2020">
        <v>30.229199999999999</v>
      </c>
      <c r="M2020" t="s">
        <v>28</v>
      </c>
      <c r="N2020" s="2">
        <f>Table1[[#This Row],[Capacity (MW)]]*8760*0.72*10^-6</f>
        <v>0.67487039999999998</v>
      </c>
      <c r="O2020" s="2" cm="1">
        <f t="array" ref="O2020">AVERAGE(VLOOKUP(_xlfn.TEXTSPLIT(Table1[[#This Row],[Fuel (no space after comma)]], ","), FuelList_Final_EF!$A$2:$B$32, 2, FALSE))</f>
        <v>88.874894863234331</v>
      </c>
      <c r="P2020" s="2">
        <f>(16112*Table1[[#This Row],[Generation (TWh)]]*10^9)/10^6</f>
        <v>10873511.8848</v>
      </c>
      <c r="Q2020" s="2">
        <f>Table1[[#This Row],[Emission Factor (kg CO2/ mmBtu)]]*Table1[[#This Row],[Fuel Consumption (mmBtu)]]*10^3</f>
        <v>966382225555.729</v>
      </c>
      <c r="R2020" s="2">
        <f>(Table1[[#This Row],[CO2 Emissions (g CO2)]])/(Table1[[#This Row],[Generation (TWh)]]*10^9)</f>
        <v>1431.9523060364315</v>
      </c>
    </row>
    <row r="2021" spans="1:18" hidden="1">
      <c r="A2021" t="s">
        <v>1214</v>
      </c>
      <c r="B2021" t="s">
        <v>46</v>
      </c>
      <c r="C2021" t="str">
        <f>SUBSTITUTE(Table1[[#This Row],[Fuel]],", ",",")</f>
        <v>bioenergy: agricultural waste (solids)</v>
      </c>
      <c r="D2021" t="s">
        <v>46</v>
      </c>
      <c r="G2021">
        <v>50</v>
      </c>
      <c r="H2021" t="s">
        <v>27</v>
      </c>
      <c r="I2021">
        <v>2022</v>
      </c>
      <c r="J2021" t="s">
        <v>21</v>
      </c>
      <c r="K2021">
        <v>-22.931799999999999</v>
      </c>
      <c r="L2021">
        <v>-51.951700000000002</v>
      </c>
      <c r="M2021" t="s">
        <v>49</v>
      </c>
      <c r="N2021" s="2">
        <f>Table1[[#This Row],[Capacity (MW)]]*8760*0.72*10^-6</f>
        <v>0.31535999999999997</v>
      </c>
      <c r="O2021" s="2" cm="1">
        <f t="array" ref="O2021">AVERAGE(VLOOKUP(_xlfn.TEXTSPLIT(Table1[[#This Row],[Fuel (no space after comma)]], ","), FuelList_Final_EF!$A$2:$B$32, 2, FALSE))</f>
        <v>118.17</v>
      </c>
      <c r="P2021" s="2">
        <f>(16112*Table1[[#This Row],[Generation (TWh)]]*10^9)/10^6</f>
        <v>5081080.32</v>
      </c>
      <c r="Q2021" s="2">
        <f>Table1[[#This Row],[Emission Factor (kg CO2/ mmBtu)]]*Table1[[#This Row],[Fuel Consumption (mmBtu)]]*10^3</f>
        <v>600431261414.40015</v>
      </c>
      <c r="R2021" s="2">
        <f>(Table1[[#This Row],[CO2 Emissions (g CO2)]])/(Table1[[#This Row],[Generation (TWh)]]*10^9)</f>
        <v>1903.9550400000005</v>
      </c>
    </row>
    <row r="2022" spans="1:18" hidden="1">
      <c r="A2022" t="s">
        <v>1214</v>
      </c>
      <c r="B2022" t="s">
        <v>46</v>
      </c>
      <c r="C2022" t="str">
        <f>SUBSTITUTE(Table1[[#This Row],[Fuel]],", ",",")</f>
        <v>bioenergy: agricultural waste (solids)</v>
      </c>
      <c r="D2022" t="s">
        <v>46</v>
      </c>
      <c r="G2022">
        <v>30</v>
      </c>
      <c r="H2022" t="s">
        <v>27</v>
      </c>
      <c r="I2022">
        <v>1995</v>
      </c>
      <c r="J2022" t="s">
        <v>21</v>
      </c>
      <c r="K2022">
        <v>-22.9312</v>
      </c>
      <c r="L2022">
        <v>-51.9514</v>
      </c>
      <c r="M2022" t="s">
        <v>49</v>
      </c>
      <c r="N2022" s="2">
        <f>Table1[[#This Row],[Capacity (MW)]]*8760*0.72*10^-6</f>
        <v>0.189216</v>
      </c>
      <c r="O2022" s="2" cm="1">
        <f t="array" ref="O2022">AVERAGE(VLOOKUP(_xlfn.TEXTSPLIT(Table1[[#This Row],[Fuel (no space after comma)]], ","), FuelList_Final_EF!$A$2:$B$32, 2, FALSE))</f>
        <v>118.17</v>
      </c>
      <c r="P2022" s="2">
        <f>(16112*Table1[[#This Row],[Generation (TWh)]]*10^9)/10^6</f>
        <v>3048648.1919999998</v>
      </c>
      <c r="Q2022" s="2">
        <f>Table1[[#This Row],[Emission Factor (kg CO2/ mmBtu)]]*Table1[[#This Row],[Fuel Consumption (mmBtu)]]*10^3</f>
        <v>360258756848.63995</v>
      </c>
      <c r="R2022" s="2">
        <f>(Table1[[#This Row],[CO2 Emissions (g CO2)]])/(Table1[[#This Row],[Generation (TWh)]]*10^9)</f>
        <v>1903.9550399999998</v>
      </c>
    </row>
    <row r="2023" spans="1:18" hidden="1">
      <c r="A2023" t="s">
        <v>1216</v>
      </c>
      <c r="B2023" t="s">
        <v>46</v>
      </c>
      <c r="C2023" t="str">
        <f>SUBSTITUTE(Table1[[#This Row],[Fuel]],", ",",")</f>
        <v>bioenergy: agricultural waste (solids)</v>
      </c>
      <c r="D2023" t="s">
        <v>46</v>
      </c>
      <c r="G2023">
        <v>40</v>
      </c>
      <c r="H2023" t="s">
        <v>27</v>
      </c>
      <c r="I2023">
        <v>2013</v>
      </c>
      <c r="J2023" t="s">
        <v>21</v>
      </c>
      <c r="K2023">
        <v>-17.520199999999999</v>
      </c>
      <c r="L2023">
        <v>-52.0396</v>
      </c>
      <c r="M2023" t="s">
        <v>49</v>
      </c>
      <c r="N2023" s="2">
        <f>Table1[[#This Row],[Capacity (MW)]]*8760*0.72*10^-6</f>
        <v>0.25228800000000001</v>
      </c>
      <c r="O2023" s="2" cm="1">
        <f t="array" ref="O2023">AVERAGE(VLOOKUP(_xlfn.TEXTSPLIT(Table1[[#This Row],[Fuel (no space after comma)]], ","), FuelList_Final_EF!$A$2:$B$32, 2, FALSE))</f>
        <v>118.17</v>
      </c>
      <c r="P2023" s="2">
        <f>(16112*Table1[[#This Row],[Generation (TWh)]]*10^9)/10^6</f>
        <v>4064864.2560000005</v>
      </c>
      <c r="Q2023" s="2">
        <f>Table1[[#This Row],[Emission Factor (kg CO2/ mmBtu)]]*Table1[[#This Row],[Fuel Consumption (mmBtu)]]*10^3</f>
        <v>480345009131.52008</v>
      </c>
      <c r="R2023" s="2">
        <f>(Table1[[#This Row],[CO2 Emissions (g CO2)]])/(Table1[[#This Row],[Generation (TWh)]]*10^9)</f>
        <v>1903.9550400000003</v>
      </c>
    </row>
    <row r="2024" spans="1:18" hidden="1">
      <c r="A2024" t="s">
        <v>1216</v>
      </c>
      <c r="B2024" t="s">
        <v>46</v>
      </c>
      <c r="C2024" t="str">
        <f>SUBSTITUTE(Table1[[#This Row],[Fuel]],", ",",")</f>
        <v>bioenergy: agricultural waste (solids)</v>
      </c>
      <c r="D2024" t="s">
        <v>46</v>
      </c>
      <c r="G2024">
        <v>40</v>
      </c>
      <c r="H2024" t="s">
        <v>27</v>
      </c>
      <c r="I2024">
        <v>2013</v>
      </c>
      <c r="J2024" t="s">
        <v>21</v>
      </c>
      <c r="K2024">
        <v>-17.520199999999999</v>
      </c>
      <c r="L2024">
        <v>-52.0396</v>
      </c>
      <c r="M2024" t="s">
        <v>49</v>
      </c>
      <c r="N2024" s="2">
        <f>Table1[[#This Row],[Capacity (MW)]]*8760*0.72*10^-6</f>
        <v>0.25228800000000001</v>
      </c>
      <c r="O2024" s="2" cm="1">
        <f t="array" ref="O2024">AVERAGE(VLOOKUP(_xlfn.TEXTSPLIT(Table1[[#This Row],[Fuel (no space after comma)]], ","), FuelList_Final_EF!$A$2:$B$32, 2, FALSE))</f>
        <v>118.17</v>
      </c>
      <c r="P2024" s="2">
        <f>(16112*Table1[[#This Row],[Generation (TWh)]]*10^9)/10^6</f>
        <v>4064864.2560000005</v>
      </c>
      <c r="Q2024" s="2">
        <f>Table1[[#This Row],[Emission Factor (kg CO2/ mmBtu)]]*Table1[[#This Row],[Fuel Consumption (mmBtu)]]*10^3</f>
        <v>480345009131.52008</v>
      </c>
      <c r="R2024" s="2">
        <f>(Table1[[#This Row],[CO2 Emissions (g CO2)]])/(Table1[[#This Row],[Generation (TWh)]]*10^9)</f>
        <v>1903.9550400000003</v>
      </c>
    </row>
    <row r="2025" spans="1:18" hidden="1">
      <c r="A2025" t="s">
        <v>1216</v>
      </c>
      <c r="B2025" t="s">
        <v>46</v>
      </c>
      <c r="C2025" t="str">
        <f>SUBSTITUTE(Table1[[#This Row],[Fuel]],", ",",")</f>
        <v>bioenergy: agricultural waste (solids)</v>
      </c>
      <c r="D2025" t="s">
        <v>46</v>
      </c>
      <c r="G2025">
        <v>73</v>
      </c>
      <c r="H2025" t="s">
        <v>27</v>
      </c>
      <c r="I2025">
        <v>2013</v>
      </c>
      <c r="J2025" t="s">
        <v>21</v>
      </c>
      <c r="K2025">
        <v>-17.834700000000002</v>
      </c>
      <c r="L2025">
        <v>-53.281999999999996</v>
      </c>
      <c r="M2025" t="s">
        <v>49</v>
      </c>
      <c r="N2025" s="2">
        <f>Table1[[#This Row],[Capacity (MW)]]*8760*0.72*10^-6</f>
        <v>0.46042559999999993</v>
      </c>
      <c r="O2025" s="2" cm="1">
        <f t="array" ref="O2025">AVERAGE(VLOOKUP(_xlfn.TEXTSPLIT(Table1[[#This Row],[Fuel (no space after comma)]], ","), FuelList_Final_EF!$A$2:$B$32, 2, FALSE))</f>
        <v>118.17</v>
      </c>
      <c r="P2025" s="2">
        <f>(16112*Table1[[#This Row],[Generation (TWh)]]*10^9)/10^6</f>
        <v>7418377.2671999987</v>
      </c>
      <c r="Q2025" s="2">
        <f>Table1[[#This Row],[Emission Factor (kg CO2/ mmBtu)]]*Table1[[#This Row],[Fuel Consumption (mmBtu)]]*10^3</f>
        <v>876629641665.0238</v>
      </c>
      <c r="R2025" s="2">
        <f>(Table1[[#This Row],[CO2 Emissions (g CO2)]])/(Table1[[#This Row],[Generation (TWh)]]*10^9)</f>
        <v>1903.9550399999998</v>
      </c>
    </row>
    <row r="2026" spans="1:18" hidden="1">
      <c r="A2026" t="s">
        <v>1216</v>
      </c>
      <c r="B2026" t="s">
        <v>46</v>
      </c>
      <c r="C2026" t="str">
        <f>SUBSTITUTE(Table1[[#This Row],[Fuel]],", ",",")</f>
        <v>bioenergy: agricultural waste (solids)</v>
      </c>
      <c r="D2026" t="s">
        <v>46</v>
      </c>
      <c r="G2026">
        <v>40</v>
      </c>
      <c r="H2026" t="s">
        <v>27</v>
      </c>
      <c r="I2026">
        <v>2011</v>
      </c>
      <c r="J2026" t="s">
        <v>21</v>
      </c>
      <c r="K2026">
        <v>-18.543500000000002</v>
      </c>
      <c r="L2026">
        <v>-53.133000000000003</v>
      </c>
      <c r="M2026" t="s">
        <v>49</v>
      </c>
      <c r="N2026" s="2">
        <f>Table1[[#This Row],[Capacity (MW)]]*8760*0.72*10^-6</f>
        <v>0.25228800000000001</v>
      </c>
      <c r="O2026" s="2" cm="1">
        <f t="array" ref="O2026">AVERAGE(VLOOKUP(_xlfn.TEXTSPLIT(Table1[[#This Row],[Fuel (no space after comma)]], ","), FuelList_Final_EF!$A$2:$B$32, 2, FALSE))</f>
        <v>118.17</v>
      </c>
      <c r="P2026" s="2">
        <f>(16112*Table1[[#This Row],[Generation (TWh)]]*10^9)/10^6</f>
        <v>4064864.2560000005</v>
      </c>
      <c r="Q2026" s="2">
        <f>Table1[[#This Row],[Emission Factor (kg CO2/ mmBtu)]]*Table1[[#This Row],[Fuel Consumption (mmBtu)]]*10^3</f>
        <v>480345009131.52008</v>
      </c>
      <c r="R2026" s="2">
        <f>(Table1[[#This Row],[CO2 Emissions (g CO2)]])/(Table1[[#This Row],[Generation (TWh)]]*10^9)</f>
        <v>1903.9550400000003</v>
      </c>
    </row>
    <row r="2027" spans="1:18" hidden="1">
      <c r="A2027" t="s">
        <v>1216</v>
      </c>
      <c r="B2027" t="s">
        <v>46</v>
      </c>
      <c r="C2027" t="str">
        <f>SUBSTITUTE(Table1[[#This Row],[Fuel]],", ",",")</f>
        <v>bioenergy: agricultural waste (solids)</v>
      </c>
      <c r="D2027" t="s">
        <v>46</v>
      </c>
      <c r="G2027">
        <v>40</v>
      </c>
      <c r="H2027" t="s">
        <v>27</v>
      </c>
      <c r="I2027">
        <v>2011</v>
      </c>
      <c r="J2027" t="s">
        <v>21</v>
      </c>
      <c r="K2027">
        <v>-18.543500000000002</v>
      </c>
      <c r="L2027">
        <v>-53.133000000000003</v>
      </c>
      <c r="M2027" t="s">
        <v>49</v>
      </c>
      <c r="N2027" s="2">
        <f>Table1[[#This Row],[Capacity (MW)]]*8760*0.72*10^-6</f>
        <v>0.25228800000000001</v>
      </c>
      <c r="O2027" s="2" cm="1">
        <f t="array" ref="O2027">AVERAGE(VLOOKUP(_xlfn.TEXTSPLIT(Table1[[#This Row],[Fuel (no space after comma)]], ","), FuelList_Final_EF!$A$2:$B$32, 2, FALSE))</f>
        <v>118.17</v>
      </c>
      <c r="P2027" s="2">
        <f>(16112*Table1[[#This Row],[Generation (TWh)]]*10^9)/10^6</f>
        <v>4064864.2560000005</v>
      </c>
      <c r="Q2027" s="2">
        <f>Table1[[#This Row],[Emission Factor (kg CO2/ mmBtu)]]*Table1[[#This Row],[Fuel Consumption (mmBtu)]]*10^3</f>
        <v>480345009131.52008</v>
      </c>
      <c r="R2027" s="2">
        <f>(Table1[[#This Row],[CO2 Emissions (g CO2)]])/(Table1[[#This Row],[Generation (TWh)]]*10^9)</f>
        <v>1903.9550400000003</v>
      </c>
    </row>
    <row r="2028" spans="1:18" hidden="1">
      <c r="A2028" t="s">
        <v>1216</v>
      </c>
      <c r="B2028" t="s">
        <v>46</v>
      </c>
      <c r="C2028" t="str">
        <f>SUBSTITUTE(Table1[[#This Row],[Fuel]],", ",",")</f>
        <v>bioenergy: agricultural waste (solids)</v>
      </c>
      <c r="D2028" t="s">
        <v>46</v>
      </c>
      <c r="G2028">
        <v>73</v>
      </c>
      <c r="H2028" t="s">
        <v>27</v>
      </c>
      <c r="I2028">
        <v>2013</v>
      </c>
      <c r="J2028" t="s">
        <v>21</v>
      </c>
      <c r="K2028">
        <v>-17.724599999999999</v>
      </c>
      <c r="L2028">
        <v>-53.021900000000002</v>
      </c>
      <c r="M2028" t="s">
        <v>49</v>
      </c>
      <c r="N2028" s="2">
        <f>Table1[[#This Row],[Capacity (MW)]]*8760*0.72*10^-6</f>
        <v>0.46042559999999993</v>
      </c>
      <c r="O2028" s="2" cm="1">
        <f t="array" ref="O2028">AVERAGE(VLOOKUP(_xlfn.TEXTSPLIT(Table1[[#This Row],[Fuel (no space after comma)]], ","), FuelList_Final_EF!$A$2:$B$32, 2, FALSE))</f>
        <v>118.17</v>
      </c>
      <c r="P2028" s="2">
        <f>(16112*Table1[[#This Row],[Generation (TWh)]]*10^9)/10^6</f>
        <v>7418377.2671999987</v>
      </c>
      <c r="Q2028" s="2">
        <f>Table1[[#This Row],[Emission Factor (kg CO2/ mmBtu)]]*Table1[[#This Row],[Fuel Consumption (mmBtu)]]*10^3</f>
        <v>876629641665.0238</v>
      </c>
      <c r="R2028" s="2">
        <f>(Table1[[#This Row],[CO2 Emissions (g CO2)]])/(Table1[[#This Row],[Generation (TWh)]]*10^9)</f>
        <v>1903.9550399999998</v>
      </c>
    </row>
    <row r="2029" spans="1:18" hidden="1">
      <c r="A2029" t="s">
        <v>1217</v>
      </c>
      <c r="B2029" t="s">
        <v>19</v>
      </c>
      <c r="C2029" t="str">
        <f>SUBSTITUTE(Table1[[#This Row],[Fuel]],", ",",")</f>
        <v>bioenergy: refuse (municipal and industrial wastes)</v>
      </c>
      <c r="D2029" t="s">
        <v>19</v>
      </c>
      <c r="G2029">
        <v>45</v>
      </c>
      <c r="H2029" t="s">
        <v>27</v>
      </c>
      <c r="I2029">
        <v>1994</v>
      </c>
      <c r="J2029" t="s">
        <v>21</v>
      </c>
      <c r="K2029">
        <v>40.601300000000002</v>
      </c>
      <c r="L2029">
        <v>-74.266400000000004</v>
      </c>
      <c r="M2029" t="s">
        <v>62</v>
      </c>
      <c r="N2029" s="2">
        <f>Table1[[#This Row],[Capacity (MW)]]*8760*0.72*10^-6</f>
        <v>0.28382399999999997</v>
      </c>
      <c r="O2029" s="2" cm="1">
        <f t="array" ref="O2029">AVERAGE(VLOOKUP(_xlfn.TEXTSPLIT(Table1[[#This Row],[Fuel (no space after comma)]], ","), FuelList_Final_EF!$A$2:$B$32, 2, FALSE))</f>
        <v>105.42962572482868</v>
      </c>
      <c r="P2029" s="2">
        <f>(16112*Table1[[#This Row],[Generation (TWh)]]*10^9)/10^6</f>
        <v>4572972.2879999988</v>
      </c>
      <c r="Q2029" s="2">
        <f>Table1[[#This Row],[Emission Factor (kg CO2/ mmBtu)]]*Table1[[#This Row],[Fuel Consumption (mmBtu)]]*10^3</f>
        <v>482126756773.85333</v>
      </c>
      <c r="R2029" s="2">
        <f>(Table1[[#This Row],[CO2 Emissions (g CO2)]])/(Table1[[#This Row],[Generation (TWh)]]*10^9)</f>
        <v>1698.6821296784397</v>
      </c>
    </row>
    <row r="2030" spans="1:18" hidden="1">
      <c r="A2030" t="s">
        <v>1218</v>
      </c>
      <c r="B2030" t="s">
        <v>46</v>
      </c>
      <c r="C2030" t="str">
        <f>SUBSTITUTE(Table1[[#This Row],[Fuel]],", ",",")</f>
        <v>bioenergy: agricultural waste (solids)</v>
      </c>
      <c r="D2030" t="s">
        <v>46</v>
      </c>
      <c r="G2030">
        <v>45</v>
      </c>
      <c r="H2030" t="s">
        <v>27</v>
      </c>
      <c r="I2030">
        <v>2012</v>
      </c>
      <c r="J2030" t="s">
        <v>21</v>
      </c>
      <c r="K2030">
        <v>-21.3245</v>
      </c>
      <c r="L2030">
        <v>-50.949399999999997</v>
      </c>
      <c r="M2030" t="s">
        <v>49</v>
      </c>
      <c r="N2030" s="2">
        <f>Table1[[#This Row],[Capacity (MW)]]*8760*0.72*10^-6</f>
        <v>0.28382399999999997</v>
      </c>
      <c r="O2030" s="2" cm="1">
        <f t="array" ref="O2030">AVERAGE(VLOOKUP(_xlfn.TEXTSPLIT(Table1[[#This Row],[Fuel (no space after comma)]], ","), FuelList_Final_EF!$A$2:$B$32, 2, FALSE))</f>
        <v>118.17</v>
      </c>
      <c r="P2030" s="2">
        <f>(16112*Table1[[#This Row],[Generation (TWh)]]*10^9)/10^6</f>
        <v>4572972.2879999988</v>
      </c>
      <c r="Q2030" s="2">
        <f>Table1[[#This Row],[Emission Factor (kg CO2/ mmBtu)]]*Table1[[#This Row],[Fuel Consumption (mmBtu)]]*10^3</f>
        <v>540388135272.95984</v>
      </c>
      <c r="R2030" s="2">
        <f>(Table1[[#This Row],[CO2 Emissions (g CO2)]])/(Table1[[#This Row],[Generation (TWh)]]*10^9)</f>
        <v>1903.9550399999998</v>
      </c>
    </row>
    <row r="2031" spans="1:18" hidden="1">
      <c r="A2031" t="s">
        <v>741</v>
      </c>
      <c r="B2031" t="s">
        <v>61</v>
      </c>
      <c r="C2031" t="str">
        <f>SUBSTITUTE(Table1[[#This Row],[Fuel]],", ",",")</f>
        <v>bioenergy: paper mill wastes</v>
      </c>
      <c r="D2031" t="s">
        <v>61</v>
      </c>
      <c r="G2031">
        <v>155</v>
      </c>
      <c r="H2031" t="s">
        <v>27</v>
      </c>
      <c r="I2031">
        <v>2023</v>
      </c>
      <c r="J2031" t="s">
        <v>21</v>
      </c>
      <c r="K2031">
        <v>-32.866</v>
      </c>
      <c r="L2031">
        <v>-56.535400000000003</v>
      </c>
      <c r="M2031" t="s">
        <v>919</v>
      </c>
      <c r="N2031" s="2">
        <f>Table1[[#This Row],[Capacity (MW)]]*8760*0.72*10^-6</f>
        <v>0.97761599999999993</v>
      </c>
      <c r="O2031" s="2" cm="1">
        <f t="array" ref="O2031">AVERAGE(VLOOKUP(_xlfn.TEXTSPLIT(Table1[[#This Row],[Fuel (no space after comma)]], ","), FuelList_Final_EF!$A$2:$B$32, 2, FALSE))</f>
        <v>100.47443331576173</v>
      </c>
      <c r="P2031" s="2">
        <f>(16112*Table1[[#This Row],[Generation (TWh)]]*10^9)/10^6</f>
        <v>15751348.992000001</v>
      </c>
      <c r="Q2031" s="2">
        <f>Table1[[#This Row],[Emission Factor (kg CO2/ mmBtu)]]*Table1[[#This Row],[Fuel Consumption (mmBtu)]]*10^3</f>
        <v>1582607863929.9949</v>
      </c>
      <c r="R2031" s="2">
        <f>(Table1[[#This Row],[CO2 Emissions (g CO2)]])/(Table1[[#This Row],[Generation (TWh)]]*10^9)</f>
        <v>1618.8440695835534</v>
      </c>
    </row>
    <row r="2032" spans="1:18" hidden="1">
      <c r="A2032" t="s">
        <v>741</v>
      </c>
      <c r="B2032" t="s">
        <v>61</v>
      </c>
      <c r="C2032" t="str">
        <f>SUBSTITUTE(Table1[[#This Row],[Fuel]],", ",",")</f>
        <v>bioenergy: paper mill wastes</v>
      </c>
      <c r="D2032" t="s">
        <v>61</v>
      </c>
      <c r="G2032">
        <v>155</v>
      </c>
      <c r="H2032" t="s">
        <v>27</v>
      </c>
      <c r="I2032">
        <v>2023</v>
      </c>
      <c r="J2032" t="s">
        <v>21</v>
      </c>
      <c r="K2032">
        <v>-32.866</v>
      </c>
      <c r="L2032">
        <v>-56.535400000000003</v>
      </c>
      <c r="M2032" t="s">
        <v>919</v>
      </c>
      <c r="N2032" s="2">
        <f>Table1[[#This Row],[Capacity (MW)]]*8760*0.72*10^-6</f>
        <v>0.97761599999999993</v>
      </c>
      <c r="O2032" s="2" cm="1">
        <f t="array" ref="O2032">AVERAGE(VLOOKUP(_xlfn.TEXTSPLIT(Table1[[#This Row],[Fuel (no space after comma)]], ","), FuelList_Final_EF!$A$2:$B$32, 2, FALSE))</f>
        <v>100.47443331576173</v>
      </c>
      <c r="P2032" s="2">
        <f>(16112*Table1[[#This Row],[Generation (TWh)]]*10^9)/10^6</f>
        <v>15751348.992000001</v>
      </c>
      <c r="Q2032" s="2">
        <f>Table1[[#This Row],[Emission Factor (kg CO2/ mmBtu)]]*Table1[[#This Row],[Fuel Consumption (mmBtu)]]*10^3</f>
        <v>1582607863929.9949</v>
      </c>
      <c r="R2032" s="2">
        <f>(Table1[[#This Row],[CO2 Emissions (g CO2)]])/(Table1[[#This Row],[Generation (TWh)]]*10^9)</f>
        <v>1618.8440695835534</v>
      </c>
    </row>
    <row r="2033" spans="1:18" hidden="1">
      <c r="A2033" t="s">
        <v>741</v>
      </c>
      <c r="B2033" t="s">
        <v>61</v>
      </c>
      <c r="C2033" t="str">
        <f>SUBSTITUTE(Table1[[#This Row],[Fuel]],", ",",")</f>
        <v>bioenergy: paper mill wastes</v>
      </c>
      <c r="D2033" t="s">
        <v>61</v>
      </c>
      <c r="G2033">
        <v>80</v>
      </c>
      <c r="H2033" t="s">
        <v>27</v>
      </c>
      <c r="I2033">
        <v>2007</v>
      </c>
      <c r="J2033" t="s">
        <v>21</v>
      </c>
      <c r="K2033">
        <v>-33.121000000000002</v>
      </c>
      <c r="L2033">
        <v>-58.255099999999999</v>
      </c>
      <c r="M2033" t="s">
        <v>919</v>
      </c>
      <c r="N2033" s="2">
        <f>Table1[[#This Row],[Capacity (MW)]]*8760*0.72*10^-6</f>
        <v>0.50457600000000002</v>
      </c>
      <c r="O2033" s="2" cm="1">
        <f t="array" ref="O2033">AVERAGE(VLOOKUP(_xlfn.TEXTSPLIT(Table1[[#This Row],[Fuel (no space after comma)]], ","), FuelList_Final_EF!$A$2:$B$32, 2, FALSE))</f>
        <v>100.47443331576173</v>
      </c>
      <c r="P2033" s="2">
        <f>(16112*Table1[[#This Row],[Generation (TWh)]]*10^9)/10^6</f>
        <v>8129728.512000001</v>
      </c>
      <c r="Q2033" s="2">
        <f>Table1[[#This Row],[Emission Factor (kg CO2/ mmBtu)]]*Table1[[#This Row],[Fuel Consumption (mmBtu)]]*10^3</f>
        <v>816829865254.19092</v>
      </c>
      <c r="R2033" s="2">
        <f>(Table1[[#This Row],[CO2 Emissions (g CO2)]])/(Table1[[#This Row],[Generation (TWh)]]*10^9)</f>
        <v>1618.8440695835532</v>
      </c>
    </row>
    <row r="2034" spans="1:18" hidden="1">
      <c r="A2034" t="s">
        <v>741</v>
      </c>
      <c r="B2034" t="s">
        <v>61</v>
      </c>
      <c r="C2034" t="str">
        <f>SUBSTITUTE(Table1[[#This Row],[Fuel]],", ",",")</f>
        <v>bioenergy: paper mill wastes</v>
      </c>
      <c r="D2034" t="s">
        <v>61</v>
      </c>
      <c r="G2034">
        <v>80</v>
      </c>
      <c r="H2034" t="s">
        <v>27</v>
      </c>
      <c r="I2034">
        <v>2007</v>
      </c>
      <c r="J2034" t="s">
        <v>21</v>
      </c>
      <c r="K2034">
        <v>-33.121000000000002</v>
      </c>
      <c r="L2034">
        <v>-58.255099999999999</v>
      </c>
      <c r="M2034" t="s">
        <v>919</v>
      </c>
      <c r="N2034" s="2">
        <f>Table1[[#This Row],[Capacity (MW)]]*8760*0.72*10^-6</f>
        <v>0.50457600000000002</v>
      </c>
      <c r="O2034" s="2" cm="1">
        <f t="array" ref="O2034">AVERAGE(VLOOKUP(_xlfn.TEXTSPLIT(Table1[[#This Row],[Fuel (no space after comma)]], ","), FuelList_Final_EF!$A$2:$B$32, 2, FALSE))</f>
        <v>100.47443331576173</v>
      </c>
      <c r="P2034" s="2">
        <f>(16112*Table1[[#This Row],[Generation (TWh)]]*10^9)/10^6</f>
        <v>8129728.512000001</v>
      </c>
      <c r="Q2034" s="2">
        <f>Table1[[#This Row],[Emission Factor (kg CO2/ mmBtu)]]*Table1[[#This Row],[Fuel Consumption (mmBtu)]]*10^3</f>
        <v>816829865254.19092</v>
      </c>
      <c r="R2034" s="2">
        <f>(Table1[[#This Row],[CO2 Emissions (g CO2)]])/(Table1[[#This Row],[Generation (TWh)]]*10^9)</f>
        <v>1618.8440695835532</v>
      </c>
    </row>
    <row r="2035" spans="1:18" hidden="1">
      <c r="A2035" t="s">
        <v>798</v>
      </c>
      <c r="B2035" t="s">
        <v>46</v>
      </c>
      <c r="C2035" t="str">
        <f>SUBSTITUTE(Table1[[#This Row],[Fuel]],", ",",")</f>
        <v>bioenergy: agricultural waste (solids)</v>
      </c>
      <c r="D2035" t="s">
        <v>46</v>
      </c>
      <c r="G2035">
        <v>46</v>
      </c>
      <c r="H2035" t="s">
        <v>27</v>
      </c>
      <c r="I2035">
        <v>2015</v>
      </c>
      <c r="J2035" t="s">
        <v>21</v>
      </c>
      <c r="K2035">
        <v>9.9587000000000003</v>
      </c>
      <c r="L2035">
        <v>122.8034</v>
      </c>
      <c r="M2035" t="s">
        <v>72</v>
      </c>
      <c r="N2035" s="2">
        <f>Table1[[#This Row],[Capacity (MW)]]*8760*0.72*10^-6</f>
        <v>0.29013119999999998</v>
      </c>
      <c r="O2035" s="2" cm="1">
        <f t="array" ref="O2035">AVERAGE(VLOOKUP(_xlfn.TEXTSPLIT(Table1[[#This Row],[Fuel (no space after comma)]], ","), FuelList_Final_EF!$A$2:$B$32, 2, FALSE))</f>
        <v>118.17</v>
      </c>
      <c r="P2035" s="2">
        <f>(16112*Table1[[#This Row],[Generation (TWh)]]*10^9)/10^6</f>
        <v>4674593.8943999996</v>
      </c>
      <c r="Q2035" s="2">
        <f>Table1[[#This Row],[Emission Factor (kg CO2/ mmBtu)]]*Table1[[#This Row],[Fuel Consumption (mmBtu)]]*10^3</f>
        <v>552396760501.24805</v>
      </c>
      <c r="R2035" s="2">
        <f>(Table1[[#This Row],[CO2 Emissions (g CO2)]])/(Table1[[#This Row],[Generation (TWh)]]*10^9)</f>
        <v>1903.9550400000001</v>
      </c>
    </row>
    <row r="2036" spans="1:18">
      <c r="A2036" t="s">
        <v>1219</v>
      </c>
      <c r="B2036" t="s">
        <v>19</v>
      </c>
      <c r="C2036" t="str">
        <f>SUBSTITUTE(Table1[[#This Row],[Fuel]],", ",",")</f>
        <v>bioenergy: refuse (municipal and industrial wastes)</v>
      </c>
      <c r="D2036" t="s">
        <v>19</v>
      </c>
      <c r="G2036">
        <v>80</v>
      </c>
      <c r="H2036" t="s">
        <v>20</v>
      </c>
      <c r="I2036" t="s">
        <v>21</v>
      </c>
      <c r="J2036" t="s">
        <v>21</v>
      </c>
      <c r="K2036">
        <v>-23.704999999999998</v>
      </c>
      <c r="L2036">
        <v>-46.474499999999999</v>
      </c>
      <c r="M2036" t="s">
        <v>49</v>
      </c>
      <c r="N2036" s="2">
        <f>Table1[[#This Row],[Capacity (MW)]]*8760*0.72*10^-6</f>
        <v>0.50457600000000002</v>
      </c>
      <c r="O2036" s="2" cm="1">
        <f t="array" ref="O2036">AVERAGE(VLOOKUP(_xlfn.TEXTSPLIT(Table1[[#This Row],[Fuel (no space after comma)]], ","), FuelList_Final_EF!$A$2:$B$32, 2, FALSE))</f>
        <v>105.42962572482868</v>
      </c>
      <c r="P2036" s="2">
        <f>(16112*Table1[[#This Row],[Generation (TWh)]]*10^9)/10^6</f>
        <v>8129728.512000001</v>
      </c>
      <c r="Q2036" s="2">
        <f>Table1[[#This Row],[Emission Factor (kg CO2/ mmBtu)]]*Table1[[#This Row],[Fuel Consumption (mmBtu)]]*10^3</f>
        <v>857114234264.62854</v>
      </c>
      <c r="R2036" s="2">
        <f>(Table1[[#This Row],[CO2 Emissions (g CO2)]])/(Table1[[#This Row],[Generation (TWh)]]*10^9)</f>
        <v>1698.6821296784401</v>
      </c>
    </row>
    <row r="2037" spans="1:18">
      <c r="A2037" t="s">
        <v>1220</v>
      </c>
      <c r="B2037" t="s">
        <v>19</v>
      </c>
      <c r="C2037" t="str">
        <f>SUBSTITUTE(Table1[[#This Row],[Fuel]],", ",",")</f>
        <v>bioenergy: refuse (municipal and industrial wastes)</v>
      </c>
      <c r="D2037" t="s">
        <v>19</v>
      </c>
      <c r="G2037">
        <v>50</v>
      </c>
      <c r="H2037" t="s">
        <v>20</v>
      </c>
      <c r="I2037" t="s">
        <v>21</v>
      </c>
      <c r="J2037" t="s">
        <v>21</v>
      </c>
      <c r="K2037">
        <v>-23.883099999999999</v>
      </c>
      <c r="L2037">
        <v>-46.330800000000004</v>
      </c>
      <c r="M2037" t="s">
        <v>49</v>
      </c>
      <c r="N2037" s="2">
        <f>Table1[[#This Row],[Capacity (MW)]]*8760*0.72*10^-6</f>
        <v>0.31535999999999997</v>
      </c>
      <c r="O2037" s="2" cm="1">
        <f t="array" ref="O2037">AVERAGE(VLOOKUP(_xlfn.TEXTSPLIT(Table1[[#This Row],[Fuel (no space after comma)]], ","), FuelList_Final_EF!$A$2:$B$32, 2, FALSE))</f>
        <v>105.42962572482868</v>
      </c>
      <c r="P2037" s="2">
        <f>(16112*Table1[[#This Row],[Generation (TWh)]]*10^9)/10^6</f>
        <v>5081080.32</v>
      </c>
      <c r="Q2037" s="2">
        <f>Table1[[#This Row],[Emission Factor (kg CO2/ mmBtu)]]*Table1[[#This Row],[Fuel Consumption (mmBtu)]]*10^3</f>
        <v>535696396415.39276</v>
      </c>
      <c r="R2037" s="2">
        <f>(Table1[[#This Row],[CO2 Emissions (g CO2)]])/(Table1[[#This Row],[Generation (TWh)]]*10^9)</f>
        <v>1698.6821296784397</v>
      </c>
    </row>
    <row r="2038" spans="1:18" hidden="1">
      <c r="A2038" t="s">
        <v>1057</v>
      </c>
      <c r="B2038" t="s">
        <v>46</v>
      </c>
      <c r="C2038" t="str">
        <f>SUBSTITUTE(Table1[[#This Row],[Fuel]],", ",",")</f>
        <v>bioenergy: agricultural waste (solids)</v>
      </c>
      <c r="D2038" t="s">
        <v>46</v>
      </c>
      <c r="G2038">
        <v>40</v>
      </c>
      <c r="H2038" t="s">
        <v>27</v>
      </c>
      <c r="I2038">
        <v>2007</v>
      </c>
      <c r="J2038" t="s">
        <v>21</v>
      </c>
      <c r="K2038">
        <v>-23.372599999999998</v>
      </c>
      <c r="L2038">
        <v>-52.905000000000001</v>
      </c>
      <c r="M2038" t="s">
        <v>49</v>
      </c>
      <c r="N2038" s="2">
        <f>Table1[[#This Row],[Capacity (MW)]]*8760*0.72*10^-6</f>
        <v>0.25228800000000001</v>
      </c>
      <c r="O2038" s="2" cm="1">
        <f t="array" ref="O2038">AVERAGE(VLOOKUP(_xlfn.TEXTSPLIT(Table1[[#This Row],[Fuel (no space after comma)]], ","), FuelList_Final_EF!$A$2:$B$32, 2, FALSE))</f>
        <v>118.17</v>
      </c>
      <c r="P2038" s="2">
        <f>(16112*Table1[[#This Row],[Generation (TWh)]]*10^9)/10^6</f>
        <v>4064864.2560000005</v>
      </c>
      <c r="Q2038" s="2">
        <f>Table1[[#This Row],[Emission Factor (kg CO2/ mmBtu)]]*Table1[[#This Row],[Fuel Consumption (mmBtu)]]*10^3</f>
        <v>480345009131.52008</v>
      </c>
      <c r="R2038" s="2">
        <f>(Table1[[#This Row],[CO2 Emissions (g CO2)]])/(Table1[[#This Row],[Generation (TWh)]]*10^9)</f>
        <v>1903.9550400000003</v>
      </c>
    </row>
    <row r="2039" spans="1:18" hidden="1">
      <c r="A2039" t="s">
        <v>1214</v>
      </c>
      <c r="B2039" t="s">
        <v>46</v>
      </c>
      <c r="C2039" t="str">
        <f>SUBSTITUTE(Table1[[#This Row],[Fuel]],", ",",")</f>
        <v>bioenergy: agricultural waste (solids)</v>
      </c>
      <c r="D2039" t="s">
        <v>46</v>
      </c>
      <c r="G2039">
        <v>43</v>
      </c>
      <c r="H2039" t="s">
        <v>27</v>
      </c>
      <c r="I2039">
        <v>2015</v>
      </c>
      <c r="J2039" t="s">
        <v>21</v>
      </c>
      <c r="K2039">
        <v>-22.6524</v>
      </c>
      <c r="L2039">
        <v>-51.797699999999999</v>
      </c>
      <c r="M2039" t="s">
        <v>49</v>
      </c>
      <c r="N2039" s="2">
        <f>Table1[[#This Row],[Capacity (MW)]]*8760*0.72*10^-6</f>
        <v>0.27120959999999994</v>
      </c>
      <c r="O2039" s="2" cm="1">
        <f t="array" ref="O2039">AVERAGE(VLOOKUP(_xlfn.TEXTSPLIT(Table1[[#This Row],[Fuel (no space after comma)]], ","), FuelList_Final_EF!$A$2:$B$32, 2, FALSE))</f>
        <v>118.17</v>
      </c>
      <c r="P2039" s="2">
        <f>(16112*Table1[[#This Row],[Generation (TWh)]]*10^9)/10^6</f>
        <v>4369729.0751999989</v>
      </c>
      <c r="Q2039" s="2">
        <f>Table1[[#This Row],[Emission Factor (kg CO2/ mmBtu)]]*Table1[[#This Row],[Fuel Consumption (mmBtu)]]*10^3</f>
        <v>516370884816.38391</v>
      </c>
      <c r="R2039" s="2">
        <f>(Table1[[#This Row],[CO2 Emissions (g CO2)]])/(Table1[[#This Row],[Generation (TWh)]]*10^9)</f>
        <v>1903.9550400000001</v>
      </c>
    </row>
    <row r="2040" spans="1:18" hidden="1">
      <c r="A2040" t="s">
        <v>1214</v>
      </c>
      <c r="B2040" t="s">
        <v>46</v>
      </c>
      <c r="C2040" t="str">
        <f>SUBSTITUTE(Table1[[#This Row],[Fuel]],", ",",")</f>
        <v>bioenergy: agricultural waste (solids)</v>
      </c>
      <c r="D2040" t="s">
        <v>46</v>
      </c>
      <c r="G2040">
        <v>35</v>
      </c>
      <c r="H2040" t="s">
        <v>27</v>
      </c>
      <c r="I2040">
        <v>2007</v>
      </c>
      <c r="J2040" t="s">
        <v>21</v>
      </c>
      <c r="K2040">
        <v>-22.7088</v>
      </c>
      <c r="L2040">
        <v>-51.7774</v>
      </c>
      <c r="M2040" t="s">
        <v>49</v>
      </c>
      <c r="N2040" s="2">
        <f>Table1[[#This Row],[Capacity (MW)]]*8760*0.72*10^-6</f>
        <v>0.220752</v>
      </c>
      <c r="O2040" s="2" cm="1">
        <f t="array" ref="O2040">AVERAGE(VLOOKUP(_xlfn.TEXTSPLIT(Table1[[#This Row],[Fuel (no space after comma)]], ","), FuelList_Final_EF!$A$2:$B$32, 2, FALSE))</f>
        <v>118.17</v>
      </c>
      <c r="P2040" s="2">
        <f>(16112*Table1[[#This Row],[Generation (TWh)]]*10^9)/10^6</f>
        <v>3556756.2239999999</v>
      </c>
      <c r="Q2040" s="2">
        <f>Table1[[#This Row],[Emission Factor (kg CO2/ mmBtu)]]*Table1[[#This Row],[Fuel Consumption (mmBtu)]]*10^3</f>
        <v>420301882990.08002</v>
      </c>
      <c r="R2040" s="2">
        <f>(Table1[[#This Row],[CO2 Emissions (g CO2)]])/(Table1[[#This Row],[Generation (TWh)]]*10^9)</f>
        <v>1903.9550400000001</v>
      </c>
    </row>
    <row r="2041" spans="1:18" hidden="1">
      <c r="A2041" t="s">
        <v>1221</v>
      </c>
      <c r="B2041" t="s">
        <v>46</v>
      </c>
      <c r="C2041" t="str">
        <f>SUBSTITUTE(Table1[[#This Row],[Fuel]],", ",",")</f>
        <v>bioenergy: agricultural waste (solids)</v>
      </c>
      <c r="D2041" t="s">
        <v>46</v>
      </c>
      <c r="G2041">
        <v>35</v>
      </c>
      <c r="H2041" t="s">
        <v>27</v>
      </c>
      <c r="I2041">
        <v>2003</v>
      </c>
      <c r="J2041" t="s">
        <v>21</v>
      </c>
      <c r="K2041">
        <v>-21.172000000000001</v>
      </c>
      <c r="L2041">
        <v>-47.618899999999996</v>
      </c>
      <c r="M2041" t="s">
        <v>49</v>
      </c>
      <c r="N2041" s="2">
        <f>Table1[[#This Row],[Capacity (MW)]]*8760*0.72*10^-6</f>
        <v>0.220752</v>
      </c>
      <c r="O2041" s="2" cm="1">
        <f t="array" ref="O2041">AVERAGE(VLOOKUP(_xlfn.TEXTSPLIT(Table1[[#This Row],[Fuel (no space after comma)]], ","), FuelList_Final_EF!$A$2:$B$32, 2, FALSE))</f>
        <v>118.17</v>
      </c>
      <c r="P2041" s="2">
        <f>(16112*Table1[[#This Row],[Generation (TWh)]]*10^9)/10^6</f>
        <v>3556756.2239999999</v>
      </c>
      <c r="Q2041" s="2">
        <f>Table1[[#This Row],[Emission Factor (kg CO2/ mmBtu)]]*Table1[[#This Row],[Fuel Consumption (mmBtu)]]*10^3</f>
        <v>420301882990.08002</v>
      </c>
      <c r="R2041" s="2">
        <f>(Table1[[#This Row],[CO2 Emissions (g CO2)]])/(Table1[[#This Row],[Generation (TWh)]]*10^9)</f>
        <v>1903.9550400000001</v>
      </c>
    </row>
    <row r="2042" spans="1:18">
      <c r="A2042" t="s">
        <v>1222</v>
      </c>
      <c r="B2042" t="s">
        <v>210</v>
      </c>
      <c r="C2042" t="str">
        <f>SUBSTITUTE(Table1[[#This Row],[Fuel]],", ",",")</f>
        <v>bioenergy: wood &amp; other biomass (solids),bioenergy: agricultural waste (solids)</v>
      </c>
      <c r="D2042" t="s">
        <v>25</v>
      </c>
      <c r="E2042" t="s">
        <v>46</v>
      </c>
      <c r="G2042">
        <v>35</v>
      </c>
      <c r="H2042" t="s">
        <v>172</v>
      </c>
      <c r="I2042" t="s">
        <v>21</v>
      </c>
      <c r="J2042" t="s">
        <v>21</v>
      </c>
      <c r="K2042">
        <v>-26.531700000000001</v>
      </c>
      <c r="L2042">
        <v>31.008099999999999</v>
      </c>
      <c r="M2042" t="s">
        <v>1154</v>
      </c>
      <c r="N2042" s="2">
        <f>Table1[[#This Row],[Capacity (MW)]]*8760*0.72*10^-6</f>
        <v>0.220752</v>
      </c>
      <c r="O2042" s="2" cm="1">
        <f t="array" ref="O2042">AVERAGE(VLOOKUP(_xlfn.TEXTSPLIT(Table1[[#This Row],[Fuel (no space after comma)]], ","), FuelList_Final_EF!$A$2:$B$32, 2, FALSE))</f>
        <v>105.985</v>
      </c>
      <c r="P2042" s="2">
        <f>(16112*Table1[[#This Row],[Generation (TWh)]]*10^9)/10^6</f>
        <v>3556756.2239999999</v>
      </c>
      <c r="Q2042" s="2">
        <f>Table1[[#This Row],[Emission Factor (kg CO2/ mmBtu)]]*Table1[[#This Row],[Fuel Consumption (mmBtu)]]*10^3</f>
        <v>376962808400.64001</v>
      </c>
      <c r="R2042" s="2">
        <f>(Table1[[#This Row],[CO2 Emissions (g CO2)]])/(Table1[[#This Row],[Generation (TWh)]]*10^9)</f>
        <v>1707.63032</v>
      </c>
    </row>
    <row r="2043" spans="1:18" hidden="1">
      <c r="A2043" t="s">
        <v>1223</v>
      </c>
      <c r="B2043" t="s">
        <v>19</v>
      </c>
      <c r="C2043" t="str">
        <f>SUBSTITUTE(Table1[[#This Row],[Fuel]],", ",",")</f>
        <v>bioenergy: refuse (municipal and industrial wastes)</v>
      </c>
      <c r="D2043" t="s">
        <v>19</v>
      </c>
      <c r="G2043">
        <v>30</v>
      </c>
      <c r="H2043" t="s">
        <v>27</v>
      </c>
      <c r="I2043">
        <v>2009</v>
      </c>
      <c r="J2043" t="s">
        <v>21</v>
      </c>
      <c r="K2043">
        <v>50.681600000000003</v>
      </c>
      <c r="L2043">
        <v>5.6445999999999996</v>
      </c>
      <c r="M2043" t="s">
        <v>241</v>
      </c>
      <c r="N2043" s="2">
        <f>Table1[[#This Row],[Capacity (MW)]]*8760*0.72*10^-6</f>
        <v>0.189216</v>
      </c>
      <c r="O2043" s="2" cm="1">
        <f t="array" ref="O2043">AVERAGE(VLOOKUP(_xlfn.TEXTSPLIT(Table1[[#This Row],[Fuel (no space after comma)]], ","), FuelList_Final_EF!$A$2:$B$32, 2, FALSE))</f>
        <v>105.42962572482868</v>
      </c>
      <c r="P2043" s="2">
        <f>(16112*Table1[[#This Row],[Generation (TWh)]]*10^9)/10^6</f>
        <v>3048648.1919999998</v>
      </c>
      <c r="Q2043" s="2">
        <f>Table1[[#This Row],[Emission Factor (kg CO2/ mmBtu)]]*Table1[[#This Row],[Fuel Consumption (mmBtu)]]*10^3</f>
        <v>321417837849.23566</v>
      </c>
      <c r="R2043" s="2">
        <f>(Table1[[#This Row],[CO2 Emissions (g CO2)]])/(Table1[[#This Row],[Generation (TWh)]]*10^9)</f>
        <v>1698.6821296784397</v>
      </c>
    </row>
    <row r="2044" spans="1:18" hidden="1">
      <c r="A2044" t="s">
        <v>136</v>
      </c>
      <c r="B2044" t="s">
        <v>1224</v>
      </c>
      <c r="C2044" t="str">
        <f>SUBSTITUTE(Table1[[#This Row],[Fuel]],", ",",")</f>
        <v>bioenergy: wood &amp; other biomass (solids),bioenergy: paper mill wastes,fossil liquids: heavy fuel oil</v>
      </c>
      <c r="D2044" t="s">
        <v>25</v>
      </c>
      <c r="E2044" t="s">
        <v>61</v>
      </c>
      <c r="F2044" t="s">
        <v>143</v>
      </c>
      <c r="G2044">
        <v>140</v>
      </c>
      <c r="H2044" t="s">
        <v>27</v>
      </c>
      <c r="I2044">
        <v>2004</v>
      </c>
      <c r="J2044" t="s">
        <v>21</v>
      </c>
      <c r="K2044">
        <v>-39.5655</v>
      </c>
      <c r="L2044">
        <v>-72.900000000000006</v>
      </c>
      <c r="M2044" t="s">
        <v>98</v>
      </c>
      <c r="N2044" s="2">
        <f>Table1[[#This Row],[Capacity (MW)]]*8760*0.72*10^-6</f>
        <v>0.88300800000000002</v>
      </c>
      <c r="O2044" s="2" cm="1">
        <f t="array" ref="O2044">AVERAGE(VLOOKUP(_xlfn.TEXTSPLIT(Table1[[#This Row],[Fuel (no space after comma)]], ","), FuelList_Final_EF!$A$2:$B$32, 2, FALSE))</f>
        <v>91.958987875593039</v>
      </c>
      <c r="P2044" s="2">
        <f>(16112*Table1[[#This Row],[Generation (TWh)]]*10^9)/10^6</f>
        <v>14227024.896</v>
      </c>
      <c r="Q2044" s="2">
        <f>Table1[[#This Row],[Emission Factor (kg CO2/ mmBtu)]]*Table1[[#This Row],[Fuel Consumption (mmBtu)]]*10^3</f>
        <v>1308302809917.0244</v>
      </c>
      <c r="R2044" s="2">
        <f>(Table1[[#This Row],[CO2 Emissions (g CO2)]])/(Table1[[#This Row],[Generation (TWh)]]*10^9)</f>
        <v>1481.6432126515551</v>
      </c>
    </row>
    <row r="2045" spans="1:18" hidden="1">
      <c r="A2045" t="s">
        <v>227</v>
      </c>
      <c r="B2045" t="s">
        <v>46</v>
      </c>
      <c r="C2045" t="str">
        <f>SUBSTITUTE(Table1[[#This Row],[Fuel]],", ",",")</f>
        <v>bioenergy: agricultural waste (solids)</v>
      </c>
      <c r="D2045" t="s">
        <v>46</v>
      </c>
      <c r="G2045">
        <v>24</v>
      </c>
      <c r="H2045" t="s">
        <v>27</v>
      </c>
      <c r="I2045">
        <v>2020</v>
      </c>
      <c r="J2045" t="s">
        <v>21</v>
      </c>
      <c r="K2045">
        <v>-20.406099999999999</v>
      </c>
      <c r="L2045">
        <v>-51.029200000000003</v>
      </c>
      <c r="M2045" t="s">
        <v>49</v>
      </c>
      <c r="N2045" s="2">
        <f>Table1[[#This Row],[Capacity (MW)]]*8760*0.72*10^-6</f>
        <v>0.15137279999999997</v>
      </c>
      <c r="O2045" s="2" cm="1">
        <f t="array" ref="O2045">AVERAGE(VLOOKUP(_xlfn.TEXTSPLIT(Table1[[#This Row],[Fuel (no space after comma)]], ","), FuelList_Final_EF!$A$2:$B$32, 2, FALSE))</f>
        <v>118.17</v>
      </c>
      <c r="P2045" s="2">
        <f>(16112*Table1[[#This Row],[Generation (TWh)]]*10^9)/10^6</f>
        <v>2438918.5535999993</v>
      </c>
      <c r="Q2045" s="2">
        <f>Table1[[#This Row],[Emission Factor (kg CO2/ mmBtu)]]*Table1[[#This Row],[Fuel Consumption (mmBtu)]]*10^3</f>
        <v>288207005478.91193</v>
      </c>
      <c r="R2045" s="2">
        <f>(Table1[[#This Row],[CO2 Emissions (g CO2)]])/(Table1[[#This Row],[Generation (TWh)]]*10^9)</f>
        <v>1903.9550399999998</v>
      </c>
    </row>
    <row r="2046" spans="1:18" hidden="1">
      <c r="A2046" t="s">
        <v>1225</v>
      </c>
      <c r="B2046" t="s">
        <v>46</v>
      </c>
      <c r="C2046" t="str">
        <f>SUBSTITUTE(Table1[[#This Row],[Fuel]],", ",",")</f>
        <v>bioenergy: agricultural waste (solids)</v>
      </c>
      <c r="D2046" t="s">
        <v>46</v>
      </c>
      <c r="G2046">
        <v>24</v>
      </c>
      <c r="H2046" t="s">
        <v>27</v>
      </c>
      <c r="I2046">
        <v>2020</v>
      </c>
      <c r="J2046" t="s">
        <v>21</v>
      </c>
      <c r="K2046">
        <v>-20.406099999999999</v>
      </c>
      <c r="L2046">
        <v>-51.029200000000003</v>
      </c>
      <c r="M2046" t="s">
        <v>49</v>
      </c>
      <c r="N2046" s="2">
        <f>Table1[[#This Row],[Capacity (MW)]]*8760*0.72*10^-6</f>
        <v>0.15137279999999997</v>
      </c>
      <c r="O2046" s="2" cm="1">
        <f t="array" ref="O2046">AVERAGE(VLOOKUP(_xlfn.TEXTSPLIT(Table1[[#This Row],[Fuel (no space after comma)]], ","), FuelList_Final_EF!$A$2:$B$32, 2, FALSE))</f>
        <v>118.17</v>
      </c>
      <c r="P2046" s="2">
        <f>(16112*Table1[[#This Row],[Generation (TWh)]]*10^9)/10^6</f>
        <v>2438918.5535999993</v>
      </c>
      <c r="Q2046" s="2">
        <f>Table1[[#This Row],[Emission Factor (kg CO2/ mmBtu)]]*Table1[[#This Row],[Fuel Consumption (mmBtu)]]*10^3</f>
        <v>288207005478.91193</v>
      </c>
      <c r="R2046" s="2">
        <f>(Table1[[#This Row],[CO2 Emissions (g CO2)]])/(Table1[[#This Row],[Generation (TWh)]]*10^9)</f>
        <v>1903.9550399999998</v>
      </c>
    </row>
    <row r="2047" spans="1:18" hidden="1">
      <c r="A2047" t="s">
        <v>843</v>
      </c>
      <c r="B2047" t="s">
        <v>46</v>
      </c>
      <c r="C2047" t="str">
        <f>SUBSTITUTE(Table1[[#This Row],[Fuel]],", ",",")</f>
        <v>bioenergy: agricultural waste (solids)</v>
      </c>
      <c r="D2047" t="s">
        <v>46</v>
      </c>
      <c r="G2047">
        <v>97</v>
      </c>
      <c r="H2047" t="s">
        <v>27</v>
      </c>
      <c r="I2047">
        <v>1994</v>
      </c>
      <c r="J2047" t="s">
        <v>21</v>
      </c>
      <c r="K2047">
        <v>-20.613299999999999</v>
      </c>
      <c r="L2047">
        <v>-48.000799999999998</v>
      </c>
      <c r="M2047" t="s">
        <v>49</v>
      </c>
      <c r="N2047" s="2">
        <f>Table1[[#This Row],[Capacity (MW)]]*8760*0.72*10^-6</f>
        <v>0.61179839999999996</v>
      </c>
      <c r="O2047" s="2" cm="1">
        <f t="array" ref="O2047">AVERAGE(VLOOKUP(_xlfn.TEXTSPLIT(Table1[[#This Row],[Fuel (no space after comma)]], ","), FuelList_Final_EF!$A$2:$B$32, 2, FALSE))</f>
        <v>118.17</v>
      </c>
      <c r="P2047" s="2">
        <f>(16112*Table1[[#This Row],[Generation (TWh)]]*10^9)/10^6</f>
        <v>9857295.8208000008</v>
      </c>
      <c r="Q2047" s="2">
        <f>Table1[[#This Row],[Emission Factor (kg CO2/ mmBtu)]]*Table1[[#This Row],[Fuel Consumption (mmBtu)]]*10^3</f>
        <v>1164836647143.936</v>
      </c>
      <c r="R2047" s="2">
        <f>(Table1[[#This Row],[CO2 Emissions (g CO2)]])/(Table1[[#This Row],[Generation (TWh)]]*10^9)</f>
        <v>1903.9550400000001</v>
      </c>
    </row>
    <row r="2048" spans="1:18" hidden="1">
      <c r="A2048" t="s">
        <v>1226</v>
      </c>
      <c r="B2048" t="s">
        <v>46</v>
      </c>
      <c r="C2048" t="str">
        <f>SUBSTITUTE(Table1[[#This Row],[Fuel]],", ",",")</f>
        <v>bioenergy: agricultural waste (solids)</v>
      </c>
      <c r="D2048" t="s">
        <v>46</v>
      </c>
      <c r="G2048">
        <v>55</v>
      </c>
      <c r="H2048" t="s">
        <v>27</v>
      </c>
      <c r="I2048">
        <v>2010</v>
      </c>
      <c r="J2048" t="s">
        <v>21</v>
      </c>
      <c r="K2048">
        <v>-19.0657</v>
      </c>
      <c r="L2048">
        <v>-50.3626</v>
      </c>
      <c r="M2048" t="s">
        <v>49</v>
      </c>
      <c r="N2048" s="2">
        <f>Table1[[#This Row],[Capacity (MW)]]*8760*0.72*10^-6</f>
        <v>0.34689599999999998</v>
      </c>
      <c r="O2048" s="2" cm="1">
        <f t="array" ref="O2048">AVERAGE(VLOOKUP(_xlfn.TEXTSPLIT(Table1[[#This Row],[Fuel (no space after comma)]], ","), FuelList_Final_EF!$A$2:$B$32, 2, FALSE))</f>
        <v>118.17</v>
      </c>
      <c r="P2048" s="2">
        <f>(16112*Table1[[#This Row],[Generation (TWh)]]*10^9)/10^6</f>
        <v>5589188.352</v>
      </c>
      <c r="Q2048" s="2">
        <f>Table1[[#This Row],[Emission Factor (kg CO2/ mmBtu)]]*Table1[[#This Row],[Fuel Consumption (mmBtu)]]*10^3</f>
        <v>660474387555.83997</v>
      </c>
      <c r="R2048" s="2">
        <f>(Table1[[#This Row],[CO2 Emissions (g CO2)]])/(Table1[[#This Row],[Generation (TWh)]]*10^9)</f>
        <v>1903.9550399999998</v>
      </c>
    </row>
    <row r="2049" spans="1:18" hidden="1">
      <c r="A2049" t="s">
        <v>1194</v>
      </c>
      <c r="B2049" t="s">
        <v>46</v>
      </c>
      <c r="C2049" t="str">
        <f>SUBSTITUTE(Table1[[#This Row],[Fuel]],", ",",")</f>
        <v>bioenergy: agricultural waste (solids)</v>
      </c>
      <c r="D2049" t="s">
        <v>46</v>
      </c>
      <c r="G2049">
        <v>40</v>
      </c>
      <c r="H2049" t="s">
        <v>27</v>
      </c>
      <c r="I2049">
        <v>2012</v>
      </c>
      <c r="J2049" t="s">
        <v>21</v>
      </c>
      <c r="K2049">
        <v>-19.346800000000002</v>
      </c>
      <c r="L2049">
        <v>-48.232199999999999</v>
      </c>
      <c r="M2049" t="s">
        <v>49</v>
      </c>
      <c r="N2049" s="2">
        <f>Table1[[#This Row],[Capacity (MW)]]*8760*0.72*10^-6</f>
        <v>0.25228800000000001</v>
      </c>
      <c r="O2049" s="2" cm="1">
        <f t="array" ref="O2049">AVERAGE(VLOOKUP(_xlfn.TEXTSPLIT(Table1[[#This Row],[Fuel (no space after comma)]], ","), FuelList_Final_EF!$A$2:$B$32, 2, FALSE))</f>
        <v>118.17</v>
      </c>
      <c r="P2049" s="2">
        <f>(16112*Table1[[#This Row],[Generation (TWh)]]*10^9)/10^6</f>
        <v>4064864.2560000005</v>
      </c>
      <c r="Q2049" s="2">
        <f>Table1[[#This Row],[Emission Factor (kg CO2/ mmBtu)]]*Table1[[#This Row],[Fuel Consumption (mmBtu)]]*10^3</f>
        <v>480345009131.52008</v>
      </c>
      <c r="R2049" s="2">
        <f>(Table1[[#This Row],[CO2 Emissions (g CO2)]])/(Table1[[#This Row],[Generation (TWh)]]*10^9)</f>
        <v>1903.9550400000003</v>
      </c>
    </row>
    <row r="2050" spans="1:18" hidden="1">
      <c r="A2050" t="s">
        <v>1194</v>
      </c>
      <c r="B2050" t="s">
        <v>46</v>
      </c>
      <c r="C2050" t="str">
        <f>SUBSTITUTE(Table1[[#This Row],[Fuel]],", ",",")</f>
        <v>bioenergy: agricultural waste (solids)</v>
      </c>
      <c r="D2050" t="s">
        <v>46</v>
      </c>
      <c r="G2050">
        <v>45</v>
      </c>
      <c r="H2050" t="s">
        <v>27</v>
      </c>
      <c r="I2050">
        <v>2010</v>
      </c>
      <c r="J2050" t="s">
        <v>21</v>
      </c>
      <c r="K2050">
        <v>-19.346800000000002</v>
      </c>
      <c r="L2050">
        <v>-48.232500000000002</v>
      </c>
      <c r="M2050" t="s">
        <v>49</v>
      </c>
      <c r="N2050" s="2">
        <f>Table1[[#This Row],[Capacity (MW)]]*8760*0.72*10^-6</f>
        <v>0.28382399999999997</v>
      </c>
      <c r="O2050" s="2" cm="1">
        <f t="array" ref="O2050">AVERAGE(VLOOKUP(_xlfn.TEXTSPLIT(Table1[[#This Row],[Fuel (no space after comma)]], ","), FuelList_Final_EF!$A$2:$B$32, 2, FALSE))</f>
        <v>118.17</v>
      </c>
      <c r="P2050" s="2">
        <f>(16112*Table1[[#This Row],[Generation (TWh)]]*10^9)/10^6</f>
        <v>4572972.2879999988</v>
      </c>
      <c r="Q2050" s="2">
        <f>Table1[[#This Row],[Emission Factor (kg CO2/ mmBtu)]]*Table1[[#This Row],[Fuel Consumption (mmBtu)]]*10^3</f>
        <v>540388135272.95984</v>
      </c>
      <c r="R2050" s="2">
        <f>(Table1[[#This Row],[CO2 Emissions (g CO2)]])/(Table1[[#This Row],[Generation (TWh)]]*10^9)</f>
        <v>1903.9550399999998</v>
      </c>
    </row>
    <row r="2051" spans="1:18" hidden="1">
      <c r="A2051" t="s">
        <v>225</v>
      </c>
      <c r="B2051" t="s">
        <v>728</v>
      </c>
      <c r="C2051" t="str">
        <f>SUBSTITUTE(Table1[[#This Row],[Fuel]],", ",",")</f>
        <v>bioenergy: paper mill wastes,fossil gas: natural gas,fossil liquids: unknown</v>
      </c>
      <c r="D2051" t="s">
        <v>61</v>
      </c>
      <c r="E2051" t="s">
        <v>69</v>
      </c>
      <c r="F2051" t="s">
        <v>217</v>
      </c>
      <c r="G2051">
        <v>68</v>
      </c>
      <c r="H2051" t="s">
        <v>27</v>
      </c>
      <c r="I2051">
        <v>1971</v>
      </c>
      <c r="J2051" t="s">
        <v>21</v>
      </c>
      <c r="K2051">
        <v>33.996099999999998</v>
      </c>
      <c r="L2051">
        <v>-95.111400000000003</v>
      </c>
      <c r="M2051" t="s">
        <v>62</v>
      </c>
      <c r="N2051" s="2">
        <f>Table1[[#This Row],[Capacity (MW)]]*8760*0.72*10^-6</f>
        <v>0.42888959999999998</v>
      </c>
      <c r="O2051" s="2" cm="1">
        <f t="array" ref="O2051">AVERAGE(VLOOKUP(_xlfn.TEXTSPLIT(Table1[[#This Row],[Fuel (no space after comma)]], ","), FuelList_Final_EF!$A$2:$B$32, 2, FALSE))</f>
        <v>79.46140512734469</v>
      </c>
      <c r="P2051" s="2">
        <f>(16112*Table1[[#This Row],[Generation (TWh)]]*10^9)/10^6</f>
        <v>6910269.2351999991</v>
      </c>
      <c r="Q2051" s="2">
        <f>Table1[[#This Row],[Emission Factor (kg CO2/ mmBtu)]]*Table1[[#This Row],[Fuel Consumption (mmBtu)]]*10^3</f>
        <v>549099703237.25342</v>
      </c>
      <c r="R2051" s="2">
        <f>(Table1[[#This Row],[CO2 Emissions (g CO2)]])/(Table1[[#This Row],[Generation (TWh)]]*10^9)</f>
        <v>1280.2821594117772</v>
      </c>
    </row>
    <row r="2052" spans="1:18" hidden="1">
      <c r="A2052" t="s">
        <v>1227</v>
      </c>
      <c r="B2052" t="s">
        <v>19</v>
      </c>
      <c r="C2052" t="str">
        <f>SUBSTITUTE(Table1[[#This Row],[Fuel]],", ",",")</f>
        <v>bioenergy: refuse (municipal and industrial wastes)</v>
      </c>
      <c r="D2052" t="s">
        <v>19</v>
      </c>
      <c r="G2052">
        <v>50</v>
      </c>
      <c r="H2052" t="s">
        <v>27</v>
      </c>
      <c r="I2052">
        <v>2000</v>
      </c>
      <c r="J2052" t="s">
        <v>21</v>
      </c>
      <c r="K2052">
        <v>38.8279</v>
      </c>
      <c r="L2052">
        <v>-9.0816999999999997</v>
      </c>
      <c r="M2052" t="s">
        <v>265</v>
      </c>
      <c r="N2052" s="2">
        <f>Table1[[#This Row],[Capacity (MW)]]*8760*0.72*10^-6</f>
        <v>0.31535999999999997</v>
      </c>
      <c r="O2052" s="2" cm="1">
        <f t="array" ref="O2052">AVERAGE(VLOOKUP(_xlfn.TEXTSPLIT(Table1[[#This Row],[Fuel (no space after comma)]], ","), FuelList_Final_EF!$A$2:$B$32, 2, FALSE))</f>
        <v>105.42962572482868</v>
      </c>
      <c r="P2052" s="2">
        <f>(16112*Table1[[#This Row],[Generation (TWh)]]*10^9)/10^6</f>
        <v>5081080.32</v>
      </c>
      <c r="Q2052" s="2">
        <f>Table1[[#This Row],[Emission Factor (kg CO2/ mmBtu)]]*Table1[[#This Row],[Fuel Consumption (mmBtu)]]*10^3</f>
        <v>535696396415.39276</v>
      </c>
      <c r="R2052" s="2">
        <f>(Table1[[#This Row],[CO2 Emissions (g CO2)]])/(Table1[[#This Row],[Generation (TWh)]]*10^9)</f>
        <v>1698.6821296784397</v>
      </c>
    </row>
    <row r="2053" spans="1:18" hidden="1">
      <c r="A2053" t="s">
        <v>1228</v>
      </c>
      <c r="B2053" t="s">
        <v>19</v>
      </c>
      <c r="C2053" t="str">
        <f>SUBSTITUTE(Table1[[#This Row],[Fuel]],", ",",")</f>
        <v>bioenergy: refuse (municipal and industrial wastes)</v>
      </c>
      <c r="D2053" t="s">
        <v>19</v>
      </c>
      <c r="G2053">
        <v>78</v>
      </c>
      <c r="H2053" t="s">
        <v>27</v>
      </c>
      <c r="I2053">
        <v>2014</v>
      </c>
      <c r="J2053" t="s">
        <v>21</v>
      </c>
      <c r="K2053">
        <v>60.261000000000003</v>
      </c>
      <c r="L2053">
        <v>25.129100000000001</v>
      </c>
      <c r="M2053" t="s">
        <v>28</v>
      </c>
      <c r="N2053" s="2">
        <f>Table1[[#This Row],[Capacity (MW)]]*8760*0.72*10^-6</f>
        <v>0.49196159999999994</v>
      </c>
      <c r="O2053" s="2" cm="1">
        <f t="array" ref="O2053">AVERAGE(VLOOKUP(_xlfn.TEXTSPLIT(Table1[[#This Row],[Fuel (no space after comma)]], ","), FuelList_Final_EF!$A$2:$B$32, 2, FALSE))</f>
        <v>105.42962572482868</v>
      </c>
      <c r="P2053" s="2">
        <f>(16112*Table1[[#This Row],[Generation (TWh)]]*10^9)/10^6</f>
        <v>7926485.2991999993</v>
      </c>
      <c r="Q2053" s="2">
        <f>Table1[[#This Row],[Emission Factor (kg CO2/ mmBtu)]]*Table1[[#This Row],[Fuel Consumption (mmBtu)]]*10^3</f>
        <v>835686378408.01257</v>
      </c>
      <c r="R2053" s="2">
        <f>(Table1[[#This Row],[CO2 Emissions (g CO2)]])/(Table1[[#This Row],[Generation (TWh)]]*10^9)</f>
        <v>1698.6821296784397</v>
      </c>
    </row>
    <row r="2054" spans="1:18">
      <c r="A2054" t="s">
        <v>959</v>
      </c>
      <c r="B2054" t="s">
        <v>963</v>
      </c>
      <c r="C2054" t="str">
        <f>SUBSTITUTE(Table1[[#This Row],[Fuel]],", ",",")</f>
        <v>bioenergy: paper mill wastes,bioenergy: wood &amp; other biomass (solids),other: other</v>
      </c>
      <c r="D2054" t="s">
        <v>61</v>
      </c>
      <c r="E2054" t="s">
        <v>25</v>
      </c>
      <c r="F2054" t="s">
        <v>216</v>
      </c>
      <c r="G2054">
        <v>47</v>
      </c>
      <c r="H2054" t="s">
        <v>27</v>
      </c>
      <c r="I2054" t="s">
        <v>21</v>
      </c>
      <c r="J2054" t="s">
        <v>21</v>
      </c>
      <c r="K2054">
        <v>62.3185</v>
      </c>
      <c r="L2054">
        <v>27.898499999999999</v>
      </c>
      <c r="M2054" t="s">
        <v>28</v>
      </c>
      <c r="N2054" s="2">
        <f>Table1[[#This Row],[Capacity (MW)]]*8760*0.72*10^-6</f>
        <v>0.29643839999999994</v>
      </c>
      <c r="O2054" s="2" cm="1">
        <f t="array" ref="O2054">AVERAGE(VLOOKUP(_xlfn.TEXTSPLIT(Table1[[#This Row],[Fuel (no space after comma)]], ","), FuelList_Final_EF!$A$2:$B$32, 2, FALSE))</f>
        <v>93.414811105253918</v>
      </c>
      <c r="P2054" s="2">
        <f>(16112*Table1[[#This Row],[Generation (TWh)]]*10^9)/10^6</f>
        <v>4776215.5007999986</v>
      </c>
      <c r="Q2054" s="2">
        <f>Table1[[#This Row],[Emission Factor (kg CO2/ mmBtu)]]*Table1[[#This Row],[Fuel Consumption (mmBtu)]]*10^3</f>
        <v>446169268805.21765</v>
      </c>
      <c r="R2054" s="2">
        <f>(Table1[[#This Row],[CO2 Emissions (g CO2)]])/(Table1[[#This Row],[Generation (TWh)]]*10^9)</f>
        <v>1505.0994365278511</v>
      </c>
    </row>
    <row r="2055" spans="1:18" hidden="1">
      <c r="A2055" t="s">
        <v>1163</v>
      </c>
      <c r="B2055" t="s">
        <v>653</v>
      </c>
      <c r="C2055" t="str">
        <f>SUBSTITUTE(Table1[[#This Row],[Fuel]],", ",",")</f>
        <v>bioenergy: wood &amp; other biomass (solids),bioenergy: paper mill wastes</v>
      </c>
      <c r="D2055" t="s">
        <v>25</v>
      </c>
      <c r="E2055" t="s">
        <v>61</v>
      </c>
      <c r="G2055">
        <v>127</v>
      </c>
      <c r="H2055" t="s">
        <v>27</v>
      </c>
      <c r="I2055">
        <v>2016</v>
      </c>
      <c r="J2055" t="s">
        <v>21</v>
      </c>
      <c r="K2055">
        <v>57.224499999999999</v>
      </c>
      <c r="L2055">
        <v>12.177</v>
      </c>
      <c r="M2055" t="s">
        <v>34</v>
      </c>
      <c r="N2055" s="2">
        <f>Table1[[#This Row],[Capacity (MW)]]*8760*0.72*10^-6</f>
        <v>0.80101440000000002</v>
      </c>
      <c r="O2055" s="2" cm="1">
        <f t="array" ref="O2055">AVERAGE(VLOOKUP(_xlfn.TEXTSPLIT(Table1[[#This Row],[Fuel (no space after comma)]], ","), FuelList_Final_EF!$A$2:$B$32, 2, FALSE))</f>
        <v>97.137216657880856</v>
      </c>
      <c r="P2055" s="2">
        <f>(16112*Table1[[#This Row],[Generation (TWh)]]*10^9)/10^6</f>
        <v>12905944.012800001</v>
      </c>
      <c r="Q2055" s="2">
        <f>Table1[[#This Row],[Emission Factor (kg CO2/ mmBtu)]]*Table1[[#This Row],[Fuel Consumption (mmBtu)]]*10^3</f>
        <v>1253647479745.834</v>
      </c>
      <c r="R2055" s="2">
        <f>(Table1[[#This Row],[CO2 Emissions (g CO2)]])/(Table1[[#This Row],[Generation (TWh)]]*10^9)</f>
        <v>1565.0748347917765</v>
      </c>
    </row>
    <row r="2056" spans="1:18" hidden="1">
      <c r="A2056" t="s">
        <v>233</v>
      </c>
      <c r="B2056" t="s">
        <v>25</v>
      </c>
      <c r="C2056" t="str">
        <f>SUBSTITUTE(Table1[[#This Row],[Fuel]],", ",",")</f>
        <v>bioenergy: wood &amp; other biomass (solids)</v>
      </c>
      <c r="D2056" t="s">
        <v>25</v>
      </c>
      <c r="G2056">
        <v>130</v>
      </c>
      <c r="H2056" t="s">
        <v>27</v>
      </c>
      <c r="I2056">
        <v>2016</v>
      </c>
      <c r="J2056" t="s">
        <v>21</v>
      </c>
      <c r="K2056">
        <v>59.353268999999997</v>
      </c>
      <c r="L2056">
        <v>18.100901</v>
      </c>
      <c r="M2056" t="s">
        <v>34</v>
      </c>
      <c r="N2056" s="2">
        <f>Table1[[#This Row],[Capacity (MW)]]*8760*0.72*10^-6</f>
        <v>0.819936</v>
      </c>
      <c r="O2056" s="2" cm="1">
        <f t="array" ref="O2056">AVERAGE(VLOOKUP(_xlfn.TEXTSPLIT(Table1[[#This Row],[Fuel (no space after comma)]], ","), FuelList_Final_EF!$A$2:$B$32, 2, FALSE))</f>
        <v>93.8</v>
      </c>
      <c r="P2056" s="2">
        <f>(16112*Table1[[#This Row],[Generation (TWh)]]*10^9)/10^6</f>
        <v>13210808.832</v>
      </c>
      <c r="Q2056" s="2">
        <f>Table1[[#This Row],[Emission Factor (kg CO2/ mmBtu)]]*Table1[[#This Row],[Fuel Consumption (mmBtu)]]*10^3</f>
        <v>1239173868441.6001</v>
      </c>
      <c r="R2056" s="2">
        <f>(Table1[[#This Row],[CO2 Emissions (g CO2)]])/(Table1[[#This Row],[Generation (TWh)]]*10^9)</f>
        <v>1511.3056000000001</v>
      </c>
    </row>
    <row r="2057" spans="1:18" hidden="1">
      <c r="A2057" t="s">
        <v>233</v>
      </c>
      <c r="B2057" t="s">
        <v>1229</v>
      </c>
      <c r="C2057" t="str">
        <f>SUBSTITUTE(Table1[[#This Row],[Fuel]],", ",",")</f>
        <v>bioenergy: unknown,fossil liquids: unknown</v>
      </c>
      <c r="D2057" t="s">
        <v>96</v>
      </c>
      <c r="E2057" t="s">
        <v>217</v>
      </c>
      <c r="G2057">
        <v>226</v>
      </c>
      <c r="H2057" t="s">
        <v>20</v>
      </c>
      <c r="I2057">
        <v>2024</v>
      </c>
      <c r="J2057" t="s">
        <v>21</v>
      </c>
      <c r="K2057">
        <v>59.353268999999997</v>
      </c>
      <c r="L2057">
        <v>18.100901</v>
      </c>
      <c r="M2057" t="s">
        <v>34</v>
      </c>
      <c r="N2057" s="2">
        <f>Table1[[#This Row],[Capacity (MW)]]*8760*0.72*10^-6</f>
        <v>1.4254271999999999</v>
      </c>
      <c r="O2057" s="2" cm="1">
        <f t="array" ref="O2057">AVERAGE(VLOOKUP(_xlfn.TEXTSPLIT(Table1[[#This Row],[Fuel (no space after comma)]], ","), FuelList_Final_EF!$A$2:$B$32, 2, FALSE))</f>
        <v>78.817694041935496</v>
      </c>
      <c r="P2057" s="2">
        <f>(16112*Table1[[#This Row],[Generation (TWh)]]*10^9)/10^6</f>
        <v>22966483.046399996</v>
      </c>
      <c r="Q2057" s="2">
        <f>Table1[[#This Row],[Emission Factor (kg CO2/ mmBtu)]]*Table1[[#This Row],[Fuel Consumption (mmBtu)]]*10^3</f>
        <v>1810165233970.4536</v>
      </c>
      <c r="R2057" s="2">
        <f>(Table1[[#This Row],[CO2 Emissions (g CO2)]])/(Table1[[#This Row],[Generation (TWh)]]*10^9)</f>
        <v>1269.9106864036646</v>
      </c>
    </row>
    <row r="2058" spans="1:18" hidden="1">
      <c r="A2058" t="s">
        <v>1230</v>
      </c>
      <c r="B2058" t="s">
        <v>25</v>
      </c>
      <c r="C2058" t="str">
        <f>SUBSTITUTE(Table1[[#This Row],[Fuel]],", ",",")</f>
        <v>bioenergy: wood &amp; other biomass (solids)</v>
      </c>
      <c r="D2058" t="s">
        <v>25</v>
      </c>
      <c r="G2058">
        <v>70</v>
      </c>
      <c r="H2058" t="s">
        <v>27</v>
      </c>
      <c r="I2058">
        <v>1982</v>
      </c>
      <c r="J2058" t="s">
        <v>21</v>
      </c>
      <c r="K2058">
        <v>56.036999999999999</v>
      </c>
      <c r="L2058">
        <v>12.6936</v>
      </c>
      <c r="M2058" t="s">
        <v>34</v>
      </c>
      <c r="N2058" s="2">
        <f>Table1[[#This Row],[Capacity (MW)]]*8760*0.72*10^-6</f>
        <v>0.44150400000000001</v>
      </c>
      <c r="O2058" s="2" cm="1">
        <f t="array" ref="O2058">AVERAGE(VLOOKUP(_xlfn.TEXTSPLIT(Table1[[#This Row],[Fuel (no space after comma)]], ","), FuelList_Final_EF!$A$2:$B$32, 2, FALSE))</f>
        <v>93.8</v>
      </c>
      <c r="P2058" s="2">
        <f>(16112*Table1[[#This Row],[Generation (TWh)]]*10^9)/10^6</f>
        <v>7113512.4479999999</v>
      </c>
      <c r="Q2058" s="2">
        <f>Table1[[#This Row],[Emission Factor (kg CO2/ mmBtu)]]*Table1[[#This Row],[Fuel Consumption (mmBtu)]]*10^3</f>
        <v>667247467622.3999</v>
      </c>
      <c r="R2058" s="2">
        <f>(Table1[[#This Row],[CO2 Emissions (g CO2)]])/(Table1[[#This Row],[Generation (TWh)]]*10^9)</f>
        <v>1511.3055999999997</v>
      </c>
    </row>
    <row r="2059" spans="1:18" hidden="1">
      <c r="A2059" t="s">
        <v>839</v>
      </c>
      <c r="B2059" t="s">
        <v>134</v>
      </c>
      <c r="C2059" t="str">
        <f>SUBSTITUTE(Table1[[#This Row],[Fuel]],", ",",")</f>
        <v>bioenergy: unknown,fossil gas: natural gas</v>
      </c>
      <c r="D2059" t="s">
        <v>96</v>
      </c>
      <c r="E2059" t="s">
        <v>69</v>
      </c>
      <c r="G2059">
        <v>130</v>
      </c>
      <c r="H2059" t="s">
        <v>20</v>
      </c>
      <c r="I2059">
        <v>2026</v>
      </c>
      <c r="J2059" t="s">
        <v>21</v>
      </c>
      <c r="K2059">
        <v>41.932090000000002</v>
      </c>
      <c r="L2059">
        <v>8.72044</v>
      </c>
      <c r="M2059" t="s">
        <v>228</v>
      </c>
      <c r="N2059" s="2">
        <f>Table1[[#This Row],[Capacity (MW)]]*8760*0.72*10^-6</f>
        <v>0.819936</v>
      </c>
      <c r="O2059" s="2" cm="1">
        <f t="array" ref="O2059">AVERAGE(VLOOKUP(_xlfn.TEXTSPLIT(Table1[[#This Row],[Fuel (no space after comma)]], ","), FuelList_Final_EF!$A$2:$B$32, 2, FALSE))</f>
        <v>62.922803008799328</v>
      </c>
      <c r="P2059" s="2">
        <f>(16112*Table1[[#This Row],[Generation (TWh)]]*10^9)/10^6</f>
        <v>13210808.832</v>
      </c>
      <c r="Q2059" s="2">
        <f>Table1[[#This Row],[Emission Factor (kg CO2/ mmBtu)]]*Table1[[#This Row],[Fuel Consumption (mmBtu)]]*10^3</f>
        <v>831261121722.84229</v>
      </c>
      <c r="R2059" s="2">
        <f>(Table1[[#This Row],[CO2 Emissions (g CO2)]])/(Table1[[#This Row],[Generation (TWh)]]*10^9)</f>
        <v>1013.8122020777747</v>
      </c>
    </row>
    <row r="2060" spans="1:18" hidden="1">
      <c r="A2060" t="s">
        <v>1231</v>
      </c>
      <c r="B2060" t="s">
        <v>61</v>
      </c>
      <c r="C2060" t="str">
        <f>SUBSTITUTE(Table1[[#This Row],[Fuel]],", ",",")</f>
        <v>bioenergy: paper mill wastes</v>
      </c>
      <c r="D2060" t="s">
        <v>61</v>
      </c>
      <c r="G2060">
        <v>117</v>
      </c>
      <c r="H2060" t="s">
        <v>27</v>
      </c>
      <c r="I2060">
        <v>2006</v>
      </c>
      <c r="J2060" t="s">
        <v>21</v>
      </c>
      <c r="K2060">
        <v>-16.373999999999999</v>
      </c>
      <c r="L2060">
        <v>-39.570500000000003</v>
      </c>
      <c r="M2060" t="s">
        <v>49</v>
      </c>
      <c r="N2060" s="2">
        <f>Table1[[#This Row],[Capacity (MW)]]*8760*0.72*10^-6</f>
        <v>0.7379424</v>
      </c>
      <c r="O2060" s="2" cm="1">
        <f t="array" ref="O2060">AVERAGE(VLOOKUP(_xlfn.TEXTSPLIT(Table1[[#This Row],[Fuel (no space after comma)]], ","), FuelList_Final_EF!$A$2:$B$32, 2, FALSE))</f>
        <v>100.47443331576173</v>
      </c>
      <c r="P2060" s="2">
        <f>(16112*Table1[[#This Row],[Generation (TWh)]]*10^9)/10^6</f>
        <v>11889727.948799999</v>
      </c>
      <c r="Q2060" s="2">
        <f>Table1[[#This Row],[Emission Factor (kg CO2/ mmBtu)]]*Table1[[#This Row],[Fuel Consumption (mmBtu)]]*10^3</f>
        <v>1194613677934.2539</v>
      </c>
      <c r="R2060" s="2">
        <f>(Table1[[#This Row],[CO2 Emissions (g CO2)]])/(Table1[[#This Row],[Generation (TWh)]]*10^9)</f>
        <v>1618.8440695835527</v>
      </c>
    </row>
    <row r="2061" spans="1:18" hidden="1">
      <c r="A2061" t="s">
        <v>1232</v>
      </c>
      <c r="B2061" t="s">
        <v>46</v>
      </c>
      <c r="C2061" t="str">
        <f>SUBSTITUTE(Table1[[#This Row],[Fuel]],", ",",")</f>
        <v>bioenergy: agricultural waste (solids)</v>
      </c>
      <c r="D2061" t="s">
        <v>46</v>
      </c>
      <c r="G2061">
        <v>53</v>
      </c>
      <c r="H2061" t="s">
        <v>27</v>
      </c>
      <c r="I2061">
        <v>2005</v>
      </c>
      <c r="J2061" t="s">
        <v>21</v>
      </c>
      <c r="K2061">
        <v>-20.401499999999999</v>
      </c>
      <c r="L2061">
        <v>-48.991100000000003</v>
      </c>
      <c r="M2061" t="s">
        <v>49</v>
      </c>
      <c r="N2061" s="2">
        <f>Table1[[#This Row],[Capacity (MW)]]*8760*0.72*10^-6</f>
        <v>0.33428159999999996</v>
      </c>
      <c r="O2061" s="2" cm="1">
        <f t="array" ref="O2061">AVERAGE(VLOOKUP(_xlfn.TEXTSPLIT(Table1[[#This Row],[Fuel (no space after comma)]], ","), FuelList_Final_EF!$A$2:$B$32, 2, FALSE))</f>
        <v>118.17</v>
      </c>
      <c r="P2061" s="2">
        <f>(16112*Table1[[#This Row],[Generation (TWh)]]*10^9)/10^6</f>
        <v>5385945.1391999992</v>
      </c>
      <c r="Q2061" s="2">
        <f>Table1[[#This Row],[Emission Factor (kg CO2/ mmBtu)]]*Table1[[#This Row],[Fuel Consumption (mmBtu)]]*10^3</f>
        <v>636457137099.26392</v>
      </c>
      <c r="R2061" s="2">
        <f>(Table1[[#This Row],[CO2 Emissions (g CO2)]])/(Table1[[#This Row],[Generation (TWh)]]*10^9)</f>
        <v>1903.9550400000001</v>
      </c>
    </row>
    <row r="2062" spans="1:18" hidden="1">
      <c r="A2062" t="s">
        <v>1233</v>
      </c>
      <c r="B2062" t="s">
        <v>19</v>
      </c>
      <c r="C2062" t="str">
        <f>SUBSTITUTE(Table1[[#This Row],[Fuel]],", ",",")</f>
        <v>bioenergy: refuse (municipal and industrial wastes)</v>
      </c>
      <c r="D2062" t="s">
        <v>19</v>
      </c>
      <c r="G2062">
        <v>32</v>
      </c>
      <c r="H2062" t="s">
        <v>27</v>
      </c>
      <c r="I2062">
        <v>2000</v>
      </c>
      <c r="J2062" t="s">
        <v>21</v>
      </c>
      <c r="K2062">
        <v>49.429099999999998</v>
      </c>
      <c r="L2062">
        <v>1.0315000000000001</v>
      </c>
      <c r="M2062" t="s">
        <v>228</v>
      </c>
      <c r="N2062" s="2">
        <f>Table1[[#This Row],[Capacity (MW)]]*8760*0.72*10^-6</f>
        <v>0.20183039999999999</v>
      </c>
      <c r="O2062" s="2" cm="1">
        <f t="array" ref="O2062">AVERAGE(VLOOKUP(_xlfn.TEXTSPLIT(Table1[[#This Row],[Fuel (no space after comma)]], ","), FuelList_Final_EF!$A$2:$B$32, 2, FALSE))</f>
        <v>105.42962572482868</v>
      </c>
      <c r="P2062" s="2">
        <f>(16112*Table1[[#This Row],[Generation (TWh)]]*10^9)/10^6</f>
        <v>3251891.4047999997</v>
      </c>
      <c r="Q2062" s="2">
        <f>Table1[[#This Row],[Emission Factor (kg CO2/ mmBtu)]]*Table1[[#This Row],[Fuel Consumption (mmBtu)]]*10^3</f>
        <v>342845693705.85132</v>
      </c>
      <c r="R2062" s="2">
        <f>(Table1[[#This Row],[CO2 Emissions (g CO2)]])/(Table1[[#This Row],[Generation (TWh)]]*10^9)</f>
        <v>1698.6821296784394</v>
      </c>
    </row>
    <row r="2063" spans="1:18" hidden="1">
      <c r="A2063" t="s">
        <v>225</v>
      </c>
      <c r="B2063" t="s">
        <v>728</v>
      </c>
      <c r="C2063" t="str">
        <f>SUBSTITUTE(Table1[[#This Row],[Fuel]],", ",",")</f>
        <v>bioenergy: paper mill wastes,fossil gas: natural gas,fossil liquids: unknown</v>
      </c>
      <c r="D2063" t="s">
        <v>61</v>
      </c>
      <c r="E2063" t="s">
        <v>69</v>
      </c>
      <c r="F2063" t="s">
        <v>217</v>
      </c>
      <c r="G2063">
        <v>48</v>
      </c>
      <c r="H2063" t="s">
        <v>27</v>
      </c>
      <c r="I2063">
        <v>1967</v>
      </c>
      <c r="J2063" t="s">
        <v>21</v>
      </c>
      <c r="K2063">
        <v>32.529200000000003</v>
      </c>
      <c r="L2063">
        <v>-90.774199999999993</v>
      </c>
      <c r="M2063" t="s">
        <v>62</v>
      </c>
      <c r="N2063" s="2">
        <f>Table1[[#This Row],[Capacity (MW)]]*8760*0.72*10^-6</f>
        <v>0.30274559999999995</v>
      </c>
      <c r="O2063" s="2" cm="1">
        <f t="array" ref="O2063">AVERAGE(VLOOKUP(_xlfn.TEXTSPLIT(Table1[[#This Row],[Fuel (no space after comma)]], ","), FuelList_Final_EF!$A$2:$B$32, 2, FALSE))</f>
        <v>79.46140512734469</v>
      </c>
      <c r="P2063" s="2">
        <f>(16112*Table1[[#This Row],[Generation (TWh)]]*10^9)/10^6</f>
        <v>4877837.1071999986</v>
      </c>
      <c r="Q2063" s="2">
        <f>Table1[[#This Row],[Emission Factor (kg CO2/ mmBtu)]]*Table1[[#This Row],[Fuel Consumption (mmBtu)]]*10^3</f>
        <v>387599790520.41418</v>
      </c>
      <c r="R2063" s="2">
        <f>(Table1[[#This Row],[CO2 Emissions (g CO2)]])/(Table1[[#This Row],[Generation (TWh)]]*10^9)</f>
        <v>1280.2821594117777</v>
      </c>
    </row>
    <row r="2064" spans="1:18" hidden="1">
      <c r="A2064" t="s">
        <v>1234</v>
      </c>
      <c r="B2064" t="s">
        <v>46</v>
      </c>
      <c r="C2064" t="str">
        <f>SUBSTITUTE(Table1[[#This Row],[Fuel]],", ",",")</f>
        <v>bioenergy: agricultural waste (solids)</v>
      </c>
      <c r="D2064" t="s">
        <v>46</v>
      </c>
      <c r="G2064">
        <v>40</v>
      </c>
      <c r="H2064" t="s">
        <v>27</v>
      </c>
      <c r="I2064">
        <v>2019</v>
      </c>
      <c r="J2064" t="s">
        <v>21</v>
      </c>
      <c r="K2064">
        <v>10.8812</v>
      </c>
      <c r="L2064">
        <v>123.0645</v>
      </c>
      <c r="M2064" t="s">
        <v>72</v>
      </c>
      <c r="N2064" s="2">
        <f>Table1[[#This Row],[Capacity (MW)]]*8760*0.72*10^-6</f>
        <v>0.25228800000000001</v>
      </c>
      <c r="O2064" s="2" cm="1">
        <f t="array" ref="O2064">AVERAGE(VLOOKUP(_xlfn.TEXTSPLIT(Table1[[#This Row],[Fuel (no space after comma)]], ","), FuelList_Final_EF!$A$2:$B$32, 2, FALSE))</f>
        <v>118.17</v>
      </c>
      <c r="P2064" s="2">
        <f>(16112*Table1[[#This Row],[Generation (TWh)]]*10^9)/10^6</f>
        <v>4064864.2560000005</v>
      </c>
      <c r="Q2064" s="2">
        <f>Table1[[#This Row],[Emission Factor (kg CO2/ mmBtu)]]*Table1[[#This Row],[Fuel Consumption (mmBtu)]]*10^3</f>
        <v>480345009131.52008</v>
      </c>
      <c r="R2064" s="2">
        <f>(Table1[[#This Row],[CO2 Emissions (g CO2)]])/(Table1[[#This Row],[Generation (TWh)]]*10^9)</f>
        <v>1903.9550400000003</v>
      </c>
    </row>
    <row r="2065" spans="1:18" hidden="1">
      <c r="A2065" t="s">
        <v>1235</v>
      </c>
      <c r="B2065" t="s">
        <v>25</v>
      </c>
      <c r="C2065" t="str">
        <f>SUBSTITUTE(Table1[[#This Row],[Fuel]],", ",",")</f>
        <v>bioenergy: wood &amp; other biomass (solids)</v>
      </c>
      <c r="D2065" t="s">
        <v>25</v>
      </c>
      <c r="G2065">
        <v>70</v>
      </c>
      <c r="H2065" t="s">
        <v>27</v>
      </c>
      <c r="I2065">
        <v>2024</v>
      </c>
      <c r="J2065" t="s">
        <v>21</v>
      </c>
      <c r="K2065">
        <v>54.667400000000001</v>
      </c>
      <c r="L2065">
        <v>25.150500000000001</v>
      </c>
      <c r="M2065" t="s">
        <v>1236</v>
      </c>
      <c r="N2065" s="2">
        <f>Table1[[#This Row],[Capacity (MW)]]*8760*0.72*10^-6</f>
        <v>0.44150400000000001</v>
      </c>
      <c r="O2065" s="2" cm="1">
        <f t="array" ref="O2065">AVERAGE(VLOOKUP(_xlfn.TEXTSPLIT(Table1[[#This Row],[Fuel (no space after comma)]], ","), FuelList_Final_EF!$A$2:$B$32, 2, FALSE))</f>
        <v>93.8</v>
      </c>
      <c r="P2065" s="2">
        <f>(16112*Table1[[#This Row],[Generation (TWh)]]*10^9)/10^6</f>
        <v>7113512.4479999999</v>
      </c>
      <c r="Q2065" s="2">
        <f>Table1[[#This Row],[Emission Factor (kg CO2/ mmBtu)]]*Table1[[#This Row],[Fuel Consumption (mmBtu)]]*10^3</f>
        <v>667247467622.3999</v>
      </c>
      <c r="R2065" s="2">
        <f>(Table1[[#This Row],[CO2 Emissions (g CO2)]])/(Table1[[#This Row],[Generation (TWh)]]*10^9)</f>
        <v>1511.3055999999997</v>
      </c>
    </row>
    <row r="2066" spans="1:18" hidden="1">
      <c r="A2066" t="s">
        <v>136</v>
      </c>
      <c r="B2066" t="s">
        <v>25</v>
      </c>
      <c r="C2066" t="str">
        <f>SUBSTITUTE(Table1[[#This Row],[Fuel]],", ",",")</f>
        <v>bioenergy: wood &amp; other biomass (solids)</v>
      </c>
      <c r="D2066" t="s">
        <v>25</v>
      </c>
      <c r="G2066">
        <v>41</v>
      </c>
      <c r="H2066" t="s">
        <v>27</v>
      </c>
      <c r="I2066">
        <v>2013</v>
      </c>
      <c r="J2066" t="s">
        <v>21</v>
      </c>
      <c r="K2066">
        <v>-35.373800000000003</v>
      </c>
      <c r="L2066">
        <v>-72.4148</v>
      </c>
      <c r="M2066" t="s">
        <v>98</v>
      </c>
      <c r="N2066" s="2">
        <f>Table1[[#This Row],[Capacity (MW)]]*8760*0.72*10^-6</f>
        <v>0.25859519999999997</v>
      </c>
      <c r="O2066" s="2" cm="1">
        <f t="array" ref="O2066">AVERAGE(VLOOKUP(_xlfn.TEXTSPLIT(Table1[[#This Row],[Fuel (no space after comma)]], ","), FuelList_Final_EF!$A$2:$B$32, 2, FALSE))</f>
        <v>93.8</v>
      </c>
      <c r="P2066" s="2">
        <f>(16112*Table1[[#This Row],[Generation (TWh)]]*10^9)/10^6</f>
        <v>4166485.8624</v>
      </c>
      <c r="Q2066" s="2">
        <f>Table1[[#This Row],[Emission Factor (kg CO2/ mmBtu)]]*Table1[[#This Row],[Fuel Consumption (mmBtu)]]*10^3</f>
        <v>390816373893.12</v>
      </c>
      <c r="R2066" s="2">
        <f>(Table1[[#This Row],[CO2 Emissions (g CO2)]])/(Table1[[#This Row],[Generation (TWh)]]*10^9)</f>
        <v>1511.3056000000001</v>
      </c>
    </row>
    <row r="2067" spans="1:18" hidden="1">
      <c r="A2067" t="s">
        <v>1237</v>
      </c>
      <c r="B2067" t="s">
        <v>19</v>
      </c>
      <c r="C2067" t="str">
        <f>SUBSTITUTE(Table1[[#This Row],[Fuel]],", ",",")</f>
        <v>bioenergy: refuse (municipal and industrial wastes)</v>
      </c>
      <c r="D2067" t="s">
        <v>19</v>
      </c>
      <c r="G2067">
        <v>30</v>
      </c>
      <c r="H2067" t="s">
        <v>27</v>
      </c>
      <c r="I2067">
        <v>2023</v>
      </c>
      <c r="J2067" t="s">
        <v>21</v>
      </c>
      <c r="K2067">
        <v>44.771599999999999</v>
      </c>
      <c r="L2067">
        <v>20.602799999999998</v>
      </c>
      <c r="M2067" t="s">
        <v>1238</v>
      </c>
      <c r="N2067" s="2">
        <f>Table1[[#This Row],[Capacity (MW)]]*8760*0.72*10^-6</f>
        <v>0.189216</v>
      </c>
      <c r="O2067" s="2" cm="1">
        <f t="array" ref="O2067">AVERAGE(VLOOKUP(_xlfn.TEXTSPLIT(Table1[[#This Row],[Fuel (no space after comma)]], ","), FuelList_Final_EF!$A$2:$B$32, 2, FALSE))</f>
        <v>105.42962572482868</v>
      </c>
      <c r="P2067" s="2">
        <f>(16112*Table1[[#This Row],[Generation (TWh)]]*10^9)/10^6</f>
        <v>3048648.1919999998</v>
      </c>
      <c r="Q2067" s="2">
        <f>Table1[[#This Row],[Emission Factor (kg CO2/ mmBtu)]]*Table1[[#This Row],[Fuel Consumption (mmBtu)]]*10^3</f>
        <v>321417837849.23566</v>
      </c>
      <c r="R2067" s="2">
        <f>(Table1[[#This Row],[CO2 Emissions (g CO2)]])/(Table1[[#This Row],[Generation (TWh)]]*10^9)</f>
        <v>1698.6821296784397</v>
      </c>
    </row>
    <row r="2068" spans="1:18" hidden="1">
      <c r="A2068" t="s">
        <v>21</v>
      </c>
      <c r="B2068" t="s">
        <v>19</v>
      </c>
      <c r="C2068" t="str">
        <f>SUBSTITUTE(Table1[[#This Row],[Fuel]],", ",",")</f>
        <v>bioenergy: refuse (municipal and industrial wastes)</v>
      </c>
      <c r="D2068" t="s">
        <v>19</v>
      </c>
      <c r="G2068">
        <v>30</v>
      </c>
      <c r="H2068" t="s">
        <v>53</v>
      </c>
      <c r="I2068">
        <v>2026</v>
      </c>
      <c r="J2068" t="s">
        <v>21</v>
      </c>
      <c r="K2068">
        <v>11.0405</v>
      </c>
      <c r="L2068">
        <v>107.01220000000001</v>
      </c>
      <c r="M2068" t="s">
        <v>326</v>
      </c>
      <c r="N2068" s="2">
        <f>Table1[[#This Row],[Capacity (MW)]]*8760*0.72*10^-6</f>
        <v>0.189216</v>
      </c>
      <c r="O2068" s="2" cm="1">
        <f t="array" ref="O2068">AVERAGE(VLOOKUP(_xlfn.TEXTSPLIT(Table1[[#This Row],[Fuel (no space after comma)]], ","), FuelList_Final_EF!$A$2:$B$32, 2, FALSE))</f>
        <v>105.42962572482868</v>
      </c>
      <c r="P2068" s="2">
        <f>(16112*Table1[[#This Row],[Generation (TWh)]]*10^9)/10^6</f>
        <v>3048648.1919999998</v>
      </c>
      <c r="Q2068" s="2">
        <f>Table1[[#This Row],[Emission Factor (kg CO2/ mmBtu)]]*Table1[[#This Row],[Fuel Consumption (mmBtu)]]*10^3</f>
        <v>321417837849.23566</v>
      </c>
      <c r="R2068" s="2">
        <f>(Table1[[#This Row],[CO2 Emissions (g CO2)]])/(Table1[[#This Row],[Generation (TWh)]]*10^9)</f>
        <v>1698.6821296784397</v>
      </c>
    </row>
    <row r="2069" spans="1:18" hidden="1">
      <c r="A2069" t="s">
        <v>1239</v>
      </c>
      <c r="B2069" t="s">
        <v>46</v>
      </c>
      <c r="C2069" t="str">
        <f>SUBSTITUTE(Table1[[#This Row],[Fuel]],", ",",")</f>
        <v>bioenergy: agricultural waste (solids)</v>
      </c>
      <c r="D2069" t="s">
        <v>46</v>
      </c>
      <c r="G2069">
        <v>30</v>
      </c>
      <c r="H2069" t="s">
        <v>27</v>
      </c>
      <c r="I2069">
        <v>2013</v>
      </c>
      <c r="J2069" t="s">
        <v>21</v>
      </c>
      <c r="K2069">
        <v>-20.9375</v>
      </c>
      <c r="L2069">
        <v>-48.252800000000001</v>
      </c>
      <c r="M2069" t="s">
        <v>49</v>
      </c>
      <c r="N2069" s="2">
        <f>Table1[[#This Row],[Capacity (MW)]]*8760*0.72*10^-6</f>
        <v>0.189216</v>
      </c>
      <c r="O2069" s="2" cm="1">
        <f t="array" ref="O2069">AVERAGE(VLOOKUP(_xlfn.TEXTSPLIT(Table1[[#This Row],[Fuel (no space after comma)]], ","), FuelList_Final_EF!$A$2:$B$32, 2, FALSE))</f>
        <v>118.17</v>
      </c>
      <c r="P2069" s="2">
        <f>(16112*Table1[[#This Row],[Generation (TWh)]]*10^9)/10^6</f>
        <v>3048648.1919999998</v>
      </c>
      <c r="Q2069" s="2">
        <f>Table1[[#This Row],[Emission Factor (kg CO2/ mmBtu)]]*Table1[[#This Row],[Fuel Consumption (mmBtu)]]*10^3</f>
        <v>360258756848.63995</v>
      </c>
      <c r="R2069" s="2">
        <f>(Table1[[#This Row],[CO2 Emissions (g CO2)]])/(Table1[[#This Row],[Generation (TWh)]]*10^9)</f>
        <v>1903.9550399999998</v>
      </c>
    </row>
    <row r="2070" spans="1:18" hidden="1">
      <c r="A2070" t="s">
        <v>1239</v>
      </c>
      <c r="B2070" t="s">
        <v>46</v>
      </c>
      <c r="C2070" t="str">
        <f>SUBSTITUTE(Table1[[#This Row],[Fuel]],", ",",")</f>
        <v>bioenergy: agricultural waste (solids)</v>
      </c>
      <c r="D2070" t="s">
        <v>46</v>
      </c>
      <c r="G2070">
        <v>50</v>
      </c>
      <c r="H2070" t="s">
        <v>27</v>
      </c>
      <c r="I2070">
        <v>2006</v>
      </c>
      <c r="J2070" t="s">
        <v>21</v>
      </c>
      <c r="K2070">
        <v>-20.9102</v>
      </c>
      <c r="L2070">
        <v>-51.5441</v>
      </c>
      <c r="M2070" t="s">
        <v>49</v>
      </c>
      <c r="N2070" s="2">
        <f>Table1[[#This Row],[Capacity (MW)]]*8760*0.72*10^-6</f>
        <v>0.31535999999999997</v>
      </c>
      <c r="O2070" s="2" cm="1">
        <f t="array" ref="O2070">AVERAGE(VLOOKUP(_xlfn.TEXTSPLIT(Table1[[#This Row],[Fuel (no space after comma)]], ","), FuelList_Final_EF!$A$2:$B$32, 2, FALSE))</f>
        <v>118.17</v>
      </c>
      <c r="P2070" s="2">
        <f>(16112*Table1[[#This Row],[Generation (TWh)]]*10^9)/10^6</f>
        <v>5081080.32</v>
      </c>
      <c r="Q2070" s="2">
        <f>Table1[[#This Row],[Emission Factor (kg CO2/ mmBtu)]]*Table1[[#This Row],[Fuel Consumption (mmBtu)]]*10^3</f>
        <v>600431261414.40015</v>
      </c>
      <c r="R2070" s="2">
        <f>(Table1[[#This Row],[CO2 Emissions (g CO2)]])/(Table1[[#This Row],[Generation (TWh)]]*10^9)</f>
        <v>1903.9550400000005</v>
      </c>
    </row>
    <row r="2071" spans="1:18" hidden="1">
      <c r="A2071" t="s">
        <v>1239</v>
      </c>
      <c r="B2071" t="s">
        <v>46</v>
      </c>
      <c r="C2071" t="str">
        <f>SUBSTITUTE(Table1[[#This Row],[Fuel]],", ",",")</f>
        <v>bioenergy: agricultural waste (solids)</v>
      </c>
      <c r="D2071" t="s">
        <v>46</v>
      </c>
      <c r="G2071">
        <v>43</v>
      </c>
      <c r="H2071" t="s">
        <v>27</v>
      </c>
      <c r="I2071">
        <v>1983</v>
      </c>
      <c r="J2071" t="s">
        <v>21</v>
      </c>
      <c r="K2071">
        <v>-20.938500000000001</v>
      </c>
      <c r="L2071">
        <v>-48.250300000000003</v>
      </c>
      <c r="M2071" t="s">
        <v>49</v>
      </c>
      <c r="N2071" s="2">
        <f>Table1[[#This Row],[Capacity (MW)]]*8760*0.72*10^-6</f>
        <v>0.27120959999999994</v>
      </c>
      <c r="O2071" s="2" cm="1">
        <f t="array" ref="O2071">AVERAGE(VLOOKUP(_xlfn.TEXTSPLIT(Table1[[#This Row],[Fuel (no space after comma)]], ","), FuelList_Final_EF!$A$2:$B$32, 2, FALSE))</f>
        <v>118.17</v>
      </c>
      <c r="P2071" s="2">
        <f>(16112*Table1[[#This Row],[Generation (TWh)]]*10^9)/10^6</f>
        <v>4369729.0751999989</v>
      </c>
      <c r="Q2071" s="2">
        <f>Table1[[#This Row],[Emission Factor (kg CO2/ mmBtu)]]*Table1[[#This Row],[Fuel Consumption (mmBtu)]]*10^3</f>
        <v>516370884816.38391</v>
      </c>
      <c r="R2071" s="2">
        <f>(Table1[[#This Row],[CO2 Emissions (g CO2)]])/(Table1[[#This Row],[Generation (TWh)]]*10^9)</f>
        <v>1903.9550400000001</v>
      </c>
    </row>
    <row r="2072" spans="1:18" hidden="1">
      <c r="A2072" t="s">
        <v>1240</v>
      </c>
      <c r="B2072" t="s">
        <v>46</v>
      </c>
      <c r="C2072" t="str">
        <f>SUBSTITUTE(Table1[[#This Row],[Fuel]],", ",",")</f>
        <v>bioenergy: agricultural waste (solids)</v>
      </c>
      <c r="D2072" t="s">
        <v>46</v>
      </c>
      <c r="G2072">
        <v>60</v>
      </c>
      <c r="H2072" t="s">
        <v>27</v>
      </c>
      <c r="I2072">
        <v>2009</v>
      </c>
      <c r="J2072" t="s">
        <v>21</v>
      </c>
      <c r="K2072">
        <v>-21.780200000000001</v>
      </c>
      <c r="L2072">
        <v>-55.576599999999999</v>
      </c>
      <c r="M2072" t="s">
        <v>49</v>
      </c>
      <c r="N2072" s="2">
        <f>Table1[[#This Row],[Capacity (MW)]]*8760*0.72*10^-6</f>
        <v>0.37843199999999999</v>
      </c>
      <c r="O2072" s="2" cm="1">
        <f t="array" ref="O2072">AVERAGE(VLOOKUP(_xlfn.TEXTSPLIT(Table1[[#This Row],[Fuel (no space after comma)]], ","), FuelList_Final_EF!$A$2:$B$32, 2, FALSE))</f>
        <v>118.17</v>
      </c>
      <c r="P2072" s="2">
        <f>(16112*Table1[[#This Row],[Generation (TWh)]]*10^9)/10^6</f>
        <v>6097296.3839999996</v>
      </c>
      <c r="Q2072" s="2">
        <f>Table1[[#This Row],[Emission Factor (kg CO2/ mmBtu)]]*Table1[[#This Row],[Fuel Consumption (mmBtu)]]*10^3</f>
        <v>720517513697.27991</v>
      </c>
      <c r="R2072" s="2">
        <f>(Table1[[#This Row],[CO2 Emissions (g CO2)]])/(Table1[[#This Row],[Generation (TWh)]]*10^9)</f>
        <v>1903.9550399999998</v>
      </c>
    </row>
    <row r="2073" spans="1:18" hidden="1">
      <c r="A2073" t="s">
        <v>1241</v>
      </c>
      <c r="B2073" t="s">
        <v>46</v>
      </c>
      <c r="C2073" t="str">
        <f>SUBSTITUTE(Table1[[#This Row],[Fuel]],", ",",")</f>
        <v>bioenergy: agricultural waste (solids)</v>
      </c>
      <c r="D2073" t="s">
        <v>46</v>
      </c>
      <c r="G2073">
        <v>30</v>
      </c>
      <c r="H2073" t="s">
        <v>27</v>
      </c>
      <c r="I2073">
        <v>2015</v>
      </c>
      <c r="J2073" t="s">
        <v>21</v>
      </c>
      <c r="K2073">
        <v>-21.780200000000001</v>
      </c>
      <c r="L2073">
        <v>-55.576599999999999</v>
      </c>
      <c r="M2073" t="s">
        <v>49</v>
      </c>
      <c r="N2073" s="2">
        <f>Table1[[#This Row],[Capacity (MW)]]*8760*0.72*10^-6</f>
        <v>0.189216</v>
      </c>
      <c r="O2073" s="2" cm="1">
        <f t="array" ref="O2073">AVERAGE(VLOOKUP(_xlfn.TEXTSPLIT(Table1[[#This Row],[Fuel (no space after comma)]], ","), FuelList_Final_EF!$A$2:$B$32, 2, FALSE))</f>
        <v>118.17</v>
      </c>
      <c r="P2073" s="2">
        <f>(16112*Table1[[#This Row],[Generation (TWh)]]*10^9)/10^6</f>
        <v>3048648.1919999998</v>
      </c>
      <c r="Q2073" s="2">
        <f>Table1[[#This Row],[Emission Factor (kg CO2/ mmBtu)]]*Table1[[#This Row],[Fuel Consumption (mmBtu)]]*10^3</f>
        <v>360258756848.63995</v>
      </c>
      <c r="R2073" s="2">
        <f>(Table1[[#This Row],[CO2 Emissions (g CO2)]])/(Table1[[#This Row],[Generation (TWh)]]*10^9)</f>
        <v>1903.9550399999998</v>
      </c>
    </row>
    <row r="2074" spans="1:18" hidden="1">
      <c r="A2074" t="s">
        <v>1242</v>
      </c>
      <c r="B2074" t="s">
        <v>46</v>
      </c>
      <c r="C2074" t="str">
        <f>SUBSTITUTE(Table1[[#This Row],[Fuel]],", ",",")</f>
        <v>bioenergy: agricultural waste (solids)</v>
      </c>
      <c r="D2074" t="s">
        <v>46</v>
      </c>
      <c r="G2074">
        <v>60</v>
      </c>
      <c r="H2074" t="s">
        <v>27</v>
      </c>
      <c r="I2074">
        <v>2010</v>
      </c>
      <c r="J2074" t="s">
        <v>21</v>
      </c>
      <c r="K2074">
        <v>-23.489100000000001</v>
      </c>
      <c r="L2074">
        <v>-48.124699999999997</v>
      </c>
      <c r="M2074" t="s">
        <v>49</v>
      </c>
      <c r="N2074" s="2">
        <f>Table1[[#This Row],[Capacity (MW)]]*8760*0.72*10^-6</f>
        <v>0.37843199999999999</v>
      </c>
      <c r="O2074" s="2" cm="1">
        <f t="array" ref="O2074">AVERAGE(VLOOKUP(_xlfn.TEXTSPLIT(Table1[[#This Row],[Fuel (no space after comma)]], ","), FuelList_Final_EF!$A$2:$B$32, 2, FALSE))</f>
        <v>118.17</v>
      </c>
      <c r="P2074" s="2">
        <f>(16112*Table1[[#This Row],[Generation (TWh)]]*10^9)/10^6</f>
        <v>6097296.3839999996</v>
      </c>
      <c r="Q2074" s="2">
        <f>Table1[[#This Row],[Emission Factor (kg CO2/ mmBtu)]]*Table1[[#This Row],[Fuel Consumption (mmBtu)]]*10^3</f>
        <v>720517513697.27991</v>
      </c>
      <c r="R2074" s="2">
        <f>(Table1[[#This Row],[CO2 Emissions (g CO2)]])/(Table1[[#This Row],[Generation (TWh)]]*10^9)</f>
        <v>1903.9550399999998</v>
      </c>
    </row>
    <row r="2075" spans="1:18" hidden="1">
      <c r="A2075" t="s">
        <v>345</v>
      </c>
      <c r="B2075" t="s">
        <v>46</v>
      </c>
      <c r="C2075" t="str">
        <f>SUBSTITUTE(Table1[[#This Row],[Fuel]],", ",",")</f>
        <v>bioenergy: agricultural waste (solids)</v>
      </c>
      <c r="D2075" t="s">
        <v>46</v>
      </c>
      <c r="G2075">
        <v>55</v>
      </c>
      <c r="H2075" t="s">
        <v>27</v>
      </c>
      <c r="I2075">
        <v>2000</v>
      </c>
      <c r="J2075" t="s">
        <v>21</v>
      </c>
      <c r="K2075">
        <v>-19.979900000000001</v>
      </c>
      <c r="L2075">
        <v>-48.264499999999998</v>
      </c>
      <c r="M2075" t="s">
        <v>49</v>
      </c>
      <c r="N2075" s="2">
        <f>Table1[[#This Row],[Capacity (MW)]]*8760*0.72*10^-6</f>
        <v>0.34689599999999998</v>
      </c>
      <c r="O2075" s="2" cm="1">
        <f t="array" ref="O2075">AVERAGE(VLOOKUP(_xlfn.TEXTSPLIT(Table1[[#This Row],[Fuel (no space after comma)]], ","), FuelList_Final_EF!$A$2:$B$32, 2, FALSE))</f>
        <v>118.17</v>
      </c>
      <c r="P2075" s="2">
        <f>(16112*Table1[[#This Row],[Generation (TWh)]]*10^9)/10^6</f>
        <v>5589188.352</v>
      </c>
      <c r="Q2075" s="2">
        <f>Table1[[#This Row],[Emission Factor (kg CO2/ mmBtu)]]*Table1[[#This Row],[Fuel Consumption (mmBtu)]]*10^3</f>
        <v>660474387555.83997</v>
      </c>
      <c r="R2075" s="2">
        <f>(Table1[[#This Row],[CO2 Emissions (g CO2)]])/(Table1[[#This Row],[Generation (TWh)]]*10^9)</f>
        <v>1903.9550399999998</v>
      </c>
    </row>
    <row r="2076" spans="1:18" hidden="1">
      <c r="A2076" t="s">
        <v>52</v>
      </c>
      <c r="B2076" t="s">
        <v>210</v>
      </c>
      <c r="C2076" t="str">
        <f>SUBSTITUTE(Table1[[#This Row],[Fuel]],", ",",")</f>
        <v>bioenergy: wood &amp; other biomass (solids),bioenergy: agricultural waste (solids)</v>
      </c>
      <c r="D2076" t="s">
        <v>25</v>
      </c>
      <c r="E2076" t="s">
        <v>46</v>
      </c>
      <c r="G2076">
        <v>17.5</v>
      </c>
      <c r="H2076" t="s">
        <v>20</v>
      </c>
      <c r="I2076">
        <v>2025</v>
      </c>
      <c r="J2076" t="s">
        <v>21</v>
      </c>
      <c r="K2076">
        <v>33.875500000000002</v>
      </c>
      <c r="L2076">
        <v>135.17230000000001</v>
      </c>
      <c r="M2076" t="s">
        <v>51</v>
      </c>
      <c r="N2076" s="2">
        <f>Table1[[#This Row],[Capacity (MW)]]*8760*0.72*10^-6</f>
        <v>0.110376</v>
      </c>
      <c r="O2076" s="2" cm="1">
        <f t="array" ref="O2076">AVERAGE(VLOOKUP(_xlfn.TEXTSPLIT(Table1[[#This Row],[Fuel (no space after comma)]], ","), FuelList_Final_EF!$A$2:$B$32, 2, FALSE))</f>
        <v>105.985</v>
      </c>
      <c r="P2076" s="2">
        <f>(16112*Table1[[#This Row],[Generation (TWh)]]*10^9)/10^6</f>
        <v>1778378.112</v>
      </c>
      <c r="Q2076" s="2">
        <f>Table1[[#This Row],[Emission Factor (kg CO2/ mmBtu)]]*Table1[[#This Row],[Fuel Consumption (mmBtu)]]*10^3</f>
        <v>188481404200.32001</v>
      </c>
      <c r="R2076" s="2">
        <f>(Table1[[#This Row],[CO2 Emissions (g CO2)]])/(Table1[[#This Row],[Generation (TWh)]]*10^9)</f>
        <v>1707.63032</v>
      </c>
    </row>
    <row r="2077" spans="1:18" hidden="1">
      <c r="A2077" t="s">
        <v>1243</v>
      </c>
      <c r="B2077" t="s">
        <v>210</v>
      </c>
      <c r="C2077" t="str">
        <f>SUBSTITUTE(Table1[[#This Row],[Fuel]],", ",",")</f>
        <v>bioenergy: wood &amp; other biomass (solids),bioenergy: agricultural waste (solids)</v>
      </c>
      <c r="D2077" t="s">
        <v>25</v>
      </c>
      <c r="E2077" t="s">
        <v>46</v>
      </c>
      <c r="G2077">
        <v>15</v>
      </c>
      <c r="H2077" t="s">
        <v>20</v>
      </c>
      <c r="I2077">
        <v>2025</v>
      </c>
      <c r="J2077" t="s">
        <v>21</v>
      </c>
      <c r="K2077">
        <v>33.875500000000002</v>
      </c>
      <c r="L2077">
        <v>135.17230000000001</v>
      </c>
      <c r="M2077" t="s">
        <v>51</v>
      </c>
      <c r="N2077" s="2">
        <f>Table1[[#This Row],[Capacity (MW)]]*8760*0.72*10^-6</f>
        <v>9.4607999999999998E-2</v>
      </c>
      <c r="O2077" s="2" cm="1">
        <f t="array" ref="O2077">AVERAGE(VLOOKUP(_xlfn.TEXTSPLIT(Table1[[#This Row],[Fuel (no space after comma)]], ","), FuelList_Final_EF!$A$2:$B$32, 2, FALSE))</f>
        <v>105.985</v>
      </c>
      <c r="P2077" s="2">
        <f>(16112*Table1[[#This Row],[Generation (TWh)]]*10^9)/10^6</f>
        <v>1524324.0959999999</v>
      </c>
      <c r="Q2077" s="2">
        <f>Table1[[#This Row],[Emission Factor (kg CO2/ mmBtu)]]*Table1[[#This Row],[Fuel Consumption (mmBtu)]]*10^3</f>
        <v>161555489314.56</v>
      </c>
      <c r="R2077" s="2">
        <f>(Table1[[#This Row],[CO2 Emissions (g CO2)]])/(Table1[[#This Row],[Generation (TWh)]]*10^9)</f>
        <v>1707.63032</v>
      </c>
    </row>
    <row r="2078" spans="1:18" hidden="1">
      <c r="A2078" t="s">
        <v>1244</v>
      </c>
      <c r="B2078" t="s">
        <v>210</v>
      </c>
      <c r="C2078" t="str">
        <f>SUBSTITUTE(Table1[[#This Row],[Fuel]],", ",",")</f>
        <v>bioenergy: wood &amp; other biomass (solids),bioenergy: agricultural waste (solids)</v>
      </c>
      <c r="D2078" t="s">
        <v>25</v>
      </c>
      <c r="E2078" t="s">
        <v>46</v>
      </c>
      <c r="G2078">
        <v>17.5</v>
      </c>
      <c r="H2078" t="s">
        <v>20</v>
      </c>
      <c r="I2078">
        <v>2025</v>
      </c>
      <c r="J2078" t="s">
        <v>21</v>
      </c>
      <c r="K2078">
        <v>33.875500000000002</v>
      </c>
      <c r="L2078">
        <v>135.17230000000001</v>
      </c>
      <c r="M2078" t="s">
        <v>51</v>
      </c>
      <c r="N2078" s="2">
        <f>Table1[[#This Row],[Capacity (MW)]]*8760*0.72*10^-6</f>
        <v>0.110376</v>
      </c>
      <c r="O2078" s="2" cm="1">
        <f t="array" ref="O2078">AVERAGE(VLOOKUP(_xlfn.TEXTSPLIT(Table1[[#This Row],[Fuel (no space after comma)]], ","), FuelList_Final_EF!$A$2:$B$32, 2, FALSE))</f>
        <v>105.985</v>
      </c>
      <c r="P2078" s="2">
        <f>(16112*Table1[[#This Row],[Generation (TWh)]]*10^9)/10^6</f>
        <v>1778378.112</v>
      </c>
      <c r="Q2078" s="2">
        <f>Table1[[#This Row],[Emission Factor (kg CO2/ mmBtu)]]*Table1[[#This Row],[Fuel Consumption (mmBtu)]]*10^3</f>
        <v>188481404200.32001</v>
      </c>
      <c r="R2078" s="2">
        <f>(Table1[[#This Row],[CO2 Emissions (g CO2)]])/(Table1[[#This Row],[Generation (TWh)]]*10^9)</f>
        <v>1707.63032</v>
      </c>
    </row>
    <row r="2079" spans="1:18">
      <c r="A2079" t="s">
        <v>21</v>
      </c>
      <c r="B2079" t="s">
        <v>96</v>
      </c>
      <c r="C2079" t="str">
        <f>SUBSTITUTE(Table1[[#This Row],[Fuel]],", ",",")</f>
        <v>bioenergy: unknown</v>
      </c>
      <c r="D2079" t="s">
        <v>96</v>
      </c>
      <c r="G2079">
        <v>75</v>
      </c>
      <c r="H2079" t="s">
        <v>97</v>
      </c>
      <c r="I2079" t="s">
        <v>21</v>
      </c>
      <c r="J2079" t="s">
        <v>21</v>
      </c>
      <c r="K2079">
        <v>34.140099999999997</v>
      </c>
      <c r="L2079">
        <v>135.21539999999999</v>
      </c>
      <c r="M2079" t="s">
        <v>51</v>
      </c>
      <c r="N2079" s="2">
        <f>Table1[[#This Row],[Capacity (MW)]]*8760*0.72*10^-6</f>
        <v>0.47303999999999996</v>
      </c>
      <c r="O2079" s="2" cm="1">
        <f t="array" ref="O2079">AVERAGE(VLOOKUP(_xlfn.TEXTSPLIT(Table1[[#This Row],[Fuel (no space after comma)]], ","), FuelList_Final_EF!$A$2:$B$32, 2, FALSE))</f>
        <v>72.785606017598653</v>
      </c>
      <c r="P2079" s="2">
        <f>(16112*Table1[[#This Row],[Generation (TWh)]]*10^9)/10^6</f>
        <v>7621620.4800000004</v>
      </c>
      <c r="Q2079" s="2">
        <f>Table1[[#This Row],[Emission Factor (kg CO2/ mmBtu)]]*Table1[[#This Row],[Fuel Consumption (mmBtu)]]*10^3</f>
        <v>554744265472.94116</v>
      </c>
      <c r="R2079" s="2">
        <f>(Table1[[#This Row],[CO2 Emissions (g CO2)]])/(Table1[[#This Row],[Generation (TWh)]]*10^9)</f>
        <v>1172.7216841555496</v>
      </c>
    </row>
    <row r="2080" spans="1:18" hidden="1">
      <c r="A2080" t="s">
        <v>1245</v>
      </c>
      <c r="B2080" t="s">
        <v>46</v>
      </c>
      <c r="C2080" t="str">
        <f>SUBSTITUTE(Table1[[#This Row],[Fuel]],", ",",")</f>
        <v>bioenergy: agricultural waste (solids)</v>
      </c>
      <c r="D2080" t="s">
        <v>46</v>
      </c>
      <c r="G2080">
        <v>44</v>
      </c>
      <c r="H2080" t="s">
        <v>27</v>
      </c>
      <c r="I2080">
        <v>2013</v>
      </c>
      <c r="J2080" t="s">
        <v>21</v>
      </c>
      <c r="K2080">
        <v>16.862200000000001</v>
      </c>
      <c r="L2080">
        <v>74.198400000000007</v>
      </c>
      <c r="M2080" t="s">
        <v>66</v>
      </c>
      <c r="N2080" s="2">
        <f>Table1[[#This Row],[Capacity (MW)]]*8760*0.72*10^-6</f>
        <v>0.27751679999999995</v>
      </c>
      <c r="O2080" s="2" cm="1">
        <f t="array" ref="O2080">AVERAGE(VLOOKUP(_xlfn.TEXTSPLIT(Table1[[#This Row],[Fuel (no space after comma)]], ","), FuelList_Final_EF!$A$2:$B$32, 2, FALSE))</f>
        <v>118.17</v>
      </c>
      <c r="P2080" s="2">
        <f>(16112*Table1[[#This Row],[Generation (TWh)]]*10^9)/10^6</f>
        <v>4471350.6815999988</v>
      </c>
      <c r="Q2080" s="2">
        <f>Table1[[#This Row],[Emission Factor (kg CO2/ mmBtu)]]*Table1[[#This Row],[Fuel Consumption (mmBtu)]]*10^3</f>
        <v>528379510044.67188</v>
      </c>
      <c r="R2080" s="2">
        <f>(Table1[[#This Row],[CO2 Emissions (g CO2)]])/(Table1[[#This Row],[Generation (TWh)]]*10^9)</f>
        <v>1903.9550400000001</v>
      </c>
    </row>
    <row r="2081" spans="1:18">
      <c r="A2081" t="s">
        <v>1246</v>
      </c>
      <c r="B2081" t="s">
        <v>25</v>
      </c>
      <c r="C2081" t="str">
        <f>SUBSTITUTE(Table1[[#This Row],[Fuel]],", ",",")</f>
        <v>bioenergy: wood &amp; other biomass (solids)</v>
      </c>
      <c r="D2081" t="s">
        <v>25</v>
      </c>
      <c r="G2081">
        <v>30</v>
      </c>
      <c r="H2081" t="s">
        <v>138</v>
      </c>
      <c r="I2081" t="s">
        <v>21</v>
      </c>
      <c r="J2081" t="s">
        <v>21</v>
      </c>
      <c r="K2081">
        <v>41.624899999999997</v>
      </c>
      <c r="L2081">
        <v>-73.122500000000002</v>
      </c>
      <c r="M2081" t="s">
        <v>62</v>
      </c>
      <c r="N2081" s="2">
        <f>Table1[[#This Row],[Capacity (MW)]]*8760*0.72*10^-6</f>
        <v>0.189216</v>
      </c>
      <c r="O2081" s="2" cm="1">
        <f t="array" ref="O2081">AVERAGE(VLOOKUP(_xlfn.TEXTSPLIT(Table1[[#This Row],[Fuel (no space after comma)]], ","), FuelList_Final_EF!$A$2:$B$32, 2, FALSE))</f>
        <v>93.8</v>
      </c>
      <c r="P2081" s="2">
        <f>(16112*Table1[[#This Row],[Generation (TWh)]]*10^9)/10^6</f>
        <v>3048648.1919999998</v>
      </c>
      <c r="Q2081" s="2">
        <f>Table1[[#This Row],[Emission Factor (kg CO2/ mmBtu)]]*Table1[[#This Row],[Fuel Consumption (mmBtu)]]*10^3</f>
        <v>285963200409.59998</v>
      </c>
      <c r="R2081" s="2">
        <f>(Table1[[#This Row],[CO2 Emissions (g CO2)]])/(Table1[[#This Row],[Generation (TWh)]]*10^9)</f>
        <v>1511.3055999999999</v>
      </c>
    </row>
    <row r="2082" spans="1:18" hidden="1">
      <c r="A2082" t="s">
        <v>1247</v>
      </c>
      <c r="B2082" t="s">
        <v>46</v>
      </c>
      <c r="C2082" t="str">
        <f>SUBSTITUTE(Table1[[#This Row],[Fuel]],", ",",")</f>
        <v>bioenergy: agricultural waste (solids)</v>
      </c>
      <c r="D2082" t="s">
        <v>46</v>
      </c>
      <c r="G2082">
        <v>46</v>
      </c>
      <c r="H2082" t="s">
        <v>27</v>
      </c>
      <c r="I2082">
        <v>1988</v>
      </c>
      <c r="J2082" t="s">
        <v>21</v>
      </c>
      <c r="K2082">
        <v>-18.215299999999999</v>
      </c>
      <c r="L2082">
        <v>-45.990699999999997</v>
      </c>
      <c r="M2082" t="s">
        <v>49</v>
      </c>
      <c r="N2082" s="2">
        <f>Table1[[#This Row],[Capacity (MW)]]*8760*0.72*10^-6</f>
        <v>0.29013119999999998</v>
      </c>
      <c r="O2082" s="2" cm="1">
        <f t="array" ref="O2082">AVERAGE(VLOOKUP(_xlfn.TEXTSPLIT(Table1[[#This Row],[Fuel (no space after comma)]], ","), FuelList_Final_EF!$A$2:$B$32, 2, FALSE))</f>
        <v>118.17</v>
      </c>
      <c r="P2082" s="2">
        <f>(16112*Table1[[#This Row],[Generation (TWh)]]*10^9)/10^6</f>
        <v>4674593.8943999996</v>
      </c>
      <c r="Q2082" s="2">
        <f>Table1[[#This Row],[Emission Factor (kg CO2/ mmBtu)]]*Table1[[#This Row],[Fuel Consumption (mmBtu)]]*10^3</f>
        <v>552396760501.24805</v>
      </c>
      <c r="R2082" s="2">
        <f>(Table1[[#This Row],[CO2 Emissions (g CO2)]])/(Table1[[#This Row],[Generation (TWh)]]*10^9)</f>
        <v>1903.9550400000001</v>
      </c>
    </row>
    <row r="2083" spans="1:18">
      <c r="A2083" t="s">
        <v>21</v>
      </c>
      <c r="B2083" t="s">
        <v>46</v>
      </c>
      <c r="C2083" t="str">
        <f>SUBSTITUTE(Table1[[#This Row],[Fuel]],", ",",")</f>
        <v>bioenergy: agricultural waste (solids)</v>
      </c>
      <c r="D2083" t="s">
        <v>46</v>
      </c>
      <c r="G2083">
        <v>30</v>
      </c>
      <c r="H2083" t="s">
        <v>307</v>
      </c>
      <c r="I2083" t="s">
        <v>21</v>
      </c>
      <c r="J2083" t="s">
        <v>21</v>
      </c>
      <c r="K2083">
        <v>13.742100000000001</v>
      </c>
      <c r="L2083">
        <v>37.794699999999999</v>
      </c>
      <c r="M2083" t="s">
        <v>391</v>
      </c>
      <c r="N2083" s="2">
        <f>Table1[[#This Row],[Capacity (MW)]]*8760*0.72*10^-6</f>
        <v>0.189216</v>
      </c>
      <c r="O2083" s="2" cm="1">
        <f t="array" ref="O2083">AVERAGE(VLOOKUP(_xlfn.TEXTSPLIT(Table1[[#This Row],[Fuel (no space after comma)]], ","), FuelList_Final_EF!$A$2:$B$32, 2, FALSE))</f>
        <v>118.17</v>
      </c>
      <c r="P2083" s="2">
        <f>(16112*Table1[[#This Row],[Generation (TWh)]]*10^9)/10^6</f>
        <v>3048648.1919999998</v>
      </c>
      <c r="Q2083" s="2">
        <f>Table1[[#This Row],[Emission Factor (kg CO2/ mmBtu)]]*Table1[[#This Row],[Fuel Consumption (mmBtu)]]*10^3</f>
        <v>360258756848.63995</v>
      </c>
      <c r="R2083" s="2">
        <f>(Table1[[#This Row],[CO2 Emissions (g CO2)]])/(Table1[[#This Row],[Generation (TWh)]]*10^9)</f>
        <v>1903.9550399999998</v>
      </c>
    </row>
    <row r="2084" spans="1:18">
      <c r="A2084" t="s">
        <v>21</v>
      </c>
      <c r="B2084" t="s">
        <v>46</v>
      </c>
      <c r="C2084" t="str">
        <f>SUBSTITUTE(Table1[[#This Row],[Fuel]],", ",",")</f>
        <v>bioenergy: agricultural waste (solids)</v>
      </c>
      <c r="D2084" t="s">
        <v>46</v>
      </c>
      <c r="G2084">
        <v>30</v>
      </c>
      <c r="H2084" t="s">
        <v>307</v>
      </c>
      <c r="I2084" t="s">
        <v>21</v>
      </c>
      <c r="J2084" t="s">
        <v>21</v>
      </c>
      <c r="K2084">
        <v>13.742100000000001</v>
      </c>
      <c r="L2084">
        <v>37.794699999999999</v>
      </c>
      <c r="M2084" t="s">
        <v>391</v>
      </c>
      <c r="N2084" s="2">
        <f>Table1[[#This Row],[Capacity (MW)]]*8760*0.72*10^-6</f>
        <v>0.189216</v>
      </c>
      <c r="O2084" s="2" cm="1">
        <f t="array" ref="O2084">AVERAGE(VLOOKUP(_xlfn.TEXTSPLIT(Table1[[#This Row],[Fuel (no space after comma)]], ","), FuelList_Final_EF!$A$2:$B$32, 2, FALSE))</f>
        <v>118.17</v>
      </c>
      <c r="P2084" s="2">
        <f>(16112*Table1[[#This Row],[Generation (TWh)]]*10^9)/10^6</f>
        <v>3048648.1919999998</v>
      </c>
      <c r="Q2084" s="2">
        <f>Table1[[#This Row],[Emission Factor (kg CO2/ mmBtu)]]*Table1[[#This Row],[Fuel Consumption (mmBtu)]]*10^3</f>
        <v>360258756848.63995</v>
      </c>
      <c r="R2084" s="2">
        <f>(Table1[[#This Row],[CO2 Emissions (g CO2)]])/(Table1[[#This Row],[Generation (TWh)]]*10^9)</f>
        <v>1903.9550399999998</v>
      </c>
    </row>
    <row r="2085" spans="1:18">
      <c r="A2085" t="s">
        <v>21</v>
      </c>
      <c r="B2085" t="s">
        <v>46</v>
      </c>
      <c r="C2085" t="str">
        <f>SUBSTITUTE(Table1[[#This Row],[Fuel]],", ",",")</f>
        <v>bioenergy: agricultural waste (solids)</v>
      </c>
      <c r="D2085" t="s">
        <v>46</v>
      </c>
      <c r="G2085">
        <v>30</v>
      </c>
      <c r="H2085" t="s">
        <v>307</v>
      </c>
      <c r="I2085" t="s">
        <v>21</v>
      </c>
      <c r="J2085" t="s">
        <v>21</v>
      </c>
      <c r="K2085">
        <v>13.742100000000001</v>
      </c>
      <c r="L2085">
        <v>37.794699999999999</v>
      </c>
      <c r="M2085" t="s">
        <v>391</v>
      </c>
      <c r="N2085" s="2">
        <f>Table1[[#This Row],[Capacity (MW)]]*8760*0.72*10^-6</f>
        <v>0.189216</v>
      </c>
      <c r="O2085" s="2" cm="1">
        <f t="array" ref="O2085">AVERAGE(VLOOKUP(_xlfn.TEXTSPLIT(Table1[[#This Row],[Fuel (no space after comma)]], ","), FuelList_Final_EF!$A$2:$B$32, 2, FALSE))</f>
        <v>118.17</v>
      </c>
      <c r="P2085" s="2">
        <f>(16112*Table1[[#This Row],[Generation (TWh)]]*10^9)/10^6</f>
        <v>3048648.1919999998</v>
      </c>
      <c r="Q2085" s="2">
        <f>Table1[[#This Row],[Emission Factor (kg CO2/ mmBtu)]]*Table1[[#This Row],[Fuel Consumption (mmBtu)]]*10^3</f>
        <v>360258756848.63995</v>
      </c>
      <c r="R2085" s="2">
        <f>(Table1[[#This Row],[CO2 Emissions (g CO2)]])/(Table1[[#This Row],[Generation (TWh)]]*10^9)</f>
        <v>1903.9550399999998</v>
      </c>
    </row>
    <row r="2086" spans="1:18">
      <c r="A2086" t="s">
        <v>21</v>
      </c>
      <c r="B2086" t="s">
        <v>46</v>
      </c>
      <c r="C2086" t="str">
        <f>SUBSTITUTE(Table1[[#This Row],[Fuel]],", ",",")</f>
        <v>bioenergy: agricultural waste (solids)</v>
      </c>
      <c r="D2086" t="s">
        <v>46</v>
      </c>
      <c r="G2086">
        <v>30</v>
      </c>
      <c r="H2086" t="s">
        <v>307</v>
      </c>
      <c r="I2086" t="s">
        <v>21</v>
      </c>
      <c r="J2086" t="s">
        <v>21</v>
      </c>
      <c r="K2086">
        <v>13.742100000000001</v>
      </c>
      <c r="L2086">
        <v>37.794699999999999</v>
      </c>
      <c r="M2086" t="s">
        <v>391</v>
      </c>
      <c r="N2086" s="2">
        <f>Table1[[#This Row],[Capacity (MW)]]*8760*0.72*10^-6</f>
        <v>0.189216</v>
      </c>
      <c r="O2086" s="2" cm="1">
        <f t="array" ref="O2086">AVERAGE(VLOOKUP(_xlfn.TEXTSPLIT(Table1[[#This Row],[Fuel (no space after comma)]], ","), FuelList_Final_EF!$A$2:$B$32, 2, FALSE))</f>
        <v>118.17</v>
      </c>
      <c r="P2086" s="2">
        <f>(16112*Table1[[#This Row],[Generation (TWh)]]*10^9)/10^6</f>
        <v>3048648.1919999998</v>
      </c>
      <c r="Q2086" s="2">
        <f>Table1[[#This Row],[Emission Factor (kg CO2/ mmBtu)]]*Table1[[#This Row],[Fuel Consumption (mmBtu)]]*10^3</f>
        <v>360258756848.63995</v>
      </c>
      <c r="R2086" s="2">
        <f>(Table1[[#This Row],[CO2 Emissions (g CO2)]])/(Table1[[#This Row],[Generation (TWh)]]*10^9)</f>
        <v>1903.9550399999998</v>
      </c>
    </row>
    <row r="2087" spans="1:18">
      <c r="A2087" t="s">
        <v>21</v>
      </c>
      <c r="B2087" t="s">
        <v>46</v>
      </c>
      <c r="C2087" t="str">
        <f>SUBSTITUTE(Table1[[#This Row],[Fuel]],", ",",")</f>
        <v>bioenergy: agricultural waste (solids)</v>
      </c>
      <c r="D2087" t="s">
        <v>46</v>
      </c>
      <c r="G2087">
        <v>40</v>
      </c>
      <c r="H2087" t="s">
        <v>138</v>
      </c>
      <c r="I2087" t="s">
        <v>21</v>
      </c>
      <c r="J2087" t="s">
        <v>21</v>
      </c>
      <c r="K2087">
        <v>0.37968679849999998</v>
      </c>
      <c r="L2087">
        <v>34.831341969999997</v>
      </c>
      <c r="M2087" t="s">
        <v>337</v>
      </c>
      <c r="N2087" s="2">
        <f>Table1[[#This Row],[Capacity (MW)]]*8760*0.72*10^-6</f>
        <v>0.25228800000000001</v>
      </c>
      <c r="O2087" s="2" cm="1">
        <f t="array" ref="O2087">AVERAGE(VLOOKUP(_xlfn.TEXTSPLIT(Table1[[#This Row],[Fuel (no space after comma)]], ","), FuelList_Final_EF!$A$2:$B$32, 2, FALSE))</f>
        <v>118.17</v>
      </c>
      <c r="P2087" s="2">
        <f>(16112*Table1[[#This Row],[Generation (TWh)]]*10^9)/10^6</f>
        <v>4064864.2560000005</v>
      </c>
      <c r="Q2087" s="2">
        <f>Table1[[#This Row],[Emission Factor (kg CO2/ mmBtu)]]*Table1[[#This Row],[Fuel Consumption (mmBtu)]]*10^3</f>
        <v>480345009131.52008</v>
      </c>
      <c r="R2087" s="2">
        <f>(Table1[[#This Row],[CO2 Emissions (g CO2)]])/(Table1[[#This Row],[Generation (TWh)]]*10^9)</f>
        <v>1903.9550400000003</v>
      </c>
    </row>
    <row r="2088" spans="1:18" hidden="1">
      <c r="A2088" t="s">
        <v>1248</v>
      </c>
      <c r="B2088" t="s">
        <v>145</v>
      </c>
      <c r="C2088" t="str">
        <f>SUBSTITUTE(Table1[[#This Row],[Fuel]],", ",",")</f>
        <v>bioenergy: paper mill wastes,bioenergy: wood &amp; other biomass (solids),fossil gas: natural gas</v>
      </c>
      <c r="D2088" t="s">
        <v>61</v>
      </c>
      <c r="E2088" t="s">
        <v>25</v>
      </c>
      <c r="F2088" t="s">
        <v>69</v>
      </c>
      <c r="G2088">
        <v>46</v>
      </c>
      <c r="H2088" t="s">
        <v>27</v>
      </c>
      <c r="I2088">
        <v>1985</v>
      </c>
      <c r="J2088" t="s">
        <v>21</v>
      </c>
      <c r="K2088">
        <v>37.539200000000001</v>
      </c>
      <c r="L2088">
        <v>-76.805300000000003</v>
      </c>
      <c r="M2088" t="s">
        <v>62</v>
      </c>
      <c r="N2088" s="2">
        <f>Table1[[#This Row],[Capacity (MW)]]*8760*0.72*10^-6</f>
        <v>0.29013119999999998</v>
      </c>
      <c r="O2088" s="2" cm="1">
        <f t="array" ref="O2088">AVERAGE(VLOOKUP(_xlfn.TEXTSPLIT(Table1[[#This Row],[Fuel (no space after comma)]], ","), FuelList_Final_EF!$A$2:$B$32, 2, FALSE))</f>
        <v>82.444811105253905</v>
      </c>
      <c r="P2088" s="2">
        <f>(16112*Table1[[#This Row],[Generation (TWh)]]*10^9)/10^6</f>
        <v>4674593.8943999996</v>
      </c>
      <c r="Q2088" s="2">
        <f>Table1[[#This Row],[Emission Factor (kg CO2/ mmBtu)]]*Table1[[#This Row],[Fuel Consumption (mmBtu)]]*10^3</f>
        <v>385396010617.58118</v>
      </c>
      <c r="R2088" s="2">
        <f>(Table1[[#This Row],[CO2 Emissions (g CO2)]])/(Table1[[#This Row],[Generation (TWh)]]*10^9)</f>
        <v>1328.3507965278507</v>
      </c>
    </row>
    <row r="2089" spans="1:18" hidden="1">
      <c r="A2089" t="s">
        <v>1165</v>
      </c>
      <c r="B2089" t="s">
        <v>1249</v>
      </c>
      <c r="C2089" t="str">
        <f>SUBSTITUTE(Table1[[#This Row],[Fuel]],", ",",")</f>
        <v>bioenergy: wood &amp; other biomass (solids),coal: bituminous,fossil liquids: unknown</v>
      </c>
      <c r="D2089" t="s">
        <v>25</v>
      </c>
      <c r="E2089" t="s">
        <v>90</v>
      </c>
      <c r="F2089" t="s">
        <v>217</v>
      </c>
      <c r="G2089">
        <v>48</v>
      </c>
      <c r="H2089" t="s">
        <v>27</v>
      </c>
      <c r="I2089">
        <v>1982</v>
      </c>
      <c r="J2089" t="s">
        <v>21</v>
      </c>
      <c r="K2089">
        <v>43.684899999999999</v>
      </c>
      <c r="L2089">
        <v>-70.353200000000001</v>
      </c>
      <c r="M2089" t="s">
        <v>62</v>
      </c>
      <c r="N2089" s="2">
        <f>Table1[[#This Row],[Capacity (MW)]]*8760*0.72*10^-6</f>
        <v>0.30274559999999995</v>
      </c>
      <c r="O2089" s="2" cm="1">
        <f t="array" ref="O2089">AVERAGE(VLOOKUP(_xlfn.TEXTSPLIT(Table1[[#This Row],[Fuel (no space after comma)]], ","), FuelList_Final_EF!$A$2:$B$32, 2, FALSE))</f>
        <v>92.79540266732009</v>
      </c>
      <c r="P2089" s="2">
        <f>(16112*Table1[[#This Row],[Generation (TWh)]]*10^9)/10^6</f>
        <v>4877837.1071999986</v>
      </c>
      <c r="Q2089" s="2">
        <f>Table1[[#This Row],[Emission Factor (kg CO2/ mmBtu)]]*Table1[[#This Row],[Fuel Consumption (mmBtu)]]*10^3</f>
        <v>452640858508.21967</v>
      </c>
      <c r="R2089" s="2">
        <f>(Table1[[#This Row],[CO2 Emissions (g CO2)]])/(Table1[[#This Row],[Generation (TWh)]]*10^9)</f>
        <v>1495.1195277758611</v>
      </c>
    </row>
    <row r="2090" spans="1:18" hidden="1">
      <c r="A2090" t="s">
        <v>1250</v>
      </c>
      <c r="B2090" t="s">
        <v>1249</v>
      </c>
      <c r="C2090" t="str">
        <f>SUBSTITUTE(Table1[[#This Row],[Fuel]],", ",",")</f>
        <v>bioenergy: wood &amp; other biomass (solids),coal: bituminous,fossil liquids: unknown</v>
      </c>
      <c r="D2090" t="s">
        <v>25</v>
      </c>
      <c r="E2090" t="s">
        <v>90</v>
      </c>
      <c r="F2090" t="s">
        <v>217</v>
      </c>
      <c r="G2090">
        <v>77</v>
      </c>
      <c r="H2090" t="s">
        <v>27</v>
      </c>
      <c r="I2090">
        <v>1987</v>
      </c>
      <c r="J2090" t="s">
        <v>21</v>
      </c>
      <c r="K2090">
        <v>34.152889000000002</v>
      </c>
      <c r="L2090">
        <v>-79.559766999999994</v>
      </c>
      <c r="M2090" t="s">
        <v>62</v>
      </c>
      <c r="N2090" s="2">
        <f>Table1[[#This Row],[Capacity (MW)]]*8760*0.72*10^-6</f>
        <v>0.48565439999999993</v>
      </c>
      <c r="O2090" s="2" cm="1">
        <f t="array" ref="O2090">AVERAGE(VLOOKUP(_xlfn.TEXTSPLIT(Table1[[#This Row],[Fuel (no space after comma)]], ","), FuelList_Final_EF!$A$2:$B$32, 2, FALSE))</f>
        <v>92.79540266732009</v>
      </c>
      <c r="P2090" s="2">
        <f>(16112*Table1[[#This Row],[Generation (TWh)]]*10^9)/10^6</f>
        <v>7824863.6927999994</v>
      </c>
      <c r="Q2090" s="2">
        <f>Table1[[#This Row],[Emission Factor (kg CO2/ mmBtu)]]*Table1[[#This Row],[Fuel Consumption (mmBtu)]]*10^3</f>
        <v>726111377190.26929</v>
      </c>
      <c r="R2090" s="2">
        <f>(Table1[[#This Row],[CO2 Emissions (g CO2)]])/(Table1[[#This Row],[Generation (TWh)]]*10^9)</f>
        <v>1495.1195277758616</v>
      </c>
    </row>
    <row r="2091" spans="1:18" hidden="1">
      <c r="A2091" t="s">
        <v>1251</v>
      </c>
      <c r="B2091" t="s">
        <v>19</v>
      </c>
      <c r="C2091" t="str">
        <f>SUBSTITUTE(Table1[[#This Row],[Fuel]],", ",",")</f>
        <v>bioenergy: refuse (municipal and industrial wastes)</v>
      </c>
      <c r="D2091" t="s">
        <v>19</v>
      </c>
      <c r="G2091">
        <v>60</v>
      </c>
      <c r="H2091" t="s">
        <v>27</v>
      </c>
      <c r="I2091">
        <v>1984</v>
      </c>
      <c r="J2091" t="s">
        <v>21</v>
      </c>
      <c r="K2091">
        <v>39.265999999999998</v>
      </c>
      <c r="L2091">
        <v>-76.6297</v>
      </c>
      <c r="M2091" t="s">
        <v>62</v>
      </c>
      <c r="N2091" s="2">
        <f>Table1[[#This Row],[Capacity (MW)]]*8760*0.72*10^-6</f>
        <v>0.37843199999999999</v>
      </c>
      <c r="O2091" s="2" cm="1">
        <f t="array" ref="O2091">AVERAGE(VLOOKUP(_xlfn.TEXTSPLIT(Table1[[#This Row],[Fuel (no space after comma)]], ","), FuelList_Final_EF!$A$2:$B$32, 2, FALSE))</f>
        <v>105.42962572482868</v>
      </c>
      <c r="P2091" s="2">
        <f>(16112*Table1[[#This Row],[Generation (TWh)]]*10^9)/10^6</f>
        <v>6097296.3839999996</v>
      </c>
      <c r="Q2091" s="2">
        <f>Table1[[#This Row],[Emission Factor (kg CO2/ mmBtu)]]*Table1[[#This Row],[Fuel Consumption (mmBtu)]]*10^3</f>
        <v>642835675698.47131</v>
      </c>
      <c r="R2091" s="2">
        <f>(Table1[[#This Row],[CO2 Emissions (g CO2)]])/(Table1[[#This Row],[Generation (TWh)]]*10^9)</f>
        <v>1698.6821296784397</v>
      </c>
    </row>
    <row r="2092" spans="1:18" hidden="1">
      <c r="A2092" t="s">
        <v>1251</v>
      </c>
      <c r="B2092" t="s">
        <v>19</v>
      </c>
      <c r="C2092" t="str">
        <f>SUBSTITUTE(Table1[[#This Row],[Fuel]],", ",",")</f>
        <v>bioenergy: refuse (municipal and industrial wastes)</v>
      </c>
      <c r="D2092" t="s">
        <v>19</v>
      </c>
      <c r="G2092">
        <v>67</v>
      </c>
      <c r="H2092" t="s">
        <v>27</v>
      </c>
      <c r="I2092">
        <v>1988</v>
      </c>
      <c r="J2092" t="s">
        <v>21</v>
      </c>
      <c r="K2092">
        <v>41.162500000000001</v>
      </c>
      <c r="L2092">
        <v>-73.208299999999994</v>
      </c>
      <c r="M2092" t="s">
        <v>62</v>
      </c>
      <c r="N2092" s="2">
        <f>Table1[[#This Row],[Capacity (MW)]]*8760*0.72*10^-6</f>
        <v>0.42258239999999997</v>
      </c>
      <c r="O2092" s="2" cm="1">
        <f t="array" ref="O2092">AVERAGE(VLOOKUP(_xlfn.TEXTSPLIT(Table1[[#This Row],[Fuel (no space after comma)]], ","), FuelList_Final_EF!$A$2:$B$32, 2, FALSE))</f>
        <v>105.42962572482868</v>
      </c>
      <c r="P2092" s="2">
        <f>(16112*Table1[[#This Row],[Generation (TWh)]]*10^9)/10^6</f>
        <v>6808647.6287999991</v>
      </c>
      <c r="Q2092" s="2">
        <f>Table1[[#This Row],[Emission Factor (kg CO2/ mmBtu)]]*Table1[[#This Row],[Fuel Consumption (mmBtu)]]*10^3</f>
        <v>717833171196.62622</v>
      </c>
      <c r="R2092" s="2">
        <f>(Table1[[#This Row],[CO2 Emissions (g CO2)]])/(Table1[[#This Row],[Generation (TWh)]]*10^9)</f>
        <v>1698.6821296784399</v>
      </c>
    </row>
    <row r="2093" spans="1:18" hidden="1">
      <c r="A2093" t="s">
        <v>1251</v>
      </c>
      <c r="B2093" t="s">
        <v>19</v>
      </c>
      <c r="C2093" t="str">
        <f>SUBSTITUTE(Table1[[#This Row],[Fuel]],", ",",")</f>
        <v>bioenergy: refuse (municipal and industrial wastes)</v>
      </c>
      <c r="D2093" t="s">
        <v>19</v>
      </c>
      <c r="G2093">
        <v>53</v>
      </c>
      <c r="H2093" t="s">
        <v>27</v>
      </c>
      <c r="I2093">
        <v>1994</v>
      </c>
      <c r="J2093" t="s">
        <v>21</v>
      </c>
      <c r="K2093">
        <v>40.162599999999998</v>
      </c>
      <c r="L2093">
        <v>-74.768199999999993</v>
      </c>
      <c r="M2093" t="s">
        <v>62</v>
      </c>
      <c r="N2093" s="2">
        <f>Table1[[#This Row],[Capacity (MW)]]*8760*0.72*10^-6</f>
        <v>0.33428159999999996</v>
      </c>
      <c r="O2093" s="2" cm="1">
        <f t="array" ref="O2093">AVERAGE(VLOOKUP(_xlfn.TEXTSPLIT(Table1[[#This Row],[Fuel (no space after comma)]], ","), FuelList_Final_EF!$A$2:$B$32, 2, FALSE))</f>
        <v>105.42962572482868</v>
      </c>
      <c r="P2093" s="2">
        <f>(16112*Table1[[#This Row],[Generation (TWh)]]*10^9)/10^6</f>
        <v>5385945.1391999992</v>
      </c>
      <c r="Q2093" s="2">
        <f>Table1[[#This Row],[Emission Factor (kg CO2/ mmBtu)]]*Table1[[#This Row],[Fuel Consumption (mmBtu)]]*10^3</f>
        <v>567838180200.31616</v>
      </c>
      <c r="R2093" s="2">
        <f>(Table1[[#This Row],[CO2 Emissions (g CO2)]])/(Table1[[#This Row],[Generation (TWh)]]*10^9)</f>
        <v>1698.6821296784397</v>
      </c>
    </row>
    <row r="2094" spans="1:18" hidden="1">
      <c r="A2094" t="s">
        <v>1251</v>
      </c>
      <c r="B2094" t="s">
        <v>19</v>
      </c>
      <c r="C2094" t="str">
        <f>SUBSTITUTE(Table1[[#This Row],[Fuel]],", ",",")</f>
        <v>bioenergy: refuse (municipal and industrial wastes)</v>
      </c>
      <c r="D2094" t="s">
        <v>19</v>
      </c>
      <c r="G2094">
        <v>48</v>
      </c>
      <c r="H2094" t="s">
        <v>27</v>
      </c>
      <c r="I2094">
        <v>1987</v>
      </c>
      <c r="J2094" t="s">
        <v>21</v>
      </c>
      <c r="K2094">
        <v>42.221400000000003</v>
      </c>
      <c r="L2094">
        <v>-71.766900000000007</v>
      </c>
      <c r="M2094" t="s">
        <v>62</v>
      </c>
      <c r="N2094" s="2">
        <f>Table1[[#This Row],[Capacity (MW)]]*8760*0.72*10^-6</f>
        <v>0.30274559999999995</v>
      </c>
      <c r="O2094" s="2" cm="1">
        <f t="array" ref="O2094">AVERAGE(VLOOKUP(_xlfn.TEXTSPLIT(Table1[[#This Row],[Fuel (no space after comma)]], ","), FuelList_Final_EF!$A$2:$B$32, 2, FALSE))</f>
        <v>105.42962572482868</v>
      </c>
      <c r="P2094" s="2">
        <f>(16112*Table1[[#This Row],[Generation (TWh)]]*10^9)/10^6</f>
        <v>4877837.1071999986</v>
      </c>
      <c r="Q2094" s="2">
        <f>Table1[[#This Row],[Emission Factor (kg CO2/ mmBtu)]]*Table1[[#This Row],[Fuel Consumption (mmBtu)]]*10^3</f>
        <v>514268540558.77692</v>
      </c>
      <c r="R2094" s="2">
        <f>(Table1[[#This Row],[CO2 Emissions (g CO2)]])/(Table1[[#This Row],[Generation (TWh)]]*10^9)</f>
        <v>1698.6821296784397</v>
      </c>
    </row>
    <row r="2095" spans="1:18" hidden="1">
      <c r="A2095" t="s">
        <v>1251</v>
      </c>
      <c r="B2095" t="s">
        <v>19</v>
      </c>
      <c r="C2095" t="str">
        <f>SUBSTITUTE(Table1[[#This Row],[Fuel]],", ",",")</f>
        <v>bioenergy: refuse (municipal and industrial wastes)</v>
      </c>
      <c r="D2095" t="s">
        <v>19</v>
      </c>
      <c r="G2095">
        <v>40</v>
      </c>
      <c r="H2095" t="s">
        <v>27</v>
      </c>
      <c r="I2095">
        <v>1985</v>
      </c>
      <c r="J2095" t="s">
        <v>21</v>
      </c>
      <c r="K2095">
        <v>42.726199999999999</v>
      </c>
      <c r="L2095">
        <v>-71.121899999999997</v>
      </c>
      <c r="M2095" t="s">
        <v>62</v>
      </c>
      <c r="N2095" s="2">
        <f>Table1[[#This Row],[Capacity (MW)]]*8760*0.72*10^-6</f>
        <v>0.25228800000000001</v>
      </c>
      <c r="O2095" s="2" cm="1">
        <f t="array" ref="O2095">AVERAGE(VLOOKUP(_xlfn.TEXTSPLIT(Table1[[#This Row],[Fuel (no space after comma)]], ","), FuelList_Final_EF!$A$2:$B$32, 2, FALSE))</f>
        <v>105.42962572482868</v>
      </c>
      <c r="P2095" s="2">
        <f>(16112*Table1[[#This Row],[Generation (TWh)]]*10^9)/10^6</f>
        <v>4064864.2560000005</v>
      </c>
      <c r="Q2095" s="2">
        <f>Table1[[#This Row],[Emission Factor (kg CO2/ mmBtu)]]*Table1[[#This Row],[Fuel Consumption (mmBtu)]]*10^3</f>
        <v>428557117132.31427</v>
      </c>
      <c r="R2095" s="2">
        <f>(Table1[[#This Row],[CO2 Emissions (g CO2)]])/(Table1[[#This Row],[Generation (TWh)]]*10^9)</f>
        <v>1698.6821296784401</v>
      </c>
    </row>
    <row r="2096" spans="1:18" hidden="1">
      <c r="A2096" t="s">
        <v>21</v>
      </c>
      <c r="B2096" t="s">
        <v>1252</v>
      </c>
      <c r="C2096" t="str">
        <f>SUBSTITUTE(Table1[[#This Row],[Fuel]],", ",",")</f>
        <v>bioenergy: wood &amp; other biomass (solids),bioenergy: refuse (landfill gas),other: tires</v>
      </c>
      <c r="D2096" t="s">
        <v>25</v>
      </c>
      <c r="E2096" t="s">
        <v>351</v>
      </c>
      <c r="F2096" t="s">
        <v>1253</v>
      </c>
      <c r="G2096">
        <v>50</v>
      </c>
      <c r="H2096" t="s">
        <v>27</v>
      </c>
      <c r="I2096">
        <v>1994</v>
      </c>
      <c r="J2096" t="s">
        <v>21</v>
      </c>
      <c r="K2096">
        <v>28.0276</v>
      </c>
      <c r="L2096">
        <v>-81.8459</v>
      </c>
      <c r="M2096" t="s">
        <v>62</v>
      </c>
      <c r="N2096" s="2">
        <f>Table1[[#This Row],[Capacity (MW)]]*8760*0.72*10^-6</f>
        <v>0.31535999999999997</v>
      </c>
      <c r="O2096" s="2" cm="1">
        <f t="array" ref="O2096">AVERAGE(VLOOKUP(_xlfn.TEXTSPLIT(Table1[[#This Row],[Fuel (no space after comma)]], ","), FuelList_Final_EF!$A$2:$B$32, 2, FALSE))</f>
        <v>77.28</v>
      </c>
      <c r="P2096" s="2">
        <f>(16112*Table1[[#This Row],[Generation (TWh)]]*10^9)/10^6</f>
        <v>5081080.32</v>
      </c>
      <c r="Q2096" s="2">
        <f>Table1[[#This Row],[Emission Factor (kg CO2/ mmBtu)]]*Table1[[#This Row],[Fuel Consumption (mmBtu)]]*10^3</f>
        <v>392665887129.60004</v>
      </c>
      <c r="R2096" s="2">
        <f>(Table1[[#This Row],[CO2 Emissions (g CO2)]])/(Table1[[#This Row],[Generation (TWh)]]*10^9)</f>
        <v>1245.1353600000002</v>
      </c>
    </row>
    <row r="2097" spans="1:18" hidden="1">
      <c r="A2097" t="s">
        <v>1251</v>
      </c>
      <c r="B2097" t="s">
        <v>19</v>
      </c>
      <c r="C2097" t="str">
        <f>SUBSTITUTE(Table1[[#This Row],[Fuel]],", ",",")</f>
        <v>bioenergy: refuse (municipal and industrial wastes)</v>
      </c>
      <c r="D2097" t="s">
        <v>19</v>
      </c>
      <c r="G2097">
        <v>54</v>
      </c>
      <c r="H2097" t="s">
        <v>27</v>
      </c>
      <c r="I2097">
        <v>1985</v>
      </c>
      <c r="J2097" t="s">
        <v>21</v>
      </c>
      <c r="K2097">
        <v>42.447000000000003</v>
      </c>
      <c r="L2097">
        <v>-70.980400000000003</v>
      </c>
      <c r="M2097" t="s">
        <v>62</v>
      </c>
      <c r="N2097" s="2">
        <f>Table1[[#This Row],[Capacity (MW)]]*8760*0.72*10^-6</f>
        <v>0.34058879999999997</v>
      </c>
      <c r="O2097" s="2" cm="1">
        <f t="array" ref="O2097">AVERAGE(VLOOKUP(_xlfn.TEXTSPLIT(Table1[[#This Row],[Fuel (no space after comma)]], ","), FuelList_Final_EF!$A$2:$B$32, 2, FALSE))</f>
        <v>105.42962572482868</v>
      </c>
      <c r="P2097" s="2">
        <f>(16112*Table1[[#This Row],[Generation (TWh)]]*10^9)/10^6</f>
        <v>5487566.7455999991</v>
      </c>
      <c r="Q2097" s="2">
        <f>Table1[[#This Row],[Emission Factor (kg CO2/ mmBtu)]]*Table1[[#This Row],[Fuel Consumption (mmBtu)]]*10^3</f>
        <v>578552108128.62402</v>
      </c>
      <c r="R2097" s="2">
        <f>(Table1[[#This Row],[CO2 Emissions (g CO2)]])/(Table1[[#This Row],[Generation (TWh)]]*10^9)</f>
        <v>1698.6821296784397</v>
      </c>
    </row>
    <row r="2098" spans="1:18" hidden="1">
      <c r="A2098" t="s">
        <v>1251</v>
      </c>
      <c r="B2098" t="s">
        <v>19</v>
      </c>
      <c r="C2098" t="str">
        <f>SUBSTITUTE(Table1[[#This Row],[Fuel]],", ",",")</f>
        <v>bioenergy: refuse (municipal and industrial wastes)</v>
      </c>
      <c r="D2098" t="s">
        <v>19</v>
      </c>
      <c r="G2098">
        <v>66</v>
      </c>
      <c r="H2098" t="s">
        <v>27</v>
      </c>
      <c r="I2098">
        <v>1991</v>
      </c>
      <c r="J2098" t="s">
        <v>21</v>
      </c>
      <c r="K2098">
        <v>26.0687</v>
      </c>
      <c r="L2098">
        <v>-80.198599999999999</v>
      </c>
      <c r="M2098" t="s">
        <v>62</v>
      </c>
      <c r="N2098" s="2">
        <f>Table1[[#This Row],[Capacity (MW)]]*8760*0.72*10^-6</f>
        <v>0.41627520000000001</v>
      </c>
      <c r="O2098" s="2" cm="1">
        <f t="array" ref="O2098">AVERAGE(VLOOKUP(_xlfn.TEXTSPLIT(Table1[[#This Row],[Fuel (no space after comma)]], ","), FuelList_Final_EF!$A$2:$B$32, 2, FALSE))</f>
        <v>105.42962572482868</v>
      </c>
      <c r="P2098" s="2">
        <f>(16112*Table1[[#This Row],[Generation (TWh)]]*10^9)/10^6</f>
        <v>6707026.0224000001</v>
      </c>
      <c r="Q2098" s="2">
        <f>Table1[[#This Row],[Emission Factor (kg CO2/ mmBtu)]]*Table1[[#This Row],[Fuel Consumption (mmBtu)]]*10^3</f>
        <v>707119243268.31836</v>
      </c>
      <c r="R2098" s="2">
        <f>(Table1[[#This Row],[CO2 Emissions (g CO2)]])/(Table1[[#This Row],[Generation (TWh)]]*10^9)</f>
        <v>1698.6821296784397</v>
      </c>
    </row>
    <row r="2099" spans="1:18" hidden="1">
      <c r="A2099" t="s">
        <v>1251</v>
      </c>
      <c r="B2099" t="s">
        <v>19</v>
      </c>
      <c r="C2099" t="str">
        <f>SUBSTITUTE(Table1[[#This Row],[Fuel]],", ",",")</f>
        <v>bioenergy: refuse (municipal and industrial wastes)</v>
      </c>
      <c r="D2099" t="s">
        <v>19</v>
      </c>
      <c r="G2099">
        <v>60</v>
      </c>
      <c r="H2099" t="s">
        <v>27</v>
      </c>
      <c r="I2099">
        <v>1984</v>
      </c>
      <c r="J2099" t="s">
        <v>21</v>
      </c>
      <c r="K2099">
        <v>41.277099999999997</v>
      </c>
      <c r="L2099">
        <v>-73.942300000000003</v>
      </c>
      <c r="M2099" t="s">
        <v>62</v>
      </c>
      <c r="N2099" s="2">
        <f>Table1[[#This Row],[Capacity (MW)]]*8760*0.72*10^-6</f>
        <v>0.37843199999999999</v>
      </c>
      <c r="O2099" s="2" cm="1">
        <f t="array" ref="O2099">AVERAGE(VLOOKUP(_xlfn.TEXTSPLIT(Table1[[#This Row],[Fuel (no space after comma)]], ","), FuelList_Final_EF!$A$2:$B$32, 2, FALSE))</f>
        <v>105.42962572482868</v>
      </c>
      <c r="P2099" s="2">
        <f>(16112*Table1[[#This Row],[Generation (TWh)]]*10^9)/10^6</f>
        <v>6097296.3839999996</v>
      </c>
      <c r="Q2099" s="2">
        <f>Table1[[#This Row],[Emission Factor (kg CO2/ mmBtu)]]*Table1[[#This Row],[Fuel Consumption (mmBtu)]]*10^3</f>
        <v>642835675698.47131</v>
      </c>
      <c r="R2099" s="2">
        <f>(Table1[[#This Row],[CO2 Emissions (g CO2)]])/(Table1[[#This Row],[Generation (TWh)]]*10^9)</f>
        <v>1698.6821296784397</v>
      </c>
    </row>
    <row r="2100" spans="1:18" hidden="1">
      <c r="A2100" t="s">
        <v>1254</v>
      </c>
      <c r="B2100" t="s">
        <v>19</v>
      </c>
      <c r="C2100" t="str">
        <f>SUBSTITUTE(Table1[[#This Row],[Fuel]],", ",",")</f>
        <v>bioenergy: refuse (municipal and industrial wastes)</v>
      </c>
      <c r="D2100" t="s">
        <v>19</v>
      </c>
      <c r="G2100">
        <v>50</v>
      </c>
      <c r="H2100" t="s">
        <v>27</v>
      </c>
      <c r="I2100">
        <v>2020</v>
      </c>
      <c r="J2100" t="s">
        <v>21</v>
      </c>
      <c r="K2100">
        <v>51.365900000000003</v>
      </c>
      <c r="L2100">
        <v>0.76080000000000003</v>
      </c>
      <c r="M2100" t="s">
        <v>22</v>
      </c>
      <c r="N2100" s="2">
        <f>Table1[[#This Row],[Capacity (MW)]]*8760*0.72*10^-6</f>
        <v>0.31535999999999997</v>
      </c>
      <c r="O2100" s="2" cm="1">
        <f t="array" ref="O2100">AVERAGE(VLOOKUP(_xlfn.TEXTSPLIT(Table1[[#This Row],[Fuel (no space after comma)]], ","), FuelList_Final_EF!$A$2:$B$32, 2, FALSE))</f>
        <v>105.42962572482868</v>
      </c>
      <c r="P2100" s="2">
        <f>(16112*Table1[[#This Row],[Generation (TWh)]]*10^9)/10^6</f>
        <v>5081080.32</v>
      </c>
      <c r="Q2100" s="2">
        <f>Table1[[#This Row],[Emission Factor (kg CO2/ mmBtu)]]*Table1[[#This Row],[Fuel Consumption (mmBtu)]]*10^3</f>
        <v>535696396415.39276</v>
      </c>
      <c r="R2100" s="2">
        <f>(Table1[[#This Row],[CO2 Emissions (g CO2)]])/(Table1[[#This Row],[Generation (TWh)]]*10^9)</f>
        <v>1698.6821296784397</v>
      </c>
    </row>
    <row r="2101" spans="1:18" hidden="1">
      <c r="A2101" t="s">
        <v>54</v>
      </c>
      <c r="B2101" t="s">
        <v>46</v>
      </c>
      <c r="C2101" t="str">
        <f>SUBSTITUTE(Table1[[#This Row],[Fuel]],", ",",")</f>
        <v>bioenergy: agricultural waste (solids)</v>
      </c>
      <c r="D2101" t="s">
        <v>46</v>
      </c>
      <c r="G2101">
        <v>21.7</v>
      </c>
      <c r="H2101" t="s">
        <v>27</v>
      </c>
      <c r="I2101">
        <v>2012</v>
      </c>
      <c r="J2101" t="s">
        <v>21</v>
      </c>
      <c r="K2101">
        <v>14.072100000000001</v>
      </c>
      <c r="L2101">
        <v>32.468600000000002</v>
      </c>
      <c r="M2101" t="s">
        <v>815</v>
      </c>
      <c r="N2101" s="2">
        <f>Table1[[#This Row],[Capacity (MW)]]*8760*0.72*10^-6</f>
        <v>0.13686623999999997</v>
      </c>
      <c r="O2101" s="2" cm="1">
        <f t="array" ref="O2101">AVERAGE(VLOOKUP(_xlfn.TEXTSPLIT(Table1[[#This Row],[Fuel (no space after comma)]], ","), FuelList_Final_EF!$A$2:$B$32, 2, FALSE))</f>
        <v>118.17</v>
      </c>
      <c r="P2101" s="2">
        <f>(16112*Table1[[#This Row],[Generation (TWh)]]*10^9)/10^6</f>
        <v>2205188.8588800002</v>
      </c>
      <c r="Q2101" s="2">
        <f>Table1[[#This Row],[Emission Factor (kg CO2/ mmBtu)]]*Table1[[#This Row],[Fuel Consumption (mmBtu)]]*10^3</f>
        <v>260587167453.84961</v>
      </c>
      <c r="R2101" s="2">
        <f>(Table1[[#This Row],[CO2 Emissions (g CO2)]])/(Table1[[#This Row],[Generation (TWh)]]*10^9)</f>
        <v>1903.9550400000005</v>
      </c>
    </row>
    <row r="2102" spans="1:18" hidden="1">
      <c r="A2102" t="s">
        <v>814</v>
      </c>
      <c r="B2102" t="s">
        <v>46</v>
      </c>
      <c r="C2102" t="str">
        <f>SUBSTITUTE(Table1[[#This Row],[Fuel]],", ",",")</f>
        <v>bioenergy: agricultural waste (solids)</v>
      </c>
      <c r="D2102" t="s">
        <v>46</v>
      </c>
      <c r="G2102">
        <v>9.2999999999999989</v>
      </c>
      <c r="H2102" t="s">
        <v>27</v>
      </c>
      <c r="I2102">
        <v>2012</v>
      </c>
      <c r="J2102" t="s">
        <v>21</v>
      </c>
      <c r="K2102">
        <v>14.072100000000001</v>
      </c>
      <c r="L2102">
        <v>32.468600000000002</v>
      </c>
      <c r="M2102" t="s">
        <v>815</v>
      </c>
      <c r="N2102" s="2">
        <f>Table1[[#This Row],[Capacity (MW)]]*8760*0.72*10^-6</f>
        <v>5.865695999999998E-2</v>
      </c>
      <c r="O2102" s="2" cm="1">
        <f t="array" ref="O2102">AVERAGE(VLOOKUP(_xlfn.TEXTSPLIT(Table1[[#This Row],[Fuel (no space after comma)]], ","), FuelList_Final_EF!$A$2:$B$32, 2, FALSE))</f>
        <v>118.17</v>
      </c>
      <c r="P2102" s="2">
        <f>(16112*Table1[[#This Row],[Generation (TWh)]]*10^9)/10^6</f>
        <v>945080.93951999967</v>
      </c>
      <c r="Q2102" s="2">
        <f>Table1[[#This Row],[Emission Factor (kg CO2/ mmBtu)]]*Table1[[#This Row],[Fuel Consumption (mmBtu)]]*10^3</f>
        <v>111680214623.07835</v>
      </c>
      <c r="R2102" s="2">
        <f>(Table1[[#This Row],[CO2 Emissions (g CO2)]])/(Table1[[#This Row],[Generation (TWh)]]*10^9)</f>
        <v>1903.9550399999998</v>
      </c>
    </row>
    <row r="2103" spans="1:18" hidden="1">
      <c r="A2103" t="s">
        <v>814</v>
      </c>
      <c r="B2103" t="s">
        <v>46</v>
      </c>
      <c r="C2103" t="str">
        <f>SUBSTITUTE(Table1[[#This Row],[Fuel]],", ",",")</f>
        <v>bioenergy: agricultural waste (solids)</v>
      </c>
      <c r="D2103" t="s">
        <v>46</v>
      </c>
      <c r="G2103">
        <v>9.2999999999999989</v>
      </c>
      <c r="H2103" t="s">
        <v>27</v>
      </c>
      <c r="I2103">
        <v>2012</v>
      </c>
      <c r="J2103" t="s">
        <v>21</v>
      </c>
      <c r="K2103">
        <v>14.072100000000001</v>
      </c>
      <c r="L2103">
        <v>32.468600000000002</v>
      </c>
      <c r="M2103" t="s">
        <v>815</v>
      </c>
      <c r="N2103" s="2">
        <f>Table1[[#This Row],[Capacity (MW)]]*8760*0.72*10^-6</f>
        <v>5.865695999999998E-2</v>
      </c>
      <c r="O2103" s="2" cm="1">
        <f t="array" ref="O2103">AVERAGE(VLOOKUP(_xlfn.TEXTSPLIT(Table1[[#This Row],[Fuel (no space after comma)]], ","), FuelList_Final_EF!$A$2:$B$32, 2, FALSE))</f>
        <v>118.17</v>
      </c>
      <c r="P2103" s="2">
        <f>(16112*Table1[[#This Row],[Generation (TWh)]]*10^9)/10^6</f>
        <v>945080.93951999967</v>
      </c>
      <c r="Q2103" s="2">
        <f>Table1[[#This Row],[Emission Factor (kg CO2/ mmBtu)]]*Table1[[#This Row],[Fuel Consumption (mmBtu)]]*10^3</f>
        <v>111680214623.07835</v>
      </c>
      <c r="R2103" s="2">
        <f>(Table1[[#This Row],[CO2 Emissions (g CO2)]])/(Table1[[#This Row],[Generation (TWh)]]*10^9)</f>
        <v>1903.9550399999998</v>
      </c>
    </row>
    <row r="2104" spans="1:18" hidden="1">
      <c r="A2104" t="s">
        <v>54</v>
      </c>
      <c r="B2104" t="s">
        <v>46</v>
      </c>
      <c r="C2104" t="str">
        <f>SUBSTITUTE(Table1[[#This Row],[Fuel]],", ",",")</f>
        <v>bioenergy: agricultural waste (solids)</v>
      </c>
      <c r="D2104" t="s">
        <v>46</v>
      </c>
      <c r="G2104">
        <v>21.7</v>
      </c>
      <c r="H2104" t="s">
        <v>27</v>
      </c>
      <c r="I2104">
        <v>2012</v>
      </c>
      <c r="J2104" t="s">
        <v>21</v>
      </c>
      <c r="K2104">
        <v>14.072100000000001</v>
      </c>
      <c r="L2104">
        <v>32.468600000000002</v>
      </c>
      <c r="M2104" t="s">
        <v>815</v>
      </c>
      <c r="N2104" s="2">
        <f>Table1[[#This Row],[Capacity (MW)]]*8760*0.72*10^-6</f>
        <v>0.13686623999999997</v>
      </c>
      <c r="O2104" s="2" cm="1">
        <f t="array" ref="O2104">AVERAGE(VLOOKUP(_xlfn.TEXTSPLIT(Table1[[#This Row],[Fuel (no space after comma)]], ","), FuelList_Final_EF!$A$2:$B$32, 2, FALSE))</f>
        <v>118.17</v>
      </c>
      <c r="P2104" s="2">
        <f>(16112*Table1[[#This Row],[Generation (TWh)]]*10^9)/10^6</f>
        <v>2205188.8588800002</v>
      </c>
      <c r="Q2104" s="2">
        <f>Table1[[#This Row],[Emission Factor (kg CO2/ mmBtu)]]*Table1[[#This Row],[Fuel Consumption (mmBtu)]]*10^3</f>
        <v>260587167453.84961</v>
      </c>
      <c r="R2104" s="2">
        <f>(Table1[[#This Row],[CO2 Emissions (g CO2)]])/(Table1[[#This Row],[Generation (TWh)]]*10^9)</f>
        <v>1903.9550400000005</v>
      </c>
    </row>
    <row r="2105" spans="1:18" hidden="1">
      <c r="A2105" t="s">
        <v>1255</v>
      </c>
      <c r="B2105" t="s">
        <v>19</v>
      </c>
      <c r="C2105" t="str">
        <f>SUBSTITUTE(Table1[[#This Row],[Fuel]],", ",",")</f>
        <v>bioenergy: refuse (municipal and industrial wastes)</v>
      </c>
      <c r="D2105" t="s">
        <v>19</v>
      </c>
      <c r="G2105">
        <v>54</v>
      </c>
      <c r="H2105" t="s">
        <v>27</v>
      </c>
      <c r="I2105">
        <v>1992</v>
      </c>
      <c r="J2105" t="s">
        <v>21</v>
      </c>
      <c r="K2105">
        <v>52.792999999999999</v>
      </c>
      <c r="L2105">
        <v>6.5153999999999996</v>
      </c>
      <c r="M2105" t="s">
        <v>39</v>
      </c>
      <c r="N2105" s="2">
        <f>Table1[[#This Row],[Capacity (MW)]]*8760*0.72*10^-6</f>
        <v>0.34058879999999997</v>
      </c>
      <c r="O2105" s="2" cm="1">
        <f t="array" ref="O2105">AVERAGE(VLOOKUP(_xlfn.TEXTSPLIT(Table1[[#This Row],[Fuel (no space after comma)]], ","), FuelList_Final_EF!$A$2:$B$32, 2, FALSE))</f>
        <v>105.42962572482868</v>
      </c>
      <c r="P2105" s="2">
        <f>(16112*Table1[[#This Row],[Generation (TWh)]]*10^9)/10^6</f>
        <v>5487566.7455999991</v>
      </c>
      <c r="Q2105" s="2">
        <f>Table1[[#This Row],[Emission Factor (kg CO2/ mmBtu)]]*Table1[[#This Row],[Fuel Consumption (mmBtu)]]*10^3</f>
        <v>578552108128.62402</v>
      </c>
      <c r="R2105" s="2">
        <f>(Table1[[#This Row],[CO2 Emissions (g CO2)]])/(Table1[[#This Row],[Generation (TWh)]]*10^9)</f>
        <v>1698.6821296784397</v>
      </c>
    </row>
    <row r="2106" spans="1:18" hidden="1">
      <c r="A2106" t="s">
        <v>250</v>
      </c>
      <c r="B2106" t="s">
        <v>25</v>
      </c>
      <c r="C2106" t="str">
        <f>SUBSTITUTE(Table1[[#This Row],[Fuel]],", ",",")</f>
        <v>bioenergy: wood &amp; other biomass (solids)</v>
      </c>
      <c r="D2106" t="s">
        <v>25</v>
      </c>
      <c r="G2106">
        <v>66</v>
      </c>
      <c r="H2106" t="s">
        <v>27</v>
      </c>
      <c r="I2106">
        <v>1993</v>
      </c>
      <c r="J2106" t="s">
        <v>21</v>
      </c>
      <c r="K2106">
        <v>52.161200000000001</v>
      </c>
      <c r="L2106">
        <v>-122.1712</v>
      </c>
      <c r="M2106" t="s">
        <v>79</v>
      </c>
      <c r="N2106" s="2">
        <f>Table1[[#This Row],[Capacity (MW)]]*8760*0.72*10^-6</f>
        <v>0.41627520000000001</v>
      </c>
      <c r="O2106" s="2" cm="1">
        <f t="array" ref="O2106">AVERAGE(VLOOKUP(_xlfn.TEXTSPLIT(Table1[[#This Row],[Fuel (no space after comma)]], ","), FuelList_Final_EF!$A$2:$B$32, 2, FALSE))</f>
        <v>93.8</v>
      </c>
      <c r="P2106" s="2">
        <f>(16112*Table1[[#This Row],[Generation (TWh)]]*10^9)/10^6</f>
        <v>6707026.0224000001</v>
      </c>
      <c r="Q2106" s="2">
        <f>Table1[[#This Row],[Emission Factor (kg CO2/ mmBtu)]]*Table1[[#This Row],[Fuel Consumption (mmBtu)]]*10^3</f>
        <v>629119040901.12</v>
      </c>
      <c r="R2106" s="2">
        <f>(Table1[[#This Row],[CO2 Emissions (g CO2)]])/(Table1[[#This Row],[Generation (TWh)]]*10^9)</f>
        <v>1511.3055999999999</v>
      </c>
    </row>
    <row r="2107" spans="1:18" hidden="1">
      <c r="A2107" t="s">
        <v>1256</v>
      </c>
      <c r="B2107" t="s">
        <v>25</v>
      </c>
      <c r="C2107" t="str">
        <f>SUBSTITUTE(Table1[[#This Row],[Fuel]],", ",",")</f>
        <v>bioenergy: wood &amp; other biomass (solids)</v>
      </c>
      <c r="D2107" t="s">
        <v>25</v>
      </c>
      <c r="G2107">
        <v>30</v>
      </c>
      <c r="H2107" t="s">
        <v>27</v>
      </c>
      <c r="I2107">
        <v>2007</v>
      </c>
      <c r="J2107" t="s">
        <v>21</v>
      </c>
      <c r="K2107">
        <v>54.589500000000001</v>
      </c>
      <c r="L2107">
        <v>-1.1180000000000001</v>
      </c>
      <c r="M2107" t="s">
        <v>22</v>
      </c>
      <c r="N2107" s="2">
        <f>Table1[[#This Row],[Capacity (MW)]]*8760*0.72*10^-6</f>
        <v>0.189216</v>
      </c>
      <c r="O2107" s="2" cm="1">
        <f t="array" ref="O2107">AVERAGE(VLOOKUP(_xlfn.TEXTSPLIT(Table1[[#This Row],[Fuel (no space after comma)]], ","), FuelList_Final_EF!$A$2:$B$32, 2, FALSE))</f>
        <v>93.8</v>
      </c>
      <c r="P2107" s="2">
        <f>(16112*Table1[[#This Row],[Generation (TWh)]]*10^9)/10^6</f>
        <v>3048648.1919999998</v>
      </c>
      <c r="Q2107" s="2">
        <f>Table1[[#This Row],[Emission Factor (kg CO2/ mmBtu)]]*Table1[[#This Row],[Fuel Consumption (mmBtu)]]*10^3</f>
        <v>285963200409.59998</v>
      </c>
      <c r="R2107" s="2">
        <f>(Table1[[#This Row],[CO2 Emissions (g CO2)]])/(Table1[[#This Row],[Generation (TWh)]]*10^9)</f>
        <v>1511.3055999999999</v>
      </c>
    </row>
    <row r="2108" spans="1:18" hidden="1">
      <c r="A2108" t="s">
        <v>54</v>
      </c>
      <c r="B2108" t="s">
        <v>19</v>
      </c>
      <c r="C2108" t="str">
        <f>SUBSTITUTE(Table1[[#This Row],[Fuel]],", ",",")</f>
        <v>bioenergy: refuse (municipal and industrial wastes)</v>
      </c>
      <c r="D2108" t="s">
        <v>19</v>
      </c>
      <c r="G2108">
        <v>49</v>
      </c>
      <c r="H2108" t="s">
        <v>27</v>
      </c>
      <c r="I2108">
        <v>2018</v>
      </c>
      <c r="J2108" t="s">
        <v>21</v>
      </c>
      <c r="K2108">
        <v>54.589500000000001</v>
      </c>
      <c r="L2108">
        <v>-1.1180000000000001</v>
      </c>
      <c r="M2108" t="s">
        <v>22</v>
      </c>
      <c r="N2108" s="2">
        <f>Table1[[#This Row],[Capacity (MW)]]*8760*0.72*10^-6</f>
        <v>0.30905279999999996</v>
      </c>
      <c r="O2108" s="2" cm="1">
        <f t="array" ref="O2108">AVERAGE(VLOOKUP(_xlfn.TEXTSPLIT(Table1[[#This Row],[Fuel (no space after comma)]], ","), FuelList_Final_EF!$A$2:$B$32, 2, FALSE))</f>
        <v>105.42962572482868</v>
      </c>
      <c r="P2108" s="2">
        <f>(16112*Table1[[#This Row],[Generation (TWh)]]*10^9)/10^6</f>
        <v>4979458.7135999994</v>
      </c>
      <c r="Q2108" s="2">
        <f>Table1[[#This Row],[Emission Factor (kg CO2/ mmBtu)]]*Table1[[#This Row],[Fuel Consumption (mmBtu)]]*10^3</f>
        <v>524982468487.08484</v>
      </c>
      <c r="R2108" s="2">
        <f>(Table1[[#This Row],[CO2 Emissions (g CO2)]])/(Table1[[#This Row],[Generation (TWh)]]*10^9)</f>
        <v>1698.6821296784399</v>
      </c>
    </row>
    <row r="2109" spans="1:18" hidden="1">
      <c r="A2109" t="s">
        <v>144</v>
      </c>
      <c r="B2109" t="s">
        <v>653</v>
      </c>
      <c r="C2109" t="str">
        <f>SUBSTITUTE(Table1[[#This Row],[Fuel]],", ",",")</f>
        <v>bioenergy: wood &amp; other biomass (solids),bioenergy: paper mill wastes</v>
      </c>
      <c r="D2109" t="s">
        <v>25</v>
      </c>
      <c r="E2109" t="s">
        <v>61</v>
      </c>
      <c r="G2109">
        <v>32</v>
      </c>
      <c r="H2109" t="s">
        <v>27</v>
      </c>
      <c r="I2109">
        <v>2001</v>
      </c>
      <c r="J2109" t="s">
        <v>21</v>
      </c>
      <c r="K2109">
        <v>45.565800000000003</v>
      </c>
      <c r="L2109">
        <v>-71.980999999999995</v>
      </c>
      <c r="M2109" t="s">
        <v>79</v>
      </c>
      <c r="N2109" s="2">
        <f>Table1[[#This Row],[Capacity (MW)]]*8760*0.72*10^-6</f>
        <v>0.20183039999999999</v>
      </c>
      <c r="O2109" s="2" cm="1">
        <f t="array" ref="O2109">AVERAGE(VLOOKUP(_xlfn.TEXTSPLIT(Table1[[#This Row],[Fuel (no space after comma)]], ","), FuelList_Final_EF!$A$2:$B$32, 2, FALSE))</f>
        <v>97.137216657880856</v>
      </c>
      <c r="P2109" s="2">
        <f>(16112*Table1[[#This Row],[Generation (TWh)]]*10^9)/10^6</f>
        <v>3251891.4047999997</v>
      </c>
      <c r="Q2109" s="2">
        <f>Table1[[#This Row],[Emission Factor (kg CO2/ mmBtu)]]*Table1[[#This Row],[Fuel Consumption (mmBtu)]]*10^3</f>
        <v>315879679935.95807</v>
      </c>
      <c r="R2109" s="2">
        <f>(Table1[[#This Row],[CO2 Emissions (g CO2)]])/(Table1[[#This Row],[Generation (TWh)]]*10^9)</f>
        <v>1565.0748347917761</v>
      </c>
    </row>
    <row r="2110" spans="1:18" hidden="1">
      <c r="A2110" t="s">
        <v>1257</v>
      </c>
      <c r="B2110" t="s">
        <v>1258</v>
      </c>
      <c r="C2110" t="str">
        <f>SUBSTITUTE(Table1[[#This Row],[Fuel]],", ",",")</f>
        <v>bioenergy: paper mill wastes,bioenergy: unknown,other: other</v>
      </c>
      <c r="D2110" t="s">
        <v>61</v>
      </c>
      <c r="E2110" t="s">
        <v>96</v>
      </c>
      <c r="F2110" t="s">
        <v>216</v>
      </c>
      <c r="G2110">
        <v>95</v>
      </c>
      <c r="H2110" t="s">
        <v>27</v>
      </c>
      <c r="I2110">
        <v>2004</v>
      </c>
      <c r="J2110" t="s">
        <v>21</v>
      </c>
      <c r="K2110">
        <v>63.698500000000003</v>
      </c>
      <c r="L2110">
        <v>22.7133</v>
      </c>
      <c r="M2110" t="s">
        <v>28</v>
      </c>
      <c r="N2110" s="2">
        <f>Table1[[#This Row],[Capacity (MW)]]*8760*0.72*10^-6</f>
        <v>0.59918399999999994</v>
      </c>
      <c r="O2110" s="2" cm="1">
        <f t="array" ref="O2110">AVERAGE(VLOOKUP(_xlfn.TEXTSPLIT(Table1[[#This Row],[Fuel (no space after comma)]], ","), FuelList_Final_EF!$A$2:$B$32, 2, FALSE))</f>
        <v>86.410013111120136</v>
      </c>
      <c r="P2110" s="2">
        <f>(16112*Table1[[#This Row],[Generation (TWh)]]*10^9)/10^6</f>
        <v>9654052.6079999972</v>
      </c>
      <c r="Q2110" s="2">
        <f>Table1[[#This Row],[Emission Factor (kg CO2/ mmBtu)]]*Table1[[#This Row],[Fuel Consumption (mmBtu)]]*10^3</f>
        <v>834206812432.72327</v>
      </c>
      <c r="R2110" s="2">
        <f>(Table1[[#This Row],[CO2 Emissions (g CO2)]])/(Table1[[#This Row],[Generation (TWh)]]*10^9)</f>
        <v>1392.2381312463674</v>
      </c>
    </row>
    <row r="2111" spans="1:18" hidden="1">
      <c r="A2111" t="s">
        <v>390</v>
      </c>
      <c r="B2111" t="s">
        <v>46</v>
      </c>
      <c r="C2111" t="str">
        <f>SUBSTITUTE(Table1[[#This Row],[Fuel]],", ",",")</f>
        <v>bioenergy: agricultural waste (solids)</v>
      </c>
      <c r="D2111" t="s">
        <v>46</v>
      </c>
      <c r="G2111">
        <v>31</v>
      </c>
      <c r="H2111" t="s">
        <v>27</v>
      </c>
      <c r="I2111">
        <v>2013</v>
      </c>
      <c r="J2111" t="s">
        <v>21</v>
      </c>
      <c r="K2111">
        <v>8.3770000000000007</v>
      </c>
      <c r="L2111">
        <v>39.3095</v>
      </c>
      <c r="M2111" t="s">
        <v>391</v>
      </c>
      <c r="N2111" s="2">
        <f>Table1[[#This Row],[Capacity (MW)]]*8760*0.72*10^-6</f>
        <v>0.19552319999999998</v>
      </c>
      <c r="O2111" s="2" cm="1">
        <f t="array" ref="O2111">AVERAGE(VLOOKUP(_xlfn.TEXTSPLIT(Table1[[#This Row],[Fuel (no space after comma)]], ","), FuelList_Final_EF!$A$2:$B$32, 2, FALSE))</f>
        <v>118.17</v>
      </c>
      <c r="P2111" s="2">
        <f>(16112*Table1[[#This Row],[Generation (TWh)]]*10^9)/10^6</f>
        <v>3150269.7983999997</v>
      </c>
      <c r="Q2111" s="2">
        <f>Table1[[#This Row],[Emission Factor (kg CO2/ mmBtu)]]*Table1[[#This Row],[Fuel Consumption (mmBtu)]]*10^3</f>
        <v>372267382076.92798</v>
      </c>
      <c r="R2111" s="2">
        <f>(Table1[[#This Row],[CO2 Emissions (g CO2)]])/(Table1[[#This Row],[Generation (TWh)]]*10^9)</f>
        <v>1903.9550400000003</v>
      </c>
    </row>
    <row r="2112" spans="1:18">
      <c r="A2112" t="s">
        <v>1259</v>
      </c>
      <c r="B2112" t="s">
        <v>25</v>
      </c>
      <c r="C2112" t="str">
        <f>SUBSTITUTE(Table1[[#This Row],[Fuel]],", ",",")</f>
        <v>bioenergy: wood &amp; other biomass (solids)</v>
      </c>
      <c r="D2112" t="s">
        <v>25</v>
      </c>
      <c r="G2112">
        <v>50</v>
      </c>
      <c r="H2112" t="s">
        <v>307</v>
      </c>
      <c r="I2112" t="s">
        <v>21</v>
      </c>
      <c r="J2112" t="s">
        <v>21</v>
      </c>
      <c r="K2112">
        <v>30.7483</v>
      </c>
      <c r="L2112">
        <v>-94.4375</v>
      </c>
      <c r="M2112" t="s">
        <v>62</v>
      </c>
      <c r="N2112" s="2">
        <f>Table1[[#This Row],[Capacity (MW)]]*8760*0.72*10^-6</f>
        <v>0.31535999999999997</v>
      </c>
      <c r="O2112" s="2" cm="1">
        <f t="array" ref="O2112">AVERAGE(VLOOKUP(_xlfn.TEXTSPLIT(Table1[[#This Row],[Fuel (no space after comma)]], ","), FuelList_Final_EF!$A$2:$B$32, 2, FALSE))</f>
        <v>93.8</v>
      </c>
      <c r="P2112" s="2">
        <f>(16112*Table1[[#This Row],[Generation (TWh)]]*10^9)/10^6</f>
        <v>5081080.32</v>
      </c>
      <c r="Q2112" s="2">
        <f>Table1[[#This Row],[Emission Factor (kg CO2/ mmBtu)]]*Table1[[#This Row],[Fuel Consumption (mmBtu)]]*10^3</f>
        <v>476605334016.00006</v>
      </c>
      <c r="R2112" s="2">
        <f>(Table1[[#This Row],[CO2 Emissions (g CO2)]])/(Table1[[#This Row],[Generation (TWh)]]*10^9)</f>
        <v>1511.3056000000001</v>
      </c>
    </row>
    <row r="2113" spans="1:18" hidden="1">
      <c r="A2113" t="s">
        <v>688</v>
      </c>
      <c r="B2113" t="s">
        <v>261</v>
      </c>
      <c r="C2113" t="str">
        <f>SUBSTITUTE(Table1[[#This Row],[Fuel]],", ",",")</f>
        <v>bioenergy: wood &amp; other biomass (solids),bioenergy: paper mill wastes,fossil gas: natural gas</v>
      </c>
      <c r="D2113" t="s">
        <v>25</v>
      </c>
      <c r="E2113" t="s">
        <v>61</v>
      </c>
      <c r="F2113" t="s">
        <v>69</v>
      </c>
      <c r="G2113">
        <v>49</v>
      </c>
      <c r="H2113" t="s">
        <v>27</v>
      </c>
      <c r="I2113">
        <v>2013</v>
      </c>
      <c r="J2113" t="s">
        <v>21</v>
      </c>
      <c r="K2113">
        <v>54.664000000000001</v>
      </c>
      <c r="L2113">
        <v>-3.5472999999999999</v>
      </c>
      <c r="M2113" t="s">
        <v>22</v>
      </c>
      <c r="N2113" s="2">
        <f>Table1[[#This Row],[Capacity (MW)]]*8760*0.72*10^-6</f>
        <v>0.30905279999999996</v>
      </c>
      <c r="O2113" s="2" cm="1">
        <f t="array" ref="O2113">AVERAGE(VLOOKUP(_xlfn.TEXTSPLIT(Table1[[#This Row],[Fuel (no space after comma)]], ","), FuelList_Final_EF!$A$2:$B$32, 2, FALSE))</f>
        <v>82.444811105253905</v>
      </c>
      <c r="P2113" s="2">
        <f>(16112*Table1[[#This Row],[Generation (TWh)]]*10^9)/10^6</f>
        <v>4979458.7135999994</v>
      </c>
      <c r="Q2113" s="2">
        <f>Table1[[#This Row],[Emission Factor (kg CO2/ mmBtu)]]*Table1[[#This Row],[Fuel Consumption (mmBtu)]]*10^3</f>
        <v>410530533049.16254</v>
      </c>
      <c r="R2113" s="2">
        <f>(Table1[[#This Row],[CO2 Emissions (g CO2)]])/(Table1[[#This Row],[Generation (TWh)]]*10^9)</f>
        <v>1328.3507965278509</v>
      </c>
    </row>
    <row r="2114" spans="1:18" hidden="1">
      <c r="A2114" t="s">
        <v>1260</v>
      </c>
      <c r="B2114" t="s">
        <v>46</v>
      </c>
      <c r="C2114" t="str">
        <f>SUBSTITUTE(Table1[[#This Row],[Fuel]],", ",",")</f>
        <v>bioenergy: agricultural waste (solids)</v>
      </c>
      <c r="D2114" t="s">
        <v>46</v>
      </c>
      <c r="G2114">
        <v>30</v>
      </c>
      <c r="H2114" t="s">
        <v>27</v>
      </c>
      <c r="I2114">
        <v>2020</v>
      </c>
      <c r="J2114" t="s">
        <v>21</v>
      </c>
      <c r="K2114">
        <v>44.544499999999999</v>
      </c>
      <c r="L2114">
        <v>86.688999999999993</v>
      </c>
      <c r="M2114" t="s">
        <v>102</v>
      </c>
      <c r="N2114" s="2">
        <f>Table1[[#This Row],[Capacity (MW)]]*8760*0.72*10^-6</f>
        <v>0.189216</v>
      </c>
      <c r="O2114" s="2" cm="1">
        <f t="array" ref="O2114">AVERAGE(VLOOKUP(_xlfn.TEXTSPLIT(Table1[[#This Row],[Fuel (no space after comma)]], ","), FuelList_Final_EF!$A$2:$B$32, 2, FALSE))</f>
        <v>118.17</v>
      </c>
      <c r="P2114" s="2">
        <f>(16112*Table1[[#This Row],[Generation (TWh)]]*10^9)/10^6</f>
        <v>3048648.1919999998</v>
      </c>
      <c r="Q2114" s="2">
        <f>Table1[[#This Row],[Emission Factor (kg CO2/ mmBtu)]]*Table1[[#This Row],[Fuel Consumption (mmBtu)]]*10^3</f>
        <v>360258756848.63995</v>
      </c>
      <c r="R2114" s="2">
        <f>(Table1[[#This Row],[CO2 Emissions (g CO2)]])/(Table1[[#This Row],[Generation (TWh)]]*10^9)</f>
        <v>1903.9550399999998</v>
      </c>
    </row>
    <row r="2115" spans="1:18" hidden="1">
      <c r="A2115" t="s">
        <v>1261</v>
      </c>
      <c r="B2115" t="s">
        <v>19</v>
      </c>
      <c r="C2115" t="str">
        <f>SUBSTITUTE(Table1[[#This Row],[Fuel]],", ",",")</f>
        <v>bioenergy: refuse (municipal and industrial wastes)</v>
      </c>
      <c r="D2115" t="s">
        <v>19</v>
      </c>
      <c r="G2115">
        <v>25.2</v>
      </c>
      <c r="H2115" t="s">
        <v>27</v>
      </c>
      <c r="I2115">
        <v>2020</v>
      </c>
      <c r="J2115" t="s">
        <v>21</v>
      </c>
      <c r="K2115">
        <v>44.029000000000003</v>
      </c>
      <c r="L2115">
        <v>87.787400000000005</v>
      </c>
      <c r="M2115" t="s">
        <v>102</v>
      </c>
      <c r="N2115" s="2">
        <f>Table1[[#This Row],[Capacity (MW)]]*8760*0.72*10^-6</f>
        <v>0.15894143999999999</v>
      </c>
      <c r="O2115" s="2" cm="1">
        <f t="array" ref="O2115">AVERAGE(VLOOKUP(_xlfn.TEXTSPLIT(Table1[[#This Row],[Fuel (no space after comma)]], ","), FuelList_Final_EF!$A$2:$B$32, 2, FALSE))</f>
        <v>105.42962572482868</v>
      </c>
      <c r="P2115" s="2">
        <f>(16112*Table1[[#This Row],[Generation (TWh)]]*10^9)/10^6</f>
        <v>2560864.4812799999</v>
      </c>
      <c r="Q2115" s="2">
        <f>Table1[[#This Row],[Emission Factor (kg CO2/ mmBtu)]]*Table1[[#This Row],[Fuel Consumption (mmBtu)]]*10^3</f>
        <v>269990983793.35797</v>
      </c>
      <c r="R2115" s="2">
        <f>(Table1[[#This Row],[CO2 Emissions (g CO2)]])/(Table1[[#This Row],[Generation (TWh)]]*10^9)</f>
        <v>1698.6821296784399</v>
      </c>
    </row>
    <row r="2116" spans="1:18" hidden="1">
      <c r="A2116" t="s">
        <v>1262</v>
      </c>
      <c r="B2116" t="s">
        <v>19</v>
      </c>
      <c r="C2116" t="str">
        <f>SUBSTITUTE(Table1[[#This Row],[Fuel]],", ",",")</f>
        <v>bioenergy: refuse (municipal and industrial wastes)</v>
      </c>
      <c r="D2116" t="s">
        <v>19</v>
      </c>
      <c r="G2116">
        <v>10.8</v>
      </c>
      <c r="H2116" t="s">
        <v>27</v>
      </c>
      <c r="I2116">
        <v>2020</v>
      </c>
      <c r="J2116" t="s">
        <v>21</v>
      </c>
      <c r="K2116">
        <v>44.029000000000003</v>
      </c>
      <c r="L2116">
        <v>87.787400000000005</v>
      </c>
      <c r="M2116" t="s">
        <v>102</v>
      </c>
      <c r="N2116" s="2">
        <f>Table1[[#This Row],[Capacity (MW)]]*8760*0.72*10^-6</f>
        <v>6.8117759999999986E-2</v>
      </c>
      <c r="O2116" s="2" cm="1">
        <f t="array" ref="O2116">AVERAGE(VLOOKUP(_xlfn.TEXTSPLIT(Table1[[#This Row],[Fuel (no space after comma)]], ","), FuelList_Final_EF!$A$2:$B$32, 2, FALSE))</f>
        <v>105.42962572482868</v>
      </c>
      <c r="P2116" s="2">
        <f>(16112*Table1[[#This Row],[Generation (TWh)]]*10^9)/10^6</f>
        <v>1097513.3491199997</v>
      </c>
      <c r="Q2116" s="2">
        <f>Table1[[#This Row],[Emission Factor (kg CO2/ mmBtu)]]*Table1[[#This Row],[Fuel Consumption (mmBtu)]]*10^3</f>
        <v>115710421625.72481</v>
      </c>
      <c r="R2116" s="2">
        <f>(Table1[[#This Row],[CO2 Emissions (g CO2)]])/(Table1[[#This Row],[Generation (TWh)]]*10^9)</f>
        <v>1698.6821296784397</v>
      </c>
    </row>
    <row r="2117" spans="1:18" hidden="1">
      <c r="A2117" t="s">
        <v>1261</v>
      </c>
      <c r="B2117" t="s">
        <v>19</v>
      </c>
      <c r="C2117" t="str">
        <f>SUBSTITUTE(Table1[[#This Row],[Fuel]],", ",",")</f>
        <v>bioenergy: refuse (municipal and industrial wastes)</v>
      </c>
      <c r="D2117" t="s">
        <v>19</v>
      </c>
      <c r="G2117">
        <v>25.2</v>
      </c>
      <c r="H2117" t="s">
        <v>27</v>
      </c>
      <c r="I2117">
        <v>2020</v>
      </c>
      <c r="J2117" t="s">
        <v>21</v>
      </c>
      <c r="K2117">
        <v>44.029000000000003</v>
      </c>
      <c r="L2117">
        <v>87.787400000000005</v>
      </c>
      <c r="M2117" t="s">
        <v>102</v>
      </c>
      <c r="N2117" s="2">
        <f>Table1[[#This Row],[Capacity (MW)]]*8760*0.72*10^-6</f>
        <v>0.15894143999999999</v>
      </c>
      <c r="O2117" s="2" cm="1">
        <f t="array" ref="O2117">AVERAGE(VLOOKUP(_xlfn.TEXTSPLIT(Table1[[#This Row],[Fuel (no space after comma)]], ","), FuelList_Final_EF!$A$2:$B$32, 2, FALSE))</f>
        <v>105.42962572482868</v>
      </c>
      <c r="P2117" s="2">
        <f>(16112*Table1[[#This Row],[Generation (TWh)]]*10^9)/10^6</f>
        <v>2560864.4812799999</v>
      </c>
      <c r="Q2117" s="2">
        <f>Table1[[#This Row],[Emission Factor (kg CO2/ mmBtu)]]*Table1[[#This Row],[Fuel Consumption (mmBtu)]]*10^3</f>
        <v>269990983793.35797</v>
      </c>
      <c r="R2117" s="2">
        <f>(Table1[[#This Row],[CO2 Emissions (g CO2)]])/(Table1[[#This Row],[Generation (TWh)]]*10^9)</f>
        <v>1698.6821296784399</v>
      </c>
    </row>
    <row r="2118" spans="1:18" hidden="1">
      <c r="A2118" t="s">
        <v>1262</v>
      </c>
      <c r="B2118" t="s">
        <v>19</v>
      </c>
      <c r="C2118" t="str">
        <f>SUBSTITUTE(Table1[[#This Row],[Fuel]],", ",",")</f>
        <v>bioenergy: refuse (municipal and industrial wastes)</v>
      </c>
      <c r="D2118" t="s">
        <v>19</v>
      </c>
      <c r="G2118">
        <v>10.8</v>
      </c>
      <c r="H2118" t="s">
        <v>27</v>
      </c>
      <c r="I2118">
        <v>2020</v>
      </c>
      <c r="J2118" t="s">
        <v>21</v>
      </c>
      <c r="K2118">
        <v>44.029000000000003</v>
      </c>
      <c r="L2118">
        <v>87.787400000000005</v>
      </c>
      <c r="M2118" t="s">
        <v>102</v>
      </c>
      <c r="N2118" s="2">
        <f>Table1[[#This Row],[Capacity (MW)]]*8760*0.72*10^-6</f>
        <v>6.8117759999999986E-2</v>
      </c>
      <c r="O2118" s="2" cm="1">
        <f t="array" ref="O2118">AVERAGE(VLOOKUP(_xlfn.TEXTSPLIT(Table1[[#This Row],[Fuel (no space after comma)]], ","), FuelList_Final_EF!$A$2:$B$32, 2, FALSE))</f>
        <v>105.42962572482868</v>
      </c>
      <c r="P2118" s="2">
        <f>(16112*Table1[[#This Row],[Generation (TWh)]]*10^9)/10^6</f>
        <v>1097513.3491199997</v>
      </c>
      <c r="Q2118" s="2">
        <f>Table1[[#This Row],[Emission Factor (kg CO2/ mmBtu)]]*Table1[[#This Row],[Fuel Consumption (mmBtu)]]*10^3</f>
        <v>115710421625.72481</v>
      </c>
      <c r="R2118" s="2">
        <f>(Table1[[#This Row],[CO2 Emissions (g CO2)]])/(Table1[[#This Row],[Generation (TWh)]]*10^9)</f>
        <v>1698.6821296784397</v>
      </c>
    </row>
    <row r="2119" spans="1:18" hidden="1">
      <c r="A2119" t="s">
        <v>1263</v>
      </c>
      <c r="B2119" t="s">
        <v>409</v>
      </c>
      <c r="C2119" t="str">
        <f>SUBSTITUTE(Table1[[#This Row],[Fuel]],", ",",")</f>
        <v>bioenergy: wood &amp; other biomass (solids),bioenergy: wood &amp; other biomass (solids)</v>
      </c>
      <c r="D2119" t="s">
        <v>25</v>
      </c>
      <c r="E2119" t="s">
        <v>25</v>
      </c>
      <c r="G2119">
        <v>75</v>
      </c>
      <c r="H2119" t="s">
        <v>27</v>
      </c>
      <c r="I2119">
        <v>2024</v>
      </c>
      <c r="J2119" t="s">
        <v>21</v>
      </c>
      <c r="K2119">
        <v>32.525100000000002</v>
      </c>
      <c r="L2119">
        <v>130.5488</v>
      </c>
      <c r="M2119" t="s">
        <v>51</v>
      </c>
      <c r="N2119" s="2">
        <f>Table1[[#This Row],[Capacity (MW)]]*8760*0.72*10^-6</f>
        <v>0.47303999999999996</v>
      </c>
      <c r="O2119" s="2" cm="1">
        <f t="array" ref="O2119">AVERAGE(VLOOKUP(_xlfn.TEXTSPLIT(Table1[[#This Row],[Fuel (no space after comma)]], ","), FuelList_Final_EF!$A$2:$B$32, 2, FALSE))</f>
        <v>93.8</v>
      </c>
      <c r="P2119" s="2">
        <f>(16112*Table1[[#This Row],[Generation (TWh)]]*10^9)/10^6</f>
        <v>7621620.4800000004</v>
      </c>
      <c r="Q2119" s="2">
        <f>Table1[[#This Row],[Emission Factor (kg CO2/ mmBtu)]]*Table1[[#This Row],[Fuel Consumption (mmBtu)]]*10^3</f>
        <v>714908001024</v>
      </c>
      <c r="R2119" s="2">
        <f>(Table1[[#This Row],[CO2 Emissions (g CO2)]])/(Table1[[#This Row],[Generation (TWh)]]*10^9)</f>
        <v>1511.3056000000001</v>
      </c>
    </row>
    <row r="2120" spans="1:18" hidden="1">
      <c r="A2120" t="s">
        <v>1264</v>
      </c>
      <c r="B2120" t="s">
        <v>25</v>
      </c>
      <c r="C2120" t="str">
        <f>SUBSTITUTE(Table1[[#This Row],[Fuel]],", ",",")</f>
        <v>bioenergy: wood &amp; other biomass (solids)</v>
      </c>
      <c r="D2120" t="s">
        <v>25</v>
      </c>
      <c r="G2120">
        <v>49</v>
      </c>
      <c r="H2120" t="s">
        <v>27</v>
      </c>
      <c r="I2120">
        <v>2020</v>
      </c>
      <c r="J2120" t="s">
        <v>21</v>
      </c>
      <c r="K2120">
        <v>34.975200000000001</v>
      </c>
      <c r="L2120">
        <v>136.6465</v>
      </c>
      <c r="M2120" t="s">
        <v>51</v>
      </c>
      <c r="N2120" s="2">
        <f>Table1[[#This Row],[Capacity (MW)]]*8760*0.72*10^-6</f>
        <v>0.30905279999999996</v>
      </c>
      <c r="O2120" s="2" cm="1">
        <f t="array" ref="O2120">AVERAGE(VLOOKUP(_xlfn.TEXTSPLIT(Table1[[#This Row],[Fuel (no space after comma)]], ","), FuelList_Final_EF!$A$2:$B$32, 2, FALSE))</f>
        <v>93.8</v>
      </c>
      <c r="P2120" s="2">
        <f>(16112*Table1[[#This Row],[Generation (TWh)]]*10^9)/10^6</f>
        <v>4979458.7135999994</v>
      </c>
      <c r="Q2120" s="2">
        <f>Table1[[#This Row],[Emission Factor (kg CO2/ mmBtu)]]*Table1[[#This Row],[Fuel Consumption (mmBtu)]]*10^3</f>
        <v>467073227335.67993</v>
      </c>
      <c r="R2120" s="2">
        <f>(Table1[[#This Row],[CO2 Emissions (g CO2)]])/(Table1[[#This Row],[Generation (TWh)]]*10^9)</f>
        <v>1511.3056000000001</v>
      </c>
    </row>
    <row r="2121" spans="1:18" hidden="1">
      <c r="A2121" t="s">
        <v>1265</v>
      </c>
      <c r="B2121" t="s">
        <v>25</v>
      </c>
      <c r="C2121" t="str">
        <f>SUBSTITUTE(Table1[[#This Row],[Fuel]],", ",",")</f>
        <v>bioenergy: wood &amp; other biomass (solids)</v>
      </c>
      <c r="D2121" t="s">
        <v>25</v>
      </c>
      <c r="G2121">
        <v>55</v>
      </c>
      <c r="H2121" t="s">
        <v>27</v>
      </c>
      <c r="I2121">
        <v>2022</v>
      </c>
      <c r="J2121" t="s">
        <v>21</v>
      </c>
      <c r="K2121">
        <v>35.484299999999998</v>
      </c>
      <c r="L2121">
        <v>133.2561</v>
      </c>
      <c r="M2121" t="s">
        <v>51</v>
      </c>
      <c r="N2121" s="2">
        <f>Table1[[#This Row],[Capacity (MW)]]*8760*0.72*10^-6</f>
        <v>0.34689599999999998</v>
      </c>
      <c r="O2121" s="2" cm="1">
        <f t="array" ref="O2121">AVERAGE(VLOOKUP(_xlfn.TEXTSPLIT(Table1[[#This Row],[Fuel (no space after comma)]], ","), FuelList_Final_EF!$A$2:$B$32, 2, FALSE))</f>
        <v>93.8</v>
      </c>
      <c r="P2121" s="2">
        <f>(16112*Table1[[#This Row],[Generation (TWh)]]*10^9)/10^6</f>
        <v>5589188.352</v>
      </c>
      <c r="Q2121" s="2">
        <f>Table1[[#This Row],[Emission Factor (kg CO2/ mmBtu)]]*Table1[[#This Row],[Fuel Consumption (mmBtu)]]*10^3</f>
        <v>524265867417.59998</v>
      </c>
      <c r="R2121" s="2">
        <f>(Table1[[#This Row],[CO2 Emissions (g CO2)]])/(Table1[[#This Row],[Generation (TWh)]]*10^9)</f>
        <v>1511.3055999999999</v>
      </c>
    </row>
    <row r="2122" spans="1:18" hidden="1">
      <c r="A2122" t="s">
        <v>1266</v>
      </c>
      <c r="B2122" t="s">
        <v>25</v>
      </c>
      <c r="C2122" t="str">
        <f>SUBSTITUTE(Table1[[#This Row],[Fuel]],", ",",")</f>
        <v>bioenergy: wood &amp; other biomass (solids)</v>
      </c>
      <c r="D2122" t="s">
        <v>25</v>
      </c>
      <c r="G2122">
        <v>175</v>
      </c>
      <c r="H2122" t="s">
        <v>27</v>
      </c>
      <c r="I2122">
        <v>2017</v>
      </c>
      <c r="J2122" t="s">
        <v>21</v>
      </c>
      <c r="K2122">
        <v>37.738959000000001</v>
      </c>
      <c r="L2122">
        <v>128.980391</v>
      </c>
      <c r="M2122" t="s">
        <v>333</v>
      </c>
      <c r="N2122" s="2">
        <f>Table1[[#This Row],[Capacity (MW)]]*8760*0.72*10^-6</f>
        <v>1.1037599999999999</v>
      </c>
      <c r="O2122" s="2" cm="1">
        <f t="array" ref="O2122">AVERAGE(VLOOKUP(_xlfn.TEXTSPLIT(Table1[[#This Row],[Fuel (no space after comma)]], ","), FuelList_Final_EF!$A$2:$B$32, 2, FALSE))</f>
        <v>93.8</v>
      </c>
      <c r="P2122" s="2">
        <f>(16112*Table1[[#This Row],[Generation (TWh)]]*10^9)/10^6</f>
        <v>17783781.119999997</v>
      </c>
      <c r="Q2122" s="2">
        <f>Table1[[#This Row],[Emission Factor (kg CO2/ mmBtu)]]*Table1[[#This Row],[Fuel Consumption (mmBtu)]]*10^3</f>
        <v>1668118669055.9998</v>
      </c>
      <c r="R2122" s="2">
        <f>(Table1[[#This Row],[CO2 Emissions (g CO2)]])/(Table1[[#This Row],[Generation (TWh)]]*10^9)</f>
        <v>1511.3056000000001</v>
      </c>
    </row>
    <row r="2123" spans="1:18" hidden="1">
      <c r="A2123" t="s">
        <v>1266</v>
      </c>
      <c r="B2123" t="s">
        <v>25</v>
      </c>
      <c r="C2123" t="str">
        <f>SUBSTITUTE(Table1[[#This Row],[Fuel]],", ",",")</f>
        <v>bioenergy: wood &amp; other biomass (solids)</v>
      </c>
      <c r="D2123" t="s">
        <v>25</v>
      </c>
      <c r="G2123">
        <v>200</v>
      </c>
      <c r="H2123" t="s">
        <v>27</v>
      </c>
      <c r="I2123">
        <v>2020</v>
      </c>
      <c r="J2123" t="s">
        <v>21</v>
      </c>
      <c r="K2123">
        <v>37.738959000000001</v>
      </c>
      <c r="L2123">
        <v>128.980391</v>
      </c>
      <c r="M2123" t="s">
        <v>333</v>
      </c>
      <c r="N2123" s="2">
        <f>Table1[[#This Row],[Capacity (MW)]]*8760*0.72*10^-6</f>
        <v>1.2614399999999999</v>
      </c>
      <c r="O2123" s="2" cm="1">
        <f t="array" ref="O2123">AVERAGE(VLOOKUP(_xlfn.TEXTSPLIT(Table1[[#This Row],[Fuel (no space after comma)]], ","), FuelList_Final_EF!$A$2:$B$32, 2, FALSE))</f>
        <v>93.8</v>
      </c>
      <c r="P2123" s="2">
        <f>(16112*Table1[[#This Row],[Generation (TWh)]]*10^9)/10^6</f>
        <v>20324321.280000001</v>
      </c>
      <c r="Q2123" s="2">
        <f>Table1[[#This Row],[Emission Factor (kg CO2/ mmBtu)]]*Table1[[#This Row],[Fuel Consumption (mmBtu)]]*10^3</f>
        <v>1906421336064.0002</v>
      </c>
      <c r="R2123" s="2">
        <f>(Table1[[#This Row],[CO2 Emissions (g CO2)]])/(Table1[[#This Row],[Generation (TWh)]]*10^9)</f>
        <v>1511.3056000000001</v>
      </c>
    </row>
    <row r="2124" spans="1:18" hidden="1">
      <c r="A2124" t="s">
        <v>1267</v>
      </c>
      <c r="B2124" t="s">
        <v>19</v>
      </c>
      <c r="C2124" t="str">
        <f>SUBSTITUTE(Table1[[#This Row],[Fuel]],", ",",")</f>
        <v>bioenergy: refuse (municipal and industrial wastes)</v>
      </c>
      <c r="D2124" t="s">
        <v>19</v>
      </c>
      <c r="G2124">
        <v>36</v>
      </c>
      <c r="H2124" t="s">
        <v>27</v>
      </c>
      <c r="I2124">
        <v>1989</v>
      </c>
      <c r="J2124" t="s">
        <v>21</v>
      </c>
      <c r="K2124">
        <v>40.0017</v>
      </c>
      <c r="L2124">
        <v>-76.718299999999999</v>
      </c>
      <c r="M2124" t="s">
        <v>62</v>
      </c>
      <c r="N2124" s="2">
        <f>Table1[[#This Row],[Capacity (MW)]]*8760*0.72*10^-6</f>
        <v>0.22705919999999996</v>
      </c>
      <c r="O2124" s="2" cm="1">
        <f t="array" ref="O2124">AVERAGE(VLOOKUP(_xlfn.TEXTSPLIT(Table1[[#This Row],[Fuel (no space after comma)]], ","), FuelList_Final_EF!$A$2:$B$32, 2, FALSE))</f>
        <v>105.42962572482868</v>
      </c>
      <c r="P2124" s="2">
        <f>(16112*Table1[[#This Row],[Generation (TWh)]]*10^9)/10^6</f>
        <v>3658377.8303999994</v>
      </c>
      <c r="Q2124" s="2">
        <f>Table1[[#This Row],[Emission Factor (kg CO2/ mmBtu)]]*Table1[[#This Row],[Fuel Consumption (mmBtu)]]*10^3</f>
        <v>385701405419.0827</v>
      </c>
      <c r="R2124" s="2">
        <f>(Table1[[#This Row],[CO2 Emissions (g CO2)]])/(Table1[[#This Row],[Generation (TWh)]]*10^9)</f>
        <v>1698.6821296784397</v>
      </c>
    </row>
    <row r="2125" spans="1:18" hidden="1">
      <c r="A2125" t="s">
        <v>731</v>
      </c>
      <c r="B2125" t="s">
        <v>25</v>
      </c>
      <c r="C2125" t="str">
        <f>SUBSTITUTE(Table1[[#This Row],[Fuel]],", ",",")</f>
        <v>bioenergy: wood &amp; other biomass (solids)</v>
      </c>
      <c r="D2125" t="s">
        <v>25</v>
      </c>
      <c r="G2125">
        <v>46.4</v>
      </c>
      <c r="H2125" t="s">
        <v>27</v>
      </c>
      <c r="I2125">
        <v>2013</v>
      </c>
      <c r="J2125" t="s">
        <v>21</v>
      </c>
      <c r="K2125">
        <v>42.631942359999996</v>
      </c>
      <c r="L2125">
        <v>141.718008</v>
      </c>
      <c r="M2125" t="s">
        <v>51</v>
      </c>
      <c r="N2125" s="2">
        <f>Table1[[#This Row],[Capacity (MW)]]*8760*0.72*10^-6</f>
        <v>0.29265407999999998</v>
      </c>
      <c r="O2125" s="2" cm="1">
        <f t="array" ref="O2125">AVERAGE(VLOOKUP(_xlfn.TEXTSPLIT(Table1[[#This Row],[Fuel (no space after comma)]], ","), FuelList_Final_EF!$A$2:$B$32, 2, FALSE))</f>
        <v>93.8</v>
      </c>
      <c r="P2125" s="2">
        <f>(16112*Table1[[#This Row],[Generation (TWh)]]*10^9)/10^6</f>
        <v>4715242.5369600002</v>
      </c>
      <c r="Q2125" s="2">
        <f>Table1[[#This Row],[Emission Factor (kg CO2/ mmBtu)]]*Table1[[#This Row],[Fuel Consumption (mmBtu)]]*10^3</f>
        <v>442289749966.84802</v>
      </c>
      <c r="R2125" s="2">
        <f>(Table1[[#This Row],[CO2 Emissions (g CO2)]])/(Table1[[#This Row],[Generation (TWh)]]*10^9)</f>
        <v>1511.3056000000001</v>
      </c>
    </row>
    <row r="2126" spans="1:18" hidden="1">
      <c r="A2126" t="s">
        <v>1268</v>
      </c>
      <c r="B2126" t="s">
        <v>1269</v>
      </c>
      <c r="C2126" t="str">
        <f>SUBSTITUTE(Table1[[#This Row],[Fuel]],", ",",")</f>
        <v>bioenergy: wood &amp; other biomass (solids),bioenergy: wood &amp; other biomass (solids),bioenergy: refuse (municipal and industrial wastes)</v>
      </c>
      <c r="D2126" t="s">
        <v>25</v>
      </c>
      <c r="E2126" t="s">
        <v>25</v>
      </c>
      <c r="F2126" t="s">
        <v>19</v>
      </c>
      <c r="G2126">
        <v>36.75</v>
      </c>
      <c r="H2126" t="s">
        <v>27</v>
      </c>
      <c r="I2126">
        <v>2023</v>
      </c>
      <c r="J2126" t="s">
        <v>21</v>
      </c>
      <c r="K2126">
        <v>42.640099999999997</v>
      </c>
      <c r="L2126">
        <v>141.6317</v>
      </c>
      <c r="M2126" t="s">
        <v>51</v>
      </c>
      <c r="N2126" s="2">
        <f>Table1[[#This Row],[Capacity (MW)]]*8760*0.72*10^-6</f>
        <v>0.23178959999999998</v>
      </c>
      <c r="O2126" s="2" cm="1">
        <f t="array" ref="O2126">AVERAGE(VLOOKUP(_xlfn.TEXTSPLIT(Table1[[#This Row],[Fuel (no space after comma)]], ","), FuelList_Final_EF!$A$2:$B$32, 2, FALSE))</f>
        <v>97.676541908276235</v>
      </c>
      <c r="P2126" s="2">
        <f>(16112*Table1[[#This Row],[Generation (TWh)]]*10^9)/10^6</f>
        <v>3734594.0351999998</v>
      </c>
      <c r="Q2126" s="2">
        <f>Table1[[#This Row],[Emission Factor (kg CO2/ mmBtu)]]*Table1[[#This Row],[Fuel Consumption (mmBtu)]]*10^3</f>
        <v>364782230789.61121</v>
      </c>
      <c r="R2126" s="2">
        <f>(Table1[[#This Row],[CO2 Emissions (g CO2)]])/(Table1[[#This Row],[Generation (TWh)]]*10^9)</f>
        <v>1573.7644432261468</v>
      </c>
    </row>
    <row r="2127" spans="1:18" hidden="1">
      <c r="A2127" t="s">
        <v>731</v>
      </c>
      <c r="B2127" t="s">
        <v>1269</v>
      </c>
      <c r="C2127" t="str">
        <f>SUBSTITUTE(Table1[[#This Row],[Fuel]],", ",",")</f>
        <v>bioenergy: wood &amp; other biomass (solids),bioenergy: wood &amp; other biomass (solids),bioenergy: refuse (municipal and industrial wastes)</v>
      </c>
      <c r="D2127" t="s">
        <v>25</v>
      </c>
      <c r="E2127" t="s">
        <v>25</v>
      </c>
      <c r="F2127" t="s">
        <v>19</v>
      </c>
      <c r="G2127">
        <v>38.25</v>
      </c>
      <c r="H2127" t="s">
        <v>27</v>
      </c>
      <c r="I2127">
        <v>2023</v>
      </c>
      <c r="J2127" t="s">
        <v>21</v>
      </c>
      <c r="K2127">
        <v>42.640099999999997</v>
      </c>
      <c r="L2127">
        <v>141.6317</v>
      </c>
      <c r="M2127" t="s">
        <v>51</v>
      </c>
      <c r="N2127" s="2">
        <f>Table1[[#This Row],[Capacity (MW)]]*8760*0.72*10^-6</f>
        <v>0.24125039999999998</v>
      </c>
      <c r="O2127" s="2" cm="1">
        <f t="array" ref="O2127">AVERAGE(VLOOKUP(_xlfn.TEXTSPLIT(Table1[[#This Row],[Fuel (no space after comma)]], ","), FuelList_Final_EF!$A$2:$B$32, 2, FALSE))</f>
        <v>97.676541908276235</v>
      </c>
      <c r="P2127" s="2">
        <f>(16112*Table1[[#This Row],[Generation (TWh)]]*10^9)/10^6</f>
        <v>3887026.4448000002</v>
      </c>
      <c r="Q2127" s="2">
        <f>Table1[[#This Row],[Emission Factor (kg CO2/ mmBtu)]]*Table1[[#This Row],[Fuel Consumption (mmBtu)]]*10^3</f>
        <v>379671301434.08521</v>
      </c>
      <c r="R2127" s="2">
        <f>(Table1[[#This Row],[CO2 Emissions (g CO2)]])/(Table1[[#This Row],[Generation (TWh)]]*10^9)</f>
        <v>1573.764443226147</v>
      </c>
    </row>
    <row r="2128" spans="1:18">
      <c r="A2128" t="s">
        <v>1270</v>
      </c>
      <c r="B2128" t="s">
        <v>19</v>
      </c>
      <c r="C2128" t="str">
        <f>SUBSTITUTE(Table1[[#This Row],[Fuel]],", ",",")</f>
        <v>bioenergy: refuse (municipal and industrial wastes)</v>
      </c>
      <c r="D2128" t="s">
        <v>19</v>
      </c>
      <c r="G2128">
        <v>40</v>
      </c>
      <c r="H2128" t="s">
        <v>20</v>
      </c>
      <c r="I2128" t="s">
        <v>21</v>
      </c>
      <c r="J2128" t="s">
        <v>21</v>
      </c>
      <c r="K2128">
        <v>24.886399999999998</v>
      </c>
      <c r="L2128">
        <v>103.20350000000001</v>
      </c>
      <c r="M2128" t="s">
        <v>102</v>
      </c>
      <c r="N2128" s="2">
        <f>Table1[[#This Row],[Capacity (MW)]]*8760*0.72*10^-6</f>
        <v>0.25228800000000001</v>
      </c>
      <c r="O2128" s="2" cm="1">
        <f t="array" ref="O2128">AVERAGE(VLOOKUP(_xlfn.TEXTSPLIT(Table1[[#This Row],[Fuel (no space after comma)]], ","), FuelList_Final_EF!$A$2:$B$32, 2, FALSE))</f>
        <v>105.42962572482868</v>
      </c>
      <c r="P2128" s="2">
        <f>(16112*Table1[[#This Row],[Generation (TWh)]]*10^9)/10^6</f>
        <v>4064864.2560000005</v>
      </c>
      <c r="Q2128" s="2">
        <f>Table1[[#This Row],[Emission Factor (kg CO2/ mmBtu)]]*Table1[[#This Row],[Fuel Consumption (mmBtu)]]*10^3</f>
        <v>428557117132.31427</v>
      </c>
      <c r="R2128" s="2">
        <f>(Table1[[#This Row],[CO2 Emissions (g CO2)]])/(Table1[[#This Row],[Generation (TWh)]]*10^9)</f>
        <v>1698.6821296784401</v>
      </c>
    </row>
    <row r="2129" spans="1:18" hidden="1">
      <c r="A2129" t="s">
        <v>1271</v>
      </c>
      <c r="B2129" t="s">
        <v>19</v>
      </c>
      <c r="C2129" t="str">
        <f>SUBSTITUTE(Table1[[#This Row],[Fuel]],", ",",")</f>
        <v>bioenergy: refuse (municipal and industrial wastes)</v>
      </c>
      <c r="D2129" t="s">
        <v>19</v>
      </c>
      <c r="G2129">
        <v>12.25</v>
      </c>
      <c r="H2129" t="s">
        <v>27</v>
      </c>
      <c r="I2129">
        <v>2023</v>
      </c>
      <c r="J2129" t="s">
        <v>21</v>
      </c>
      <c r="K2129">
        <v>25.587900000000001</v>
      </c>
      <c r="L2129">
        <v>103.8518</v>
      </c>
      <c r="M2129" t="s">
        <v>102</v>
      </c>
      <c r="N2129" s="2">
        <f>Table1[[#This Row],[Capacity (MW)]]*8760*0.72*10^-6</f>
        <v>7.726319999999999E-2</v>
      </c>
      <c r="O2129" s="2" cm="1">
        <f t="array" ref="O2129">AVERAGE(VLOOKUP(_xlfn.TEXTSPLIT(Table1[[#This Row],[Fuel (no space after comma)]], ","), FuelList_Final_EF!$A$2:$B$32, 2, FALSE))</f>
        <v>105.42962572482868</v>
      </c>
      <c r="P2129" s="2">
        <f>(16112*Table1[[#This Row],[Generation (TWh)]]*10^9)/10^6</f>
        <v>1244864.6783999999</v>
      </c>
      <c r="Q2129" s="2">
        <f>Table1[[#This Row],[Emission Factor (kg CO2/ mmBtu)]]*Table1[[#This Row],[Fuel Consumption (mmBtu)]]*10^3</f>
        <v>131245617121.77121</v>
      </c>
      <c r="R2129" s="2">
        <f>(Table1[[#This Row],[CO2 Emissions (g CO2)]])/(Table1[[#This Row],[Generation (TWh)]]*10^9)</f>
        <v>1698.6821296784399</v>
      </c>
    </row>
    <row r="2130" spans="1:18" hidden="1">
      <c r="A2130" t="s">
        <v>482</v>
      </c>
      <c r="B2130" t="s">
        <v>19</v>
      </c>
      <c r="C2130" t="str">
        <f>SUBSTITUTE(Table1[[#This Row],[Fuel]],", ",",")</f>
        <v>bioenergy: refuse (municipal and industrial wastes)</v>
      </c>
      <c r="D2130" t="s">
        <v>19</v>
      </c>
      <c r="G2130">
        <v>22.75</v>
      </c>
      <c r="H2130" t="s">
        <v>27</v>
      </c>
      <c r="I2130">
        <v>2023</v>
      </c>
      <c r="J2130" t="s">
        <v>21</v>
      </c>
      <c r="K2130">
        <v>25.587900000000001</v>
      </c>
      <c r="L2130">
        <v>103.8518</v>
      </c>
      <c r="M2130" t="s">
        <v>102</v>
      </c>
      <c r="N2130" s="2">
        <f>Table1[[#This Row],[Capacity (MW)]]*8760*0.72*10^-6</f>
        <v>0.14348879999999997</v>
      </c>
      <c r="O2130" s="2" cm="1">
        <f t="array" ref="O2130">AVERAGE(VLOOKUP(_xlfn.TEXTSPLIT(Table1[[#This Row],[Fuel (no space after comma)]], ","), FuelList_Final_EF!$A$2:$B$32, 2, FALSE))</f>
        <v>105.42962572482868</v>
      </c>
      <c r="P2130" s="2">
        <f>(16112*Table1[[#This Row],[Generation (TWh)]]*10^9)/10^6</f>
        <v>2311891.5455999994</v>
      </c>
      <c r="Q2130" s="2">
        <f>Table1[[#This Row],[Emission Factor (kg CO2/ mmBtu)]]*Table1[[#This Row],[Fuel Consumption (mmBtu)]]*10^3</f>
        <v>243741860369.00363</v>
      </c>
      <c r="R2130" s="2">
        <f>(Table1[[#This Row],[CO2 Emissions (g CO2)]])/(Table1[[#This Row],[Generation (TWh)]]*10^9)</f>
        <v>1698.6821296784397</v>
      </c>
    </row>
    <row r="2131" spans="1:18" hidden="1">
      <c r="A2131" t="s">
        <v>1272</v>
      </c>
      <c r="B2131" t="s">
        <v>19</v>
      </c>
      <c r="C2131" t="str">
        <f>SUBSTITUTE(Table1[[#This Row],[Fuel]],", ",",")</f>
        <v>bioenergy: refuse (municipal and industrial wastes)</v>
      </c>
      <c r="D2131" t="s">
        <v>19</v>
      </c>
      <c r="G2131">
        <v>57</v>
      </c>
      <c r="H2131" t="s">
        <v>27</v>
      </c>
      <c r="I2131">
        <v>2005</v>
      </c>
      <c r="J2131" t="s">
        <v>21</v>
      </c>
      <c r="K2131">
        <v>43.250900000000001</v>
      </c>
      <c r="L2131">
        <v>-2.9699</v>
      </c>
      <c r="M2131" t="s">
        <v>328</v>
      </c>
      <c r="N2131" s="2">
        <f>Table1[[#This Row],[Capacity (MW)]]*8760*0.72*10^-6</f>
        <v>0.35951039999999995</v>
      </c>
      <c r="O2131" s="2" cm="1">
        <f t="array" ref="O2131">AVERAGE(VLOOKUP(_xlfn.TEXTSPLIT(Table1[[#This Row],[Fuel (no space after comma)]], ","), FuelList_Final_EF!$A$2:$B$32, 2, FALSE))</f>
        <v>105.42962572482868</v>
      </c>
      <c r="P2131" s="2">
        <f>(16112*Table1[[#This Row],[Generation (TWh)]]*10^9)/10^6</f>
        <v>5792431.5647999989</v>
      </c>
      <c r="Q2131" s="2">
        <f>Table1[[#This Row],[Emission Factor (kg CO2/ mmBtu)]]*Table1[[#This Row],[Fuel Consumption (mmBtu)]]*10^3</f>
        <v>610693891913.54761</v>
      </c>
      <c r="R2131" s="2">
        <f>(Table1[[#This Row],[CO2 Emissions (g CO2)]])/(Table1[[#This Row],[Generation (TWh)]]*10^9)</f>
        <v>1698.6821296784397</v>
      </c>
    </row>
    <row r="2132" spans="1:18">
      <c r="A2132" t="s">
        <v>1273</v>
      </c>
      <c r="B2132" t="s">
        <v>19</v>
      </c>
      <c r="C2132" t="str">
        <f>SUBSTITUTE(Table1[[#This Row],[Fuel]],", ",",")</f>
        <v>bioenergy: refuse (municipal and industrial wastes)</v>
      </c>
      <c r="D2132" t="s">
        <v>19</v>
      </c>
      <c r="G2132">
        <v>40</v>
      </c>
      <c r="H2132" t="s">
        <v>172</v>
      </c>
      <c r="I2132" t="s">
        <v>21</v>
      </c>
      <c r="J2132" t="s">
        <v>21</v>
      </c>
      <c r="K2132">
        <v>32.387300000000003</v>
      </c>
      <c r="L2132">
        <v>35.204099999999997</v>
      </c>
      <c r="M2132" t="s">
        <v>1274</v>
      </c>
      <c r="N2132" s="2">
        <f>Table1[[#This Row],[Capacity (MW)]]*8760*0.72*10^-6</f>
        <v>0.25228800000000001</v>
      </c>
      <c r="O2132" s="2" cm="1">
        <f t="array" ref="O2132">AVERAGE(VLOOKUP(_xlfn.TEXTSPLIT(Table1[[#This Row],[Fuel (no space after comma)]], ","), FuelList_Final_EF!$A$2:$B$32, 2, FALSE))</f>
        <v>105.42962572482868</v>
      </c>
      <c r="P2132" s="2">
        <f>(16112*Table1[[#This Row],[Generation (TWh)]]*10^9)/10^6</f>
        <v>4064864.2560000005</v>
      </c>
      <c r="Q2132" s="2">
        <f>Table1[[#This Row],[Emission Factor (kg CO2/ mmBtu)]]*Table1[[#This Row],[Fuel Consumption (mmBtu)]]*10^3</f>
        <v>428557117132.31427</v>
      </c>
      <c r="R2132" s="2">
        <f>(Table1[[#This Row],[CO2 Emissions (g CO2)]])/(Table1[[#This Row],[Generation (TWh)]]*10^9)</f>
        <v>1698.6821296784401</v>
      </c>
    </row>
    <row r="2133" spans="1:18" hidden="1">
      <c r="A2133" t="s">
        <v>56</v>
      </c>
      <c r="B2133" t="s">
        <v>19</v>
      </c>
      <c r="C2133" t="str">
        <f>SUBSTITUTE(Table1[[#This Row],[Fuel]],", ",",")</f>
        <v>bioenergy: refuse (municipal and industrial wastes)</v>
      </c>
      <c r="D2133" t="s">
        <v>19</v>
      </c>
      <c r="G2133">
        <v>70</v>
      </c>
      <c r="H2133" t="s">
        <v>53</v>
      </c>
      <c r="I2133">
        <v>2024</v>
      </c>
      <c r="J2133" t="s">
        <v>21</v>
      </c>
      <c r="K2133">
        <v>55.344458099999997</v>
      </c>
      <c r="L2133">
        <v>36.680159199999999</v>
      </c>
      <c r="M2133" t="s">
        <v>57</v>
      </c>
      <c r="N2133" s="2">
        <f>Table1[[#This Row],[Capacity (MW)]]*8760*0.72*10^-6</f>
        <v>0.44150400000000001</v>
      </c>
      <c r="O2133" s="2" cm="1">
        <f t="array" ref="O2133">AVERAGE(VLOOKUP(_xlfn.TEXTSPLIT(Table1[[#This Row],[Fuel (no space after comma)]], ","), FuelList_Final_EF!$A$2:$B$32, 2, FALSE))</f>
        <v>105.42962572482868</v>
      </c>
      <c r="P2133" s="2">
        <f>(16112*Table1[[#This Row],[Generation (TWh)]]*10^9)/10^6</f>
        <v>7113512.4479999999</v>
      </c>
      <c r="Q2133" s="2">
        <f>Table1[[#This Row],[Emission Factor (kg CO2/ mmBtu)]]*Table1[[#This Row],[Fuel Consumption (mmBtu)]]*10^3</f>
        <v>749974954981.5498</v>
      </c>
      <c r="R2133" s="2">
        <f>(Table1[[#This Row],[CO2 Emissions (g CO2)]])/(Table1[[#This Row],[Generation (TWh)]]*10^9)</f>
        <v>1698.6821296784397</v>
      </c>
    </row>
    <row r="2134" spans="1:18" hidden="1">
      <c r="A2134" t="s">
        <v>1275</v>
      </c>
      <c r="B2134" t="s">
        <v>60</v>
      </c>
      <c r="C2134" t="str">
        <f>SUBSTITUTE(Table1[[#This Row],[Fuel]],", ",",")</f>
        <v>bioenergy: paper mill wastes,bioenergy: wood &amp; other biomass (solids)</v>
      </c>
      <c r="D2134" t="s">
        <v>61</v>
      </c>
      <c r="E2134" t="s">
        <v>25</v>
      </c>
      <c r="G2134">
        <v>48</v>
      </c>
      <c r="H2134" t="s">
        <v>27</v>
      </c>
      <c r="I2134">
        <v>2010</v>
      </c>
      <c r="J2134" t="s">
        <v>21</v>
      </c>
      <c r="K2134">
        <v>49.335500000000003</v>
      </c>
      <c r="L2134">
        <v>-117.7272</v>
      </c>
      <c r="M2134" t="s">
        <v>79</v>
      </c>
      <c r="N2134" s="2">
        <f>Table1[[#This Row],[Capacity (MW)]]*8760*0.72*10^-6</f>
        <v>0.30274559999999995</v>
      </c>
      <c r="O2134" s="2" cm="1">
        <f t="array" ref="O2134">AVERAGE(VLOOKUP(_xlfn.TEXTSPLIT(Table1[[#This Row],[Fuel (no space after comma)]], ","), FuelList_Final_EF!$A$2:$B$32, 2, FALSE))</f>
        <v>97.137216657880856</v>
      </c>
      <c r="P2134" s="2">
        <f>(16112*Table1[[#This Row],[Generation (TWh)]]*10^9)/10^6</f>
        <v>4877837.1071999986</v>
      </c>
      <c r="Q2134" s="2">
        <f>Table1[[#This Row],[Emission Factor (kg CO2/ mmBtu)]]*Table1[[#This Row],[Fuel Consumption (mmBtu)]]*10^3</f>
        <v>473819519903.93701</v>
      </c>
      <c r="R2134" s="2">
        <f>(Table1[[#This Row],[CO2 Emissions (g CO2)]])/(Table1[[#This Row],[Generation (TWh)]]*10^9)</f>
        <v>1565.0748347917761</v>
      </c>
    </row>
    <row r="2135" spans="1:18" hidden="1">
      <c r="A2135" t="s">
        <v>1275</v>
      </c>
      <c r="B2135" t="s">
        <v>60</v>
      </c>
      <c r="C2135" t="str">
        <f>SUBSTITUTE(Table1[[#This Row],[Fuel]],", ",",")</f>
        <v>bioenergy: paper mill wastes,bioenergy: wood &amp; other biomass (solids)</v>
      </c>
      <c r="D2135" t="s">
        <v>61</v>
      </c>
      <c r="E2135" t="s">
        <v>25</v>
      </c>
      <c r="G2135">
        <v>52</v>
      </c>
      <c r="H2135" t="s">
        <v>27</v>
      </c>
      <c r="I2135">
        <v>1994</v>
      </c>
      <c r="J2135" t="s">
        <v>21</v>
      </c>
      <c r="K2135">
        <v>49.335500000000003</v>
      </c>
      <c r="L2135">
        <v>-117.7272</v>
      </c>
      <c r="M2135" t="s">
        <v>79</v>
      </c>
      <c r="N2135" s="2">
        <f>Table1[[#This Row],[Capacity (MW)]]*8760*0.72*10^-6</f>
        <v>0.32797439999999994</v>
      </c>
      <c r="O2135" s="2" cm="1">
        <f t="array" ref="O2135">AVERAGE(VLOOKUP(_xlfn.TEXTSPLIT(Table1[[#This Row],[Fuel (no space after comma)]], ","), FuelList_Final_EF!$A$2:$B$32, 2, FALSE))</f>
        <v>97.137216657880856</v>
      </c>
      <c r="P2135" s="2">
        <f>(16112*Table1[[#This Row],[Generation (TWh)]]*10^9)/10^6</f>
        <v>5284323.5327999992</v>
      </c>
      <c r="Q2135" s="2">
        <f>Table1[[#This Row],[Emission Factor (kg CO2/ mmBtu)]]*Table1[[#This Row],[Fuel Consumption (mmBtu)]]*10^3</f>
        <v>513304479895.93188</v>
      </c>
      <c r="R2135" s="2">
        <f>(Table1[[#This Row],[CO2 Emissions (g CO2)]])/(Table1[[#This Row],[Generation (TWh)]]*10^9)</f>
        <v>1565.0748347917763</v>
      </c>
    </row>
    <row r="2136" spans="1:18">
      <c r="A2136" t="s">
        <v>1276</v>
      </c>
      <c r="B2136" t="s">
        <v>61</v>
      </c>
      <c r="C2136" t="str">
        <f>SUBSTITUTE(Table1[[#This Row],[Fuel]],", ",",")</f>
        <v>bioenergy: paper mill wastes</v>
      </c>
      <c r="D2136" t="s">
        <v>61</v>
      </c>
      <c r="G2136">
        <v>150</v>
      </c>
      <c r="H2136" t="s">
        <v>27</v>
      </c>
      <c r="I2136" t="s">
        <v>21</v>
      </c>
      <c r="J2136" t="s">
        <v>21</v>
      </c>
      <c r="K2136">
        <v>24.064800000000002</v>
      </c>
      <c r="L2136">
        <v>117.8901</v>
      </c>
      <c r="M2136" t="s">
        <v>102</v>
      </c>
      <c r="N2136" s="2">
        <f>Table1[[#This Row],[Capacity (MW)]]*8760*0.72*10^-6</f>
        <v>0.94607999999999992</v>
      </c>
      <c r="O2136" s="2" cm="1">
        <f t="array" ref="O2136">AVERAGE(VLOOKUP(_xlfn.TEXTSPLIT(Table1[[#This Row],[Fuel (no space after comma)]], ","), FuelList_Final_EF!$A$2:$B$32, 2, FALSE))</f>
        <v>100.47443331576173</v>
      </c>
      <c r="P2136" s="2">
        <f>(16112*Table1[[#This Row],[Generation (TWh)]]*10^9)/10^6</f>
        <v>15243240.960000001</v>
      </c>
      <c r="Q2136" s="2">
        <f>Table1[[#This Row],[Emission Factor (kg CO2/ mmBtu)]]*Table1[[#This Row],[Fuel Consumption (mmBtu)]]*10^3</f>
        <v>1531555997351.6079</v>
      </c>
      <c r="R2136" s="2">
        <f>(Table1[[#This Row],[CO2 Emissions (g CO2)]])/(Table1[[#This Row],[Generation (TWh)]]*10^9)</f>
        <v>1618.8440695835534</v>
      </c>
    </row>
    <row r="2137" spans="1:18">
      <c r="A2137" t="s">
        <v>1276</v>
      </c>
      <c r="B2137" t="s">
        <v>61</v>
      </c>
      <c r="C2137" t="str">
        <f>SUBSTITUTE(Table1[[#This Row],[Fuel]],", ",",")</f>
        <v>bioenergy: paper mill wastes</v>
      </c>
      <c r="D2137" t="s">
        <v>61</v>
      </c>
      <c r="G2137">
        <v>150</v>
      </c>
      <c r="H2137" t="s">
        <v>27</v>
      </c>
      <c r="I2137" t="s">
        <v>21</v>
      </c>
      <c r="J2137" t="s">
        <v>21</v>
      </c>
      <c r="K2137">
        <v>24.064800000000002</v>
      </c>
      <c r="L2137">
        <v>117.8901</v>
      </c>
      <c r="M2137" t="s">
        <v>102</v>
      </c>
      <c r="N2137" s="2">
        <f>Table1[[#This Row],[Capacity (MW)]]*8760*0.72*10^-6</f>
        <v>0.94607999999999992</v>
      </c>
      <c r="O2137" s="2" cm="1">
        <f t="array" ref="O2137">AVERAGE(VLOOKUP(_xlfn.TEXTSPLIT(Table1[[#This Row],[Fuel (no space after comma)]], ","), FuelList_Final_EF!$A$2:$B$32, 2, FALSE))</f>
        <v>100.47443331576173</v>
      </c>
      <c r="P2137" s="2">
        <f>(16112*Table1[[#This Row],[Generation (TWh)]]*10^9)/10^6</f>
        <v>15243240.960000001</v>
      </c>
      <c r="Q2137" s="2">
        <f>Table1[[#This Row],[Emission Factor (kg CO2/ mmBtu)]]*Table1[[#This Row],[Fuel Consumption (mmBtu)]]*10^3</f>
        <v>1531555997351.6079</v>
      </c>
      <c r="R2137" s="2">
        <f>(Table1[[#This Row],[CO2 Emissions (g CO2)]])/(Table1[[#This Row],[Generation (TWh)]]*10^9)</f>
        <v>1618.8440695835534</v>
      </c>
    </row>
    <row r="2138" spans="1:18" hidden="1">
      <c r="A2138" t="s">
        <v>1277</v>
      </c>
      <c r="B2138" t="s">
        <v>19</v>
      </c>
      <c r="C2138" t="str">
        <f>SUBSTITUTE(Table1[[#This Row],[Fuel]],", ",",")</f>
        <v>bioenergy: refuse (municipal and industrial wastes)</v>
      </c>
      <c r="D2138" t="s">
        <v>19</v>
      </c>
      <c r="G2138">
        <v>40</v>
      </c>
      <c r="H2138" t="s">
        <v>27</v>
      </c>
      <c r="I2138">
        <v>2023</v>
      </c>
      <c r="J2138" t="s">
        <v>21</v>
      </c>
      <c r="K2138">
        <v>30.152097999999999</v>
      </c>
      <c r="L2138">
        <v>121.53008699999999</v>
      </c>
      <c r="M2138" t="s">
        <v>102</v>
      </c>
      <c r="N2138" s="2">
        <f>Table1[[#This Row],[Capacity (MW)]]*8760*0.72*10^-6</f>
        <v>0.25228800000000001</v>
      </c>
      <c r="O2138" s="2" cm="1">
        <f t="array" ref="O2138">AVERAGE(VLOOKUP(_xlfn.TEXTSPLIT(Table1[[#This Row],[Fuel (no space after comma)]], ","), FuelList_Final_EF!$A$2:$B$32, 2, FALSE))</f>
        <v>105.42962572482868</v>
      </c>
      <c r="P2138" s="2">
        <f>(16112*Table1[[#This Row],[Generation (TWh)]]*10^9)/10^6</f>
        <v>4064864.2560000005</v>
      </c>
      <c r="Q2138" s="2">
        <f>Table1[[#This Row],[Emission Factor (kg CO2/ mmBtu)]]*Table1[[#This Row],[Fuel Consumption (mmBtu)]]*10^3</f>
        <v>428557117132.31427</v>
      </c>
      <c r="R2138" s="2">
        <f>(Table1[[#This Row],[CO2 Emissions (g CO2)]])/(Table1[[#This Row],[Generation (TWh)]]*10^9)</f>
        <v>1698.6821296784401</v>
      </c>
    </row>
    <row r="2139" spans="1:18" hidden="1">
      <c r="A2139" t="s">
        <v>752</v>
      </c>
      <c r="B2139" t="s">
        <v>19</v>
      </c>
      <c r="C2139" t="str">
        <f>SUBSTITUTE(Table1[[#This Row],[Fuel]],", ",",")</f>
        <v>bioenergy: refuse (municipal and industrial wastes)</v>
      </c>
      <c r="D2139" t="s">
        <v>19</v>
      </c>
      <c r="G2139">
        <v>30</v>
      </c>
      <c r="H2139" t="s">
        <v>27</v>
      </c>
      <c r="I2139">
        <v>2021</v>
      </c>
      <c r="J2139" t="s">
        <v>21</v>
      </c>
      <c r="K2139">
        <v>29.2287</v>
      </c>
      <c r="L2139">
        <v>120.3039</v>
      </c>
      <c r="M2139" t="s">
        <v>102</v>
      </c>
      <c r="N2139" s="2">
        <f>Table1[[#This Row],[Capacity (MW)]]*8760*0.72*10^-6</f>
        <v>0.189216</v>
      </c>
      <c r="O2139" s="2" cm="1">
        <f t="array" ref="O2139">AVERAGE(VLOOKUP(_xlfn.TEXTSPLIT(Table1[[#This Row],[Fuel (no space after comma)]], ","), FuelList_Final_EF!$A$2:$B$32, 2, FALSE))</f>
        <v>105.42962572482868</v>
      </c>
      <c r="P2139" s="2">
        <f>(16112*Table1[[#This Row],[Generation (TWh)]]*10^9)/10^6</f>
        <v>3048648.1919999998</v>
      </c>
      <c r="Q2139" s="2">
        <f>Table1[[#This Row],[Emission Factor (kg CO2/ mmBtu)]]*Table1[[#This Row],[Fuel Consumption (mmBtu)]]*10^3</f>
        <v>321417837849.23566</v>
      </c>
      <c r="R2139" s="2">
        <f>(Table1[[#This Row],[CO2 Emissions (g CO2)]])/(Table1[[#This Row],[Generation (TWh)]]*10^9)</f>
        <v>1698.6821296784397</v>
      </c>
    </row>
    <row r="2140" spans="1:18" hidden="1">
      <c r="A2140" t="s">
        <v>539</v>
      </c>
      <c r="B2140" t="s">
        <v>19</v>
      </c>
      <c r="C2140" t="str">
        <f>SUBSTITUTE(Table1[[#This Row],[Fuel]],", ",",")</f>
        <v>bioenergy: refuse (municipal and industrial wastes)</v>
      </c>
      <c r="D2140" t="s">
        <v>19</v>
      </c>
      <c r="G2140">
        <v>30</v>
      </c>
      <c r="H2140" t="s">
        <v>27</v>
      </c>
      <c r="I2140">
        <v>2019</v>
      </c>
      <c r="J2140" t="s">
        <v>21</v>
      </c>
      <c r="K2140">
        <v>28.468399999999999</v>
      </c>
      <c r="L2140">
        <v>121.5971</v>
      </c>
      <c r="M2140" t="s">
        <v>102</v>
      </c>
      <c r="N2140" s="2">
        <f>Table1[[#This Row],[Capacity (MW)]]*8760*0.72*10^-6</f>
        <v>0.189216</v>
      </c>
      <c r="O2140" s="2" cm="1">
        <f t="array" ref="O2140">AVERAGE(VLOOKUP(_xlfn.TEXTSPLIT(Table1[[#This Row],[Fuel (no space after comma)]], ","), FuelList_Final_EF!$A$2:$B$32, 2, FALSE))</f>
        <v>105.42962572482868</v>
      </c>
      <c r="P2140" s="2">
        <f>(16112*Table1[[#This Row],[Generation (TWh)]]*10^9)/10^6</f>
        <v>3048648.1919999998</v>
      </c>
      <c r="Q2140" s="2">
        <f>Table1[[#This Row],[Emission Factor (kg CO2/ mmBtu)]]*Table1[[#This Row],[Fuel Consumption (mmBtu)]]*10^3</f>
        <v>321417837849.23566</v>
      </c>
      <c r="R2140" s="2">
        <f>(Table1[[#This Row],[CO2 Emissions (g CO2)]])/(Table1[[#This Row],[Generation (TWh)]]*10^9)</f>
        <v>1698.6821296784397</v>
      </c>
    </row>
    <row r="2141" spans="1:18" hidden="1">
      <c r="A2141" t="s">
        <v>460</v>
      </c>
      <c r="B2141" t="s">
        <v>19</v>
      </c>
      <c r="C2141" t="str">
        <f>SUBSTITUTE(Table1[[#This Row],[Fuel]],", ",",")</f>
        <v>bioenergy: refuse (municipal and industrial wastes)</v>
      </c>
      <c r="D2141" t="s">
        <v>19</v>
      </c>
      <c r="G2141">
        <v>45</v>
      </c>
      <c r="H2141" t="s">
        <v>27</v>
      </c>
      <c r="I2141">
        <v>2021</v>
      </c>
      <c r="J2141" t="s">
        <v>21</v>
      </c>
      <c r="K2141">
        <v>29.8779</v>
      </c>
      <c r="L2141">
        <v>119.71169999999999</v>
      </c>
      <c r="M2141" t="s">
        <v>102</v>
      </c>
      <c r="N2141" s="2">
        <f>Table1[[#This Row],[Capacity (MW)]]*8760*0.72*10^-6</f>
        <v>0.28382399999999997</v>
      </c>
      <c r="O2141" s="2" cm="1">
        <f t="array" ref="O2141">AVERAGE(VLOOKUP(_xlfn.TEXTSPLIT(Table1[[#This Row],[Fuel (no space after comma)]], ","), FuelList_Final_EF!$A$2:$B$32, 2, FALSE))</f>
        <v>105.42962572482868</v>
      </c>
      <c r="P2141" s="2">
        <f>(16112*Table1[[#This Row],[Generation (TWh)]]*10^9)/10^6</f>
        <v>4572972.2879999988</v>
      </c>
      <c r="Q2141" s="2">
        <f>Table1[[#This Row],[Emission Factor (kg CO2/ mmBtu)]]*Table1[[#This Row],[Fuel Consumption (mmBtu)]]*10^3</f>
        <v>482126756773.85333</v>
      </c>
      <c r="R2141" s="2">
        <f>(Table1[[#This Row],[CO2 Emissions (g CO2)]])/(Table1[[#This Row],[Generation (TWh)]]*10^9)</f>
        <v>1698.6821296784397</v>
      </c>
    </row>
    <row r="2142" spans="1:18" hidden="1">
      <c r="A2142" t="s">
        <v>1278</v>
      </c>
      <c r="B2142" t="s">
        <v>19</v>
      </c>
      <c r="C2142" t="str">
        <f>SUBSTITUTE(Table1[[#This Row],[Fuel]],", ",",")</f>
        <v>bioenergy: refuse (municipal and industrial wastes)</v>
      </c>
      <c r="D2142" t="s">
        <v>19</v>
      </c>
      <c r="G2142">
        <v>14</v>
      </c>
      <c r="H2142" t="s">
        <v>27</v>
      </c>
      <c r="I2142">
        <v>2020</v>
      </c>
      <c r="J2142" t="s">
        <v>21</v>
      </c>
      <c r="K2142">
        <v>30.312899999999999</v>
      </c>
      <c r="L2142">
        <v>120.8211</v>
      </c>
      <c r="M2142" t="s">
        <v>102</v>
      </c>
      <c r="N2142" s="2">
        <f>Table1[[#This Row],[Capacity (MW)]]*8760*0.72*10^-6</f>
        <v>8.8300799999999999E-2</v>
      </c>
      <c r="O2142" s="2" cm="1">
        <f t="array" ref="O2142">AVERAGE(VLOOKUP(_xlfn.TEXTSPLIT(Table1[[#This Row],[Fuel (no space after comma)]], ","), FuelList_Final_EF!$A$2:$B$32, 2, FALSE))</f>
        <v>105.42962572482868</v>
      </c>
      <c r="P2142" s="2">
        <f>(16112*Table1[[#This Row],[Generation (TWh)]]*10^9)/10^6</f>
        <v>1422702.4896</v>
      </c>
      <c r="Q2142" s="2">
        <f>Table1[[#This Row],[Emission Factor (kg CO2/ mmBtu)]]*Table1[[#This Row],[Fuel Consumption (mmBtu)]]*10^3</f>
        <v>149994990996.30997</v>
      </c>
      <c r="R2142" s="2">
        <f>(Table1[[#This Row],[CO2 Emissions (g CO2)]])/(Table1[[#This Row],[Generation (TWh)]]*10^9)</f>
        <v>1698.6821296784397</v>
      </c>
    </row>
    <row r="2143" spans="1:18" hidden="1">
      <c r="A2143" t="s">
        <v>192</v>
      </c>
      <c r="B2143" t="s">
        <v>19</v>
      </c>
      <c r="C2143" t="str">
        <f>SUBSTITUTE(Table1[[#This Row],[Fuel]],", ",",")</f>
        <v>bioenergy: refuse (municipal and industrial wastes)</v>
      </c>
      <c r="D2143" t="s">
        <v>19</v>
      </c>
      <c r="G2143">
        <v>21</v>
      </c>
      <c r="H2143" t="s">
        <v>27</v>
      </c>
      <c r="I2143">
        <v>2020</v>
      </c>
      <c r="J2143" t="s">
        <v>21</v>
      </c>
      <c r="K2143">
        <v>30.312899999999999</v>
      </c>
      <c r="L2143">
        <v>120.8211</v>
      </c>
      <c r="M2143" t="s">
        <v>102</v>
      </c>
      <c r="N2143" s="2">
        <f>Table1[[#This Row],[Capacity (MW)]]*8760*0.72*10^-6</f>
        <v>0.13245119999999996</v>
      </c>
      <c r="O2143" s="2" cm="1">
        <f t="array" ref="O2143">AVERAGE(VLOOKUP(_xlfn.TEXTSPLIT(Table1[[#This Row],[Fuel (no space after comma)]], ","), FuelList_Final_EF!$A$2:$B$32, 2, FALSE))</f>
        <v>105.42962572482868</v>
      </c>
      <c r="P2143" s="2">
        <f>(16112*Table1[[#This Row],[Generation (TWh)]]*10^9)/10^6</f>
        <v>2134053.7343999995</v>
      </c>
      <c r="Q2143" s="2">
        <f>Table1[[#This Row],[Emission Factor (kg CO2/ mmBtu)]]*Table1[[#This Row],[Fuel Consumption (mmBtu)]]*10^3</f>
        <v>224992486494.4649</v>
      </c>
      <c r="R2143" s="2">
        <f>(Table1[[#This Row],[CO2 Emissions (g CO2)]])/(Table1[[#This Row],[Generation (TWh)]]*10^9)</f>
        <v>1698.6821296784397</v>
      </c>
    </row>
    <row r="2144" spans="1:18" hidden="1">
      <c r="A2144" t="s">
        <v>1279</v>
      </c>
      <c r="B2144" t="s">
        <v>61</v>
      </c>
      <c r="C2144" t="str">
        <f>SUBSTITUTE(Table1[[#This Row],[Fuel]],", ",",")</f>
        <v>bioenergy: paper mill wastes</v>
      </c>
      <c r="D2144" t="s">
        <v>61</v>
      </c>
      <c r="G2144">
        <v>13.5</v>
      </c>
      <c r="H2144" t="s">
        <v>27</v>
      </c>
      <c r="I2144">
        <v>2021</v>
      </c>
      <c r="J2144" t="s">
        <v>21</v>
      </c>
      <c r="K2144">
        <v>30.591200000000001</v>
      </c>
      <c r="L2144">
        <v>121.03530000000001</v>
      </c>
      <c r="M2144" t="s">
        <v>102</v>
      </c>
      <c r="N2144" s="2">
        <f>Table1[[#This Row],[Capacity (MW)]]*8760*0.72*10^-6</f>
        <v>8.5147199999999992E-2</v>
      </c>
      <c r="O2144" s="2" cm="1">
        <f t="array" ref="O2144">AVERAGE(VLOOKUP(_xlfn.TEXTSPLIT(Table1[[#This Row],[Fuel (no space after comma)]], ","), FuelList_Final_EF!$A$2:$B$32, 2, FALSE))</f>
        <v>100.47443331576173</v>
      </c>
      <c r="P2144" s="2">
        <f>(16112*Table1[[#This Row],[Generation (TWh)]]*10^9)/10^6</f>
        <v>1371891.6863999998</v>
      </c>
      <c r="Q2144" s="2">
        <f>Table1[[#This Row],[Emission Factor (kg CO2/ mmBtu)]]*Table1[[#This Row],[Fuel Consumption (mmBtu)]]*10^3</f>
        <v>137840039761.64468</v>
      </c>
      <c r="R2144" s="2">
        <f>(Table1[[#This Row],[CO2 Emissions (g CO2)]])/(Table1[[#This Row],[Generation (TWh)]]*10^9)</f>
        <v>1618.8440695835529</v>
      </c>
    </row>
    <row r="2145" spans="1:18" hidden="1">
      <c r="A2145" t="s">
        <v>1280</v>
      </c>
      <c r="B2145" t="s">
        <v>61</v>
      </c>
      <c r="C2145" t="str">
        <f>SUBSTITUTE(Table1[[#This Row],[Fuel]],", ",",")</f>
        <v>bioenergy: paper mill wastes</v>
      </c>
      <c r="D2145" t="s">
        <v>61</v>
      </c>
      <c r="G2145">
        <v>24.5</v>
      </c>
      <c r="H2145" t="s">
        <v>27</v>
      </c>
      <c r="I2145">
        <v>2021</v>
      </c>
      <c r="J2145" t="s">
        <v>21</v>
      </c>
      <c r="K2145">
        <v>30.591200000000001</v>
      </c>
      <c r="L2145">
        <v>121.03530000000001</v>
      </c>
      <c r="M2145" t="s">
        <v>102</v>
      </c>
      <c r="N2145" s="2">
        <f>Table1[[#This Row],[Capacity (MW)]]*8760*0.72*10^-6</f>
        <v>0.15452639999999998</v>
      </c>
      <c r="O2145" s="2" cm="1">
        <f t="array" ref="O2145">AVERAGE(VLOOKUP(_xlfn.TEXTSPLIT(Table1[[#This Row],[Fuel (no space after comma)]], ","), FuelList_Final_EF!$A$2:$B$32, 2, FALSE))</f>
        <v>100.47443331576173</v>
      </c>
      <c r="P2145" s="2">
        <f>(16112*Table1[[#This Row],[Generation (TWh)]]*10^9)/10^6</f>
        <v>2489729.3567999997</v>
      </c>
      <c r="Q2145" s="2">
        <f>Table1[[#This Row],[Emission Factor (kg CO2/ mmBtu)]]*Table1[[#This Row],[Fuel Consumption (mmBtu)]]*10^3</f>
        <v>250154146234.09589</v>
      </c>
      <c r="R2145" s="2">
        <f>(Table1[[#This Row],[CO2 Emissions (g CO2)]])/(Table1[[#This Row],[Generation (TWh)]]*10^9)</f>
        <v>1618.8440695835529</v>
      </c>
    </row>
    <row r="2146" spans="1:18" hidden="1">
      <c r="A2146" t="s">
        <v>125</v>
      </c>
      <c r="B2146" t="s">
        <v>61</v>
      </c>
      <c r="C2146" t="str">
        <f>SUBSTITUTE(Table1[[#This Row],[Fuel]],", ",",")</f>
        <v>bioenergy: paper mill wastes</v>
      </c>
      <c r="D2146" t="s">
        <v>61</v>
      </c>
      <c r="G2146">
        <v>12</v>
      </c>
      <c r="H2146" t="s">
        <v>27</v>
      </c>
      <c r="I2146">
        <v>2021</v>
      </c>
      <c r="J2146" t="s">
        <v>21</v>
      </c>
      <c r="K2146">
        <v>30.591200000000001</v>
      </c>
      <c r="L2146">
        <v>121.03530000000001</v>
      </c>
      <c r="M2146" t="s">
        <v>102</v>
      </c>
      <c r="N2146" s="2">
        <f>Table1[[#This Row],[Capacity (MW)]]*8760*0.72*10^-6</f>
        <v>7.5686399999999987E-2</v>
      </c>
      <c r="O2146" s="2" cm="1">
        <f t="array" ref="O2146">AVERAGE(VLOOKUP(_xlfn.TEXTSPLIT(Table1[[#This Row],[Fuel (no space after comma)]], ","), FuelList_Final_EF!$A$2:$B$32, 2, FALSE))</f>
        <v>100.47443331576173</v>
      </c>
      <c r="P2146" s="2">
        <f>(16112*Table1[[#This Row],[Generation (TWh)]]*10^9)/10^6</f>
        <v>1219459.2767999996</v>
      </c>
      <c r="Q2146" s="2">
        <f>Table1[[#This Row],[Emission Factor (kg CO2/ mmBtu)]]*Table1[[#This Row],[Fuel Consumption (mmBtu)]]*10^3</f>
        <v>122524479788.12859</v>
      </c>
      <c r="R2146" s="2">
        <f>(Table1[[#This Row],[CO2 Emissions (g CO2)]])/(Table1[[#This Row],[Generation (TWh)]]*10^9)</f>
        <v>1618.8440695835527</v>
      </c>
    </row>
    <row r="2147" spans="1:18">
      <c r="A2147" t="s">
        <v>752</v>
      </c>
      <c r="B2147" t="s">
        <v>19</v>
      </c>
      <c r="C2147" t="str">
        <f>SUBSTITUTE(Table1[[#This Row],[Fuel]],", ",",")</f>
        <v>bioenergy: refuse (municipal and industrial wastes)</v>
      </c>
      <c r="D2147" t="s">
        <v>19</v>
      </c>
      <c r="G2147">
        <v>30</v>
      </c>
      <c r="H2147" t="s">
        <v>53</v>
      </c>
      <c r="I2147" t="s">
        <v>21</v>
      </c>
      <c r="J2147" t="s">
        <v>21</v>
      </c>
      <c r="K2147">
        <v>30.793500000000002</v>
      </c>
      <c r="L2147">
        <v>120.18340000000001</v>
      </c>
      <c r="M2147" t="s">
        <v>102</v>
      </c>
      <c r="N2147" s="2">
        <f>Table1[[#This Row],[Capacity (MW)]]*8760*0.72*10^-6</f>
        <v>0.189216</v>
      </c>
      <c r="O2147" s="2" cm="1">
        <f t="array" ref="O2147">AVERAGE(VLOOKUP(_xlfn.TEXTSPLIT(Table1[[#This Row],[Fuel (no space after comma)]], ","), FuelList_Final_EF!$A$2:$B$32, 2, FALSE))</f>
        <v>105.42962572482868</v>
      </c>
      <c r="P2147" s="2">
        <f>(16112*Table1[[#This Row],[Generation (TWh)]]*10^9)/10^6</f>
        <v>3048648.1919999998</v>
      </c>
      <c r="Q2147" s="2">
        <f>Table1[[#This Row],[Emission Factor (kg CO2/ mmBtu)]]*Table1[[#This Row],[Fuel Consumption (mmBtu)]]*10^3</f>
        <v>321417837849.23566</v>
      </c>
      <c r="R2147" s="2">
        <f>(Table1[[#This Row],[CO2 Emissions (g CO2)]])/(Table1[[#This Row],[Generation (TWh)]]*10^9)</f>
        <v>1698.6821296784397</v>
      </c>
    </row>
    <row r="2148" spans="1:18" hidden="1">
      <c r="A2148" t="s">
        <v>1281</v>
      </c>
      <c r="B2148" t="s">
        <v>42</v>
      </c>
      <c r="C2148" t="str">
        <f>SUBSTITUTE(Table1[[#This Row],[Fuel]],", ",",")</f>
        <v>bioenergy: wastewater and sewage sludge (solids or biogas)</v>
      </c>
      <c r="D2148" t="s">
        <v>42</v>
      </c>
      <c r="G2148">
        <v>15</v>
      </c>
      <c r="H2148" t="s">
        <v>27</v>
      </c>
      <c r="I2148">
        <v>2010</v>
      </c>
      <c r="J2148" t="s">
        <v>21</v>
      </c>
      <c r="K2148">
        <v>30.842600000000001</v>
      </c>
      <c r="L2148">
        <v>120.7184</v>
      </c>
      <c r="M2148" t="s">
        <v>102</v>
      </c>
      <c r="N2148" s="2">
        <f>Table1[[#This Row],[Capacity (MW)]]*8760*0.72*10^-6</f>
        <v>9.4607999999999998E-2</v>
      </c>
      <c r="O2148" s="2" cm="1">
        <f t="array" ref="O2148">AVERAGE(VLOOKUP(_xlfn.TEXTSPLIT(Table1[[#This Row],[Fuel (no space after comma)]], ","), FuelList_Final_EF!$A$2:$B$32, 2, FALSE))</f>
        <v>57.564575645756456</v>
      </c>
      <c r="P2148" s="2">
        <f>(16112*Table1[[#This Row],[Generation (TWh)]]*10^9)/10^6</f>
        <v>1524324.0959999999</v>
      </c>
      <c r="Q2148" s="2">
        <f>Table1[[#This Row],[Emission Factor (kg CO2/ mmBtu)]]*Table1[[#This Row],[Fuel Consumption (mmBtu)]]*10^3</f>
        <v>87747069732.841309</v>
      </c>
      <c r="R2148" s="2">
        <f>(Table1[[#This Row],[CO2 Emissions (g CO2)]])/(Table1[[#This Row],[Generation (TWh)]]*10^9)</f>
        <v>927.48044280442787</v>
      </c>
    </row>
    <row r="2149" spans="1:18" hidden="1">
      <c r="A2149" t="s">
        <v>1282</v>
      </c>
      <c r="B2149" t="s">
        <v>42</v>
      </c>
      <c r="C2149" t="str">
        <f>SUBSTITUTE(Table1[[#This Row],[Fuel]],", ",",")</f>
        <v>bioenergy: wastewater and sewage sludge (solids or biogas)</v>
      </c>
      <c r="D2149" t="s">
        <v>42</v>
      </c>
      <c r="G2149">
        <v>35</v>
      </c>
      <c r="H2149" t="s">
        <v>27</v>
      </c>
      <c r="I2149">
        <v>2010</v>
      </c>
      <c r="J2149" t="s">
        <v>21</v>
      </c>
      <c r="K2149">
        <v>30.842600000000001</v>
      </c>
      <c r="L2149">
        <v>120.7184</v>
      </c>
      <c r="M2149" t="s">
        <v>102</v>
      </c>
      <c r="N2149" s="2">
        <f>Table1[[#This Row],[Capacity (MW)]]*8760*0.72*10^-6</f>
        <v>0.220752</v>
      </c>
      <c r="O2149" s="2" cm="1">
        <f t="array" ref="O2149">AVERAGE(VLOOKUP(_xlfn.TEXTSPLIT(Table1[[#This Row],[Fuel (no space after comma)]], ","), FuelList_Final_EF!$A$2:$B$32, 2, FALSE))</f>
        <v>57.564575645756456</v>
      </c>
      <c r="P2149" s="2">
        <f>(16112*Table1[[#This Row],[Generation (TWh)]]*10^9)/10^6</f>
        <v>3556756.2239999999</v>
      </c>
      <c r="Q2149" s="2">
        <f>Table1[[#This Row],[Emission Factor (kg CO2/ mmBtu)]]*Table1[[#This Row],[Fuel Consumption (mmBtu)]]*10^3</f>
        <v>204743162709.96307</v>
      </c>
      <c r="R2149" s="2">
        <f>(Table1[[#This Row],[CO2 Emissions (g CO2)]])/(Table1[[#This Row],[Generation (TWh)]]*10^9)</f>
        <v>927.48044280442798</v>
      </c>
    </row>
    <row r="2150" spans="1:18" hidden="1">
      <c r="A2150" t="s">
        <v>1282</v>
      </c>
      <c r="B2150" t="s">
        <v>105</v>
      </c>
      <c r="C2150" t="str">
        <f>SUBSTITUTE(Table1[[#This Row],[Fuel]],", ",",")</f>
        <v>bioenergy: agricultural waste (solids),bioenergy: wood &amp; other biomass (solids)</v>
      </c>
      <c r="D2150" t="s">
        <v>46</v>
      </c>
      <c r="E2150" t="s">
        <v>25</v>
      </c>
      <c r="G2150">
        <v>17.850000000000001</v>
      </c>
      <c r="H2150" t="s">
        <v>27</v>
      </c>
      <c r="I2150">
        <v>2022</v>
      </c>
      <c r="J2150" t="s">
        <v>21</v>
      </c>
      <c r="K2150">
        <v>29.147400000000001</v>
      </c>
      <c r="L2150">
        <v>119.83540000000001</v>
      </c>
      <c r="M2150" t="s">
        <v>102</v>
      </c>
      <c r="N2150" s="2">
        <f>Table1[[#This Row],[Capacity (MW)]]*8760*0.72*10^-6</f>
        <v>0.11258351999999998</v>
      </c>
      <c r="O2150" s="2" cm="1">
        <f t="array" ref="O2150">AVERAGE(VLOOKUP(_xlfn.TEXTSPLIT(Table1[[#This Row],[Fuel (no space after comma)]], ","), FuelList_Final_EF!$A$2:$B$32, 2, FALSE))</f>
        <v>105.985</v>
      </c>
      <c r="P2150" s="2">
        <f>(16112*Table1[[#This Row],[Generation (TWh)]]*10^9)/10^6</f>
        <v>1813945.6742399996</v>
      </c>
      <c r="Q2150" s="2">
        <f>Table1[[#This Row],[Emission Factor (kg CO2/ mmBtu)]]*Table1[[#This Row],[Fuel Consumption (mmBtu)]]*10^3</f>
        <v>192251032284.32635</v>
      </c>
      <c r="R2150" s="2">
        <f>(Table1[[#This Row],[CO2 Emissions (g CO2)]])/(Table1[[#This Row],[Generation (TWh)]]*10^9)</f>
        <v>1707.6303199999998</v>
      </c>
    </row>
    <row r="2151" spans="1:18" hidden="1">
      <c r="A2151" t="s">
        <v>1283</v>
      </c>
      <c r="B2151" t="s">
        <v>105</v>
      </c>
      <c r="C2151" t="str">
        <f>SUBSTITUTE(Table1[[#This Row],[Fuel]],", ",",")</f>
        <v>bioenergy: agricultural waste (solids),bioenergy: wood &amp; other biomass (solids)</v>
      </c>
      <c r="D2151" t="s">
        <v>46</v>
      </c>
      <c r="E2151" t="s">
        <v>25</v>
      </c>
      <c r="G2151">
        <v>7.35</v>
      </c>
      <c r="H2151" t="s">
        <v>27</v>
      </c>
      <c r="I2151">
        <v>2022</v>
      </c>
      <c r="J2151" t="s">
        <v>21</v>
      </c>
      <c r="K2151">
        <v>29.147400000000001</v>
      </c>
      <c r="L2151">
        <v>119.83540000000001</v>
      </c>
      <c r="M2151" t="s">
        <v>102</v>
      </c>
      <c r="N2151" s="2">
        <f>Table1[[#This Row],[Capacity (MW)]]*8760*0.72*10^-6</f>
        <v>4.6357919999999997E-2</v>
      </c>
      <c r="O2151" s="2" cm="1">
        <f t="array" ref="O2151">AVERAGE(VLOOKUP(_xlfn.TEXTSPLIT(Table1[[#This Row],[Fuel (no space after comma)]], ","), FuelList_Final_EF!$A$2:$B$32, 2, FALSE))</f>
        <v>105.985</v>
      </c>
      <c r="P2151" s="2">
        <f>(16112*Table1[[#This Row],[Generation (TWh)]]*10^9)/10^6</f>
        <v>746918.80703999987</v>
      </c>
      <c r="Q2151" s="2">
        <f>Table1[[#This Row],[Emission Factor (kg CO2/ mmBtu)]]*Table1[[#This Row],[Fuel Consumption (mmBtu)]]*10^3</f>
        <v>79162189764.134399</v>
      </c>
      <c r="R2151" s="2">
        <f>(Table1[[#This Row],[CO2 Emissions (g CO2)]])/(Table1[[#This Row],[Generation (TWh)]]*10^9)</f>
        <v>1707.63032</v>
      </c>
    </row>
    <row r="2152" spans="1:18" hidden="1">
      <c r="A2152" t="s">
        <v>1284</v>
      </c>
      <c r="B2152" t="s">
        <v>105</v>
      </c>
      <c r="C2152" t="str">
        <f>SUBSTITUTE(Table1[[#This Row],[Fuel]],", ",",")</f>
        <v>bioenergy: agricultural waste (solids),bioenergy: wood &amp; other biomass (solids)</v>
      </c>
      <c r="D2152" t="s">
        <v>46</v>
      </c>
      <c r="E2152" t="s">
        <v>25</v>
      </c>
      <c r="G2152">
        <v>9.8000000000000007</v>
      </c>
      <c r="H2152" t="s">
        <v>27</v>
      </c>
      <c r="I2152">
        <v>2022</v>
      </c>
      <c r="J2152" t="s">
        <v>21</v>
      </c>
      <c r="K2152">
        <v>29.147400000000001</v>
      </c>
      <c r="L2152">
        <v>119.83540000000001</v>
      </c>
      <c r="M2152" t="s">
        <v>102</v>
      </c>
      <c r="N2152" s="2">
        <f>Table1[[#This Row],[Capacity (MW)]]*8760*0.72*10^-6</f>
        <v>6.1810559999999994E-2</v>
      </c>
      <c r="O2152" s="2" cm="1">
        <f t="array" ref="O2152">AVERAGE(VLOOKUP(_xlfn.TEXTSPLIT(Table1[[#This Row],[Fuel (no space after comma)]], ","), FuelList_Final_EF!$A$2:$B$32, 2, FALSE))</f>
        <v>105.985</v>
      </c>
      <c r="P2152" s="2">
        <f>(16112*Table1[[#This Row],[Generation (TWh)]]*10^9)/10^6</f>
        <v>995891.74271999986</v>
      </c>
      <c r="Q2152" s="2">
        <f>Table1[[#This Row],[Emission Factor (kg CO2/ mmBtu)]]*Table1[[#This Row],[Fuel Consumption (mmBtu)]]*10^3</f>
        <v>105549586352.17918</v>
      </c>
      <c r="R2152" s="2">
        <f>(Table1[[#This Row],[CO2 Emissions (g CO2)]])/(Table1[[#This Row],[Generation (TWh)]]*10^9)</f>
        <v>1707.63032</v>
      </c>
    </row>
    <row r="2153" spans="1:18" hidden="1">
      <c r="A2153" t="s">
        <v>1127</v>
      </c>
      <c r="B2153" t="s">
        <v>19</v>
      </c>
      <c r="C2153" t="str">
        <f>SUBSTITUTE(Table1[[#This Row],[Fuel]],", ",",")</f>
        <v>bioenergy: refuse (municipal and industrial wastes)</v>
      </c>
      <c r="D2153" t="s">
        <v>19</v>
      </c>
      <c r="G2153">
        <v>28</v>
      </c>
      <c r="H2153" t="s">
        <v>27</v>
      </c>
      <c r="I2153">
        <v>2020</v>
      </c>
      <c r="J2153" t="s">
        <v>21</v>
      </c>
      <c r="K2153">
        <v>29.002199999999998</v>
      </c>
      <c r="L2153">
        <v>119.70359999999999</v>
      </c>
      <c r="M2153" t="s">
        <v>102</v>
      </c>
      <c r="N2153" s="2">
        <f>Table1[[#This Row],[Capacity (MW)]]*8760*0.72*10^-6</f>
        <v>0.1766016</v>
      </c>
      <c r="O2153" s="2" cm="1">
        <f t="array" ref="O2153">AVERAGE(VLOOKUP(_xlfn.TEXTSPLIT(Table1[[#This Row],[Fuel (no space after comma)]], ","), FuelList_Final_EF!$A$2:$B$32, 2, FALSE))</f>
        <v>105.42962572482868</v>
      </c>
      <c r="P2153" s="2">
        <f>(16112*Table1[[#This Row],[Generation (TWh)]]*10^9)/10^6</f>
        <v>2845404.9791999999</v>
      </c>
      <c r="Q2153" s="2">
        <f>Table1[[#This Row],[Emission Factor (kg CO2/ mmBtu)]]*Table1[[#This Row],[Fuel Consumption (mmBtu)]]*10^3</f>
        <v>299989981992.61993</v>
      </c>
      <c r="R2153" s="2">
        <f>(Table1[[#This Row],[CO2 Emissions (g CO2)]])/(Table1[[#This Row],[Generation (TWh)]]*10^9)</f>
        <v>1698.6821296784397</v>
      </c>
    </row>
    <row r="2154" spans="1:18" hidden="1">
      <c r="A2154" t="s">
        <v>1285</v>
      </c>
      <c r="B2154" t="s">
        <v>19</v>
      </c>
      <c r="C2154" t="str">
        <f>SUBSTITUTE(Table1[[#This Row],[Fuel]],", ",",")</f>
        <v>bioenergy: refuse (municipal and industrial wastes)</v>
      </c>
      <c r="D2154" t="s">
        <v>19</v>
      </c>
      <c r="G2154">
        <v>7</v>
      </c>
      <c r="H2154" t="s">
        <v>27</v>
      </c>
      <c r="I2154">
        <v>2020</v>
      </c>
      <c r="J2154" t="s">
        <v>21</v>
      </c>
      <c r="K2154">
        <v>29.002199999999998</v>
      </c>
      <c r="L2154">
        <v>119.70359999999999</v>
      </c>
      <c r="M2154" t="s">
        <v>102</v>
      </c>
      <c r="N2154" s="2">
        <f>Table1[[#This Row],[Capacity (MW)]]*8760*0.72*10^-6</f>
        <v>4.4150399999999999E-2</v>
      </c>
      <c r="O2154" s="2" cm="1">
        <f t="array" ref="O2154">AVERAGE(VLOOKUP(_xlfn.TEXTSPLIT(Table1[[#This Row],[Fuel (no space after comma)]], ","), FuelList_Final_EF!$A$2:$B$32, 2, FALSE))</f>
        <v>105.42962572482868</v>
      </c>
      <c r="P2154" s="2">
        <f>(16112*Table1[[#This Row],[Generation (TWh)]]*10^9)/10^6</f>
        <v>711351.24479999999</v>
      </c>
      <c r="Q2154" s="2">
        <f>Table1[[#This Row],[Emission Factor (kg CO2/ mmBtu)]]*Table1[[#This Row],[Fuel Consumption (mmBtu)]]*10^3</f>
        <v>74997495498.154984</v>
      </c>
      <c r="R2154" s="2">
        <f>(Table1[[#This Row],[CO2 Emissions (g CO2)]])/(Table1[[#This Row],[Generation (TWh)]]*10^9)</f>
        <v>1698.6821296784397</v>
      </c>
    </row>
    <row r="2155" spans="1:18">
      <c r="A2155" t="s">
        <v>1127</v>
      </c>
      <c r="B2155" t="s">
        <v>19</v>
      </c>
      <c r="C2155" t="str">
        <f>SUBSTITUTE(Table1[[#This Row],[Fuel]],", ",",")</f>
        <v>bioenergy: refuse (municipal and industrial wastes)</v>
      </c>
      <c r="D2155" t="s">
        <v>19</v>
      </c>
      <c r="G2155">
        <v>28</v>
      </c>
      <c r="H2155" t="s">
        <v>27</v>
      </c>
      <c r="I2155" t="s">
        <v>21</v>
      </c>
      <c r="J2155" t="s">
        <v>21</v>
      </c>
      <c r="K2155">
        <v>29.002199999999998</v>
      </c>
      <c r="L2155">
        <v>119.70359999999999</v>
      </c>
      <c r="M2155" t="s">
        <v>102</v>
      </c>
      <c r="N2155" s="2">
        <f>Table1[[#This Row],[Capacity (MW)]]*8760*0.72*10^-6</f>
        <v>0.1766016</v>
      </c>
      <c r="O2155" s="2" cm="1">
        <f t="array" ref="O2155">AVERAGE(VLOOKUP(_xlfn.TEXTSPLIT(Table1[[#This Row],[Fuel (no space after comma)]], ","), FuelList_Final_EF!$A$2:$B$32, 2, FALSE))</f>
        <v>105.42962572482868</v>
      </c>
      <c r="P2155" s="2">
        <f>(16112*Table1[[#This Row],[Generation (TWh)]]*10^9)/10^6</f>
        <v>2845404.9791999999</v>
      </c>
      <c r="Q2155" s="2">
        <f>Table1[[#This Row],[Emission Factor (kg CO2/ mmBtu)]]*Table1[[#This Row],[Fuel Consumption (mmBtu)]]*10^3</f>
        <v>299989981992.61993</v>
      </c>
      <c r="R2155" s="2">
        <f>(Table1[[#This Row],[CO2 Emissions (g CO2)]])/(Table1[[#This Row],[Generation (TWh)]]*10^9)</f>
        <v>1698.6821296784397</v>
      </c>
    </row>
    <row r="2156" spans="1:18">
      <c r="A2156" t="s">
        <v>1285</v>
      </c>
      <c r="B2156" t="s">
        <v>19</v>
      </c>
      <c r="C2156" t="str">
        <f>SUBSTITUTE(Table1[[#This Row],[Fuel]],", ",",")</f>
        <v>bioenergy: refuse (municipal and industrial wastes)</v>
      </c>
      <c r="D2156" t="s">
        <v>19</v>
      </c>
      <c r="G2156">
        <v>7</v>
      </c>
      <c r="H2156" t="s">
        <v>27</v>
      </c>
      <c r="I2156" t="s">
        <v>21</v>
      </c>
      <c r="J2156" t="s">
        <v>21</v>
      </c>
      <c r="K2156">
        <v>29.002199999999998</v>
      </c>
      <c r="L2156">
        <v>119.70359999999999</v>
      </c>
      <c r="M2156" t="s">
        <v>102</v>
      </c>
      <c r="N2156" s="2">
        <f>Table1[[#This Row],[Capacity (MW)]]*8760*0.72*10^-6</f>
        <v>4.4150399999999999E-2</v>
      </c>
      <c r="O2156" s="2" cm="1">
        <f t="array" ref="O2156">AVERAGE(VLOOKUP(_xlfn.TEXTSPLIT(Table1[[#This Row],[Fuel (no space after comma)]], ","), FuelList_Final_EF!$A$2:$B$32, 2, FALSE))</f>
        <v>105.42962572482868</v>
      </c>
      <c r="P2156" s="2">
        <f>(16112*Table1[[#This Row],[Generation (TWh)]]*10^9)/10^6</f>
        <v>711351.24479999999</v>
      </c>
      <c r="Q2156" s="2">
        <f>Table1[[#This Row],[Emission Factor (kg CO2/ mmBtu)]]*Table1[[#This Row],[Fuel Consumption (mmBtu)]]*10^3</f>
        <v>74997495498.154984</v>
      </c>
      <c r="R2156" s="2">
        <f>(Table1[[#This Row],[CO2 Emissions (g CO2)]])/(Table1[[#This Row],[Generation (TWh)]]*10^9)</f>
        <v>1698.6821296784397</v>
      </c>
    </row>
    <row r="2157" spans="1:18">
      <c r="A2157" t="s">
        <v>21</v>
      </c>
      <c r="B2157" t="s">
        <v>105</v>
      </c>
      <c r="C2157" t="str">
        <f>SUBSTITUTE(Table1[[#This Row],[Fuel]],", ",",")</f>
        <v>bioenergy: agricultural waste (solids),bioenergy: wood &amp; other biomass (solids)</v>
      </c>
      <c r="D2157" t="s">
        <v>46</v>
      </c>
      <c r="E2157" t="s">
        <v>25</v>
      </c>
      <c r="G2157">
        <v>45</v>
      </c>
      <c r="H2157" t="s">
        <v>172</v>
      </c>
      <c r="I2157" t="s">
        <v>21</v>
      </c>
      <c r="J2157" t="s">
        <v>21</v>
      </c>
      <c r="K2157">
        <v>29.223099999999999</v>
      </c>
      <c r="L2157">
        <v>119.432</v>
      </c>
      <c r="M2157" t="s">
        <v>102</v>
      </c>
      <c r="N2157" s="2">
        <f>Table1[[#This Row],[Capacity (MW)]]*8760*0.72*10^-6</f>
        <v>0.28382399999999997</v>
      </c>
      <c r="O2157" s="2" cm="1">
        <f t="array" ref="O2157">AVERAGE(VLOOKUP(_xlfn.TEXTSPLIT(Table1[[#This Row],[Fuel (no space after comma)]], ","), FuelList_Final_EF!$A$2:$B$32, 2, FALSE))</f>
        <v>105.985</v>
      </c>
      <c r="P2157" s="2">
        <f>(16112*Table1[[#This Row],[Generation (TWh)]]*10^9)/10^6</f>
        <v>4572972.2879999988</v>
      </c>
      <c r="Q2157" s="2">
        <f>Table1[[#This Row],[Emission Factor (kg CO2/ mmBtu)]]*Table1[[#This Row],[Fuel Consumption (mmBtu)]]*10^3</f>
        <v>484666467943.67987</v>
      </c>
      <c r="R2157" s="2">
        <f>(Table1[[#This Row],[CO2 Emissions (g CO2)]])/(Table1[[#This Row],[Generation (TWh)]]*10^9)</f>
        <v>1707.63032</v>
      </c>
    </row>
    <row r="2158" spans="1:18" hidden="1">
      <c r="A2158" t="s">
        <v>1286</v>
      </c>
      <c r="B2158" t="s">
        <v>19</v>
      </c>
      <c r="C2158" t="str">
        <f>SUBSTITUTE(Table1[[#This Row],[Fuel]],", ",",")</f>
        <v>bioenergy: refuse (municipal and industrial wastes)</v>
      </c>
      <c r="D2158" t="s">
        <v>19</v>
      </c>
      <c r="G2158">
        <v>4.5</v>
      </c>
      <c r="H2158" t="s">
        <v>27</v>
      </c>
      <c r="I2158">
        <v>2020</v>
      </c>
      <c r="J2158" t="s">
        <v>21</v>
      </c>
      <c r="K2158">
        <v>30.247699999999998</v>
      </c>
      <c r="L2158">
        <v>120.6661</v>
      </c>
      <c r="M2158" t="s">
        <v>102</v>
      </c>
      <c r="N2158" s="2">
        <f>Table1[[#This Row],[Capacity (MW)]]*8760*0.72*10^-6</f>
        <v>2.8382399999999995E-2</v>
      </c>
      <c r="O2158" s="2" cm="1">
        <f t="array" ref="O2158">AVERAGE(VLOOKUP(_xlfn.TEXTSPLIT(Table1[[#This Row],[Fuel (no space after comma)]], ","), FuelList_Final_EF!$A$2:$B$32, 2, FALSE))</f>
        <v>105.42962572482868</v>
      </c>
      <c r="P2158" s="2">
        <f>(16112*Table1[[#This Row],[Generation (TWh)]]*10^9)/10^6</f>
        <v>457297.22879999992</v>
      </c>
      <c r="Q2158" s="2">
        <f>Table1[[#This Row],[Emission Factor (kg CO2/ mmBtu)]]*Table1[[#This Row],[Fuel Consumption (mmBtu)]]*10^3</f>
        <v>48212675677.385338</v>
      </c>
      <c r="R2158" s="2">
        <f>(Table1[[#This Row],[CO2 Emissions (g CO2)]])/(Table1[[#This Row],[Generation (TWh)]]*10^9)</f>
        <v>1698.6821296784397</v>
      </c>
    </row>
    <row r="2159" spans="1:18" hidden="1">
      <c r="A2159" t="s">
        <v>1287</v>
      </c>
      <c r="B2159" t="s">
        <v>19</v>
      </c>
      <c r="C2159" t="str">
        <f>SUBSTITUTE(Table1[[#This Row],[Fuel]],", ",",")</f>
        <v>bioenergy: refuse (municipal and industrial wastes)</v>
      </c>
      <c r="D2159" t="s">
        <v>19</v>
      </c>
      <c r="G2159">
        <v>9</v>
      </c>
      <c r="H2159" t="s">
        <v>27</v>
      </c>
      <c r="I2159">
        <v>2020</v>
      </c>
      <c r="J2159" t="s">
        <v>21</v>
      </c>
      <c r="K2159">
        <v>30.247699999999998</v>
      </c>
      <c r="L2159">
        <v>120.6661</v>
      </c>
      <c r="M2159" t="s">
        <v>102</v>
      </c>
      <c r="N2159" s="2">
        <f>Table1[[#This Row],[Capacity (MW)]]*8760*0.72*10^-6</f>
        <v>5.676479999999999E-2</v>
      </c>
      <c r="O2159" s="2" cm="1">
        <f t="array" ref="O2159">AVERAGE(VLOOKUP(_xlfn.TEXTSPLIT(Table1[[#This Row],[Fuel (no space after comma)]], ","), FuelList_Final_EF!$A$2:$B$32, 2, FALSE))</f>
        <v>105.42962572482868</v>
      </c>
      <c r="P2159" s="2">
        <f>(16112*Table1[[#This Row],[Generation (TWh)]]*10^9)/10^6</f>
        <v>914594.45759999985</v>
      </c>
      <c r="Q2159" s="2">
        <f>Table1[[#This Row],[Emission Factor (kg CO2/ mmBtu)]]*Table1[[#This Row],[Fuel Consumption (mmBtu)]]*10^3</f>
        <v>96425351354.770676</v>
      </c>
      <c r="R2159" s="2">
        <f>(Table1[[#This Row],[CO2 Emissions (g CO2)]])/(Table1[[#This Row],[Generation (TWh)]]*10^9)</f>
        <v>1698.6821296784397</v>
      </c>
    </row>
    <row r="2160" spans="1:18" hidden="1">
      <c r="A2160" t="s">
        <v>1288</v>
      </c>
      <c r="B2160" t="s">
        <v>19</v>
      </c>
      <c r="C2160" t="str">
        <f>SUBSTITUTE(Table1[[#This Row],[Fuel]],", ",",")</f>
        <v>bioenergy: refuse (municipal and industrial wastes)</v>
      </c>
      <c r="D2160" t="s">
        <v>19</v>
      </c>
      <c r="G2160">
        <v>9</v>
      </c>
      <c r="H2160" t="s">
        <v>27</v>
      </c>
      <c r="I2160">
        <v>2020</v>
      </c>
      <c r="J2160" t="s">
        <v>21</v>
      </c>
      <c r="K2160">
        <v>30.247699999999998</v>
      </c>
      <c r="L2160">
        <v>120.6661</v>
      </c>
      <c r="M2160" t="s">
        <v>102</v>
      </c>
      <c r="N2160" s="2">
        <f>Table1[[#This Row],[Capacity (MW)]]*8760*0.72*10^-6</f>
        <v>5.676479999999999E-2</v>
      </c>
      <c r="O2160" s="2" cm="1">
        <f t="array" ref="O2160">AVERAGE(VLOOKUP(_xlfn.TEXTSPLIT(Table1[[#This Row],[Fuel (no space after comma)]], ","), FuelList_Final_EF!$A$2:$B$32, 2, FALSE))</f>
        <v>105.42962572482868</v>
      </c>
      <c r="P2160" s="2">
        <f>(16112*Table1[[#This Row],[Generation (TWh)]]*10^9)/10^6</f>
        <v>914594.45759999985</v>
      </c>
      <c r="Q2160" s="2">
        <f>Table1[[#This Row],[Emission Factor (kg CO2/ mmBtu)]]*Table1[[#This Row],[Fuel Consumption (mmBtu)]]*10^3</f>
        <v>96425351354.770676</v>
      </c>
      <c r="R2160" s="2">
        <f>(Table1[[#This Row],[CO2 Emissions (g CO2)]])/(Table1[[#This Row],[Generation (TWh)]]*10^9)</f>
        <v>1698.6821296784397</v>
      </c>
    </row>
    <row r="2161" spans="1:18" hidden="1">
      <c r="A2161" t="s">
        <v>1127</v>
      </c>
      <c r="B2161" t="s">
        <v>19</v>
      </c>
      <c r="C2161" t="str">
        <f>SUBSTITUTE(Table1[[#This Row],[Fuel]],", ",",")</f>
        <v>bioenergy: refuse (municipal and industrial wastes)</v>
      </c>
      <c r="D2161" t="s">
        <v>19</v>
      </c>
      <c r="G2161">
        <v>22.5</v>
      </c>
      <c r="H2161" t="s">
        <v>27</v>
      </c>
      <c r="I2161">
        <v>2020</v>
      </c>
      <c r="J2161" t="s">
        <v>21</v>
      </c>
      <c r="K2161">
        <v>30.247699999999998</v>
      </c>
      <c r="L2161">
        <v>120.6661</v>
      </c>
      <c r="M2161" t="s">
        <v>102</v>
      </c>
      <c r="N2161" s="2">
        <f>Table1[[#This Row],[Capacity (MW)]]*8760*0.72*10^-6</f>
        <v>0.14191199999999998</v>
      </c>
      <c r="O2161" s="2" cm="1">
        <f t="array" ref="O2161">AVERAGE(VLOOKUP(_xlfn.TEXTSPLIT(Table1[[#This Row],[Fuel (no space after comma)]], ","), FuelList_Final_EF!$A$2:$B$32, 2, FALSE))</f>
        <v>105.42962572482868</v>
      </c>
      <c r="P2161" s="2">
        <f>(16112*Table1[[#This Row],[Generation (TWh)]]*10^9)/10^6</f>
        <v>2286486.1439999994</v>
      </c>
      <c r="Q2161" s="2">
        <f>Table1[[#This Row],[Emission Factor (kg CO2/ mmBtu)]]*Table1[[#This Row],[Fuel Consumption (mmBtu)]]*10^3</f>
        <v>241063378386.92667</v>
      </c>
      <c r="R2161" s="2">
        <f>(Table1[[#This Row],[CO2 Emissions (g CO2)]])/(Table1[[#This Row],[Generation (TWh)]]*10^9)</f>
        <v>1698.6821296784397</v>
      </c>
    </row>
    <row r="2162" spans="1:18" hidden="1">
      <c r="A2162" t="s">
        <v>1286</v>
      </c>
      <c r="B2162" t="s">
        <v>19</v>
      </c>
      <c r="C2162" t="str">
        <f>SUBSTITUTE(Table1[[#This Row],[Fuel]],", ",",")</f>
        <v>bioenergy: refuse (municipal and industrial wastes)</v>
      </c>
      <c r="D2162" t="s">
        <v>19</v>
      </c>
      <c r="G2162">
        <v>4.5</v>
      </c>
      <c r="H2162" t="s">
        <v>27</v>
      </c>
      <c r="I2162">
        <v>2020</v>
      </c>
      <c r="J2162" t="s">
        <v>21</v>
      </c>
      <c r="K2162">
        <v>30.247699999999998</v>
      </c>
      <c r="L2162">
        <v>120.6661</v>
      </c>
      <c r="M2162" t="s">
        <v>102</v>
      </c>
      <c r="N2162" s="2">
        <f>Table1[[#This Row],[Capacity (MW)]]*8760*0.72*10^-6</f>
        <v>2.8382399999999995E-2</v>
      </c>
      <c r="O2162" s="2" cm="1">
        <f t="array" ref="O2162">AVERAGE(VLOOKUP(_xlfn.TEXTSPLIT(Table1[[#This Row],[Fuel (no space after comma)]], ","), FuelList_Final_EF!$A$2:$B$32, 2, FALSE))</f>
        <v>105.42962572482868</v>
      </c>
      <c r="P2162" s="2">
        <f>(16112*Table1[[#This Row],[Generation (TWh)]]*10^9)/10^6</f>
        <v>457297.22879999992</v>
      </c>
      <c r="Q2162" s="2">
        <f>Table1[[#This Row],[Emission Factor (kg CO2/ mmBtu)]]*Table1[[#This Row],[Fuel Consumption (mmBtu)]]*10^3</f>
        <v>48212675677.385338</v>
      </c>
      <c r="R2162" s="2">
        <f>(Table1[[#This Row],[CO2 Emissions (g CO2)]])/(Table1[[#This Row],[Generation (TWh)]]*10^9)</f>
        <v>1698.6821296784397</v>
      </c>
    </row>
    <row r="2163" spans="1:18" hidden="1">
      <c r="A2163" t="s">
        <v>1127</v>
      </c>
      <c r="B2163" t="s">
        <v>19</v>
      </c>
      <c r="C2163" t="str">
        <f>SUBSTITUTE(Table1[[#This Row],[Fuel]],", ",",")</f>
        <v>bioenergy: refuse (municipal and industrial wastes)</v>
      </c>
      <c r="D2163" t="s">
        <v>19</v>
      </c>
      <c r="G2163">
        <v>22.5</v>
      </c>
      <c r="H2163" t="s">
        <v>27</v>
      </c>
      <c r="I2163">
        <v>2020</v>
      </c>
      <c r="J2163" t="s">
        <v>21</v>
      </c>
      <c r="K2163">
        <v>30.247699999999998</v>
      </c>
      <c r="L2163">
        <v>120.6661</v>
      </c>
      <c r="M2163" t="s">
        <v>102</v>
      </c>
      <c r="N2163" s="2">
        <f>Table1[[#This Row],[Capacity (MW)]]*8760*0.72*10^-6</f>
        <v>0.14191199999999998</v>
      </c>
      <c r="O2163" s="2" cm="1">
        <f t="array" ref="O2163">AVERAGE(VLOOKUP(_xlfn.TEXTSPLIT(Table1[[#This Row],[Fuel (no space after comma)]], ","), FuelList_Final_EF!$A$2:$B$32, 2, FALSE))</f>
        <v>105.42962572482868</v>
      </c>
      <c r="P2163" s="2">
        <f>(16112*Table1[[#This Row],[Generation (TWh)]]*10^9)/10^6</f>
        <v>2286486.1439999994</v>
      </c>
      <c r="Q2163" s="2">
        <f>Table1[[#This Row],[Emission Factor (kg CO2/ mmBtu)]]*Table1[[#This Row],[Fuel Consumption (mmBtu)]]*10^3</f>
        <v>241063378386.92667</v>
      </c>
      <c r="R2163" s="2">
        <f>(Table1[[#This Row],[CO2 Emissions (g CO2)]])/(Table1[[#This Row],[Generation (TWh)]]*10^9)</f>
        <v>1698.6821296784397</v>
      </c>
    </row>
    <row r="2164" spans="1:18" hidden="1">
      <c r="A2164" t="s">
        <v>1287</v>
      </c>
      <c r="B2164" t="s">
        <v>19</v>
      </c>
      <c r="C2164" t="str">
        <f>SUBSTITUTE(Table1[[#This Row],[Fuel]],", ",",")</f>
        <v>bioenergy: refuse (municipal and industrial wastes)</v>
      </c>
      <c r="D2164" t="s">
        <v>19</v>
      </c>
      <c r="G2164">
        <v>9</v>
      </c>
      <c r="H2164" t="s">
        <v>27</v>
      </c>
      <c r="I2164">
        <v>2020</v>
      </c>
      <c r="J2164" t="s">
        <v>21</v>
      </c>
      <c r="K2164">
        <v>30.247699999999998</v>
      </c>
      <c r="L2164">
        <v>120.6661</v>
      </c>
      <c r="M2164" t="s">
        <v>102</v>
      </c>
      <c r="N2164" s="2">
        <f>Table1[[#This Row],[Capacity (MW)]]*8760*0.72*10^-6</f>
        <v>5.676479999999999E-2</v>
      </c>
      <c r="O2164" s="2" cm="1">
        <f t="array" ref="O2164">AVERAGE(VLOOKUP(_xlfn.TEXTSPLIT(Table1[[#This Row],[Fuel (no space after comma)]], ","), FuelList_Final_EF!$A$2:$B$32, 2, FALSE))</f>
        <v>105.42962572482868</v>
      </c>
      <c r="P2164" s="2">
        <f>(16112*Table1[[#This Row],[Generation (TWh)]]*10^9)/10^6</f>
        <v>914594.45759999985</v>
      </c>
      <c r="Q2164" s="2">
        <f>Table1[[#This Row],[Emission Factor (kg CO2/ mmBtu)]]*Table1[[#This Row],[Fuel Consumption (mmBtu)]]*10^3</f>
        <v>96425351354.770676</v>
      </c>
      <c r="R2164" s="2">
        <f>(Table1[[#This Row],[CO2 Emissions (g CO2)]])/(Table1[[#This Row],[Generation (TWh)]]*10^9)</f>
        <v>1698.6821296784397</v>
      </c>
    </row>
    <row r="2165" spans="1:18" hidden="1">
      <c r="A2165" t="s">
        <v>1288</v>
      </c>
      <c r="B2165" t="s">
        <v>19</v>
      </c>
      <c r="C2165" t="str">
        <f>SUBSTITUTE(Table1[[#This Row],[Fuel]],", ",",")</f>
        <v>bioenergy: refuse (municipal and industrial wastes)</v>
      </c>
      <c r="D2165" t="s">
        <v>19</v>
      </c>
      <c r="G2165">
        <v>9</v>
      </c>
      <c r="H2165" t="s">
        <v>27</v>
      </c>
      <c r="I2165">
        <v>2020</v>
      </c>
      <c r="J2165" t="s">
        <v>21</v>
      </c>
      <c r="K2165">
        <v>30.247699999999998</v>
      </c>
      <c r="L2165">
        <v>120.6661</v>
      </c>
      <c r="M2165" t="s">
        <v>102</v>
      </c>
      <c r="N2165" s="2">
        <f>Table1[[#This Row],[Capacity (MW)]]*8760*0.72*10^-6</f>
        <v>5.676479999999999E-2</v>
      </c>
      <c r="O2165" s="2" cm="1">
        <f t="array" ref="O2165">AVERAGE(VLOOKUP(_xlfn.TEXTSPLIT(Table1[[#This Row],[Fuel (no space after comma)]], ","), FuelList_Final_EF!$A$2:$B$32, 2, FALSE))</f>
        <v>105.42962572482868</v>
      </c>
      <c r="P2165" s="2">
        <f>(16112*Table1[[#This Row],[Generation (TWh)]]*10^9)/10^6</f>
        <v>914594.45759999985</v>
      </c>
      <c r="Q2165" s="2">
        <f>Table1[[#This Row],[Emission Factor (kg CO2/ mmBtu)]]*Table1[[#This Row],[Fuel Consumption (mmBtu)]]*10^3</f>
        <v>96425351354.770676</v>
      </c>
      <c r="R2165" s="2">
        <f>(Table1[[#This Row],[CO2 Emissions (g CO2)]])/(Table1[[#This Row],[Generation (TWh)]]*10^9)</f>
        <v>1698.6821296784397</v>
      </c>
    </row>
    <row r="2166" spans="1:18" hidden="1">
      <c r="A2166" t="s">
        <v>1286</v>
      </c>
      <c r="B2166" t="s">
        <v>19</v>
      </c>
      <c r="C2166" t="str">
        <f>SUBSTITUTE(Table1[[#This Row],[Fuel]],", ",",")</f>
        <v>bioenergy: refuse (municipal and industrial wastes)</v>
      </c>
      <c r="D2166" t="s">
        <v>19</v>
      </c>
      <c r="G2166">
        <v>4.5</v>
      </c>
      <c r="H2166" t="s">
        <v>27</v>
      </c>
      <c r="I2166">
        <v>2020</v>
      </c>
      <c r="J2166" t="s">
        <v>21</v>
      </c>
      <c r="K2166">
        <v>30.247699999999998</v>
      </c>
      <c r="L2166">
        <v>120.6661</v>
      </c>
      <c r="M2166" t="s">
        <v>102</v>
      </c>
      <c r="N2166" s="2">
        <f>Table1[[#This Row],[Capacity (MW)]]*8760*0.72*10^-6</f>
        <v>2.8382399999999995E-2</v>
      </c>
      <c r="O2166" s="2" cm="1">
        <f t="array" ref="O2166">AVERAGE(VLOOKUP(_xlfn.TEXTSPLIT(Table1[[#This Row],[Fuel (no space after comma)]], ","), FuelList_Final_EF!$A$2:$B$32, 2, FALSE))</f>
        <v>105.42962572482868</v>
      </c>
      <c r="P2166" s="2">
        <f>(16112*Table1[[#This Row],[Generation (TWh)]]*10^9)/10^6</f>
        <v>457297.22879999992</v>
      </c>
      <c r="Q2166" s="2">
        <f>Table1[[#This Row],[Emission Factor (kg CO2/ mmBtu)]]*Table1[[#This Row],[Fuel Consumption (mmBtu)]]*10^3</f>
        <v>48212675677.385338</v>
      </c>
      <c r="R2166" s="2">
        <f>(Table1[[#This Row],[CO2 Emissions (g CO2)]])/(Table1[[#This Row],[Generation (TWh)]]*10^9)</f>
        <v>1698.6821296784397</v>
      </c>
    </row>
    <row r="2167" spans="1:18" hidden="1">
      <c r="A2167" t="s">
        <v>1287</v>
      </c>
      <c r="B2167" t="s">
        <v>19</v>
      </c>
      <c r="C2167" t="str">
        <f>SUBSTITUTE(Table1[[#This Row],[Fuel]],", ",",")</f>
        <v>bioenergy: refuse (municipal and industrial wastes)</v>
      </c>
      <c r="D2167" t="s">
        <v>19</v>
      </c>
      <c r="G2167">
        <v>9</v>
      </c>
      <c r="H2167" t="s">
        <v>27</v>
      </c>
      <c r="I2167">
        <v>2020</v>
      </c>
      <c r="J2167" t="s">
        <v>21</v>
      </c>
      <c r="K2167">
        <v>30.247699999999998</v>
      </c>
      <c r="L2167">
        <v>120.6661</v>
      </c>
      <c r="M2167" t="s">
        <v>102</v>
      </c>
      <c r="N2167" s="2">
        <f>Table1[[#This Row],[Capacity (MW)]]*8760*0.72*10^-6</f>
        <v>5.676479999999999E-2</v>
      </c>
      <c r="O2167" s="2" cm="1">
        <f t="array" ref="O2167">AVERAGE(VLOOKUP(_xlfn.TEXTSPLIT(Table1[[#This Row],[Fuel (no space after comma)]], ","), FuelList_Final_EF!$A$2:$B$32, 2, FALSE))</f>
        <v>105.42962572482868</v>
      </c>
      <c r="P2167" s="2">
        <f>(16112*Table1[[#This Row],[Generation (TWh)]]*10^9)/10^6</f>
        <v>914594.45759999985</v>
      </c>
      <c r="Q2167" s="2">
        <f>Table1[[#This Row],[Emission Factor (kg CO2/ mmBtu)]]*Table1[[#This Row],[Fuel Consumption (mmBtu)]]*10^3</f>
        <v>96425351354.770676</v>
      </c>
      <c r="R2167" s="2">
        <f>(Table1[[#This Row],[CO2 Emissions (g CO2)]])/(Table1[[#This Row],[Generation (TWh)]]*10^9)</f>
        <v>1698.6821296784397</v>
      </c>
    </row>
    <row r="2168" spans="1:18" hidden="1">
      <c r="A2168" t="s">
        <v>1127</v>
      </c>
      <c r="B2168" t="s">
        <v>19</v>
      </c>
      <c r="C2168" t="str">
        <f>SUBSTITUTE(Table1[[#This Row],[Fuel]],", ",",")</f>
        <v>bioenergy: refuse (municipal and industrial wastes)</v>
      </c>
      <c r="D2168" t="s">
        <v>19</v>
      </c>
      <c r="G2168">
        <v>22.5</v>
      </c>
      <c r="H2168" t="s">
        <v>27</v>
      </c>
      <c r="I2168">
        <v>2020</v>
      </c>
      <c r="J2168" t="s">
        <v>21</v>
      </c>
      <c r="K2168">
        <v>30.247699999999998</v>
      </c>
      <c r="L2168">
        <v>120.6661</v>
      </c>
      <c r="M2168" t="s">
        <v>102</v>
      </c>
      <c r="N2168" s="2">
        <f>Table1[[#This Row],[Capacity (MW)]]*8760*0.72*10^-6</f>
        <v>0.14191199999999998</v>
      </c>
      <c r="O2168" s="2" cm="1">
        <f t="array" ref="O2168">AVERAGE(VLOOKUP(_xlfn.TEXTSPLIT(Table1[[#This Row],[Fuel (no space after comma)]], ","), FuelList_Final_EF!$A$2:$B$32, 2, FALSE))</f>
        <v>105.42962572482868</v>
      </c>
      <c r="P2168" s="2">
        <f>(16112*Table1[[#This Row],[Generation (TWh)]]*10^9)/10^6</f>
        <v>2286486.1439999994</v>
      </c>
      <c r="Q2168" s="2">
        <f>Table1[[#This Row],[Emission Factor (kg CO2/ mmBtu)]]*Table1[[#This Row],[Fuel Consumption (mmBtu)]]*10^3</f>
        <v>241063378386.92667</v>
      </c>
      <c r="R2168" s="2">
        <f>(Table1[[#This Row],[CO2 Emissions (g CO2)]])/(Table1[[#This Row],[Generation (TWh)]]*10^9)</f>
        <v>1698.6821296784397</v>
      </c>
    </row>
    <row r="2169" spans="1:18" hidden="1">
      <c r="A2169" t="s">
        <v>1288</v>
      </c>
      <c r="B2169" t="s">
        <v>19</v>
      </c>
      <c r="C2169" t="str">
        <f>SUBSTITUTE(Table1[[#This Row],[Fuel]],", ",",")</f>
        <v>bioenergy: refuse (municipal and industrial wastes)</v>
      </c>
      <c r="D2169" t="s">
        <v>19</v>
      </c>
      <c r="G2169">
        <v>9</v>
      </c>
      <c r="H2169" t="s">
        <v>27</v>
      </c>
      <c r="I2169">
        <v>2020</v>
      </c>
      <c r="J2169" t="s">
        <v>21</v>
      </c>
      <c r="K2169">
        <v>30.247699999999998</v>
      </c>
      <c r="L2169">
        <v>120.6661</v>
      </c>
      <c r="M2169" t="s">
        <v>102</v>
      </c>
      <c r="N2169" s="2">
        <f>Table1[[#This Row],[Capacity (MW)]]*8760*0.72*10^-6</f>
        <v>5.676479999999999E-2</v>
      </c>
      <c r="O2169" s="2" cm="1">
        <f t="array" ref="O2169">AVERAGE(VLOOKUP(_xlfn.TEXTSPLIT(Table1[[#This Row],[Fuel (no space after comma)]], ","), FuelList_Final_EF!$A$2:$B$32, 2, FALSE))</f>
        <v>105.42962572482868</v>
      </c>
      <c r="P2169" s="2">
        <f>(16112*Table1[[#This Row],[Generation (TWh)]]*10^9)/10^6</f>
        <v>914594.45759999985</v>
      </c>
      <c r="Q2169" s="2">
        <f>Table1[[#This Row],[Emission Factor (kg CO2/ mmBtu)]]*Table1[[#This Row],[Fuel Consumption (mmBtu)]]*10^3</f>
        <v>96425351354.770676</v>
      </c>
      <c r="R2169" s="2">
        <f>(Table1[[#This Row],[CO2 Emissions (g CO2)]])/(Table1[[#This Row],[Generation (TWh)]]*10^9)</f>
        <v>1698.6821296784397</v>
      </c>
    </row>
    <row r="2170" spans="1:18" hidden="1">
      <c r="A2170" t="s">
        <v>1289</v>
      </c>
      <c r="B2170" t="s">
        <v>210</v>
      </c>
      <c r="C2170" t="str">
        <f>SUBSTITUTE(Table1[[#This Row],[Fuel]],", ",",")</f>
        <v>bioenergy: wood &amp; other biomass (solids),bioenergy: agricultural waste (solids)</v>
      </c>
      <c r="D2170" t="s">
        <v>25</v>
      </c>
      <c r="E2170" t="s">
        <v>46</v>
      </c>
      <c r="G2170">
        <v>30</v>
      </c>
      <c r="H2170" t="s">
        <v>27</v>
      </c>
      <c r="I2170">
        <v>2014</v>
      </c>
      <c r="J2170" t="s">
        <v>21</v>
      </c>
      <c r="K2170">
        <v>27.880199999999999</v>
      </c>
      <c r="L2170">
        <v>118.9726</v>
      </c>
      <c r="M2170" t="s">
        <v>102</v>
      </c>
      <c r="N2170" s="2">
        <f>Table1[[#This Row],[Capacity (MW)]]*8760*0.72*10^-6</f>
        <v>0.189216</v>
      </c>
      <c r="O2170" s="2" cm="1">
        <f t="array" ref="O2170">AVERAGE(VLOOKUP(_xlfn.TEXTSPLIT(Table1[[#This Row],[Fuel (no space after comma)]], ","), FuelList_Final_EF!$A$2:$B$32, 2, FALSE))</f>
        <v>105.985</v>
      </c>
      <c r="P2170" s="2">
        <f>(16112*Table1[[#This Row],[Generation (TWh)]]*10^9)/10^6</f>
        <v>3048648.1919999998</v>
      </c>
      <c r="Q2170" s="2">
        <f>Table1[[#This Row],[Emission Factor (kg CO2/ mmBtu)]]*Table1[[#This Row],[Fuel Consumption (mmBtu)]]*10^3</f>
        <v>323110978629.12</v>
      </c>
      <c r="R2170" s="2">
        <f>(Table1[[#This Row],[CO2 Emissions (g CO2)]])/(Table1[[#This Row],[Generation (TWh)]]*10^9)</f>
        <v>1707.63032</v>
      </c>
    </row>
    <row r="2171" spans="1:18" hidden="1">
      <c r="A2171" t="s">
        <v>1290</v>
      </c>
      <c r="B2171" t="s">
        <v>19</v>
      </c>
      <c r="C2171" t="str">
        <f>SUBSTITUTE(Table1[[#This Row],[Fuel]],", ",",")</f>
        <v>bioenergy: refuse (municipal and industrial wastes)</v>
      </c>
      <c r="D2171" t="s">
        <v>19</v>
      </c>
      <c r="G2171">
        <v>30</v>
      </c>
      <c r="H2171" t="s">
        <v>27</v>
      </c>
      <c r="I2171">
        <v>2021</v>
      </c>
      <c r="J2171" t="s">
        <v>21</v>
      </c>
      <c r="K2171">
        <v>29.695499000000002</v>
      </c>
      <c r="L2171">
        <v>121.56168</v>
      </c>
      <c r="M2171" t="s">
        <v>102</v>
      </c>
      <c r="N2171" s="2">
        <f>Table1[[#This Row],[Capacity (MW)]]*8760*0.72*10^-6</f>
        <v>0.189216</v>
      </c>
      <c r="O2171" s="2" cm="1">
        <f t="array" ref="O2171">AVERAGE(VLOOKUP(_xlfn.TEXTSPLIT(Table1[[#This Row],[Fuel (no space after comma)]], ","), FuelList_Final_EF!$A$2:$B$32, 2, FALSE))</f>
        <v>105.42962572482868</v>
      </c>
      <c r="P2171" s="2">
        <f>(16112*Table1[[#This Row],[Generation (TWh)]]*10^9)/10^6</f>
        <v>3048648.1919999998</v>
      </c>
      <c r="Q2171" s="2">
        <f>Table1[[#This Row],[Emission Factor (kg CO2/ mmBtu)]]*Table1[[#This Row],[Fuel Consumption (mmBtu)]]*10^3</f>
        <v>321417837849.23566</v>
      </c>
      <c r="R2171" s="2">
        <f>(Table1[[#This Row],[CO2 Emissions (g CO2)]])/(Table1[[#This Row],[Generation (TWh)]]*10^9)</f>
        <v>1698.6821296784397</v>
      </c>
    </row>
    <row r="2172" spans="1:18" hidden="1">
      <c r="A2172" t="s">
        <v>1291</v>
      </c>
      <c r="B2172" t="s">
        <v>19</v>
      </c>
      <c r="C2172" t="str">
        <f>SUBSTITUTE(Table1[[#This Row],[Fuel]],", ",",")</f>
        <v>bioenergy: refuse (municipal and industrial wastes)</v>
      </c>
      <c r="D2172" t="s">
        <v>19</v>
      </c>
      <c r="G2172">
        <v>19.5</v>
      </c>
      <c r="H2172" t="s">
        <v>27</v>
      </c>
      <c r="I2172">
        <v>2024</v>
      </c>
      <c r="J2172" t="s">
        <v>21</v>
      </c>
      <c r="K2172">
        <v>29.752756999999999</v>
      </c>
      <c r="L2172">
        <v>121.38707599999999</v>
      </c>
      <c r="M2172" t="s">
        <v>102</v>
      </c>
      <c r="N2172" s="2">
        <f>Table1[[#This Row],[Capacity (MW)]]*8760*0.72*10^-6</f>
        <v>0.12299039999999999</v>
      </c>
      <c r="O2172" s="2" cm="1">
        <f t="array" ref="O2172">AVERAGE(VLOOKUP(_xlfn.TEXTSPLIT(Table1[[#This Row],[Fuel (no space after comma)]], ","), FuelList_Final_EF!$A$2:$B$32, 2, FALSE))</f>
        <v>105.42962572482868</v>
      </c>
      <c r="P2172" s="2">
        <f>(16112*Table1[[#This Row],[Generation (TWh)]]*10^9)/10^6</f>
        <v>1981621.3247999998</v>
      </c>
      <c r="Q2172" s="2">
        <f>Table1[[#This Row],[Emission Factor (kg CO2/ mmBtu)]]*Table1[[#This Row],[Fuel Consumption (mmBtu)]]*10^3</f>
        <v>208921594602.00314</v>
      </c>
      <c r="R2172" s="2">
        <f>(Table1[[#This Row],[CO2 Emissions (g CO2)]])/(Table1[[#This Row],[Generation (TWh)]]*10^9)</f>
        <v>1698.6821296784397</v>
      </c>
    </row>
    <row r="2173" spans="1:18" hidden="1">
      <c r="A2173" t="s">
        <v>1292</v>
      </c>
      <c r="B2173" t="s">
        <v>19</v>
      </c>
      <c r="C2173" t="str">
        <f>SUBSTITUTE(Table1[[#This Row],[Fuel]],", ",",")</f>
        <v>bioenergy: refuse (municipal and industrial wastes)</v>
      </c>
      <c r="D2173" t="s">
        <v>19</v>
      </c>
      <c r="G2173">
        <v>25.5</v>
      </c>
      <c r="H2173" t="s">
        <v>27</v>
      </c>
      <c r="I2173">
        <v>2024</v>
      </c>
      <c r="J2173" t="s">
        <v>21</v>
      </c>
      <c r="K2173">
        <v>29.752756999999999</v>
      </c>
      <c r="L2173">
        <v>121.38707599999999</v>
      </c>
      <c r="M2173" t="s">
        <v>102</v>
      </c>
      <c r="N2173" s="2">
        <f>Table1[[#This Row],[Capacity (MW)]]*8760*0.72*10^-6</f>
        <v>0.16083359999999999</v>
      </c>
      <c r="O2173" s="2" cm="1">
        <f t="array" ref="O2173">AVERAGE(VLOOKUP(_xlfn.TEXTSPLIT(Table1[[#This Row],[Fuel (no space after comma)]], ","), FuelList_Final_EF!$A$2:$B$32, 2, FALSE))</f>
        <v>105.42962572482868</v>
      </c>
      <c r="P2173" s="2">
        <f>(16112*Table1[[#This Row],[Generation (TWh)]]*10^9)/10^6</f>
        <v>2591350.9632000001</v>
      </c>
      <c r="Q2173" s="2">
        <f>Table1[[#This Row],[Emission Factor (kg CO2/ mmBtu)]]*Table1[[#This Row],[Fuel Consumption (mmBtu)]]*10^3</f>
        <v>273205162171.85031</v>
      </c>
      <c r="R2173" s="2">
        <f>(Table1[[#This Row],[CO2 Emissions (g CO2)]])/(Table1[[#This Row],[Generation (TWh)]]*10^9)</f>
        <v>1698.6821296784399</v>
      </c>
    </row>
    <row r="2174" spans="1:18" hidden="1">
      <c r="A2174" t="s">
        <v>1293</v>
      </c>
      <c r="B2174" t="s">
        <v>19</v>
      </c>
      <c r="C2174" t="str">
        <f>SUBSTITUTE(Table1[[#This Row],[Fuel]],", ",",")</f>
        <v>bioenergy: refuse (municipal and industrial wastes)</v>
      </c>
      <c r="D2174" t="s">
        <v>19</v>
      </c>
      <c r="G2174">
        <v>5</v>
      </c>
      <c r="H2174" t="s">
        <v>27</v>
      </c>
      <c r="I2174">
        <v>2024</v>
      </c>
      <c r="J2174" t="s">
        <v>21</v>
      </c>
      <c r="K2174">
        <v>29.752756999999999</v>
      </c>
      <c r="L2174">
        <v>121.38707599999999</v>
      </c>
      <c r="M2174" t="s">
        <v>102</v>
      </c>
      <c r="N2174" s="2">
        <f>Table1[[#This Row],[Capacity (MW)]]*8760*0.72*10^-6</f>
        <v>3.1536000000000002E-2</v>
      </c>
      <c r="O2174" s="2" cm="1">
        <f t="array" ref="O2174">AVERAGE(VLOOKUP(_xlfn.TEXTSPLIT(Table1[[#This Row],[Fuel (no space after comma)]], ","), FuelList_Final_EF!$A$2:$B$32, 2, FALSE))</f>
        <v>105.42962572482868</v>
      </c>
      <c r="P2174" s="2">
        <f>(16112*Table1[[#This Row],[Generation (TWh)]]*10^9)/10^6</f>
        <v>508108.03200000006</v>
      </c>
      <c r="Q2174" s="2">
        <f>Table1[[#This Row],[Emission Factor (kg CO2/ mmBtu)]]*Table1[[#This Row],[Fuel Consumption (mmBtu)]]*10^3</f>
        <v>53569639641.539284</v>
      </c>
      <c r="R2174" s="2">
        <f>(Table1[[#This Row],[CO2 Emissions (g CO2)]])/(Table1[[#This Row],[Generation (TWh)]]*10^9)</f>
        <v>1698.6821296784401</v>
      </c>
    </row>
    <row r="2175" spans="1:18" hidden="1">
      <c r="A2175" t="s">
        <v>54</v>
      </c>
      <c r="B2175" t="s">
        <v>19</v>
      </c>
      <c r="C2175" t="str">
        <f>SUBSTITUTE(Table1[[#This Row],[Fuel]],", ",",")</f>
        <v>bioenergy: refuse (municipal and industrial wastes)</v>
      </c>
      <c r="D2175" t="s">
        <v>19</v>
      </c>
      <c r="G2175">
        <v>40</v>
      </c>
      <c r="H2175" t="s">
        <v>27</v>
      </c>
      <c r="I2175">
        <v>2019</v>
      </c>
      <c r="J2175" t="s">
        <v>21</v>
      </c>
      <c r="K2175">
        <v>28.888100000000001</v>
      </c>
      <c r="L2175">
        <v>118.861</v>
      </c>
      <c r="M2175" t="s">
        <v>102</v>
      </c>
      <c r="N2175" s="2">
        <f>Table1[[#This Row],[Capacity (MW)]]*8760*0.72*10^-6</f>
        <v>0.25228800000000001</v>
      </c>
      <c r="O2175" s="2" cm="1">
        <f t="array" ref="O2175">AVERAGE(VLOOKUP(_xlfn.TEXTSPLIT(Table1[[#This Row],[Fuel (no space after comma)]], ","), FuelList_Final_EF!$A$2:$B$32, 2, FALSE))</f>
        <v>105.42962572482868</v>
      </c>
      <c r="P2175" s="2">
        <f>(16112*Table1[[#This Row],[Generation (TWh)]]*10^9)/10^6</f>
        <v>4064864.2560000005</v>
      </c>
      <c r="Q2175" s="2">
        <f>Table1[[#This Row],[Emission Factor (kg CO2/ mmBtu)]]*Table1[[#This Row],[Fuel Consumption (mmBtu)]]*10^3</f>
        <v>428557117132.31427</v>
      </c>
      <c r="R2175" s="2">
        <f>(Table1[[#This Row],[CO2 Emissions (g CO2)]])/(Table1[[#This Row],[Generation (TWh)]]*10^9)</f>
        <v>1698.6821296784401</v>
      </c>
    </row>
    <row r="2176" spans="1:18" hidden="1">
      <c r="A2176" t="s">
        <v>1294</v>
      </c>
      <c r="B2176" t="s">
        <v>19</v>
      </c>
      <c r="C2176" t="str">
        <f>SUBSTITUTE(Table1[[#This Row],[Fuel]],", ",",")</f>
        <v>bioenergy: refuse (municipal and industrial wastes)</v>
      </c>
      <c r="D2176" t="s">
        <v>19</v>
      </c>
      <c r="G2176">
        <v>27</v>
      </c>
      <c r="H2176" t="s">
        <v>27</v>
      </c>
      <c r="I2176">
        <v>2021</v>
      </c>
      <c r="J2176" t="s">
        <v>21</v>
      </c>
      <c r="K2176">
        <v>30.2591</v>
      </c>
      <c r="L2176">
        <v>120.7017</v>
      </c>
      <c r="M2176" t="s">
        <v>102</v>
      </c>
      <c r="N2176" s="2">
        <f>Table1[[#This Row],[Capacity (MW)]]*8760*0.72*10^-6</f>
        <v>0.17029439999999998</v>
      </c>
      <c r="O2176" s="2" cm="1">
        <f t="array" ref="O2176">AVERAGE(VLOOKUP(_xlfn.TEXTSPLIT(Table1[[#This Row],[Fuel (no space after comma)]], ","), FuelList_Final_EF!$A$2:$B$32, 2, FALSE))</f>
        <v>105.42962572482868</v>
      </c>
      <c r="P2176" s="2">
        <f>(16112*Table1[[#This Row],[Generation (TWh)]]*10^9)/10^6</f>
        <v>2743783.3727999995</v>
      </c>
      <c r="Q2176" s="2">
        <f>Table1[[#This Row],[Emission Factor (kg CO2/ mmBtu)]]*Table1[[#This Row],[Fuel Consumption (mmBtu)]]*10^3</f>
        <v>289276054064.31201</v>
      </c>
      <c r="R2176" s="2">
        <f>(Table1[[#This Row],[CO2 Emissions (g CO2)]])/(Table1[[#This Row],[Generation (TWh)]]*10^9)</f>
        <v>1698.6821296784397</v>
      </c>
    </row>
    <row r="2177" spans="1:18" hidden="1">
      <c r="A2177" t="s">
        <v>1295</v>
      </c>
      <c r="B2177" t="s">
        <v>19</v>
      </c>
      <c r="C2177" t="str">
        <f>SUBSTITUTE(Table1[[#This Row],[Fuel]],", ",",")</f>
        <v>bioenergy: refuse (municipal and industrial wastes)</v>
      </c>
      <c r="D2177" t="s">
        <v>19</v>
      </c>
      <c r="G2177">
        <v>18</v>
      </c>
      <c r="H2177" t="s">
        <v>27</v>
      </c>
      <c r="I2177">
        <v>2021</v>
      </c>
      <c r="J2177" t="s">
        <v>21</v>
      </c>
      <c r="K2177">
        <v>30.2591</v>
      </c>
      <c r="L2177">
        <v>120.7017</v>
      </c>
      <c r="M2177" t="s">
        <v>102</v>
      </c>
      <c r="N2177" s="2">
        <f>Table1[[#This Row],[Capacity (MW)]]*8760*0.72*10^-6</f>
        <v>0.11352959999999998</v>
      </c>
      <c r="O2177" s="2" cm="1">
        <f t="array" ref="O2177">AVERAGE(VLOOKUP(_xlfn.TEXTSPLIT(Table1[[#This Row],[Fuel (no space after comma)]], ","), FuelList_Final_EF!$A$2:$B$32, 2, FALSE))</f>
        <v>105.42962572482868</v>
      </c>
      <c r="P2177" s="2">
        <f>(16112*Table1[[#This Row],[Generation (TWh)]]*10^9)/10^6</f>
        <v>1829188.9151999997</v>
      </c>
      <c r="Q2177" s="2">
        <f>Table1[[#This Row],[Emission Factor (kg CO2/ mmBtu)]]*Table1[[#This Row],[Fuel Consumption (mmBtu)]]*10^3</f>
        <v>192850702709.54135</v>
      </c>
      <c r="R2177" s="2">
        <f>(Table1[[#This Row],[CO2 Emissions (g CO2)]])/(Table1[[#This Row],[Generation (TWh)]]*10^9)</f>
        <v>1698.6821296784397</v>
      </c>
    </row>
    <row r="2178" spans="1:18" hidden="1">
      <c r="A2178" t="s">
        <v>21</v>
      </c>
      <c r="B2178" t="s">
        <v>19</v>
      </c>
      <c r="C2178" t="str">
        <f>SUBSTITUTE(Table1[[#This Row],[Fuel]],", ",",")</f>
        <v>bioenergy: refuse (municipal and industrial wastes)</v>
      </c>
      <c r="D2178" t="s">
        <v>19</v>
      </c>
      <c r="G2178">
        <v>35</v>
      </c>
      <c r="H2178" t="s">
        <v>27</v>
      </c>
      <c r="I2178">
        <v>2021</v>
      </c>
      <c r="J2178" t="s">
        <v>21</v>
      </c>
      <c r="K2178">
        <v>28.685887999999998</v>
      </c>
      <c r="L2178">
        <v>121.259441</v>
      </c>
      <c r="M2178" t="s">
        <v>102</v>
      </c>
      <c r="N2178" s="2">
        <f>Table1[[#This Row],[Capacity (MW)]]*8760*0.72*10^-6</f>
        <v>0.220752</v>
      </c>
      <c r="O2178" s="2" cm="1">
        <f t="array" ref="O2178">AVERAGE(VLOOKUP(_xlfn.TEXTSPLIT(Table1[[#This Row],[Fuel (no space after comma)]], ","), FuelList_Final_EF!$A$2:$B$32, 2, FALSE))</f>
        <v>105.42962572482868</v>
      </c>
      <c r="P2178" s="2">
        <f>(16112*Table1[[#This Row],[Generation (TWh)]]*10^9)/10^6</f>
        <v>3556756.2239999999</v>
      </c>
      <c r="Q2178" s="2">
        <f>Table1[[#This Row],[Emission Factor (kg CO2/ mmBtu)]]*Table1[[#This Row],[Fuel Consumption (mmBtu)]]*10^3</f>
        <v>374987477490.7749</v>
      </c>
      <c r="R2178" s="2">
        <f>(Table1[[#This Row],[CO2 Emissions (g CO2)]])/(Table1[[#This Row],[Generation (TWh)]]*10^9)</f>
        <v>1698.6821296784397</v>
      </c>
    </row>
    <row r="2179" spans="1:18" hidden="1">
      <c r="A2179" t="s">
        <v>1296</v>
      </c>
      <c r="B2179" t="s">
        <v>19</v>
      </c>
      <c r="C2179" t="str">
        <f>SUBSTITUTE(Table1[[#This Row],[Fuel]],", ",",")</f>
        <v>bioenergy: refuse (municipal and industrial wastes)</v>
      </c>
      <c r="D2179" t="s">
        <v>19</v>
      </c>
      <c r="G2179">
        <v>40</v>
      </c>
      <c r="H2179" t="s">
        <v>53</v>
      </c>
      <c r="I2179">
        <v>2024</v>
      </c>
      <c r="J2179" t="s">
        <v>21</v>
      </c>
      <c r="K2179">
        <v>28.388300000000001</v>
      </c>
      <c r="L2179">
        <v>121.16240000000001</v>
      </c>
      <c r="M2179" t="s">
        <v>102</v>
      </c>
      <c r="N2179" s="2">
        <f>Table1[[#This Row],[Capacity (MW)]]*8760*0.72*10^-6</f>
        <v>0.25228800000000001</v>
      </c>
      <c r="O2179" s="2" cm="1">
        <f t="array" ref="O2179">AVERAGE(VLOOKUP(_xlfn.TEXTSPLIT(Table1[[#This Row],[Fuel (no space after comma)]], ","), FuelList_Final_EF!$A$2:$B$32, 2, FALSE))</f>
        <v>105.42962572482868</v>
      </c>
      <c r="P2179" s="2">
        <f>(16112*Table1[[#This Row],[Generation (TWh)]]*10^9)/10^6</f>
        <v>4064864.2560000005</v>
      </c>
      <c r="Q2179" s="2">
        <f>Table1[[#This Row],[Emission Factor (kg CO2/ mmBtu)]]*Table1[[#This Row],[Fuel Consumption (mmBtu)]]*10^3</f>
        <v>428557117132.31427</v>
      </c>
      <c r="R2179" s="2">
        <f>(Table1[[#This Row],[CO2 Emissions (g CO2)]])/(Table1[[#This Row],[Generation (TWh)]]*10^9)</f>
        <v>1698.6821296784401</v>
      </c>
    </row>
    <row r="2180" spans="1:18" hidden="1">
      <c r="A2180" t="s">
        <v>1127</v>
      </c>
      <c r="B2180" t="s">
        <v>19</v>
      </c>
      <c r="C2180" t="str">
        <f>SUBSTITUTE(Table1[[#This Row],[Fuel]],", ",",")</f>
        <v>bioenergy: refuse (municipal and industrial wastes)</v>
      </c>
      <c r="D2180" t="s">
        <v>19</v>
      </c>
      <c r="G2180">
        <v>7</v>
      </c>
      <c r="H2180" t="s">
        <v>27</v>
      </c>
      <c r="I2180">
        <v>2017</v>
      </c>
      <c r="J2180" t="s">
        <v>21</v>
      </c>
      <c r="K2180">
        <v>30.422000000000001</v>
      </c>
      <c r="L2180">
        <v>120.28959999999999</v>
      </c>
      <c r="M2180" t="s">
        <v>102</v>
      </c>
      <c r="N2180" s="2">
        <f>Table1[[#This Row],[Capacity (MW)]]*8760*0.72*10^-6</f>
        <v>4.4150399999999999E-2</v>
      </c>
      <c r="O2180" s="2" cm="1">
        <f t="array" ref="O2180">AVERAGE(VLOOKUP(_xlfn.TEXTSPLIT(Table1[[#This Row],[Fuel (no space after comma)]], ","), FuelList_Final_EF!$A$2:$B$32, 2, FALSE))</f>
        <v>105.42962572482868</v>
      </c>
      <c r="P2180" s="2">
        <f>(16112*Table1[[#This Row],[Generation (TWh)]]*10^9)/10^6</f>
        <v>711351.24479999999</v>
      </c>
      <c r="Q2180" s="2">
        <f>Table1[[#This Row],[Emission Factor (kg CO2/ mmBtu)]]*Table1[[#This Row],[Fuel Consumption (mmBtu)]]*10^3</f>
        <v>74997495498.154984</v>
      </c>
      <c r="R2180" s="2">
        <f>(Table1[[#This Row],[CO2 Emissions (g CO2)]])/(Table1[[#This Row],[Generation (TWh)]]*10^9)</f>
        <v>1698.6821296784397</v>
      </c>
    </row>
    <row r="2181" spans="1:18" hidden="1">
      <c r="A2181" t="s">
        <v>1297</v>
      </c>
      <c r="B2181" t="s">
        <v>19</v>
      </c>
      <c r="C2181" t="str">
        <f>SUBSTITUTE(Table1[[#This Row],[Fuel]],", ",",")</f>
        <v>bioenergy: refuse (municipal and industrial wastes)</v>
      </c>
      <c r="D2181" t="s">
        <v>19</v>
      </c>
      <c r="G2181">
        <v>3.5</v>
      </c>
      <c r="H2181" t="s">
        <v>27</v>
      </c>
      <c r="I2181">
        <v>2017</v>
      </c>
      <c r="J2181" t="s">
        <v>21</v>
      </c>
      <c r="K2181">
        <v>30.422000000000001</v>
      </c>
      <c r="L2181">
        <v>120.28959999999999</v>
      </c>
      <c r="M2181" t="s">
        <v>102</v>
      </c>
      <c r="N2181" s="2">
        <f>Table1[[#This Row],[Capacity (MW)]]*8760*0.72*10^-6</f>
        <v>2.20752E-2</v>
      </c>
      <c r="O2181" s="2" cm="1">
        <f t="array" ref="O2181">AVERAGE(VLOOKUP(_xlfn.TEXTSPLIT(Table1[[#This Row],[Fuel (no space after comma)]], ","), FuelList_Final_EF!$A$2:$B$32, 2, FALSE))</f>
        <v>105.42962572482868</v>
      </c>
      <c r="P2181" s="2">
        <f>(16112*Table1[[#This Row],[Generation (TWh)]]*10^9)/10^6</f>
        <v>355675.62239999999</v>
      </c>
      <c r="Q2181" s="2">
        <f>Table1[[#This Row],[Emission Factor (kg CO2/ mmBtu)]]*Table1[[#This Row],[Fuel Consumption (mmBtu)]]*10^3</f>
        <v>37498747749.077492</v>
      </c>
      <c r="R2181" s="2">
        <f>(Table1[[#This Row],[CO2 Emissions (g CO2)]])/(Table1[[#This Row],[Generation (TWh)]]*10^9)</f>
        <v>1698.6821296784397</v>
      </c>
    </row>
    <row r="2182" spans="1:18" hidden="1">
      <c r="A2182" t="s">
        <v>514</v>
      </c>
      <c r="B2182" t="s">
        <v>19</v>
      </c>
      <c r="C2182" t="str">
        <f>SUBSTITUTE(Table1[[#This Row],[Fuel]],", ",",")</f>
        <v>bioenergy: refuse (municipal and industrial wastes)</v>
      </c>
      <c r="D2182" t="s">
        <v>19</v>
      </c>
      <c r="G2182">
        <v>24.5</v>
      </c>
      <c r="H2182" t="s">
        <v>27</v>
      </c>
      <c r="I2182">
        <v>2017</v>
      </c>
      <c r="J2182" t="s">
        <v>21</v>
      </c>
      <c r="K2182">
        <v>30.422000000000001</v>
      </c>
      <c r="L2182">
        <v>120.28959999999999</v>
      </c>
      <c r="M2182" t="s">
        <v>102</v>
      </c>
      <c r="N2182" s="2">
        <f>Table1[[#This Row],[Capacity (MW)]]*8760*0.72*10^-6</f>
        <v>0.15452639999999998</v>
      </c>
      <c r="O2182" s="2" cm="1">
        <f t="array" ref="O2182">AVERAGE(VLOOKUP(_xlfn.TEXTSPLIT(Table1[[#This Row],[Fuel (no space after comma)]], ","), FuelList_Final_EF!$A$2:$B$32, 2, FALSE))</f>
        <v>105.42962572482868</v>
      </c>
      <c r="P2182" s="2">
        <f>(16112*Table1[[#This Row],[Generation (TWh)]]*10^9)/10^6</f>
        <v>2489729.3567999997</v>
      </c>
      <c r="Q2182" s="2">
        <f>Table1[[#This Row],[Emission Factor (kg CO2/ mmBtu)]]*Table1[[#This Row],[Fuel Consumption (mmBtu)]]*10^3</f>
        <v>262491234243.54242</v>
      </c>
      <c r="R2182" s="2">
        <f>(Table1[[#This Row],[CO2 Emissions (g CO2)]])/(Table1[[#This Row],[Generation (TWh)]]*10^9)</f>
        <v>1698.6821296784399</v>
      </c>
    </row>
    <row r="2183" spans="1:18" hidden="1">
      <c r="A2183" t="s">
        <v>1127</v>
      </c>
      <c r="B2183" t="s">
        <v>19</v>
      </c>
      <c r="C2183" t="str">
        <f>SUBSTITUTE(Table1[[#This Row],[Fuel]],", ",",")</f>
        <v>bioenergy: refuse (municipal and industrial wastes)</v>
      </c>
      <c r="D2183" t="s">
        <v>19</v>
      </c>
      <c r="G2183">
        <v>7</v>
      </c>
      <c r="H2183" t="s">
        <v>27</v>
      </c>
      <c r="I2183">
        <v>2017</v>
      </c>
      <c r="J2183" t="s">
        <v>21</v>
      </c>
      <c r="K2183">
        <v>30.237200000000001</v>
      </c>
      <c r="L2183">
        <v>119.8661</v>
      </c>
      <c r="M2183" t="s">
        <v>102</v>
      </c>
      <c r="N2183" s="2">
        <f>Table1[[#This Row],[Capacity (MW)]]*8760*0.72*10^-6</f>
        <v>4.4150399999999999E-2</v>
      </c>
      <c r="O2183" s="2" cm="1">
        <f t="array" ref="O2183">AVERAGE(VLOOKUP(_xlfn.TEXTSPLIT(Table1[[#This Row],[Fuel (no space after comma)]], ","), FuelList_Final_EF!$A$2:$B$32, 2, FALSE))</f>
        <v>105.42962572482868</v>
      </c>
      <c r="P2183" s="2">
        <f>(16112*Table1[[#This Row],[Generation (TWh)]]*10^9)/10^6</f>
        <v>711351.24479999999</v>
      </c>
      <c r="Q2183" s="2">
        <f>Table1[[#This Row],[Emission Factor (kg CO2/ mmBtu)]]*Table1[[#This Row],[Fuel Consumption (mmBtu)]]*10^3</f>
        <v>74997495498.154984</v>
      </c>
      <c r="R2183" s="2">
        <f>(Table1[[#This Row],[CO2 Emissions (g CO2)]])/(Table1[[#This Row],[Generation (TWh)]]*10^9)</f>
        <v>1698.6821296784397</v>
      </c>
    </row>
    <row r="2184" spans="1:18" hidden="1">
      <c r="A2184" t="s">
        <v>1297</v>
      </c>
      <c r="B2184" t="s">
        <v>19</v>
      </c>
      <c r="C2184" t="str">
        <f>SUBSTITUTE(Table1[[#This Row],[Fuel]],", ",",")</f>
        <v>bioenergy: refuse (municipal and industrial wastes)</v>
      </c>
      <c r="D2184" t="s">
        <v>19</v>
      </c>
      <c r="G2184">
        <v>3.5</v>
      </c>
      <c r="H2184" t="s">
        <v>27</v>
      </c>
      <c r="I2184">
        <v>2017</v>
      </c>
      <c r="J2184" t="s">
        <v>21</v>
      </c>
      <c r="K2184">
        <v>30.237200000000001</v>
      </c>
      <c r="L2184">
        <v>119.8661</v>
      </c>
      <c r="M2184" t="s">
        <v>102</v>
      </c>
      <c r="N2184" s="2">
        <f>Table1[[#This Row],[Capacity (MW)]]*8760*0.72*10^-6</f>
        <v>2.20752E-2</v>
      </c>
      <c r="O2184" s="2" cm="1">
        <f t="array" ref="O2184">AVERAGE(VLOOKUP(_xlfn.TEXTSPLIT(Table1[[#This Row],[Fuel (no space after comma)]], ","), FuelList_Final_EF!$A$2:$B$32, 2, FALSE))</f>
        <v>105.42962572482868</v>
      </c>
      <c r="P2184" s="2">
        <f>(16112*Table1[[#This Row],[Generation (TWh)]]*10^9)/10^6</f>
        <v>355675.62239999999</v>
      </c>
      <c r="Q2184" s="2">
        <f>Table1[[#This Row],[Emission Factor (kg CO2/ mmBtu)]]*Table1[[#This Row],[Fuel Consumption (mmBtu)]]*10^3</f>
        <v>37498747749.077492</v>
      </c>
      <c r="R2184" s="2">
        <f>(Table1[[#This Row],[CO2 Emissions (g CO2)]])/(Table1[[#This Row],[Generation (TWh)]]*10^9)</f>
        <v>1698.6821296784397</v>
      </c>
    </row>
    <row r="2185" spans="1:18" hidden="1">
      <c r="A2185" t="s">
        <v>514</v>
      </c>
      <c r="B2185" t="s">
        <v>19</v>
      </c>
      <c r="C2185" t="str">
        <f>SUBSTITUTE(Table1[[#This Row],[Fuel]],", ",",")</f>
        <v>bioenergy: refuse (municipal and industrial wastes)</v>
      </c>
      <c r="D2185" t="s">
        <v>19</v>
      </c>
      <c r="G2185">
        <v>24.5</v>
      </c>
      <c r="H2185" t="s">
        <v>27</v>
      </c>
      <c r="I2185">
        <v>2017</v>
      </c>
      <c r="J2185" t="s">
        <v>21</v>
      </c>
      <c r="K2185">
        <v>30.237200000000001</v>
      </c>
      <c r="L2185">
        <v>119.8661</v>
      </c>
      <c r="M2185" t="s">
        <v>102</v>
      </c>
      <c r="N2185" s="2">
        <f>Table1[[#This Row],[Capacity (MW)]]*8760*0.72*10^-6</f>
        <v>0.15452639999999998</v>
      </c>
      <c r="O2185" s="2" cm="1">
        <f t="array" ref="O2185">AVERAGE(VLOOKUP(_xlfn.TEXTSPLIT(Table1[[#This Row],[Fuel (no space after comma)]], ","), FuelList_Final_EF!$A$2:$B$32, 2, FALSE))</f>
        <v>105.42962572482868</v>
      </c>
      <c r="P2185" s="2">
        <f>(16112*Table1[[#This Row],[Generation (TWh)]]*10^9)/10^6</f>
        <v>2489729.3567999997</v>
      </c>
      <c r="Q2185" s="2">
        <f>Table1[[#This Row],[Emission Factor (kg CO2/ mmBtu)]]*Table1[[#This Row],[Fuel Consumption (mmBtu)]]*10^3</f>
        <v>262491234243.54242</v>
      </c>
      <c r="R2185" s="2">
        <f>(Table1[[#This Row],[CO2 Emissions (g CO2)]])/(Table1[[#This Row],[Generation (TWh)]]*10^9)</f>
        <v>1698.6821296784399</v>
      </c>
    </row>
    <row r="2186" spans="1:18">
      <c r="A2186" t="s">
        <v>1298</v>
      </c>
      <c r="B2186" t="s">
        <v>46</v>
      </c>
      <c r="C2186" t="str">
        <f>SUBSTITUTE(Table1[[#This Row],[Fuel]],", ",",")</f>
        <v>bioenergy: agricultural waste (solids)</v>
      </c>
      <c r="D2186" t="s">
        <v>46</v>
      </c>
      <c r="G2186">
        <v>50</v>
      </c>
      <c r="H2186" t="s">
        <v>20</v>
      </c>
      <c r="I2186" t="s">
        <v>21</v>
      </c>
      <c r="J2186" t="s">
        <v>21</v>
      </c>
      <c r="K2186">
        <v>36.783332999999999</v>
      </c>
      <c r="L2186">
        <v>118.05</v>
      </c>
      <c r="M2186" t="s">
        <v>102</v>
      </c>
      <c r="N2186" s="2">
        <f>Table1[[#This Row],[Capacity (MW)]]*8760*0.72*10^-6</f>
        <v>0.31535999999999997</v>
      </c>
      <c r="O2186" s="2" cm="1">
        <f t="array" ref="O2186">AVERAGE(VLOOKUP(_xlfn.TEXTSPLIT(Table1[[#This Row],[Fuel (no space after comma)]], ","), FuelList_Final_EF!$A$2:$B$32, 2, FALSE))</f>
        <v>118.17</v>
      </c>
      <c r="P2186" s="2">
        <f>(16112*Table1[[#This Row],[Generation (TWh)]]*10^9)/10^6</f>
        <v>5081080.32</v>
      </c>
      <c r="Q2186" s="2">
        <f>Table1[[#This Row],[Emission Factor (kg CO2/ mmBtu)]]*Table1[[#This Row],[Fuel Consumption (mmBtu)]]*10^3</f>
        <v>600431261414.40015</v>
      </c>
      <c r="R2186" s="2">
        <f>(Table1[[#This Row],[CO2 Emissions (g CO2)]])/(Table1[[#This Row],[Generation (TWh)]]*10^9)</f>
        <v>1903.9550400000005</v>
      </c>
    </row>
    <row r="2187" spans="1:18" hidden="1">
      <c r="A2187" t="s">
        <v>21</v>
      </c>
      <c r="B2187" t="s">
        <v>19</v>
      </c>
      <c r="C2187" t="str">
        <f>SUBSTITUTE(Table1[[#This Row],[Fuel]],", ",",")</f>
        <v>bioenergy: refuse (municipal and industrial wastes)</v>
      </c>
      <c r="D2187" t="s">
        <v>19</v>
      </c>
      <c r="G2187">
        <v>54</v>
      </c>
      <c r="H2187" t="s">
        <v>27</v>
      </c>
      <c r="I2187">
        <v>1994</v>
      </c>
      <c r="J2187" t="s">
        <v>21</v>
      </c>
      <c r="K2187">
        <v>49.311100000000003</v>
      </c>
      <c r="L2187">
        <v>12.085800000000001</v>
      </c>
      <c r="M2187" t="s">
        <v>154</v>
      </c>
      <c r="N2187" s="2">
        <f>Table1[[#This Row],[Capacity (MW)]]*8760*0.72*10^-6</f>
        <v>0.34058879999999997</v>
      </c>
      <c r="O2187" s="2" cm="1">
        <f t="array" ref="O2187">AVERAGE(VLOOKUP(_xlfn.TEXTSPLIT(Table1[[#This Row],[Fuel (no space after comma)]], ","), FuelList_Final_EF!$A$2:$B$32, 2, FALSE))</f>
        <v>105.42962572482868</v>
      </c>
      <c r="P2187" s="2">
        <f>(16112*Table1[[#This Row],[Generation (TWh)]]*10^9)/10^6</f>
        <v>5487566.7455999991</v>
      </c>
      <c r="Q2187" s="2">
        <f>Table1[[#This Row],[Emission Factor (kg CO2/ mmBtu)]]*Table1[[#This Row],[Fuel Consumption (mmBtu)]]*10^3</f>
        <v>578552108128.62402</v>
      </c>
      <c r="R2187" s="2">
        <f>(Table1[[#This Row],[CO2 Emissions (g CO2)]])/(Table1[[#This Row],[Generation (TWh)]]*10^9)</f>
        <v>1698.6821296784397</v>
      </c>
    </row>
    <row r="2188" spans="1:18" hidden="1">
      <c r="A2188" t="s">
        <v>1299</v>
      </c>
      <c r="B2188" t="s">
        <v>25</v>
      </c>
      <c r="C2188" t="str">
        <f>SUBSTITUTE(Table1[[#This Row],[Fuel]],", ",",")</f>
        <v>bioenergy: wood &amp; other biomass (solids)</v>
      </c>
      <c r="D2188" t="s">
        <v>25</v>
      </c>
      <c r="G2188">
        <v>8.1</v>
      </c>
      <c r="H2188" t="s">
        <v>27</v>
      </c>
      <c r="I2188">
        <v>2015</v>
      </c>
      <c r="J2188" t="s">
        <v>21</v>
      </c>
      <c r="K2188">
        <v>37.452100000000002</v>
      </c>
      <c r="L2188">
        <v>126.66759999999999</v>
      </c>
      <c r="M2188" t="s">
        <v>333</v>
      </c>
      <c r="N2188" s="2">
        <f>Table1[[#This Row],[Capacity (MW)]]*8760*0.72*10^-6</f>
        <v>5.108832E-2</v>
      </c>
      <c r="O2188" s="2" cm="1">
        <f t="array" ref="O2188">AVERAGE(VLOOKUP(_xlfn.TEXTSPLIT(Table1[[#This Row],[Fuel (no space after comma)]], ","), FuelList_Final_EF!$A$2:$B$32, 2, FALSE))</f>
        <v>93.8</v>
      </c>
      <c r="P2188" s="2">
        <f>(16112*Table1[[#This Row],[Generation (TWh)]]*10^9)/10^6</f>
        <v>823135.01184000005</v>
      </c>
      <c r="Q2188" s="2">
        <f>Table1[[#This Row],[Emission Factor (kg CO2/ mmBtu)]]*Table1[[#This Row],[Fuel Consumption (mmBtu)]]*10^3</f>
        <v>77210064110.59201</v>
      </c>
      <c r="R2188" s="2">
        <f>(Table1[[#This Row],[CO2 Emissions (g CO2)]])/(Table1[[#This Row],[Generation (TWh)]]*10^9)</f>
        <v>1511.3056000000001</v>
      </c>
    </row>
    <row r="2189" spans="1:18">
      <c r="A2189" t="s">
        <v>1300</v>
      </c>
      <c r="B2189" t="s">
        <v>351</v>
      </c>
      <c r="C2189" t="str">
        <f>SUBSTITUTE(Table1[[#This Row],[Fuel]],", ",",")</f>
        <v>bioenergy: refuse (landfill gas)</v>
      </c>
      <c r="D2189" t="s">
        <v>351</v>
      </c>
      <c r="G2189">
        <v>12</v>
      </c>
      <c r="H2189" t="s">
        <v>97</v>
      </c>
      <c r="I2189" t="s">
        <v>21</v>
      </c>
      <c r="J2189" t="s">
        <v>21</v>
      </c>
      <c r="K2189">
        <v>25.274419999999999</v>
      </c>
      <c r="L2189">
        <v>55.438519999999997</v>
      </c>
      <c r="M2189" t="s">
        <v>58</v>
      </c>
      <c r="N2189" s="2">
        <f>Table1[[#This Row],[Capacity (MW)]]*8760*0.72*10^-6</f>
        <v>7.5686399999999987E-2</v>
      </c>
      <c r="O2189" s="2" cm="1">
        <f t="array" ref="O2189">AVERAGE(VLOOKUP(_xlfn.TEXTSPLIT(Table1[[#This Row],[Fuel (no space after comma)]], ","), FuelList_Final_EF!$A$2:$B$32, 2, FALSE))</f>
        <v>52.07</v>
      </c>
      <c r="P2189" s="2">
        <f>(16112*Table1[[#This Row],[Generation (TWh)]]*10^9)/10^6</f>
        <v>1219459.2767999996</v>
      </c>
      <c r="Q2189" s="2">
        <f>Table1[[#This Row],[Emission Factor (kg CO2/ mmBtu)]]*Table1[[#This Row],[Fuel Consumption (mmBtu)]]*10^3</f>
        <v>63497244542.975983</v>
      </c>
      <c r="R2189" s="2">
        <f>(Table1[[#This Row],[CO2 Emissions (g CO2)]])/(Table1[[#This Row],[Generation (TWh)]]*10^9)</f>
        <v>838.95183999999995</v>
      </c>
    </row>
    <row r="2190" spans="1:18" hidden="1">
      <c r="A2190" t="s">
        <v>1301</v>
      </c>
      <c r="B2190" t="s">
        <v>46</v>
      </c>
      <c r="C2190" t="str">
        <f>SUBSTITUTE(Table1[[#This Row],[Fuel]],", ",",")</f>
        <v>bioenergy: agricultural waste (solids)</v>
      </c>
      <c r="D2190" t="s">
        <v>46</v>
      </c>
      <c r="G2190">
        <v>25</v>
      </c>
      <c r="H2190" t="s">
        <v>27</v>
      </c>
      <c r="I2190">
        <v>2010</v>
      </c>
      <c r="J2190" t="s">
        <v>21</v>
      </c>
      <c r="K2190">
        <v>8.7716200000000004</v>
      </c>
      <c r="L2190">
        <v>77.472179999999994</v>
      </c>
      <c r="M2190" t="s">
        <v>66</v>
      </c>
      <c r="N2190" s="2">
        <f>Table1[[#This Row],[Capacity (MW)]]*8760*0.72*10^-6</f>
        <v>0.15767999999999999</v>
      </c>
      <c r="O2190" s="2" cm="1">
        <f t="array" ref="O2190">AVERAGE(VLOOKUP(_xlfn.TEXTSPLIT(Table1[[#This Row],[Fuel (no space after comma)]], ","), FuelList_Final_EF!$A$2:$B$32, 2, FALSE))</f>
        <v>118.17</v>
      </c>
      <c r="P2190" s="2">
        <f>(16112*Table1[[#This Row],[Generation (TWh)]]*10^9)/10^6</f>
        <v>2540540.16</v>
      </c>
      <c r="Q2190" s="2">
        <f>Table1[[#This Row],[Emission Factor (kg CO2/ mmBtu)]]*Table1[[#This Row],[Fuel Consumption (mmBtu)]]*10^3</f>
        <v>300215630707.20007</v>
      </c>
      <c r="R2190" s="2">
        <f>(Table1[[#This Row],[CO2 Emissions (g CO2)]])/(Table1[[#This Row],[Generation (TWh)]]*10^9)</f>
        <v>1903.9550400000005</v>
      </c>
    </row>
    <row r="2191" spans="1:18" hidden="1">
      <c r="A2191" t="s">
        <v>1301</v>
      </c>
      <c r="B2191" t="s">
        <v>46</v>
      </c>
      <c r="C2191" t="str">
        <f>SUBSTITUTE(Table1[[#This Row],[Fuel]],", ",",")</f>
        <v>bioenergy: agricultural waste (solids)</v>
      </c>
      <c r="D2191" t="s">
        <v>46</v>
      </c>
      <c r="G2191">
        <v>25</v>
      </c>
      <c r="H2191" t="s">
        <v>27</v>
      </c>
      <c r="I2191">
        <v>2010</v>
      </c>
      <c r="J2191" t="s">
        <v>21</v>
      </c>
      <c r="K2191">
        <v>8.7716200000000004</v>
      </c>
      <c r="L2191">
        <v>77.472179999999994</v>
      </c>
      <c r="M2191" t="s">
        <v>66</v>
      </c>
      <c r="N2191" s="2">
        <f>Table1[[#This Row],[Capacity (MW)]]*8760*0.72*10^-6</f>
        <v>0.15767999999999999</v>
      </c>
      <c r="O2191" s="2" cm="1">
        <f t="array" ref="O2191">AVERAGE(VLOOKUP(_xlfn.TEXTSPLIT(Table1[[#This Row],[Fuel (no space after comma)]], ","), FuelList_Final_EF!$A$2:$B$32, 2, FALSE))</f>
        <v>118.17</v>
      </c>
      <c r="P2191" s="2">
        <f>(16112*Table1[[#This Row],[Generation (TWh)]]*10^9)/10^6</f>
        <v>2540540.16</v>
      </c>
      <c r="Q2191" s="2">
        <f>Table1[[#This Row],[Emission Factor (kg CO2/ mmBtu)]]*Table1[[#This Row],[Fuel Consumption (mmBtu)]]*10^3</f>
        <v>300215630707.20007</v>
      </c>
      <c r="R2191" s="2">
        <f>(Table1[[#This Row],[CO2 Emissions (g CO2)]])/(Table1[[#This Row],[Generation (TWh)]]*10^9)</f>
        <v>1903.9550400000005</v>
      </c>
    </row>
    <row r="2192" spans="1:18" hidden="1">
      <c r="A2192" t="s">
        <v>21</v>
      </c>
      <c r="B2192" t="s">
        <v>19</v>
      </c>
      <c r="C2192" t="str">
        <f>SUBSTITUTE(Table1[[#This Row],[Fuel]],", ",",")</f>
        <v>bioenergy: refuse (municipal and industrial wastes)</v>
      </c>
      <c r="D2192" t="s">
        <v>19</v>
      </c>
      <c r="G2192">
        <v>12</v>
      </c>
      <c r="H2192" t="s">
        <v>27</v>
      </c>
      <c r="I2192">
        <v>2011</v>
      </c>
      <c r="J2192" t="s">
        <v>21</v>
      </c>
      <c r="K2192">
        <v>30.525960000000001</v>
      </c>
      <c r="L2192">
        <v>116.88552300000001</v>
      </c>
      <c r="M2192" t="s">
        <v>102</v>
      </c>
      <c r="N2192" s="2">
        <f>Table1[[#This Row],[Capacity (MW)]]*8760*0.72*10^-6</f>
        <v>7.5686399999999987E-2</v>
      </c>
      <c r="O2192" s="2" cm="1">
        <f t="array" ref="O2192">AVERAGE(VLOOKUP(_xlfn.TEXTSPLIT(Table1[[#This Row],[Fuel (no space after comma)]], ","), FuelList_Final_EF!$A$2:$B$32, 2, FALSE))</f>
        <v>105.42962572482868</v>
      </c>
      <c r="P2192" s="2">
        <f>(16112*Table1[[#This Row],[Generation (TWh)]]*10^9)/10^6</f>
        <v>1219459.2767999996</v>
      </c>
      <c r="Q2192" s="2">
        <f>Table1[[#This Row],[Emission Factor (kg CO2/ mmBtu)]]*Table1[[#This Row],[Fuel Consumption (mmBtu)]]*10^3</f>
        <v>128567135139.69423</v>
      </c>
      <c r="R2192" s="2">
        <f>(Table1[[#This Row],[CO2 Emissions (g CO2)]])/(Table1[[#This Row],[Generation (TWh)]]*10^9)</f>
        <v>1698.6821296784397</v>
      </c>
    </row>
    <row r="2193" spans="1:18" hidden="1">
      <c r="A2193" t="s">
        <v>21</v>
      </c>
      <c r="B2193" t="s">
        <v>19</v>
      </c>
      <c r="C2193" t="str">
        <f>SUBSTITUTE(Table1[[#This Row],[Fuel]],", ",",")</f>
        <v>bioenergy: refuse (municipal and industrial wastes)</v>
      </c>
      <c r="D2193" t="s">
        <v>19</v>
      </c>
      <c r="G2193">
        <v>12</v>
      </c>
      <c r="H2193" t="s">
        <v>27</v>
      </c>
      <c r="I2193">
        <v>2011</v>
      </c>
      <c r="J2193" t="s">
        <v>21</v>
      </c>
      <c r="K2193">
        <v>30.525960000000001</v>
      </c>
      <c r="L2193">
        <v>116.88552300000001</v>
      </c>
      <c r="M2193" t="s">
        <v>102</v>
      </c>
      <c r="N2193" s="2">
        <f>Table1[[#This Row],[Capacity (MW)]]*8760*0.72*10^-6</f>
        <v>7.5686399999999987E-2</v>
      </c>
      <c r="O2193" s="2" cm="1">
        <f t="array" ref="O2193">AVERAGE(VLOOKUP(_xlfn.TEXTSPLIT(Table1[[#This Row],[Fuel (no space after comma)]], ","), FuelList_Final_EF!$A$2:$B$32, 2, FALSE))</f>
        <v>105.42962572482868</v>
      </c>
      <c r="P2193" s="2">
        <f>(16112*Table1[[#This Row],[Generation (TWh)]]*10^9)/10^6</f>
        <v>1219459.2767999996</v>
      </c>
      <c r="Q2193" s="2">
        <f>Table1[[#This Row],[Emission Factor (kg CO2/ mmBtu)]]*Table1[[#This Row],[Fuel Consumption (mmBtu)]]*10^3</f>
        <v>128567135139.69423</v>
      </c>
      <c r="R2193" s="2">
        <f>(Table1[[#This Row],[CO2 Emissions (g CO2)]])/(Table1[[#This Row],[Generation (TWh)]]*10^9)</f>
        <v>1698.6821296784397</v>
      </c>
    </row>
    <row r="2194" spans="1:18" hidden="1">
      <c r="A2194" t="s">
        <v>21</v>
      </c>
      <c r="B2194" t="s">
        <v>19</v>
      </c>
      <c r="C2194" t="str">
        <f>SUBSTITUTE(Table1[[#This Row],[Fuel]],", ",",")</f>
        <v>bioenergy: refuse (municipal and industrial wastes)</v>
      </c>
      <c r="D2194" t="s">
        <v>19</v>
      </c>
      <c r="G2194">
        <v>18</v>
      </c>
      <c r="H2194" t="s">
        <v>27</v>
      </c>
      <c r="I2194">
        <v>2020</v>
      </c>
      <c r="J2194" t="s">
        <v>21</v>
      </c>
      <c r="K2194">
        <v>30.525960000000001</v>
      </c>
      <c r="L2194">
        <v>116.88552300000001</v>
      </c>
      <c r="M2194" t="s">
        <v>102</v>
      </c>
      <c r="N2194" s="2">
        <f>Table1[[#This Row],[Capacity (MW)]]*8760*0.72*10^-6</f>
        <v>0.11352959999999998</v>
      </c>
      <c r="O2194" s="2" cm="1">
        <f t="array" ref="O2194">AVERAGE(VLOOKUP(_xlfn.TEXTSPLIT(Table1[[#This Row],[Fuel (no space after comma)]], ","), FuelList_Final_EF!$A$2:$B$32, 2, FALSE))</f>
        <v>105.42962572482868</v>
      </c>
      <c r="P2194" s="2">
        <f>(16112*Table1[[#This Row],[Generation (TWh)]]*10^9)/10^6</f>
        <v>1829188.9151999997</v>
      </c>
      <c r="Q2194" s="2">
        <f>Table1[[#This Row],[Emission Factor (kg CO2/ mmBtu)]]*Table1[[#This Row],[Fuel Consumption (mmBtu)]]*10^3</f>
        <v>192850702709.54135</v>
      </c>
      <c r="R2194" s="2">
        <f>(Table1[[#This Row],[CO2 Emissions (g CO2)]])/(Table1[[#This Row],[Generation (TWh)]]*10^9)</f>
        <v>1698.6821296784397</v>
      </c>
    </row>
    <row r="2195" spans="1:18" hidden="1">
      <c r="A2195" t="s">
        <v>21</v>
      </c>
      <c r="B2195" t="s">
        <v>19</v>
      </c>
      <c r="C2195" t="str">
        <f>SUBSTITUTE(Table1[[#This Row],[Fuel]],", ",",")</f>
        <v>bioenergy: refuse (municipal and industrial wastes)</v>
      </c>
      <c r="D2195" t="s">
        <v>19</v>
      </c>
      <c r="G2195">
        <v>7.5</v>
      </c>
      <c r="H2195" t="s">
        <v>27</v>
      </c>
      <c r="I2195">
        <v>2019</v>
      </c>
      <c r="J2195" t="s">
        <v>21</v>
      </c>
      <c r="K2195">
        <v>30.591446999999999</v>
      </c>
      <c r="L2195">
        <v>117.4492</v>
      </c>
      <c r="M2195" t="s">
        <v>102</v>
      </c>
      <c r="N2195" s="2">
        <f>Table1[[#This Row],[Capacity (MW)]]*8760*0.72*10^-6</f>
        <v>4.7303999999999999E-2</v>
      </c>
      <c r="O2195" s="2" cm="1">
        <f t="array" ref="O2195">AVERAGE(VLOOKUP(_xlfn.TEXTSPLIT(Table1[[#This Row],[Fuel (no space after comma)]], ","), FuelList_Final_EF!$A$2:$B$32, 2, FALSE))</f>
        <v>105.42962572482868</v>
      </c>
      <c r="P2195" s="2">
        <f>(16112*Table1[[#This Row],[Generation (TWh)]]*10^9)/10^6</f>
        <v>762162.04799999995</v>
      </c>
      <c r="Q2195" s="2">
        <f>Table1[[#This Row],[Emission Factor (kg CO2/ mmBtu)]]*Table1[[#This Row],[Fuel Consumption (mmBtu)]]*10^3</f>
        <v>80354459462.308914</v>
      </c>
      <c r="R2195" s="2">
        <f>(Table1[[#This Row],[CO2 Emissions (g CO2)]])/(Table1[[#This Row],[Generation (TWh)]]*10^9)</f>
        <v>1698.6821296784397</v>
      </c>
    </row>
    <row r="2196" spans="1:18" hidden="1">
      <c r="A2196" t="s">
        <v>21</v>
      </c>
      <c r="B2196" t="s">
        <v>19</v>
      </c>
      <c r="C2196" t="str">
        <f>SUBSTITUTE(Table1[[#This Row],[Fuel]],", ",",")</f>
        <v>bioenergy: refuse (municipal and industrial wastes)</v>
      </c>
      <c r="D2196" t="s">
        <v>19</v>
      </c>
      <c r="G2196">
        <v>12</v>
      </c>
      <c r="H2196" t="s">
        <v>27</v>
      </c>
      <c r="I2196">
        <v>2024</v>
      </c>
      <c r="J2196" t="s">
        <v>21</v>
      </c>
      <c r="K2196">
        <v>30.591446999999999</v>
      </c>
      <c r="L2196">
        <v>117.4492</v>
      </c>
      <c r="M2196" t="s">
        <v>102</v>
      </c>
      <c r="N2196" s="2">
        <f>Table1[[#This Row],[Capacity (MW)]]*8760*0.72*10^-6</f>
        <v>7.5686399999999987E-2</v>
      </c>
      <c r="O2196" s="2" cm="1">
        <f t="array" ref="O2196">AVERAGE(VLOOKUP(_xlfn.TEXTSPLIT(Table1[[#This Row],[Fuel (no space after comma)]], ","), FuelList_Final_EF!$A$2:$B$32, 2, FALSE))</f>
        <v>105.42962572482868</v>
      </c>
      <c r="P2196" s="2">
        <f>(16112*Table1[[#This Row],[Generation (TWh)]]*10^9)/10^6</f>
        <v>1219459.2767999996</v>
      </c>
      <c r="Q2196" s="2">
        <f>Table1[[#This Row],[Emission Factor (kg CO2/ mmBtu)]]*Table1[[#This Row],[Fuel Consumption (mmBtu)]]*10^3</f>
        <v>128567135139.69423</v>
      </c>
      <c r="R2196" s="2">
        <f>(Table1[[#This Row],[CO2 Emissions (g CO2)]])/(Table1[[#This Row],[Generation (TWh)]]*10^9)</f>
        <v>1698.6821296784397</v>
      </c>
    </row>
    <row r="2197" spans="1:18" hidden="1">
      <c r="A2197" t="s">
        <v>21</v>
      </c>
      <c r="B2197" t="s">
        <v>19</v>
      </c>
      <c r="C2197" t="str">
        <f>SUBSTITUTE(Table1[[#This Row],[Fuel]],", ",",")</f>
        <v>bioenergy: refuse (municipal and industrial wastes)</v>
      </c>
      <c r="D2197" t="s">
        <v>19</v>
      </c>
      <c r="G2197">
        <v>6</v>
      </c>
      <c r="H2197" t="s">
        <v>27</v>
      </c>
      <c r="I2197">
        <v>2016</v>
      </c>
      <c r="J2197" t="s">
        <v>21</v>
      </c>
      <c r="K2197">
        <v>34.414361</v>
      </c>
      <c r="L2197">
        <v>116.41605199999999</v>
      </c>
      <c r="M2197" t="s">
        <v>102</v>
      </c>
      <c r="N2197" s="2">
        <f>Table1[[#This Row],[Capacity (MW)]]*8760*0.72*10^-6</f>
        <v>3.7843199999999994E-2</v>
      </c>
      <c r="O2197" s="2" cm="1">
        <f t="array" ref="O2197">AVERAGE(VLOOKUP(_xlfn.TEXTSPLIT(Table1[[#This Row],[Fuel (no space after comma)]], ","), FuelList_Final_EF!$A$2:$B$32, 2, FALSE))</f>
        <v>105.42962572482868</v>
      </c>
      <c r="P2197" s="2">
        <f>(16112*Table1[[#This Row],[Generation (TWh)]]*10^9)/10^6</f>
        <v>609729.63839999982</v>
      </c>
      <c r="Q2197" s="2">
        <f>Table1[[#This Row],[Emission Factor (kg CO2/ mmBtu)]]*Table1[[#This Row],[Fuel Consumption (mmBtu)]]*10^3</f>
        <v>64283567569.847115</v>
      </c>
      <c r="R2197" s="2">
        <f>(Table1[[#This Row],[CO2 Emissions (g CO2)]])/(Table1[[#This Row],[Generation (TWh)]]*10^9)</f>
        <v>1698.6821296784397</v>
      </c>
    </row>
    <row r="2198" spans="1:18" hidden="1">
      <c r="A2198" t="s">
        <v>21</v>
      </c>
      <c r="B2198" t="s">
        <v>19</v>
      </c>
      <c r="C2198" t="str">
        <f>SUBSTITUTE(Table1[[#This Row],[Fuel]],", ",",")</f>
        <v>bioenergy: refuse (municipal and industrial wastes)</v>
      </c>
      <c r="D2198" t="s">
        <v>19</v>
      </c>
      <c r="G2198">
        <v>10</v>
      </c>
      <c r="H2198" t="s">
        <v>27</v>
      </c>
      <c r="I2198">
        <v>2017</v>
      </c>
      <c r="J2198" t="s">
        <v>21</v>
      </c>
      <c r="K2198">
        <v>32.631974</v>
      </c>
      <c r="L2198">
        <v>117.742805</v>
      </c>
      <c r="M2198" t="s">
        <v>102</v>
      </c>
      <c r="N2198" s="2">
        <f>Table1[[#This Row],[Capacity (MW)]]*8760*0.72*10^-6</f>
        <v>6.3072000000000003E-2</v>
      </c>
      <c r="O2198" s="2" cm="1">
        <f t="array" ref="O2198">AVERAGE(VLOOKUP(_xlfn.TEXTSPLIT(Table1[[#This Row],[Fuel (no space after comma)]], ","), FuelList_Final_EF!$A$2:$B$32, 2, FALSE))</f>
        <v>105.42962572482868</v>
      </c>
      <c r="P2198" s="2">
        <f>(16112*Table1[[#This Row],[Generation (TWh)]]*10^9)/10^6</f>
        <v>1016216.0640000001</v>
      </c>
      <c r="Q2198" s="2">
        <f>Table1[[#This Row],[Emission Factor (kg CO2/ mmBtu)]]*Table1[[#This Row],[Fuel Consumption (mmBtu)]]*10^3</f>
        <v>107139279283.07857</v>
      </c>
      <c r="R2198" s="2">
        <f>(Table1[[#This Row],[CO2 Emissions (g CO2)]])/(Table1[[#This Row],[Generation (TWh)]]*10^9)</f>
        <v>1698.6821296784401</v>
      </c>
    </row>
    <row r="2199" spans="1:18" hidden="1">
      <c r="A2199" t="s">
        <v>21</v>
      </c>
      <c r="B2199" t="s">
        <v>19</v>
      </c>
      <c r="C2199" t="str">
        <f>SUBSTITUTE(Table1[[#This Row],[Fuel]],", ",",")</f>
        <v>bioenergy: refuse (municipal and industrial wastes)</v>
      </c>
      <c r="D2199" t="s">
        <v>19</v>
      </c>
      <c r="G2199">
        <v>25</v>
      </c>
      <c r="H2199" t="s">
        <v>27</v>
      </c>
      <c r="I2199">
        <v>2020</v>
      </c>
      <c r="J2199" t="s">
        <v>21</v>
      </c>
      <c r="K2199">
        <v>31.691558000000001</v>
      </c>
      <c r="L2199">
        <v>117.086816</v>
      </c>
      <c r="M2199" t="s">
        <v>102</v>
      </c>
      <c r="N2199" s="2">
        <f>Table1[[#This Row],[Capacity (MW)]]*8760*0.72*10^-6</f>
        <v>0.15767999999999999</v>
      </c>
      <c r="O2199" s="2" cm="1">
        <f t="array" ref="O2199">AVERAGE(VLOOKUP(_xlfn.TEXTSPLIT(Table1[[#This Row],[Fuel (no space after comma)]], ","), FuelList_Final_EF!$A$2:$B$32, 2, FALSE))</f>
        <v>105.42962572482868</v>
      </c>
      <c r="P2199" s="2">
        <f>(16112*Table1[[#This Row],[Generation (TWh)]]*10^9)/10^6</f>
        <v>2540540.16</v>
      </c>
      <c r="Q2199" s="2">
        <f>Table1[[#This Row],[Emission Factor (kg CO2/ mmBtu)]]*Table1[[#This Row],[Fuel Consumption (mmBtu)]]*10^3</f>
        <v>267848198207.69638</v>
      </c>
      <c r="R2199" s="2">
        <f>(Table1[[#This Row],[CO2 Emissions (g CO2)]])/(Table1[[#This Row],[Generation (TWh)]]*10^9)</f>
        <v>1698.6821296784397</v>
      </c>
    </row>
    <row r="2200" spans="1:18" hidden="1">
      <c r="A2200" t="s">
        <v>21</v>
      </c>
      <c r="B2200" t="s">
        <v>19</v>
      </c>
      <c r="C2200" t="str">
        <f>SUBSTITUTE(Table1[[#This Row],[Fuel]],", ",",")</f>
        <v>bioenergy: refuse (municipal and industrial wastes)</v>
      </c>
      <c r="D2200" t="s">
        <v>19</v>
      </c>
      <c r="G2200">
        <v>25</v>
      </c>
      <c r="H2200" t="s">
        <v>27</v>
      </c>
      <c r="I2200">
        <v>2020</v>
      </c>
      <c r="J2200" t="s">
        <v>21</v>
      </c>
      <c r="K2200">
        <v>31.691558000000001</v>
      </c>
      <c r="L2200">
        <v>117.086816</v>
      </c>
      <c r="M2200" t="s">
        <v>102</v>
      </c>
      <c r="N2200" s="2">
        <f>Table1[[#This Row],[Capacity (MW)]]*8760*0.72*10^-6</f>
        <v>0.15767999999999999</v>
      </c>
      <c r="O2200" s="2" cm="1">
        <f t="array" ref="O2200">AVERAGE(VLOOKUP(_xlfn.TEXTSPLIT(Table1[[#This Row],[Fuel (no space after comma)]], ","), FuelList_Final_EF!$A$2:$B$32, 2, FALSE))</f>
        <v>105.42962572482868</v>
      </c>
      <c r="P2200" s="2">
        <f>(16112*Table1[[#This Row],[Generation (TWh)]]*10^9)/10^6</f>
        <v>2540540.16</v>
      </c>
      <c r="Q2200" s="2">
        <f>Table1[[#This Row],[Emission Factor (kg CO2/ mmBtu)]]*Table1[[#This Row],[Fuel Consumption (mmBtu)]]*10^3</f>
        <v>267848198207.69638</v>
      </c>
      <c r="R2200" s="2">
        <f>(Table1[[#This Row],[CO2 Emissions (g CO2)]])/(Table1[[#This Row],[Generation (TWh)]]*10^9)</f>
        <v>1698.6821296784397</v>
      </c>
    </row>
    <row r="2201" spans="1:18" hidden="1">
      <c r="A2201" t="s">
        <v>21</v>
      </c>
      <c r="B2201" t="s">
        <v>19</v>
      </c>
      <c r="C2201" t="str">
        <f>SUBSTITUTE(Table1[[#This Row],[Fuel]],", ",",")</f>
        <v>bioenergy: refuse (municipal and industrial wastes)</v>
      </c>
      <c r="D2201" t="s">
        <v>19</v>
      </c>
      <c r="G2201">
        <v>10</v>
      </c>
      <c r="H2201" t="s">
        <v>27</v>
      </c>
      <c r="I2201">
        <v>2017</v>
      </c>
      <c r="J2201" t="s">
        <v>21</v>
      </c>
      <c r="K2201">
        <v>32.589711000000001</v>
      </c>
      <c r="L2201">
        <v>115.651015</v>
      </c>
      <c r="M2201" t="s">
        <v>102</v>
      </c>
      <c r="N2201" s="2">
        <f>Table1[[#This Row],[Capacity (MW)]]*8760*0.72*10^-6</f>
        <v>6.3072000000000003E-2</v>
      </c>
      <c r="O2201" s="2" cm="1">
        <f t="array" ref="O2201">AVERAGE(VLOOKUP(_xlfn.TEXTSPLIT(Table1[[#This Row],[Fuel (no space after comma)]], ","), FuelList_Final_EF!$A$2:$B$32, 2, FALSE))</f>
        <v>105.42962572482868</v>
      </c>
      <c r="P2201" s="2">
        <f>(16112*Table1[[#This Row],[Generation (TWh)]]*10^9)/10^6</f>
        <v>1016216.0640000001</v>
      </c>
      <c r="Q2201" s="2">
        <f>Table1[[#This Row],[Emission Factor (kg CO2/ mmBtu)]]*Table1[[#This Row],[Fuel Consumption (mmBtu)]]*10^3</f>
        <v>107139279283.07857</v>
      </c>
      <c r="R2201" s="2">
        <f>(Table1[[#This Row],[CO2 Emissions (g CO2)]])/(Table1[[#This Row],[Generation (TWh)]]*10^9)</f>
        <v>1698.6821296784401</v>
      </c>
    </row>
    <row r="2202" spans="1:18" hidden="1">
      <c r="A2202" t="s">
        <v>21</v>
      </c>
      <c r="B2202" t="s">
        <v>19</v>
      </c>
      <c r="C2202" t="str">
        <f>SUBSTITUTE(Table1[[#This Row],[Fuel]],", ",",")</f>
        <v>bioenergy: refuse (municipal and industrial wastes)</v>
      </c>
      <c r="D2202" t="s">
        <v>19</v>
      </c>
      <c r="G2202">
        <v>7.5</v>
      </c>
      <c r="H2202" t="s">
        <v>27</v>
      </c>
      <c r="I2202">
        <v>2021</v>
      </c>
      <c r="J2202" t="s">
        <v>21</v>
      </c>
      <c r="K2202">
        <v>30.894179000000001</v>
      </c>
      <c r="L2202">
        <v>119.35404699999999</v>
      </c>
      <c r="M2202" t="s">
        <v>102</v>
      </c>
      <c r="N2202" s="2">
        <f>Table1[[#This Row],[Capacity (MW)]]*8760*0.72*10^-6</f>
        <v>4.7303999999999999E-2</v>
      </c>
      <c r="O2202" s="2" cm="1">
        <f t="array" ref="O2202">AVERAGE(VLOOKUP(_xlfn.TEXTSPLIT(Table1[[#This Row],[Fuel (no space after comma)]], ","), FuelList_Final_EF!$A$2:$B$32, 2, FALSE))</f>
        <v>105.42962572482868</v>
      </c>
      <c r="P2202" s="2">
        <f>(16112*Table1[[#This Row],[Generation (TWh)]]*10^9)/10^6</f>
        <v>762162.04799999995</v>
      </c>
      <c r="Q2202" s="2">
        <f>Table1[[#This Row],[Emission Factor (kg CO2/ mmBtu)]]*Table1[[#This Row],[Fuel Consumption (mmBtu)]]*10^3</f>
        <v>80354459462.308914</v>
      </c>
      <c r="R2202" s="2">
        <f>(Table1[[#This Row],[CO2 Emissions (g CO2)]])/(Table1[[#This Row],[Generation (TWh)]]*10^9)</f>
        <v>1698.6821296784397</v>
      </c>
    </row>
    <row r="2203" spans="1:18" hidden="1">
      <c r="A2203" t="s">
        <v>1083</v>
      </c>
      <c r="B2203" t="s">
        <v>19</v>
      </c>
      <c r="C2203" t="str">
        <f>SUBSTITUTE(Table1[[#This Row],[Fuel]],", ",",")</f>
        <v>bioenergy: refuse (municipal and industrial wastes)</v>
      </c>
      <c r="D2203" t="s">
        <v>19</v>
      </c>
      <c r="G2203">
        <v>15</v>
      </c>
      <c r="H2203" t="s">
        <v>27</v>
      </c>
      <c r="I2203">
        <v>2022</v>
      </c>
      <c r="J2203" t="s">
        <v>21</v>
      </c>
      <c r="K2203">
        <v>31.772663999999999</v>
      </c>
      <c r="L2203">
        <v>118.215548</v>
      </c>
      <c r="M2203" t="s">
        <v>102</v>
      </c>
      <c r="N2203" s="2">
        <f>Table1[[#This Row],[Capacity (MW)]]*8760*0.72*10^-6</f>
        <v>9.4607999999999998E-2</v>
      </c>
      <c r="O2203" s="2" cm="1">
        <f t="array" ref="O2203">AVERAGE(VLOOKUP(_xlfn.TEXTSPLIT(Table1[[#This Row],[Fuel (no space after comma)]], ","), FuelList_Final_EF!$A$2:$B$32, 2, FALSE))</f>
        <v>105.42962572482868</v>
      </c>
      <c r="P2203" s="2">
        <f>(16112*Table1[[#This Row],[Generation (TWh)]]*10^9)/10^6</f>
        <v>1524324.0959999999</v>
      </c>
      <c r="Q2203" s="2">
        <f>Table1[[#This Row],[Emission Factor (kg CO2/ mmBtu)]]*Table1[[#This Row],[Fuel Consumption (mmBtu)]]*10^3</f>
        <v>160708918924.61783</v>
      </c>
      <c r="R2203" s="2">
        <f>(Table1[[#This Row],[CO2 Emissions (g CO2)]])/(Table1[[#This Row],[Generation (TWh)]]*10^9)</f>
        <v>1698.6821296784397</v>
      </c>
    </row>
    <row r="2204" spans="1:18" hidden="1">
      <c r="A2204" t="s">
        <v>21</v>
      </c>
      <c r="B2204" t="s">
        <v>19</v>
      </c>
      <c r="C2204" t="str">
        <f>SUBSTITUTE(Table1[[#This Row],[Fuel]],", ",",")</f>
        <v>bioenergy: refuse (municipal and industrial wastes)</v>
      </c>
      <c r="D2204" t="s">
        <v>19</v>
      </c>
      <c r="G2204">
        <v>15</v>
      </c>
      <c r="H2204" t="s">
        <v>27</v>
      </c>
      <c r="I2204">
        <v>2019</v>
      </c>
      <c r="J2204" t="s">
        <v>21</v>
      </c>
      <c r="K2204">
        <v>33.815953</v>
      </c>
      <c r="L2204">
        <v>116.862739</v>
      </c>
      <c r="M2204" t="s">
        <v>102</v>
      </c>
      <c r="N2204" s="2">
        <f>Table1[[#This Row],[Capacity (MW)]]*8760*0.72*10^-6</f>
        <v>9.4607999999999998E-2</v>
      </c>
      <c r="O2204" s="2" cm="1">
        <f t="array" ref="O2204">AVERAGE(VLOOKUP(_xlfn.TEXTSPLIT(Table1[[#This Row],[Fuel (no space after comma)]], ","), FuelList_Final_EF!$A$2:$B$32, 2, FALSE))</f>
        <v>105.42962572482868</v>
      </c>
      <c r="P2204" s="2">
        <f>(16112*Table1[[#This Row],[Generation (TWh)]]*10^9)/10^6</f>
        <v>1524324.0959999999</v>
      </c>
      <c r="Q2204" s="2">
        <f>Table1[[#This Row],[Emission Factor (kg CO2/ mmBtu)]]*Table1[[#This Row],[Fuel Consumption (mmBtu)]]*10^3</f>
        <v>160708918924.61783</v>
      </c>
      <c r="R2204" s="2">
        <f>(Table1[[#This Row],[CO2 Emissions (g CO2)]])/(Table1[[#This Row],[Generation (TWh)]]*10^9)</f>
        <v>1698.6821296784397</v>
      </c>
    </row>
    <row r="2205" spans="1:18" hidden="1">
      <c r="A2205" t="s">
        <v>21</v>
      </c>
      <c r="B2205" t="s">
        <v>19</v>
      </c>
      <c r="C2205" t="str">
        <f>SUBSTITUTE(Table1[[#This Row],[Fuel]],", ",",")</f>
        <v>bioenergy: refuse (municipal and industrial wastes)</v>
      </c>
      <c r="D2205" t="s">
        <v>19</v>
      </c>
      <c r="G2205">
        <v>15</v>
      </c>
      <c r="H2205" t="s">
        <v>27</v>
      </c>
      <c r="I2205">
        <v>2019</v>
      </c>
      <c r="J2205" t="s">
        <v>21</v>
      </c>
      <c r="K2205">
        <v>33.815953</v>
      </c>
      <c r="L2205">
        <v>116.862739</v>
      </c>
      <c r="M2205" t="s">
        <v>102</v>
      </c>
      <c r="N2205" s="2">
        <f>Table1[[#This Row],[Capacity (MW)]]*8760*0.72*10^-6</f>
        <v>9.4607999999999998E-2</v>
      </c>
      <c r="O2205" s="2" cm="1">
        <f t="array" ref="O2205">AVERAGE(VLOOKUP(_xlfn.TEXTSPLIT(Table1[[#This Row],[Fuel (no space after comma)]], ","), FuelList_Final_EF!$A$2:$B$32, 2, FALSE))</f>
        <v>105.42962572482868</v>
      </c>
      <c r="P2205" s="2">
        <f>(16112*Table1[[#This Row],[Generation (TWh)]]*10^9)/10^6</f>
        <v>1524324.0959999999</v>
      </c>
      <c r="Q2205" s="2">
        <f>Table1[[#This Row],[Emission Factor (kg CO2/ mmBtu)]]*Table1[[#This Row],[Fuel Consumption (mmBtu)]]*10^3</f>
        <v>160708918924.61783</v>
      </c>
      <c r="R2205" s="2">
        <f>(Table1[[#This Row],[CO2 Emissions (g CO2)]])/(Table1[[#This Row],[Generation (TWh)]]*10^9)</f>
        <v>1698.6821296784397</v>
      </c>
    </row>
    <row r="2206" spans="1:18" hidden="1">
      <c r="A2206" t="s">
        <v>21</v>
      </c>
      <c r="B2206" t="s">
        <v>19</v>
      </c>
      <c r="C2206" t="str">
        <f>SUBSTITUTE(Table1[[#This Row],[Fuel]],", ",",")</f>
        <v>bioenergy: refuse (municipal and industrial wastes)</v>
      </c>
      <c r="D2206" t="s">
        <v>19</v>
      </c>
      <c r="G2206">
        <v>8</v>
      </c>
      <c r="H2206" t="s">
        <v>27</v>
      </c>
      <c r="I2206">
        <v>2020</v>
      </c>
      <c r="J2206" t="s">
        <v>21</v>
      </c>
      <c r="K2206">
        <v>31.444770999999999</v>
      </c>
      <c r="L2206">
        <v>116.37666900000001</v>
      </c>
      <c r="M2206" t="s">
        <v>102</v>
      </c>
      <c r="N2206" s="2">
        <f>Table1[[#This Row],[Capacity (MW)]]*8760*0.72*10^-6</f>
        <v>5.0457599999999998E-2</v>
      </c>
      <c r="O2206" s="2" cm="1">
        <f t="array" ref="O2206">AVERAGE(VLOOKUP(_xlfn.TEXTSPLIT(Table1[[#This Row],[Fuel (no space after comma)]], ","), FuelList_Final_EF!$A$2:$B$32, 2, FALSE))</f>
        <v>105.42962572482868</v>
      </c>
      <c r="P2206" s="2">
        <f>(16112*Table1[[#This Row],[Generation (TWh)]]*10^9)/10^6</f>
        <v>812972.85119999992</v>
      </c>
      <c r="Q2206" s="2">
        <f>Table1[[#This Row],[Emission Factor (kg CO2/ mmBtu)]]*Table1[[#This Row],[Fuel Consumption (mmBtu)]]*10^3</f>
        <v>85711423426.46283</v>
      </c>
      <c r="R2206" s="2">
        <f>(Table1[[#This Row],[CO2 Emissions (g CO2)]])/(Table1[[#This Row],[Generation (TWh)]]*10^9)</f>
        <v>1698.6821296784394</v>
      </c>
    </row>
    <row r="2207" spans="1:18" hidden="1">
      <c r="A2207" t="s">
        <v>21</v>
      </c>
      <c r="B2207" t="s">
        <v>19</v>
      </c>
      <c r="C2207" t="str">
        <f>SUBSTITUTE(Table1[[#This Row],[Fuel]],", ",",")</f>
        <v>bioenergy: refuse (municipal and industrial wastes)</v>
      </c>
      <c r="D2207" t="s">
        <v>19</v>
      </c>
      <c r="G2207">
        <v>12</v>
      </c>
      <c r="H2207" t="s">
        <v>27</v>
      </c>
      <c r="I2207">
        <v>2019</v>
      </c>
      <c r="J2207" t="s">
        <v>21</v>
      </c>
      <c r="K2207">
        <v>33.298659000000001</v>
      </c>
      <c r="L2207">
        <v>115.357714</v>
      </c>
      <c r="M2207" t="s">
        <v>102</v>
      </c>
      <c r="N2207" s="2">
        <f>Table1[[#This Row],[Capacity (MW)]]*8760*0.72*10^-6</f>
        <v>7.5686399999999987E-2</v>
      </c>
      <c r="O2207" s="2" cm="1">
        <f t="array" ref="O2207">AVERAGE(VLOOKUP(_xlfn.TEXTSPLIT(Table1[[#This Row],[Fuel (no space after comma)]], ","), FuelList_Final_EF!$A$2:$B$32, 2, FALSE))</f>
        <v>105.42962572482868</v>
      </c>
      <c r="P2207" s="2">
        <f>(16112*Table1[[#This Row],[Generation (TWh)]]*10^9)/10^6</f>
        <v>1219459.2767999996</v>
      </c>
      <c r="Q2207" s="2">
        <f>Table1[[#This Row],[Emission Factor (kg CO2/ mmBtu)]]*Table1[[#This Row],[Fuel Consumption (mmBtu)]]*10^3</f>
        <v>128567135139.69423</v>
      </c>
      <c r="R2207" s="2">
        <f>(Table1[[#This Row],[CO2 Emissions (g CO2)]])/(Table1[[#This Row],[Generation (TWh)]]*10^9)</f>
        <v>1698.6821296784397</v>
      </c>
    </row>
    <row r="2208" spans="1:18" hidden="1">
      <c r="A2208" t="s">
        <v>121</v>
      </c>
      <c r="B2208" t="s">
        <v>105</v>
      </c>
      <c r="C2208" t="str">
        <f>SUBSTITUTE(Table1[[#This Row],[Fuel]],", ",",")</f>
        <v>bioenergy: agricultural waste (solids),bioenergy: wood &amp; other biomass (solids)</v>
      </c>
      <c r="D2208" t="s">
        <v>46</v>
      </c>
      <c r="E2208" t="s">
        <v>25</v>
      </c>
      <c r="G2208">
        <v>9</v>
      </c>
      <c r="H2208" t="s">
        <v>27</v>
      </c>
      <c r="I2208">
        <v>2018</v>
      </c>
      <c r="J2208" t="s">
        <v>21</v>
      </c>
      <c r="K2208">
        <v>31.0045</v>
      </c>
      <c r="L2208">
        <v>119.10899999999999</v>
      </c>
      <c r="M2208" t="s">
        <v>102</v>
      </c>
      <c r="N2208" s="2">
        <f>Table1[[#This Row],[Capacity (MW)]]*8760*0.72*10^-6</f>
        <v>5.676479999999999E-2</v>
      </c>
      <c r="O2208" s="2" cm="1">
        <f t="array" ref="O2208">AVERAGE(VLOOKUP(_xlfn.TEXTSPLIT(Table1[[#This Row],[Fuel (no space after comma)]], ","), FuelList_Final_EF!$A$2:$B$32, 2, FALSE))</f>
        <v>105.985</v>
      </c>
      <c r="P2208" s="2">
        <f>(16112*Table1[[#This Row],[Generation (TWh)]]*10^9)/10^6</f>
        <v>914594.45759999985</v>
      </c>
      <c r="Q2208" s="2">
        <f>Table1[[#This Row],[Emission Factor (kg CO2/ mmBtu)]]*Table1[[#This Row],[Fuel Consumption (mmBtu)]]*10^3</f>
        <v>96933293588.735977</v>
      </c>
      <c r="R2208" s="2">
        <f>(Table1[[#This Row],[CO2 Emissions (g CO2)]])/(Table1[[#This Row],[Generation (TWh)]]*10^9)</f>
        <v>1707.6303199999998</v>
      </c>
    </row>
    <row r="2209" spans="1:18" hidden="1">
      <c r="A2209" t="s">
        <v>21</v>
      </c>
      <c r="B2209" t="s">
        <v>19</v>
      </c>
      <c r="C2209" t="str">
        <f>SUBSTITUTE(Table1[[#This Row],[Fuel]],", ",",")</f>
        <v>bioenergy: refuse (municipal and industrial wastes)</v>
      </c>
      <c r="D2209" t="s">
        <v>19</v>
      </c>
      <c r="G2209">
        <v>12</v>
      </c>
      <c r="H2209" t="s">
        <v>27</v>
      </c>
      <c r="I2209">
        <v>2018</v>
      </c>
      <c r="J2209" t="s">
        <v>21</v>
      </c>
      <c r="K2209">
        <v>33.067948000000001</v>
      </c>
      <c r="L2209">
        <v>115.314437</v>
      </c>
      <c r="M2209" t="s">
        <v>102</v>
      </c>
      <c r="N2209" s="2">
        <f>Table1[[#This Row],[Capacity (MW)]]*8760*0.72*10^-6</f>
        <v>7.5686399999999987E-2</v>
      </c>
      <c r="O2209" s="2" cm="1">
        <f t="array" ref="O2209">AVERAGE(VLOOKUP(_xlfn.TEXTSPLIT(Table1[[#This Row],[Fuel (no space after comma)]], ","), FuelList_Final_EF!$A$2:$B$32, 2, FALSE))</f>
        <v>105.42962572482868</v>
      </c>
      <c r="P2209" s="2">
        <f>(16112*Table1[[#This Row],[Generation (TWh)]]*10^9)/10^6</f>
        <v>1219459.2767999996</v>
      </c>
      <c r="Q2209" s="2">
        <f>Table1[[#This Row],[Emission Factor (kg CO2/ mmBtu)]]*Table1[[#This Row],[Fuel Consumption (mmBtu)]]*10^3</f>
        <v>128567135139.69423</v>
      </c>
      <c r="R2209" s="2">
        <f>(Table1[[#This Row],[CO2 Emissions (g CO2)]])/(Table1[[#This Row],[Generation (TWh)]]*10^9)</f>
        <v>1698.6821296784397</v>
      </c>
    </row>
    <row r="2210" spans="1:18" hidden="1">
      <c r="A2210" t="s">
        <v>21</v>
      </c>
      <c r="B2210" t="s">
        <v>19</v>
      </c>
      <c r="C2210" t="str">
        <f>SUBSTITUTE(Table1[[#This Row],[Fuel]],", ",",")</f>
        <v>bioenergy: refuse (municipal and industrial wastes)</v>
      </c>
      <c r="D2210" t="s">
        <v>19</v>
      </c>
      <c r="G2210">
        <v>15</v>
      </c>
      <c r="H2210" t="s">
        <v>27</v>
      </c>
      <c r="I2210">
        <v>2022</v>
      </c>
      <c r="J2210" t="s">
        <v>21</v>
      </c>
      <c r="K2210">
        <v>33.067948000000001</v>
      </c>
      <c r="L2210">
        <v>115.314437</v>
      </c>
      <c r="M2210" t="s">
        <v>102</v>
      </c>
      <c r="N2210" s="2">
        <f>Table1[[#This Row],[Capacity (MW)]]*8760*0.72*10^-6</f>
        <v>9.4607999999999998E-2</v>
      </c>
      <c r="O2210" s="2" cm="1">
        <f t="array" ref="O2210">AVERAGE(VLOOKUP(_xlfn.TEXTSPLIT(Table1[[#This Row],[Fuel (no space after comma)]], ","), FuelList_Final_EF!$A$2:$B$32, 2, FALSE))</f>
        <v>105.42962572482868</v>
      </c>
      <c r="P2210" s="2">
        <f>(16112*Table1[[#This Row],[Generation (TWh)]]*10^9)/10^6</f>
        <v>1524324.0959999999</v>
      </c>
      <c r="Q2210" s="2">
        <f>Table1[[#This Row],[Emission Factor (kg CO2/ mmBtu)]]*Table1[[#This Row],[Fuel Consumption (mmBtu)]]*10^3</f>
        <v>160708918924.61783</v>
      </c>
      <c r="R2210" s="2">
        <f>(Table1[[#This Row],[CO2 Emissions (g CO2)]])/(Table1[[#This Row],[Generation (TWh)]]*10^9)</f>
        <v>1698.6821296784397</v>
      </c>
    </row>
    <row r="2211" spans="1:18" hidden="1">
      <c r="A2211" t="s">
        <v>21</v>
      </c>
      <c r="B2211" t="s">
        <v>19</v>
      </c>
      <c r="C2211" t="str">
        <f>SUBSTITUTE(Table1[[#This Row],[Fuel]],", ",",")</f>
        <v>bioenergy: refuse (municipal and industrial wastes)</v>
      </c>
      <c r="D2211" t="s">
        <v>19</v>
      </c>
      <c r="G2211">
        <v>10</v>
      </c>
      <c r="H2211" t="s">
        <v>27</v>
      </c>
      <c r="I2211">
        <v>2020</v>
      </c>
      <c r="J2211" t="s">
        <v>21</v>
      </c>
      <c r="K2211">
        <v>33.258516</v>
      </c>
      <c r="L2211">
        <v>116.06282</v>
      </c>
      <c r="M2211" t="s">
        <v>102</v>
      </c>
      <c r="N2211" s="2">
        <f>Table1[[#This Row],[Capacity (MW)]]*8760*0.72*10^-6</f>
        <v>6.3072000000000003E-2</v>
      </c>
      <c r="O2211" s="2" cm="1">
        <f t="array" ref="O2211">AVERAGE(VLOOKUP(_xlfn.TEXTSPLIT(Table1[[#This Row],[Fuel (no space after comma)]], ","), FuelList_Final_EF!$A$2:$B$32, 2, FALSE))</f>
        <v>105.42962572482868</v>
      </c>
      <c r="P2211" s="2">
        <f>(16112*Table1[[#This Row],[Generation (TWh)]]*10^9)/10^6</f>
        <v>1016216.0640000001</v>
      </c>
      <c r="Q2211" s="2">
        <f>Table1[[#This Row],[Emission Factor (kg CO2/ mmBtu)]]*Table1[[#This Row],[Fuel Consumption (mmBtu)]]*10^3</f>
        <v>107139279283.07857</v>
      </c>
      <c r="R2211" s="2">
        <f>(Table1[[#This Row],[CO2 Emissions (g CO2)]])/(Table1[[#This Row],[Generation (TWh)]]*10^9)</f>
        <v>1698.6821296784401</v>
      </c>
    </row>
    <row r="2212" spans="1:18" hidden="1">
      <c r="A2212" t="s">
        <v>21</v>
      </c>
      <c r="B2212" t="s">
        <v>19</v>
      </c>
      <c r="C2212" t="str">
        <f>SUBSTITUTE(Table1[[#This Row],[Fuel]],", ",",")</f>
        <v>bioenergy: refuse (municipal and industrial wastes)</v>
      </c>
      <c r="D2212" t="s">
        <v>19</v>
      </c>
      <c r="G2212">
        <v>10</v>
      </c>
      <c r="H2212" t="s">
        <v>27</v>
      </c>
      <c r="I2212">
        <v>2023</v>
      </c>
      <c r="J2212" t="s">
        <v>21</v>
      </c>
      <c r="K2212">
        <v>33.258516</v>
      </c>
      <c r="L2212">
        <v>116.06282</v>
      </c>
      <c r="M2212" t="s">
        <v>102</v>
      </c>
      <c r="N2212" s="2">
        <f>Table1[[#This Row],[Capacity (MW)]]*8760*0.72*10^-6</f>
        <v>6.3072000000000003E-2</v>
      </c>
      <c r="O2212" s="2" cm="1">
        <f t="array" ref="O2212">AVERAGE(VLOOKUP(_xlfn.TEXTSPLIT(Table1[[#This Row],[Fuel (no space after comma)]], ","), FuelList_Final_EF!$A$2:$B$32, 2, FALSE))</f>
        <v>105.42962572482868</v>
      </c>
      <c r="P2212" s="2">
        <f>(16112*Table1[[#This Row],[Generation (TWh)]]*10^9)/10^6</f>
        <v>1016216.0640000001</v>
      </c>
      <c r="Q2212" s="2">
        <f>Table1[[#This Row],[Emission Factor (kg CO2/ mmBtu)]]*Table1[[#This Row],[Fuel Consumption (mmBtu)]]*10^3</f>
        <v>107139279283.07857</v>
      </c>
      <c r="R2212" s="2">
        <f>(Table1[[#This Row],[CO2 Emissions (g CO2)]])/(Table1[[#This Row],[Generation (TWh)]]*10^9)</f>
        <v>1698.6821296784401</v>
      </c>
    </row>
    <row r="2213" spans="1:18" hidden="1">
      <c r="A2213" t="s">
        <v>21</v>
      </c>
      <c r="B2213" t="s">
        <v>19</v>
      </c>
      <c r="C2213" t="str">
        <f>SUBSTITUTE(Table1[[#This Row],[Fuel]],", ",",")</f>
        <v>bioenergy: refuse (municipal and industrial wastes)</v>
      </c>
      <c r="D2213" t="s">
        <v>19</v>
      </c>
      <c r="G2213">
        <v>12</v>
      </c>
      <c r="H2213" t="s">
        <v>27</v>
      </c>
      <c r="I2213">
        <v>2014</v>
      </c>
      <c r="J2213" t="s">
        <v>21</v>
      </c>
      <c r="K2213">
        <v>31.695992</v>
      </c>
      <c r="L2213">
        <v>116.51238499999999</v>
      </c>
      <c r="M2213" t="s">
        <v>102</v>
      </c>
      <c r="N2213" s="2">
        <f>Table1[[#This Row],[Capacity (MW)]]*8760*0.72*10^-6</f>
        <v>7.5686399999999987E-2</v>
      </c>
      <c r="O2213" s="2" cm="1">
        <f t="array" ref="O2213">AVERAGE(VLOOKUP(_xlfn.TEXTSPLIT(Table1[[#This Row],[Fuel (no space after comma)]], ","), FuelList_Final_EF!$A$2:$B$32, 2, FALSE))</f>
        <v>105.42962572482868</v>
      </c>
      <c r="P2213" s="2">
        <f>(16112*Table1[[#This Row],[Generation (TWh)]]*10^9)/10^6</f>
        <v>1219459.2767999996</v>
      </c>
      <c r="Q2213" s="2">
        <f>Table1[[#This Row],[Emission Factor (kg CO2/ mmBtu)]]*Table1[[#This Row],[Fuel Consumption (mmBtu)]]*10^3</f>
        <v>128567135139.69423</v>
      </c>
      <c r="R2213" s="2">
        <f>(Table1[[#This Row],[CO2 Emissions (g CO2)]])/(Table1[[#This Row],[Generation (TWh)]]*10^9)</f>
        <v>1698.6821296784397</v>
      </c>
    </row>
    <row r="2214" spans="1:18" hidden="1">
      <c r="A2214" t="s">
        <v>21</v>
      </c>
      <c r="B2214" t="s">
        <v>19</v>
      </c>
      <c r="C2214" t="str">
        <f>SUBSTITUTE(Table1[[#This Row],[Fuel]],", ",",")</f>
        <v>bioenergy: refuse (municipal and industrial wastes)</v>
      </c>
      <c r="D2214" t="s">
        <v>19</v>
      </c>
      <c r="G2214">
        <v>15</v>
      </c>
      <c r="H2214" t="s">
        <v>27</v>
      </c>
      <c r="I2214">
        <v>2020</v>
      </c>
      <c r="J2214" t="s">
        <v>21</v>
      </c>
      <c r="K2214">
        <v>31.695992</v>
      </c>
      <c r="L2214">
        <v>116.51238499999999</v>
      </c>
      <c r="M2214" t="s">
        <v>102</v>
      </c>
      <c r="N2214" s="2">
        <f>Table1[[#This Row],[Capacity (MW)]]*8760*0.72*10^-6</f>
        <v>9.4607999999999998E-2</v>
      </c>
      <c r="O2214" s="2" cm="1">
        <f t="array" ref="O2214">AVERAGE(VLOOKUP(_xlfn.TEXTSPLIT(Table1[[#This Row],[Fuel (no space after comma)]], ","), FuelList_Final_EF!$A$2:$B$32, 2, FALSE))</f>
        <v>105.42962572482868</v>
      </c>
      <c r="P2214" s="2">
        <f>(16112*Table1[[#This Row],[Generation (TWh)]]*10^9)/10^6</f>
        <v>1524324.0959999999</v>
      </c>
      <c r="Q2214" s="2">
        <f>Table1[[#This Row],[Emission Factor (kg CO2/ mmBtu)]]*Table1[[#This Row],[Fuel Consumption (mmBtu)]]*10^3</f>
        <v>160708918924.61783</v>
      </c>
      <c r="R2214" s="2">
        <f>(Table1[[#This Row],[CO2 Emissions (g CO2)]])/(Table1[[#This Row],[Generation (TWh)]]*10^9)</f>
        <v>1698.6821296784397</v>
      </c>
    </row>
    <row r="2215" spans="1:18" hidden="1">
      <c r="A2215" t="s">
        <v>21</v>
      </c>
      <c r="B2215" t="s">
        <v>19</v>
      </c>
      <c r="C2215" t="str">
        <f>SUBSTITUTE(Table1[[#This Row],[Fuel]],", ",",")</f>
        <v>bioenergy: refuse (municipal and industrial wastes)</v>
      </c>
      <c r="D2215" t="s">
        <v>19</v>
      </c>
      <c r="G2215">
        <v>15</v>
      </c>
      <c r="H2215" t="s">
        <v>27</v>
      </c>
      <c r="I2215">
        <v>2019</v>
      </c>
      <c r="J2215" t="s">
        <v>21</v>
      </c>
      <c r="K2215">
        <v>33.248761000000002</v>
      </c>
      <c r="L2215">
        <v>116.50339099999999</v>
      </c>
      <c r="M2215" t="s">
        <v>102</v>
      </c>
      <c r="N2215" s="2">
        <f>Table1[[#This Row],[Capacity (MW)]]*8760*0.72*10^-6</f>
        <v>9.4607999999999998E-2</v>
      </c>
      <c r="O2215" s="2" cm="1">
        <f t="array" ref="O2215">AVERAGE(VLOOKUP(_xlfn.TEXTSPLIT(Table1[[#This Row],[Fuel (no space after comma)]], ","), FuelList_Final_EF!$A$2:$B$32, 2, FALSE))</f>
        <v>105.42962572482868</v>
      </c>
      <c r="P2215" s="2">
        <f>(16112*Table1[[#This Row],[Generation (TWh)]]*10^9)/10^6</f>
        <v>1524324.0959999999</v>
      </c>
      <c r="Q2215" s="2">
        <f>Table1[[#This Row],[Emission Factor (kg CO2/ mmBtu)]]*Table1[[#This Row],[Fuel Consumption (mmBtu)]]*10^3</f>
        <v>160708918924.61783</v>
      </c>
      <c r="R2215" s="2">
        <f>(Table1[[#This Row],[CO2 Emissions (g CO2)]])/(Table1[[#This Row],[Generation (TWh)]]*10^9)</f>
        <v>1698.6821296784397</v>
      </c>
    </row>
    <row r="2216" spans="1:18" hidden="1">
      <c r="A2216" t="s">
        <v>21</v>
      </c>
      <c r="B2216" t="s">
        <v>19</v>
      </c>
      <c r="C2216" t="str">
        <f>SUBSTITUTE(Table1[[#This Row],[Fuel]],", ",",")</f>
        <v>bioenergy: refuse (municipal and industrial wastes)</v>
      </c>
      <c r="D2216" t="s">
        <v>19</v>
      </c>
      <c r="G2216">
        <v>8</v>
      </c>
      <c r="H2216" t="s">
        <v>27</v>
      </c>
      <c r="I2216">
        <v>2021</v>
      </c>
      <c r="J2216" t="s">
        <v>21</v>
      </c>
      <c r="K2216">
        <v>30.68995</v>
      </c>
      <c r="L2216">
        <v>118.885676</v>
      </c>
      <c r="M2216" t="s">
        <v>102</v>
      </c>
      <c r="N2216" s="2">
        <f>Table1[[#This Row],[Capacity (MW)]]*8760*0.72*10^-6</f>
        <v>5.0457599999999998E-2</v>
      </c>
      <c r="O2216" s="2" cm="1">
        <f t="array" ref="O2216">AVERAGE(VLOOKUP(_xlfn.TEXTSPLIT(Table1[[#This Row],[Fuel (no space after comma)]], ","), FuelList_Final_EF!$A$2:$B$32, 2, FALSE))</f>
        <v>105.42962572482868</v>
      </c>
      <c r="P2216" s="2">
        <f>(16112*Table1[[#This Row],[Generation (TWh)]]*10^9)/10^6</f>
        <v>812972.85119999992</v>
      </c>
      <c r="Q2216" s="2">
        <f>Table1[[#This Row],[Emission Factor (kg CO2/ mmBtu)]]*Table1[[#This Row],[Fuel Consumption (mmBtu)]]*10^3</f>
        <v>85711423426.46283</v>
      </c>
      <c r="R2216" s="2">
        <f>(Table1[[#This Row],[CO2 Emissions (g CO2)]])/(Table1[[#This Row],[Generation (TWh)]]*10^9)</f>
        <v>1698.6821296784394</v>
      </c>
    </row>
    <row r="2217" spans="1:18" hidden="1">
      <c r="A2217" t="s">
        <v>21</v>
      </c>
      <c r="B2217" t="s">
        <v>19</v>
      </c>
      <c r="C2217" t="str">
        <f>SUBSTITUTE(Table1[[#This Row],[Fuel]],", ",",")</f>
        <v>bioenergy: refuse (municipal and industrial wastes)</v>
      </c>
      <c r="D2217" t="s">
        <v>19</v>
      </c>
      <c r="G2217">
        <v>12</v>
      </c>
      <c r="H2217" t="s">
        <v>27</v>
      </c>
      <c r="I2217">
        <v>2019</v>
      </c>
      <c r="J2217" t="s">
        <v>21</v>
      </c>
      <c r="K2217">
        <v>33.568714999999997</v>
      </c>
      <c r="L2217">
        <v>117.904489</v>
      </c>
      <c r="M2217" t="s">
        <v>102</v>
      </c>
      <c r="N2217" s="2">
        <f>Table1[[#This Row],[Capacity (MW)]]*8760*0.72*10^-6</f>
        <v>7.5686399999999987E-2</v>
      </c>
      <c r="O2217" s="2" cm="1">
        <f t="array" ref="O2217">AVERAGE(VLOOKUP(_xlfn.TEXTSPLIT(Table1[[#This Row],[Fuel (no space after comma)]], ","), FuelList_Final_EF!$A$2:$B$32, 2, FALSE))</f>
        <v>105.42962572482868</v>
      </c>
      <c r="P2217" s="2">
        <f>(16112*Table1[[#This Row],[Generation (TWh)]]*10^9)/10^6</f>
        <v>1219459.2767999996</v>
      </c>
      <c r="Q2217" s="2">
        <f>Table1[[#This Row],[Emission Factor (kg CO2/ mmBtu)]]*Table1[[#This Row],[Fuel Consumption (mmBtu)]]*10^3</f>
        <v>128567135139.69423</v>
      </c>
      <c r="R2217" s="2">
        <f>(Table1[[#This Row],[CO2 Emissions (g CO2)]])/(Table1[[#This Row],[Generation (TWh)]]*10^9)</f>
        <v>1698.6821296784397</v>
      </c>
    </row>
    <row r="2218" spans="1:18" hidden="1">
      <c r="A2218" t="s">
        <v>21</v>
      </c>
      <c r="B2218" t="s">
        <v>19</v>
      </c>
      <c r="C2218" t="str">
        <f>SUBSTITUTE(Table1[[#This Row],[Fuel]],", ",",")</f>
        <v>bioenergy: refuse (municipal and industrial wastes)</v>
      </c>
      <c r="D2218" t="s">
        <v>19</v>
      </c>
      <c r="G2218">
        <v>12</v>
      </c>
      <c r="H2218" t="s">
        <v>27</v>
      </c>
      <c r="I2218">
        <v>2022</v>
      </c>
      <c r="J2218" t="s">
        <v>21</v>
      </c>
      <c r="K2218">
        <v>33.765672000000002</v>
      </c>
      <c r="L2218">
        <v>117.189582</v>
      </c>
      <c r="M2218" t="s">
        <v>102</v>
      </c>
      <c r="N2218" s="2">
        <f>Table1[[#This Row],[Capacity (MW)]]*8760*0.72*10^-6</f>
        <v>7.5686399999999987E-2</v>
      </c>
      <c r="O2218" s="2" cm="1">
        <f t="array" ref="O2218">AVERAGE(VLOOKUP(_xlfn.TEXTSPLIT(Table1[[#This Row],[Fuel (no space after comma)]], ","), FuelList_Final_EF!$A$2:$B$32, 2, FALSE))</f>
        <v>105.42962572482868</v>
      </c>
      <c r="P2218" s="2">
        <f>(16112*Table1[[#This Row],[Generation (TWh)]]*10^9)/10^6</f>
        <v>1219459.2767999996</v>
      </c>
      <c r="Q2218" s="2">
        <f>Table1[[#This Row],[Emission Factor (kg CO2/ mmBtu)]]*Table1[[#This Row],[Fuel Consumption (mmBtu)]]*10^3</f>
        <v>128567135139.69423</v>
      </c>
      <c r="R2218" s="2">
        <f>(Table1[[#This Row],[CO2 Emissions (g CO2)]])/(Table1[[#This Row],[Generation (TWh)]]*10^9)</f>
        <v>1698.6821296784397</v>
      </c>
    </row>
    <row r="2219" spans="1:18" hidden="1">
      <c r="A2219" t="s">
        <v>21</v>
      </c>
      <c r="B2219" t="s">
        <v>19</v>
      </c>
      <c r="C2219" t="str">
        <f>SUBSTITUTE(Table1[[#This Row],[Fuel]],", ",",")</f>
        <v>bioenergy: refuse (municipal and industrial wastes)</v>
      </c>
      <c r="D2219" t="s">
        <v>19</v>
      </c>
      <c r="G2219">
        <v>6</v>
      </c>
      <c r="H2219" t="s">
        <v>27</v>
      </c>
      <c r="I2219">
        <v>2020</v>
      </c>
      <c r="J2219" t="s">
        <v>21</v>
      </c>
      <c r="K2219">
        <v>33.315553999999999</v>
      </c>
      <c r="L2219">
        <v>115.59102300000001</v>
      </c>
      <c r="M2219" t="s">
        <v>102</v>
      </c>
      <c r="N2219" s="2">
        <f>Table1[[#This Row],[Capacity (MW)]]*8760*0.72*10^-6</f>
        <v>3.7843199999999994E-2</v>
      </c>
      <c r="O2219" s="2" cm="1">
        <f t="array" ref="O2219">AVERAGE(VLOOKUP(_xlfn.TEXTSPLIT(Table1[[#This Row],[Fuel (no space after comma)]], ","), FuelList_Final_EF!$A$2:$B$32, 2, FALSE))</f>
        <v>105.42962572482868</v>
      </c>
      <c r="P2219" s="2">
        <f>(16112*Table1[[#This Row],[Generation (TWh)]]*10^9)/10^6</f>
        <v>609729.63839999982</v>
      </c>
      <c r="Q2219" s="2">
        <f>Table1[[#This Row],[Emission Factor (kg CO2/ mmBtu)]]*Table1[[#This Row],[Fuel Consumption (mmBtu)]]*10^3</f>
        <v>64283567569.847115</v>
      </c>
      <c r="R2219" s="2">
        <f>(Table1[[#This Row],[CO2 Emissions (g CO2)]])/(Table1[[#This Row],[Generation (TWh)]]*10^9)</f>
        <v>1698.6821296784397</v>
      </c>
    </row>
    <row r="2220" spans="1:18" hidden="1">
      <c r="A2220" t="s">
        <v>21</v>
      </c>
      <c r="B2220" t="s">
        <v>19</v>
      </c>
      <c r="C2220" t="str">
        <f>SUBSTITUTE(Table1[[#This Row],[Fuel]],", ",",")</f>
        <v>bioenergy: refuse (municipal and industrial wastes)</v>
      </c>
      <c r="D2220" t="s">
        <v>19</v>
      </c>
      <c r="G2220">
        <v>12</v>
      </c>
      <c r="H2220" t="s">
        <v>27</v>
      </c>
      <c r="I2220">
        <v>2017</v>
      </c>
      <c r="J2220" t="s">
        <v>21</v>
      </c>
      <c r="K2220">
        <v>33.315553999999999</v>
      </c>
      <c r="L2220">
        <v>115.59102300000001</v>
      </c>
      <c r="M2220" t="s">
        <v>102</v>
      </c>
      <c r="N2220" s="2">
        <f>Table1[[#This Row],[Capacity (MW)]]*8760*0.72*10^-6</f>
        <v>7.5686399999999987E-2</v>
      </c>
      <c r="O2220" s="2" cm="1">
        <f t="array" ref="O2220">AVERAGE(VLOOKUP(_xlfn.TEXTSPLIT(Table1[[#This Row],[Fuel (no space after comma)]], ","), FuelList_Final_EF!$A$2:$B$32, 2, FALSE))</f>
        <v>105.42962572482868</v>
      </c>
      <c r="P2220" s="2">
        <f>(16112*Table1[[#This Row],[Generation (TWh)]]*10^9)/10^6</f>
        <v>1219459.2767999996</v>
      </c>
      <c r="Q2220" s="2">
        <f>Table1[[#This Row],[Emission Factor (kg CO2/ mmBtu)]]*Table1[[#This Row],[Fuel Consumption (mmBtu)]]*10^3</f>
        <v>128567135139.69423</v>
      </c>
      <c r="R2220" s="2">
        <f>(Table1[[#This Row],[CO2 Emissions (g CO2)]])/(Table1[[#This Row],[Generation (TWh)]]*10^9)</f>
        <v>1698.6821296784397</v>
      </c>
    </row>
    <row r="2221" spans="1:18" hidden="1">
      <c r="A2221" t="s">
        <v>21</v>
      </c>
      <c r="B2221" t="s">
        <v>19</v>
      </c>
      <c r="C2221" t="str">
        <f>SUBSTITUTE(Table1[[#This Row],[Fuel]],", ",",")</f>
        <v>bioenergy: refuse (municipal and industrial wastes)</v>
      </c>
      <c r="D2221" t="s">
        <v>19</v>
      </c>
      <c r="G2221">
        <v>12</v>
      </c>
      <c r="H2221" t="s">
        <v>27</v>
      </c>
      <c r="I2221">
        <v>2017</v>
      </c>
      <c r="J2221" t="s">
        <v>21</v>
      </c>
      <c r="K2221">
        <v>31.218724999999999</v>
      </c>
      <c r="L2221">
        <v>118.151067</v>
      </c>
      <c r="M2221" t="s">
        <v>102</v>
      </c>
      <c r="N2221" s="2">
        <f>Table1[[#This Row],[Capacity (MW)]]*8760*0.72*10^-6</f>
        <v>7.5686399999999987E-2</v>
      </c>
      <c r="O2221" s="2" cm="1">
        <f t="array" ref="O2221">AVERAGE(VLOOKUP(_xlfn.TEXTSPLIT(Table1[[#This Row],[Fuel (no space after comma)]], ","), FuelList_Final_EF!$A$2:$B$32, 2, FALSE))</f>
        <v>105.42962572482868</v>
      </c>
      <c r="P2221" s="2">
        <f>(16112*Table1[[#This Row],[Generation (TWh)]]*10^9)/10^6</f>
        <v>1219459.2767999996</v>
      </c>
      <c r="Q2221" s="2">
        <f>Table1[[#This Row],[Emission Factor (kg CO2/ mmBtu)]]*Table1[[#This Row],[Fuel Consumption (mmBtu)]]*10^3</f>
        <v>128567135139.69423</v>
      </c>
      <c r="R2221" s="2">
        <f>(Table1[[#This Row],[CO2 Emissions (g CO2)]])/(Table1[[#This Row],[Generation (TWh)]]*10^9)</f>
        <v>1698.6821296784397</v>
      </c>
    </row>
    <row r="2222" spans="1:18" hidden="1">
      <c r="A2222" t="s">
        <v>21</v>
      </c>
      <c r="B2222" t="s">
        <v>19</v>
      </c>
      <c r="C2222" t="str">
        <f>SUBSTITUTE(Table1[[#This Row],[Fuel]],", ",",")</f>
        <v>bioenergy: refuse (municipal and industrial wastes)</v>
      </c>
      <c r="D2222" t="s">
        <v>19</v>
      </c>
      <c r="G2222">
        <v>12</v>
      </c>
      <c r="H2222" t="s">
        <v>27</v>
      </c>
      <c r="I2222">
        <v>2017</v>
      </c>
      <c r="J2222" t="s">
        <v>21</v>
      </c>
      <c r="K2222">
        <v>31.218724999999999</v>
      </c>
      <c r="L2222">
        <v>118.151067</v>
      </c>
      <c r="M2222" t="s">
        <v>102</v>
      </c>
      <c r="N2222" s="2">
        <f>Table1[[#This Row],[Capacity (MW)]]*8760*0.72*10^-6</f>
        <v>7.5686399999999987E-2</v>
      </c>
      <c r="O2222" s="2" cm="1">
        <f t="array" ref="O2222">AVERAGE(VLOOKUP(_xlfn.TEXTSPLIT(Table1[[#This Row],[Fuel (no space after comma)]], ","), FuelList_Final_EF!$A$2:$B$32, 2, FALSE))</f>
        <v>105.42962572482868</v>
      </c>
      <c r="P2222" s="2">
        <f>(16112*Table1[[#This Row],[Generation (TWh)]]*10^9)/10^6</f>
        <v>1219459.2767999996</v>
      </c>
      <c r="Q2222" s="2">
        <f>Table1[[#This Row],[Emission Factor (kg CO2/ mmBtu)]]*Table1[[#This Row],[Fuel Consumption (mmBtu)]]*10^3</f>
        <v>128567135139.69423</v>
      </c>
      <c r="R2222" s="2">
        <f>(Table1[[#This Row],[CO2 Emissions (g CO2)]])/(Table1[[#This Row],[Generation (TWh)]]*10^9)</f>
        <v>1698.6821296784397</v>
      </c>
    </row>
    <row r="2223" spans="1:18" hidden="1">
      <c r="A2223" t="s">
        <v>111</v>
      </c>
      <c r="B2223" t="s">
        <v>19</v>
      </c>
      <c r="C2223" t="str">
        <f>SUBSTITUTE(Table1[[#This Row],[Fuel]],", ",",")</f>
        <v>bioenergy: refuse (municipal and industrial wastes)</v>
      </c>
      <c r="D2223" t="s">
        <v>19</v>
      </c>
      <c r="G2223">
        <v>9</v>
      </c>
      <c r="H2223" t="s">
        <v>27</v>
      </c>
      <c r="I2223">
        <v>2017</v>
      </c>
      <c r="J2223" t="s">
        <v>21</v>
      </c>
      <c r="K2223">
        <v>34.105600000000003</v>
      </c>
      <c r="L2223">
        <v>116.88630000000001</v>
      </c>
      <c r="M2223" t="s">
        <v>102</v>
      </c>
      <c r="N2223" s="2">
        <f>Table1[[#This Row],[Capacity (MW)]]*8760*0.72*10^-6</f>
        <v>5.676479999999999E-2</v>
      </c>
      <c r="O2223" s="2" cm="1">
        <f t="array" ref="O2223">AVERAGE(VLOOKUP(_xlfn.TEXTSPLIT(Table1[[#This Row],[Fuel (no space after comma)]], ","), FuelList_Final_EF!$A$2:$B$32, 2, FALSE))</f>
        <v>105.42962572482868</v>
      </c>
      <c r="P2223" s="2">
        <f>(16112*Table1[[#This Row],[Generation (TWh)]]*10^9)/10^6</f>
        <v>914594.45759999985</v>
      </c>
      <c r="Q2223" s="2">
        <f>Table1[[#This Row],[Emission Factor (kg CO2/ mmBtu)]]*Table1[[#This Row],[Fuel Consumption (mmBtu)]]*10^3</f>
        <v>96425351354.770676</v>
      </c>
      <c r="R2223" s="2">
        <f>(Table1[[#This Row],[CO2 Emissions (g CO2)]])/(Table1[[#This Row],[Generation (TWh)]]*10^9)</f>
        <v>1698.6821296784397</v>
      </c>
    </row>
    <row r="2224" spans="1:18" hidden="1">
      <c r="A2224" t="s">
        <v>111</v>
      </c>
      <c r="B2224" t="s">
        <v>19</v>
      </c>
      <c r="C2224" t="str">
        <f>SUBSTITUTE(Table1[[#This Row],[Fuel]],", ",",")</f>
        <v>bioenergy: refuse (municipal and industrial wastes)</v>
      </c>
      <c r="D2224" t="s">
        <v>19</v>
      </c>
      <c r="G2224">
        <v>9</v>
      </c>
      <c r="H2224" t="s">
        <v>27</v>
      </c>
      <c r="I2224">
        <v>2020</v>
      </c>
      <c r="J2224" t="s">
        <v>21</v>
      </c>
      <c r="K2224">
        <v>34.105600000000003</v>
      </c>
      <c r="L2224">
        <v>116.88630000000001</v>
      </c>
      <c r="M2224" t="s">
        <v>102</v>
      </c>
      <c r="N2224" s="2">
        <f>Table1[[#This Row],[Capacity (MW)]]*8760*0.72*10^-6</f>
        <v>5.676479999999999E-2</v>
      </c>
      <c r="O2224" s="2" cm="1">
        <f t="array" ref="O2224">AVERAGE(VLOOKUP(_xlfn.TEXTSPLIT(Table1[[#This Row],[Fuel (no space after comma)]], ","), FuelList_Final_EF!$A$2:$B$32, 2, FALSE))</f>
        <v>105.42962572482868</v>
      </c>
      <c r="P2224" s="2">
        <f>(16112*Table1[[#This Row],[Generation (TWh)]]*10^9)/10^6</f>
        <v>914594.45759999985</v>
      </c>
      <c r="Q2224" s="2">
        <f>Table1[[#This Row],[Emission Factor (kg CO2/ mmBtu)]]*Table1[[#This Row],[Fuel Consumption (mmBtu)]]*10^3</f>
        <v>96425351354.770676</v>
      </c>
      <c r="R2224" s="2">
        <f>(Table1[[#This Row],[CO2 Emissions (g CO2)]])/(Table1[[#This Row],[Generation (TWh)]]*10^9)</f>
        <v>1698.6821296784397</v>
      </c>
    </row>
    <row r="2225" spans="1:18" hidden="1">
      <c r="A2225" t="s">
        <v>21</v>
      </c>
      <c r="B2225" t="s">
        <v>19</v>
      </c>
      <c r="C2225" t="str">
        <f>SUBSTITUTE(Table1[[#This Row],[Fuel]],", ",",")</f>
        <v>bioenergy: refuse (municipal and industrial wastes)</v>
      </c>
      <c r="D2225" t="s">
        <v>19</v>
      </c>
      <c r="G2225">
        <v>25</v>
      </c>
      <c r="H2225" t="s">
        <v>97</v>
      </c>
      <c r="I2225">
        <v>2027</v>
      </c>
      <c r="J2225" t="s">
        <v>21</v>
      </c>
      <c r="K2225">
        <v>26.055309999999999</v>
      </c>
      <c r="L2225">
        <v>50.602379999999997</v>
      </c>
      <c r="M2225" t="s">
        <v>1302</v>
      </c>
      <c r="N2225" s="2">
        <f>Table1[[#This Row],[Capacity (MW)]]*8760*0.72*10^-6</f>
        <v>0.15767999999999999</v>
      </c>
      <c r="O2225" s="2" cm="1">
        <f t="array" ref="O2225">AVERAGE(VLOOKUP(_xlfn.TEXTSPLIT(Table1[[#This Row],[Fuel (no space after comma)]], ","), FuelList_Final_EF!$A$2:$B$32, 2, FALSE))</f>
        <v>105.42962572482868</v>
      </c>
      <c r="P2225" s="2">
        <f>(16112*Table1[[#This Row],[Generation (TWh)]]*10^9)/10^6</f>
        <v>2540540.16</v>
      </c>
      <c r="Q2225" s="2">
        <f>Table1[[#This Row],[Emission Factor (kg CO2/ mmBtu)]]*Table1[[#This Row],[Fuel Consumption (mmBtu)]]*10^3</f>
        <v>267848198207.69638</v>
      </c>
      <c r="R2225" s="2">
        <f>(Table1[[#This Row],[CO2 Emissions (g CO2)]])/(Table1[[#This Row],[Generation (TWh)]]*10^9)</f>
        <v>1698.6821296784397</v>
      </c>
    </row>
    <row r="2226" spans="1:18" hidden="1">
      <c r="A2226" t="s">
        <v>1303</v>
      </c>
      <c r="B2226" t="s">
        <v>19</v>
      </c>
      <c r="C2226" t="str">
        <f>SUBSTITUTE(Table1[[#This Row],[Fuel]],", ",",")</f>
        <v>bioenergy: refuse (municipal and industrial wastes)</v>
      </c>
      <c r="D2226" t="s">
        <v>19</v>
      </c>
      <c r="G2226">
        <v>25</v>
      </c>
      <c r="H2226" t="s">
        <v>53</v>
      </c>
      <c r="I2226">
        <v>2024</v>
      </c>
      <c r="J2226" t="s">
        <v>21</v>
      </c>
      <c r="K2226">
        <v>28.403833909999999</v>
      </c>
      <c r="L2226">
        <v>77.172770720000003</v>
      </c>
      <c r="M2226" t="s">
        <v>66</v>
      </c>
      <c r="N2226" s="2">
        <f>Table1[[#This Row],[Capacity (MW)]]*8760*0.72*10^-6</f>
        <v>0.15767999999999999</v>
      </c>
      <c r="O2226" s="2" cm="1">
        <f t="array" ref="O2226">AVERAGE(VLOOKUP(_xlfn.TEXTSPLIT(Table1[[#This Row],[Fuel (no space after comma)]], ","), FuelList_Final_EF!$A$2:$B$32, 2, FALSE))</f>
        <v>105.42962572482868</v>
      </c>
      <c r="P2226" s="2">
        <f>(16112*Table1[[#This Row],[Generation (TWh)]]*10^9)/10^6</f>
        <v>2540540.16</v>
      </c>
      <c r="Q2226" s="2">
        <f>Table1[[#This Row],[Emission Factor (kg CO2/ mmBtu)]]*Table1[[#This Row],[Fuel Consumption (mmBtu)]]*10^3</f>
        <v>267848198207.69638</v>
      </c>
      <c r="R2226" s="2">
        <f>(Table1[[#This Row],[CO2 Emissions (g CO2)]])/(Table1[[#This Row],[Generation (TWh)]]*10^9)</f>
        <v>1698.6821296784397</v>
      </c>
    </row>
    <row r="2227" spans="1:18" hidden="1">
      <c r="A2227" t="s">
        <v>188</v>
      </c>
      <c r="B2227" t="s">
        <v>41</v>
      </c>
      <c r="C2227" t="str">
        <f>SUBSTITUTE(Table1[[#This Row],[Fuel]],", ",",")</f>
        <v>bioenergy: refuse (municipal and industrial wastes),bioenergy: wastewater and sewage sludge (solids or biogas)</v>
      </c>
      <c r="D2227" t="s">
        <v>19</v>
      </c>
      <c r="E2227" t="s">
        <v>42</v>
      </c>
      <c r="G2227">
        <v>15</v>
      </c>
      <c r="H2227" t="s">
        <v>27</v>
      </c>
      <c r="I2227">
        <v>2009</v>
      </c>
      <c r="J2227" t="s">
        <v>21</v>
      </c>
      <c r="K2227">
        <v>39.946930999999999</v>
      </c>
      <c r="L2227">
        <v>116.614655</v>
      </c>
      <c r="M2227" t="s">
        <v>102</v>
      </c>
      <c r="N2227" s="2">
        <f>Table1[[#This Row],[Capacity (MW)]]*8760*0.72*10^-6</f>
        <v>9.4607999999999998E-2</v>
      </c>
      <c r="O2227" s="2" cm="1">
        <f t="array" ref="O2227">AVERAGE(VLOOKUP(_xlfn.TEXTSPLIT(Table1[[#This Row],[Fuel (no space after comma)]], ","), FuelList_Final_EF!$A$2:$B$32, 2, FALSE))</f>
        <v>81.497100685292565</v>
      </c>
      <c r="P2227" s="2">
        <f>(16112*Table1[[#This Row],[Generation (TWh)]]*10^9)/10^6</f>
        <v>1524324.0959999999</v>
      </c>
      <c r="Q2227" s="2">
        <f>Table1[[#This Row],[Emission Factor (kg CO2/ mmBtu)]]*Table1[[#This Row],[Fuel Consumption (mmBtu)]]*10^3</f>
        <v>124227994328.72955</v>
      </c>
      <c r="R2227" s="2">
        <f>(Table1[[#This Row],[CO2 Emissions (g CO2)]])/(Table1[[#This Row],[Generation (TWh)]]*10^9)</f>
        <v>1313.0812862414336</v>
      </c>
    </row>
    <row r="2228" spans="1:18" hidden="1">
      <c r="A2228" t="s">
        <v>188</v>
      </c>
      <c r="B2228" t="s">
        <v>41</v>
      </c>
      <c r="C2228" t="str">
        <f>SUBSTITUTE(Table1[[#This Row],[Fuel]],", ",",")</f>
        <v>bioenergy: refuse (municipal and industrial wastes),bioenergy: wastewater and sewage sludge (solids or biogas)</v>
      </c>
      <c r="D2228" t="s">
        <v>19</v>
      </c>
      <c r="E2228" t="s">
        <v>42</v>
      </c>
      <c r="G2228">
        <v>15</v>
      </c>
      <c r="H2228" t="s">
        <v>27</v>
      </c>
      <c r="I2228">
        <v>2009</v>
      </c>
      <c r="J2228" t="s">
        <v>21</v>
      </c>
      <c r="K2228">
        <v>39.946930999999999</v>
      </c>
      <c r="L2228">
        <v>116.614655</v>
      </c>
      <c r="M2228" t="s">
        <v>102</v>
      </c>
      <c r="N2228" s="2">
        <f>Table1[[#This Row],[Capacity (MW)]]*8760*0.72*10^-6</f>
        <v>9.4607999999999998E-2</v>
      </c>
      <c r="O2228" s="2" cm="1">
        <f t="array" ref="O2228">AVERAGE(VLOOKUP(_xlfn.TEXTSPLIT(Table1[[#This Row],[Fuel (no space after comma)]], ","), FuelList_Final_EF!$A$2:$B$32, 2, FALSE))</f>
        <v>81.497100685292565</v>
      </c>
      <c r="P2228" s="2">
        <f>(16112*Table1[[#This Row],[Generation (TWh)]]*10^9)/10^6</f>
        <v>1524324.0959999999</v>
      </c>
      <c r="Q2228" s="2">
        <f>Table1[[#This Row],[Emission Factor (kg CO2/ mmBtu)]]*Table1[[#This Row],[Fuel Consumption (mmBtu)]]*10^3</f>
        <v>124227994328.72955</v>
      </c>
      <c r="R2228" s="2">
        <f>(Table1[[#This Row],[CO2 Emissions (g CO2)]])/(Table1[[#This Row],[Generation (TWh)]]*10^9)</f>
        <v>1313.0812862414336</v>
      </c>
    </row>
    <row r="2229" spans="1:18" hidden="1">
      <c r="A2229" t="s">
        <v>188</v>
      </c>
      <c r="B2229" t="s">
        <v>19</v>
      </c>
      <c r="C2229" t="str">
        <f>SUBSTITUTE(Table1[[#This Row],[Fuel]],", ",",")</f>
        <v>bioenergy: refuse (municipal and industrial wastes)</v>
      </c>
      <c r="D2229" t="s">
        <v>19</v>
      </c>
      <c r="G2229">
        <v>18</v>
      </c>
      <c r="H2229" t="s">
        <v>27</v>
      </c>
      <c r="I2229">
        <v>2016</v>
      </c>
      <c r="J2229" t="s">
        <v>21</v>
      </c>
      <c r="K2229">
        <v>39.946930999999999</v>
      </c>
      <c r="L2229">
        <v>116.614655</v>
      </c>
      <c r="M2229" t="s">
        <v>102</v>
      </c>
      <c r="N2229" s="2">
        <f>Table1[[#This Row],[Capacity (MW)]]*8760*0.72*10^-6</f>
        <v>0.11352959999999998</v>
      </c>
      <c r="O2229" s="2" cm="1">
        <f t="array" ref="O2229">AVERAGE(VLOOKUP(_xlfn.TEXTSPLIT(Table1[[#This Row],[Fuel (no space after comma)]], ","), FuelList_Final_EF!$A$2:$B$32, 2, FALSE))</f>
        <v>105.42962572482868</v>
      </c>
      <c r="P2229" s="2">
        <f>(16112*Table1[[#This Row],[Generation (TWh)]]*10^9)/10^6</f>
        <v>1829188.9151999997</v>
      </c>
      <c r="Q2229" s="2">
        <f>Table1[[#This Row],[Emission Factor (kg CO2/ mmBtu)]]*Table1[[#This Row],[Fuel Consumption (mmBtu)]]*10^3</f>
        <v>192850702709.54135</v>
      </c>
      <c r="R2229" s="2">
        <f>(Table1[[#This Row],[CO2 Emissions (g CO2)]])/(Table1[[#This Row],[Generation (TWh)]]*10^9)</f>
        <v>1698.6821296784397</v>
      </c>
    </row>
    <row r="2230" spans="1:18" hidden="1">
      <c r="A2230" t="s">
        <v>188</v>
      </c>
      <c r="B2230" t="s">
        <v>19</v>
      </c>
      <c r="C2230" t="str">
        <f>SUBSTITUTE(Table1[[#This Row],[Fuel]],", ",",")</f>
        <v>bioenergy: refuse (municipal and industrial wastes)</v>
      </c>
      <c r="D2230" t="s">
        <v>19</v>
      </c>
      <c r="G2230">
        <v>18</v>
      </c>
      <c r="H2230" t="s">
        <v>27</v>
      </c>
      <c r="I2230">
        <v>2016</v>
      </c>
      <c r="J2230" t="s">
        <v>21</v>
      </c>
      <c r="K2230">
        <v>39.946930999999999</v>
      </c>
      <c r="L2230">
        <v>116.614655</v>
      </c>
      <c r="M2230" t="s">
        <v>102</v>
      </c>
      <c r="N2230" s="2">
        <f>Table1[[#This Row],[Capacity (MW)]]*8760*0.72*10^-6</f>
        <v>0.11352959999999998</v>
      </c>
      <c r="O2230" s="2" cm="1">
        <f t="array" ref="O2230">AVERAGE(VLOOKUP(_xlfn.TEXTSPLIT(Table1[[#This Row],[Fuel (no space after comma)]], ","), FuelList_Final_EF!$A$2:$B$32, 2, FALSE))</f>
        <v>105.42962572482868</v>
      </c>
      <c r="P2230" s="2">
        <f>(16112*Table1[[#This Row],[Generation (TWh)]]*10^9)/10^6</f>
        <v>1829188.9151999997</v>
      </c>
      <c r="Q2230" s="2">
        <f>Table1[[#This Row],[Emission Factor (kg CO2/ mmBtu)]]*Table1[[#This Row],[Fuel Consumption (mmBtu)]]*10^3</f>
        <v>192850702709.54135</v>
      </c>
      <c r="R2230" s="2">
        <f>(Table1[[#This Row],[CO2 Emissions (g CO2)]])/(Table1[[#This Row],[Generation (TWh)]]*10^9)</f>
        <v>1698.6821296784397</v>
      </c>
    </row>
    <row r="2231" spans="1:18" hidden="1">
      <c r="A2231" t="s">
        <v>192</v>
      </c>
      <c r="B2231" t="s">
        <v>19</v>
      </c>
      <c r="C2231" t="str">
        <f>SUBSTITUTE(Table1[[#This Row],[Fuel]],", ",",")</f>
        <v>bioenergy: refuse (municipal and industrial wastes)</v>
      </c>
      <c r="D2231" t="s">
        <v>19</v>
      </c>
      <c r="G2231">
        <v>25</v>
      </c>
      <c r="H2231" t="s">
        <v>27</v>
      </c>
      <c r="I2231">
        <v>2018</v>
      </c>
      <c r="J2231" t="s">
        <v>21</v>
      </c>
      <c r="K2231">
        <v>39.662100000000002</v>
      </c>
      <c r="L2231">
        <v>116.75700000000001</v>
      </c>
      <c r="M2231" t="s">
        <v>102</v>
      </c>
      <c r="N2231" s="2">
        <f>Table1[[#This Row],[Capacity (MW)]]*8760*0.72*10^-6</f>
        <v>0.15767999999999999</v>
      </c>
      <c r="O2231" s="2" cm="1">
        <f t="array" ref="O2231">AVERAGE(VLOOKUP(_xlfn.TEXTSPLIT(Table1[[#This Row],[Fuel (no space after comma)]], ","), FuelList_Final_EF!$A$2:$B$32, 2, FALSE))</f>
        <v>105.42962572482868</v>
      </c>
      <c r="P2231" s="2">
        <f>(16112*Table1[[#This Row],[Generation (TWh)]]*10^9)/10^6</f>
        <v>2540540.16</v>
      </c>
      <c r="Q2231" s="2">
        <f>Table1[[#This Row],[Emission Factor (kg CO2/ mmBtu)]]*Table1[[#This Row],[Fuel Consumption (mmBtu)]]*10^3</f>
        <v>267848198207.69638</v>
      </c>
      <c r="R2231" s="2">
        <f>(Table1[[#This Row],[CO2 Emissions (g CO2)]])/(Table1[[#This Row],[Generation (TWh)]]*10^9)</f>
        <v>1698.6821296784397</v>
      </c>
    </row>
    <row r="2232" spans="1:18" hidden="1">
      <c r="A2232" t="s">
        <v>192</v>
      </c>
      <c r="B2232" t="s">
        <v>19</v>
      </c>
      <c r="C2232" t="str">
        <f>SUBSTITUTE(Table1[[#This Row],[Fuel]],", ",",")</f>
        <v>bioenergy: refuse (municipal and industrial wastes)</v>
      </c>
      <c r="D2232" t="s">
        <v>19</v>
      </c>
      <c r="G2232">
        <v>25</v>
      </c>
      <c r="H2232" t="s">
        <v>27</v>
      </c>
      <c r="I2232">
        <v>2018</v>
      </c>
      <c r="J2232" t="s">
        <v>21</v>
      </c>
      <c r="K2232">
        <v>39.662100000000002</v>
      </c>
      <c r="L2232">
        <v>116.75700000000001</v>
      </c>
      <c r="M2232" t="s">
        <v>102</v>
      </c>
      <c r="N2232" s="2">
        <f>Table1[[#This Row],[Capacity (MW)]]*8760*0.72*10^-6</f>
        <v>0.15767999999999999</v>
      </c>
      <c r="O2232" s="2" cm="1">
        <f t="array" ref="O2232">AVERAGE(VLOOKUP(_xlfn.TEXTSPLIT(Table1[[#This Row],[Fuel (no space after comma)]], ","), FuelList_Final_EF!$A$2:$B$32, 2, FALSE))</f>
        <v>105.42962572482868</v>
      </c>
      <c r="P2232" s="2">
        <f>(16112*Table1[[#This Row],[Generation (TWh)]]*10^9)/10^6</f>
        <v>2540540.16</v>
      </c>
      <c r="Q2232" s="2">
        <f>Table1[[#This Row],[Emission Factor (kg CO2/ mmBtu)]]*Table1[[#This Row],[Fuel Consumption (mmBtu)]]*10^3</f>
        <v>267848198207.69638</v>
      </c>
      <c r="R2232" s="2">
        <f>(Table1[[#This Row],[CO2 Emissions (g CO2)]])/(Table1[[#This Row],[Generation (TWh)]]*10^9)</f>
        <v>1698.6821296784397</v>
      </c>
    </row>
    <row r="2233" spans="1:18" hidden="1">
      <c r="A2233" t="s">
        <v>225</v>
      </c>
      <c r="B2233" t="s">
        <v>226</v>
      </c>
      <c r="C2233" t="str">
        <f>SUBSTITUTE(Table1[[#This Row],[Fuel]],", ",",")</f>
        <v>bioenergy: paper mill wastes,bioenergy: wood &amp; other biomass (solids),fossil liquids: unknown</v>
      </c>
      <c r="D2233" t="s">
        <v>61</v>
      </c>
      <c r="E2233" t="s">
        <v>25</v>
      </c>
      <c r="F2233" t="s">
        <v>217</v>
      </c>
      <c r="G2233">
        <v>25</v>
      </c>
      <c r="H2233" t="s">
        <v>27</v>
      </c>
      <c r="I2233">
        <v>1981</v>
      </c>
      <c r="J2233" t="s">
        <v>21</v>
      </c>
      <c r="K2233">
        <v>30.781099999999999</v>
      </c>
      <c r="L2233">
        <v>-89.857500000000002</v>
      </c>
      <c r="M2233" t="s">
        <v>62</v>
      </c>
      <c r="N2233" s="2">
        <f>Table1[[#This Row],[Capacity (MW)]]*8760*0.72*10^-6</f>
        <v>0.15767999999999999</v>
      </c>
      <c r="O2233" s="2" cm="1">
        <f t="array" ref="O2233">AVERAGE(VLOOKUP(_xlfn.TEXTSPLIT(Table1[[#This Row],[Fuel (no space after comma)]], ","), FuelList_Final_EF!$A$2:$B$32, 2, FALSE))</f>
        <v>93.041405127344674</v>
      </c>
      <c r="P2233" s="2">
        <f>(16112*Table1[[#This Row],[Generation (TWh)]]*10^9)/10^6</f>
        <v>2540540.16</v>
      </c>
      <c r="Q2233" s="2">
        <f>Table1[[#This Row],[Emission Factor (kg CO2/ mmBtu)]]*Table1[[#This Row],[Fuel Consumption (mmBtu)]]*10^3</f>
        <v>236375426268.84906</v>
      </c>
      <c r="R2233" s="2">
        <f>(Table1[[#This Row],[CO2 Emissions (g CO2)]])/(Table1[[#This Row],[Generation (TWh)]]*10^9)</f>
        <v>1499.0831194117775</v>
      </c>
    </row>
    <row r="2234" spans="1:18">
      <c r="A2234" t="s">
        <v>1304</v>
      </c>
      <c r="B2234" t="s">
        <v>19</v>
      </c>
      <c r="C2234" t="str">
        <f>SUBSTITUTE(Table1[[#This Row],[Fuel]],", ",",")</f>
        <v>bioenergy: refuse (municipal and industrial wastes)</v>
      </c>
      <c r="D2234" t="s">
        <v>19</v>
      </c>
      <c r="G2234">
        <v>5.5</v>
      </c>
      <c r="H2234" t="s">
        <v>20</v>
      </c>
      <c r="I2234" t="s">
        <v>21</v>
      </c>
      <c r="J2234" t="s">
        <v>21</v>
      </c>
      <c r="K2234">
        <v>23.9906033</v>
      </c>
      <c r="L2234">
        <v>91.104079299999995</v>
      </c>
      <c r="M2234" t="s">
        <v>92</v>
      </c>
      <c r="N2234" s="2">
        <f>Table1[[#This Row],[Capacity (MW)]]*8760*0.72*10^-6</f>
        <v>3.4689599999999994E-2</v>
      </c>
      <c r="O2234" s="2" cm="1">
        <f t="array" ref="O2234">AVERAGE(VLOOKUP(_xlfn.TEXTSPLIT(Table1[[#This Row],[Fuel (no space after comma)]], ","), FuelList_Final_EF!$A$2:$B$32, 2, FALSE))</f>
        <v>105.42962572482868</v>
      </c>
      <c r="P2234" s="2">
        <f>(16112*Table1[[#This Row],[Generation (TWh)]]*10^9)/10^6</f>
        <v>558918.83519999986</v>
      </c>
      <c r="Q2234" s="2">
        <f>Table1[[#This Row],[Emission Factor (kg CO2/ mmBtu)]]*Table1[[#This Row],[Fuel Consumption (mmBtu)]]*10^3</f>
        <v>58926603605.693184</v>
      </c>
      <c r="R2234" s="2">
        <f>(Table1[[#This Row],[CO2 Emissions (g CO2)]])/(Table1[[#This Row],[Generation (TWh)]]*10^9)</f>
        <v>1698.6821296784397</v>
      </c>
    </row>
    <row r="2235" spans="1:18">
      <c r="A2235" t="s">
        <v>1305</v>
      </c>
      <c r="B2235" t="s">
        <v>19</v>
      </c>
      <c r="C2235" t="str">
        <f>SUBSTITUTE(Table1[[#This Row],[Fuel]],", ",",")</f>
        <v>bioenergy: refuse (municipal and industrial wastes)</v>
      </c>
      <c r="D2235" t="s">
        <v>19</v>
      </c>
      <c r="G2235">
        <v>5.5</v>
      </c>
      <c r="H2235" t="s">
        <v>20</v>
      </c>
      <c r="I2235" t="s">
        <v>21</v>
      </c>
      <c r="J2235" t="s">
        <v>21</v>
      </c>
      <c r="K2235">
        <v>23.9906033</v>
      </c>
      <c r="L2235">
        <v>91.104079299999995</v>
      </c>
      <c r="M2235" t="s">
        <v>92</v>
      </c>
      <c r="N2235" s="2">
        <f>Table1[[#This Row],[Capacity (MW)]]*8760*0.72*10^-6</f>
        <v>3.4689599999999994E-2</v>
      </c>
      <c r="O2235" s="2" cm="1">
        <f t="array" ref="O2235">AVERAGE(VLOOKUP(_xlfn.TEXTSPLIT(Table1[[#This Row],[Fuel (no space after comma)]], ","), FuelList_Final_EF!$A$2:$B$32, 2, FALSE))</f>
        <v>105.42962572482868</v>
      </c>
      <c r="P2235" s="2">
        <f>(16112*Table1[[#This Row],[Generation (TWh)]]*10^9)/10^6</f>
        <v>558918.83519999986</v>
      </c>
      <c r="Q2235" s="2">
        <f>Table1[[#This Row],[Emission Factor (kg CO2/ mmBtu)]]*Table1[[#This Row],[Fuel Consumption (mmBtu)]]*10^3</f>
        <v>58926603605.693184</v>
      </c>
      <c r="R2235" s="2">
        <f>(Table1[[#This Row],[CO2 Emissions (g CO2)]])/(Table1[[#This Row],[Generation (TWh)]]*10^9)</f>
        <v>1698.6821296784397</v>
      </c>
    </row>
    <row r="2236" spans="1:18" hidden="1">
      <c r="A2236" t="s">
        <v>21</v>
      </c>
      <c r="B2236" t="s">
        <v>19</v>
      </c>
      <c r="C2236" t="str">
        <f>SUBSTITUTE(Table1[[#This Row],[Fuel]],", ",",")</f>
        <v>bioenergy: refuse (municipal and industrial wastes)</v>
      </c>
      <c r="D2236" t="s">
        <v>19</v>
      </c>
      <c r="G2236">
        <v>12</v>
      </c>
      <c r="H2236" t="s">
        <v>27</v>
      </c>
      <c r="I2236">
        <v>2005</v>
      </c>
      <c r="J2236" t="s">
        <v>21</v>
      </c>
      <c r="K2236">
        <v>29.671572000000001</v>
      </c>
      <c r="L2236">
        <v>106.430752</v>
      </c>
      <c r="M2236" t="s">
        <v>102</v>
      </c>
      <c r="N2236" s="2">
        <f>Table1[[#This Row],[Capacity (MW)]]*8760*0.72*10^-6</f>
        <v>7.5686399999999987E-2</v>
      </c>
      <c r="O2236" s="2" cm="1">
        <f t="array" ref="O2236">AVERAGE(VLOOKUP(_xlfn.TEXTSPLIT(Table1[[#This Row],[Fuel (no space after comma)]], ","), FuelList_Final_EF!$A$2:$B$32, 2, FALSE))</f>
        <v>105.42962572482868</v>
      </c>
      <c r="P2236" s="2">
        <f>(16112*Table1[[#This Row],[Generation (TWh)]]*10^9)/10^6</f>
        <v>1219459.2767999996</v>
      </c>
      <c r="Q2236" s="2">
        <f>Table1[[#This Row],[Emission Factor (kg CO2/ mmBtu)]]*Table1[[#This Row],[Fuel Consumption (mmBtu)]]*10^3</f>
        <v>128567135139.69423</v>
      </c>
      <c r="R2236" s="2">
        <f>(Table1[[#This Row],[CO2 Emissions (g CO2)]])/(Table1[[#This Row],[Generation (TWh)]]*10^9)</f>
        <v>1698.6821296784397</v>
      </c>
    </row>
    <row r="2237" spans="1:18" hidden="1">
      <c r="A2237" t="s">
        <v>21</v>
      </c>
      <c r="B2237" t="s">
        <v>19</v>
      </c>
      <c r="C2237" t="str">
        <f>SUBSTITUTE(Table1[[#This Row],[Fuel]],", ",",")</f>
        <v>bioenergy: refuse (municipal and industrial wastes)</v>
      </c>
      <c r="D2237" t="s">
        <v>19</v>
      </c>
      <c r="G2237">
        <v>12</v>
      </c>
      <c r="H2237" t="s">
        <v>27</v>
      </c>
      <c r="I2237">
        <v>2005</v>
      </c>
      <c r="J2237" t="s">
        <v>21</v>
      </c>
      <c r="K2237">
        <v>29.671572000000001</v>
      </c>
      <c r="L2237">
        <v>106.430752</v>
      </c>
      <c r="M2237" t="s">
        <v>102</v>
      </c>
      <c r="N2237" s="2">
        <f>Table1[[#This Row],[Capacity (MW)]]*8760*0.72*10^-6</f>
        <v>7.5686399999999987E-2</v>
      </c>
      <c r="O2237" s="2" cm="1">
        <f t="array" ref="O2237">AVERAGE(VLOOKUP(_xlfn.TEXTSPLIT(Table1[[#This Row],[Fuel (no space after comma)]], ","), FuelList_Final_EF!$A$2:$B$32, 2, FALSE))</f>
        <v>105.42962572482868</v>
      </c>
      <c r="P2237" s="2">
        <f>(16112*Table1[[#This Row],[Generation (TWh)]]*10^9)/10^6</f>
        <v>1219459.2767999996</v>
      </c>
      <c r="Q2237" s="2">
        <f>Table1[[#This Row],[Emission Factor (kg CO2/ mmBtu)]]*Table1[[#This Row],[Fuel Consumption (mmBtu)]]*10^3</f>
        <v>128567135139.69423</v>
      </c>
      <c r="R2237" s="2">
        <f>(Table1[[#This Row],[CO2 Emissions (g CO2)]])/(Table1[[#This Row],[Generation (TWh)]]*10^9)</f>
        <v>1698.6821296784397</v>
      </c>
    </row>
    <row r="2238" spans="1:18">
      <c r="A2238" t="s">
        <v>21</v>
      </c>
      <c r="B2238" t="s">
        <v>19</v>
      </c>
      <c r="C2238" t="str">
        <f>SUBSTITUTE(Table1[[#This Row],[Fuel]],", ",",")</f>
        <v>bioenergy: refuse (municipal and industrial wastes)</v>
      </c>
      <c r="D2238" t="s">
        <v>19</v>
      </c>
      <c r="G2238">
        <v>15</v>
      </c>
      <c r="H2238" t="s">
        <v>20</v>
      </c>
      <c r="I2238" t="s">
        <v>21</v>
      </c>
      <c r="J2238" t="s">
        <v>21</v>
      </c>
      <c r="K2238">
        <v>29.488099999999999</v>
      </c>
      <c r="L2238">
        <v>106.0993</v>
      </c>
      <c r="M2238" t="s">
        <v>102</v>
      </c>
      <c r="N2238" s="2">
        <f>Table1[[#This Row],[Capacity (MW)]]*8760*0.72*10^-6</f>
        <v>9.4607999999999998E-2</v>
      </c>
      <c r="O2238" s="2" cm="1">
        <f t="array" ref="O2238">AVERAGE(VLOOKUP(_xlfn.TEXTSPLIT(Table1[[#This Row],[Fuel (no space after comma)]], ","), FuelList_Final_EF!$A$2:$B$32, 2, FALSE))</f>
        <v>105.42962572482868</v>
      </c>
      <c r="P2238" s="2">
        <f>(16112*Table1[[#This Row],[Generation (TWh)]]*10^9)/10^6</f>
        <v>1524324.0959999999</v>
      </c>
      <c r="Q2238" s="2">
        <f>Table1[[#This Row],[Emission Factor (kg CO2/ mmBtu)]]*Table1[[#This Row],[Fuel Consumption (mmBtu)]]*10^3</f>
        <v>160708918924.61783</v>
      </c>
      <c r="R2238" s="2">
        <f>(Table1[[#This Row],[CO2 Emissions (g CO2)]])/(Table1[[#This Row],[Generation (TWh)]]*10^9)</f>
        <v>1698.6821296784397</v>
      </c>
    </row>
    <row r="2239" spans="1:18">
      <c r="A2239" t="s">
        <v>21</v>
      </c>
      <c r="B2239" t="s">
        <v>19</v>
      </c>
      <c r="C2239" t="str">
        <f>SUBSTITUTE(Table1[[#This Row],[Fuel]],", ",",")</f>
        <v>bioenergy: refuse (municipal and industrial wastes)</v>
      </c>
      <c r="D2239" t="s">
        <v>19</v>
      </c>
      <c r="G2239">
        <v>15</v>
      </c>
      <c r="H2239" t="s">
        <v>20</v>
      </c>
      <c r="I2239" t="s">
        <v>21</v>
      </c>
      <c r="J2239" t="s">
        <v>21</v>
      </c>
      <c r="K2239">
        <v>29.488099999999999</v>
      </c>
      <c r="L2239">
        <v>106.0993</v>
      </c>
      <c r="M2239" t="s">
        <v>102</v>
      </c>
      <c r="N2239" s="2">
        <f>Table1[[#This Row],[Capacity (MW)]]*8760*0.72*10^-6</f>
        <v>9.4607999999999998E-2</v>
      </c>
      <c r="O2239" s="2" cm="1">
        <f t="array" ref="O2239">AVERAGE(VLOOKUP(_xlfn.TEXTSPLIT(Table1[[#This Row],[Fuel (no space after comma)]], ","), FuelList_Final_EF!$A$2:$B$32, 2, FALSE))</f>
        <v>105.42962572482868</v>
      </c>
      <c r="P2239" s="2">
        <f>(16112*Table1[[#This Row],[Generation (TWh)]]*10^9)/10^6</f>
        <v>1524324.0959999999</v>
      </c>
      <c r="Q2239" s="2">
        <f>Table1[[#This Row],[Emission Factor (kg CO2/ mmBtu)]]*Table1[[#This Row],[Fuel Consumption (mmBtu)]]*10^3</f>
        <v>160708918924.61783</v>
      </c>
      <c r="R2239" s="2">
        <f>(Table1[[#This Row],[CO2 Emissions (g CO2)]])/(Table1[[#This Row],[Generation (TWh)]]*10^9)</f>
        <v>1698.6821296784397</v>
      </c>
    </row>
    <row r="2240" spans="1:18" hidden="1">
      <c r="A2240" t="s">
        <v>21</v>
      </c>
      <c r="B2240" t="s">
        <v>19</v>
      </c>
      <c r="C2240" t="str">
        <f>SUBSTITUTE(Table1[[#This Row],[Fuel]],", ",",")</f>
        <v>bioenergy: refuse (municipal and industrial wastes)</v>
      </c>
      <c r="D2240" t="s">
        <v>19</v>
      </c>
      <c r="G2240">
        <v>25</v>
      </c>
      <c r="H2240" t="s">
        <v>27</v>
      </c>
      <c r="I2240">
        <v>2021</v>
      </c>
      <c r="J2240" t="s">
        <v>21</v>
      </c>
      <c r="K2240">
        <v>30.051566000000001</v>
      </c>
      <c r="L2240">
        <v>106.506534</v>
      </c>
      <c r="M2240" t="s">
        <v>102</v>
      </c>
      <c r="N2240" s="2">
        <f>Table1[[#This Row],[Capacity (MW)]]*8760*0.72*10^-6</f>
        <v>0.15767999999999999</v>
      </c>
      <c r="O2240" s="2" cm="1">
        <f t="array" ref="O2240">AVERAGE(VLOOKUP(_xlfn.TEXTSPLIT(Table1[[#This Row],[Fuel (no space after comma)]], ","), FuelList_Final_EF!$A$2:$B$32, 2, FALSE))</f>
        <v>105.42962572482868</v>
      </c>
      <c r="P2240" s="2">
        <f>(16112*Table1[[#This Row],[Generation (TWh)]]*10^9)/10^6</f>
        <v>2540540.16</v>
      </c>
      <c r="Q2240" s="2">
        <f>Table1[[#This Row],[Emission Factor (kg CO2/ mmBtu)]]*Table1[[#This Row],[Fuel Consumption (mmBtu)]]*10^3</f>
        <v>267848198207.69638</v>
      </c>
      <c r="R2240" s="2">
        <f>(Table1[[#This Row],[CO2 Emissions (g CO2)]])/(Table1[[#This Row],[Generation (TWh)]]*10^9)</f>
        <v>1698.6821296784397</v>
      </c>
    </row>
    <row r="2241" spans="1:18" hidden="1">
      <c r="A2241" t="s">
        <v>21</v>
      </c>
      <c r="B2241" t="s">
        <v>41</v>
      </c>
      <c r="C2241" t="str">
        <f>SUBSTITUTE(Table1[[#This Row],[Fuel]],", ",",")</f>
        <v>bioenergy: refuse (municipal and industrial wastes),bioenergy: wastewater and sewage sludge (solids or biogas)</v>
      </c>
      <c r="D2241" t="s">
        <v>19</v>
      </c>
      <c r="E2241" t="s">
        <v>42</v>
      </c>
      <c r="G2241">
        <v>12</v>
      </c>
      <c r="H2241" t="s">
        <v>27</v>
      </c>
      <c r="I2241">
        <v>2018</v>
      </c>
      <c r="J2241" t="s">
        <v>21</v>
      </c>
      <c r="K2241">
        <v>31.119403999999999</v>
      </c>
      <c r="L2241">
        <v>108.469089</v>
      </c>
      <c r="M2241" t="s">
        <v>102</v>
      </c>
      <c r="N2241" s="2">
        <f>Table1[[#This Row],[Capacity (MW)]]*8760*0.72*10^-6</f>
        <v>7.5686399999999987E-2</v>
      </c>
      <c r="O2241" s="2" cm="1">
        <f t="array" ref="O2241">AVERAGE(VLOOKUP(_xlfn.TEXTSPLIT(Table1[[#This Row],[Fuel (no space after comma)]], ","), FuelList_Final_EF!$A$2:$B$32, 2, FALSE))</f>
        <v>81.497100685292565</v>
      </c>
      <c r="P2241" s="2">
        <f>(16112*Table1[[#This Row],[Generation (TWh)]]*10^9)/10^6</f>
        <v>1219459.2767999996</v>
      </c>
      <c r="Q2241" s="2">
        <f>Table1[[#This Row],[Emission Factor (kg CO2/ mmBtu)]]*Table1[[#This Row],[Fuel Consumption (mmBtu)]]*10^3</f>
        <v>99382395462.983627</v>
      </c>
      <c r="R2241" s="2">
        <f>(Table1[[#This Row],[CO2 Emissions (g CO2)]])/(Table1[[#This Row],[Generation (TWh)]]*10^9)</f>
        <v>1313.0812862414336</v>
      </c>
    </row>
    <row r="2242" spans="1:18" hidden="1">
      <c r="A2242" t="s">
        <v>21</v>
      </c>
      <c r="B2242" t="s">
        <v>19</v>
      </c>
      <c r="C2242" t="str">
        <f>SUBSTITUTE(Table1[[#This Row],[Fuel]],", ",",")</f>
        <v>bioenergy: refuse (municipal and industrial wastes)</v>
      </c>
      <c r="D2242" t="s">
        <v>19</v>
      </c>
      <c r="G2242">
        <v>9</v>
      </c>
      <c r="H2242" t="s">
        <v>27</v>
      </c>
      <c r="I2242">
        <v>2023</v>
      </c>
      <c r="J2242" t="s">
        <v>21</v>
      </c>
      <c r="K2242">
        <v>30.806996999999999</v>
      </c>
      <c r="L2242">
        <v>107.53563200000001</v>
      </c>
      <c r="M2242" t="s">
        <v>102</v>
      </c>
      <c r="N2242" s="2">
        <f>Table1[[#This Row],[Capacity (MW)]]*8760*0.72*10^-6</f>
        <v>5.676479999999999E-2</v>
      </c>
      <c r="O2242" s="2" cm="1">
        <f t="array" ref="O2242">AVERAGE(VLOOKUP(_xlfn.TEXTSPLIT(Table1[[#This Row],[Fuel (no space after comma)]], ","), FuelList_Final_EF!$A$2:$B$32, 2, FALSE))</f>
        <v>105.42962572482868</v>
      </c>
      <c r="P2242" s="2">
        <f>(16112*Table1[[#This Row],[Generation (TWh)]]*10^9)/10^6</f>
        <v>914594.45759999985</v>
      </c>
      <c r="Q2242" s="2">
        <f>Table1[[#This Row],[Emission Factor (kg CO2/ mmBtu)]]*Table1[[#This Row],[Fuel Consumption (mmBtu)]]*10^3</f>
        <v>96425351354.770676</v>
      </c>
      <c r="R2242" s="2">
        <f>(Table1[[#This Row],[CO2 Emissions (g CO2)]])/(Table1[[#This Row],[Generation (TWh)]]*10^9)</f>
        <v>1698.6821296784397</v>
      </c>
    </row>
    <row r="2243" spans="1:18" hidden="1">
      <c r="A2243" t="s">
        <v>21</v>
      </c>
      <c r="B2243" t="s">
        <v>19</v>
      </c>
      <c r="C2243" t="str">
        <f>SUBSTITUTE(Table1[[#This Row],[Fuel]],", ",",")</f>
        <v>bioenergy: refuse (municipal and industrial wastes)</v>
      </c>
      <c r="D2243" t="s">
        <v>19</v>
      </c>
      <c r="G2243">
        <v>15</v>
      </c>
      <c r="H2243" t="s">
        <v>27</v>
      </c>
      <c r="I2243">
        <v>2022</v>
      </c>
      <c r="J2243" t="s">
        <v>21</v>
      </c>
      <c r="K2243">
        <v>29.350556999999998</v>
      </c>
      <c r="L2243">
        <v>105.50807500000001</v>
      </c>
      <c r="M2243" t="s">
        <v>102</v>
      </c>
      <c r="N2243" s="2">
        <f>Table1[[#This Row],[Capacity (MW)]]*8760*0.72*10^-6</f>
        <v>9.4607999999999998E-2</v>
      </c>
      <c r="O2243" s="2" cm="1">
        <f t="array" ref="O2243">AVERAGE(VLOOKUP(_xlfn.TEXTSPLIT(Table1[[#This Row],[Fuel (no space after comma)]], ","), FuelList_Final_EF!$A$2:$B$32, 2, FALSE))</f>
        <v>105.42962572482868</v>
      </c>
      <c r="P2243" s="2">
        <f>(16112*Table1[[#This Row],[Generation (TWh)]]*10^9)/10^6</f>
        <v>1524324.0959999999</v>
      </c>
      <c r="Q2243" s="2">
        <f>Table1[[#This Row],[Emission Factor (kg CO2/ mmBtu)]]*Table1[[#This Row],[Fuel Consumption (mmBtu)]]*10^3</f>
        <v>160708918924.61783</v>
      </c>
      <c r="R2243" s="2">
        <f>(Table1[[#This Row],[CO2 Emissions (g CO2)]])/(Table1[[#This Row],[Generation (TWh)]]*10^9)</f>
        <v>1698.6821296784397</v>
      </c>
    </row>
    <row r="2244" spans="1:18" hidden="1">
      <c r="A2244" t="s">
        <v>21</v>
      </c>
      <c r="B2244" t="s">
        <v>19</v>
      </c>
      <c r="C2244" t="str">
        <f>SUBSTITUTE(Table1[[#This Row],[Fuel]],", ",",")</f>
        <v>bioenergy: refuse (municipal and industrial wastes)</v>
      </c>
      <c r="D2244" t="s">
        <v>19</v>
      </c>
      <c r="G2244">
        <v>6</v>
      </c>
      <c r="H2244" t="s">
        <v>27</v>
      </c>
      <c r="I2244">
        <v>2020</v>
      </c>
      <c r="J2244" t="s">
        <v>21</v>
      </c>
      <c r="K2244">
        <v>30.169938999999999</v>
      </c>
      <c r="L2244">
        <v>108.112522</v>
      </c>
      <c r="M2244" t="s">
        <v>102</v>
      </c>
      <c r="N2244" s="2">
        <f>Table1[[#This Row],[Capacity (MW)]]*8760*0.72*10^-6</f>
        <v>3.7843199999999994E-2</v>
      </c>
      <c r="O2244" s="2" cm="1">
        <f t="array" ref="O2244">AVERAGE(VLOOKUP(_xlfn.TEXTSPLIT(Table1[[#This Row],[Fuel (no space after comma)]], ","), FuelList_Final_EF!$A$2:$B$32, 2, FALSE))</f>
        <v>105.42962572482868</v>
      </c>
      <c r="P2244" s="2">
        <f>(16112*Table1[[#This Row],[Generation (TWh)]]*10^9)/10^6</f>
        <v>609729.63839999982</v>
      </c>
      <c r="Q2244" s="2">
        <f>Table1[[#This Row],[Emission Factor (kg CO2/ mmBtu)]]*Table1[[#This Row],[Fuel Consumption (mmBtu)]]*10^3</f>
        <v>64283567569.847115</v>
      </c>
      <c r="R2244" s="2">
        <f>(Table1[[#This Row],[CO2 Emissions (g CO2)]])/(Table1[[#This Row],[Generation (TWh)]]*10^9)</f>
        <v>1698.6821296784397</v>
      </c>
    </row>
    <row r="2245" spans="1:18" hidden="1">
      <c r="A2245" t="s">
        <v>21</v>
      </c>
      <c r="B2245" t="s">
        <v>19</v>
      </c>
      <c r="C2245" t="str">
        <f>SUBSTITUTE(Table1[[#This Row],[Fuel]],", ",",")</f>
        <v>bioenergy: refuse (municipal and industrial wastes)</v>
      </c>
      <c r="D2245" t="s">
        <v>19</v>
      </c>
      <c r="G2245">
        <v>15</v>
      </c>
      <c r="H2245" t="s">
        <v>27</v>
      </c>
      <c r="I2245">
        <v>2015</v>
      </c>
      <c r="J2245" t="s">
        <v>21</v>
      </c>
      <c r="K2245">
        <v>30.651005000000001</v>
      </c>
      <c r="L2245">
        <v>108.37178400000001</v>
      </c>
      <c r="M2245" t="s">
        <v>102</v>
      </c>
      <c r="N2245" s="2">
        <f>Table1[[#This Row],[Capacity (MW)]]*8760*0.72*10^-6</f>
        <v>9.4607999999999998E-2</v>
      </c>
      <c r="O2245" s="2" cm="1">
        <f t="array" ref="O2245">AVERAGE(VLOOKUP(_xlfn.TEXTSPLIT(Table1[[#This Row],[Fuel (no space after comma)]], ","), FuelList_Final_EF!$A$2:$B$32, 2, FALSE))</f>
        <v>105.42962572482868</v>
      </c>
      <c r="P2245" s="2">
        <f>(16112*Table1[[#This Row],[Generation (TWh)]]*10^9)/10^6</f>
        <v>1524324.0959999999</v>
      </c>
      <c r="Q2245" s="2">
        <f>Table1[[#This Row],[Emission Factor (kg CO2/ mmBtu)]]*Table1[[#This Row],[Fuel Consumption (mmBtu)]]*10^3</f>
        <v>160708918924.61783</v>
      </c>
      <c r="R2245" s="2">
        <f>(Table1[[#This Row],[CO2 Emissions (g CO2)]])/(Table1[[#This Row],[Generation (TWh)]]*10^9)</f>
        <v>1698.6821296784397</v>
      </c>
    </row>
    <row r="2246" spans="1:18" hidden="1">
      <c r="A2246" t="s">
        <v>21</v>
      </c>
      <c r="B2246" t="s">
        <v>19</v>
      </c>
      <c r="C2246" t="str">
        <f>SUBSTITUTE(Table1[[#This Row],[Fuel]],", ",",")</f>
        <v>bioenergy: refuse (municipal and industrial wastes)</v>
      </c>
      <c r="D2246" t="s">
        <v>19</v>
      </c>
      <c r="G2246">
        <v>20</v>
      </c>
      <c r="H2246" t="s">
        <v>53</v>
      </c>
      <c r="I2246">
        <v>2025</v>
      </c>
      <c r="J2246" t="s">
        <v>21</v>
      </c>
      <c r="K2246">
        <v>31.005447</v>
      </c>
      <c r="L2246">
        <v>108.586524</v>
      </c>
      <c r="M2246" t="s">
        <v>102</v>
      </c>
      <c r="N2246" s="2">
        <f>Table1[[#This Row],[Capacity (MW)]]*8760*0.72*10^-6</f>
        <v>0.12614400000000001</v>
      </c>
      <c r="O2246" s="2" cm="1">
        <f t="array" ref="O2246">AVERAGE(VLOOKUP(_xlfn.TEXTSPLIT(Table1[[#This Row],[Fuel (no space after comma)]], ","), FuelList_Final_EF!$A$2:$B$32, 2, FALSE))</f>
        <v>105.42962572482868</v>
      </c>
      <c r="P2246" s="2">
        <f>(16112*Table1[[#This Row],[Generation (TWh)]]*10^9)/10^6</f>
        <v>2032432.1280000003</v>
      </c>
      <c r="Q2246" s="2">
        <f>Table1[[#This Row],[Emission Factor (kg CO2/ mmBtu)]]*Table1[[#This Row],[Fuel Consumption (mmBtu)]]*10^3</f>
        <v>214278558566.15714</v>
      </c>
      <c r="R2246" s="2">
        <f>(Table1[[#This Row],[CO2 Emissions (g CO2)]])/(Table1[[#This Row],[Generation (TWh)]]*10^9)</f>
        <v>1698.6821296784401</v>
      </c>
    </row>
    <row r="2247" spans="1:18" hidden="1">
      <c r="A2247" t="s">
        <v>21</v>
      </c>
      <c r="B2247" t="s">
        <v>46</v>
      </c>
      <c r="C2247" t="str">
        <f>SUBSTITUTE(Table1[[#This Row],[Fuel]],", ",",")</f>
        <v>bioenergy: agricultural waste (solids)</v>
      </c>
      <c r="D2247" t="s">
        <v>46</v>
      </c>
      <c r="G2247">
        <v>20</v>
      </c>
      <c r="H2247" t="s">
        <v>27</v>
      </c>
      <c r="I2247">
        <v>2013</v>
      </c>
      <c r="J2247" t="s">
        <v>21</v>
      </c>
      <c r="K2247">
        <v>15.236896700000001</v>
      </c>
      <c r="L2247">
        <v>-88.489878700000006</v>
      </c>
      <c r="M2247" t="s">
        <v>249</v>
      </c>
      <c r="N2247" s="2">
        <f>Table1[[#This Row],[Capacity (MW)]]*8760*0.72*10^-6</f>
        <v>0.12614400000000001</v>
      </c>
      <c r="O2247" s="2" cm="1">
        <f t="array" ref="O2247">AVERAGE(VLOOKUP(_xlfn.TEXTSPLIT(Table1[[#This Row],[Fuel (no space after comma)]], ","), FuelList_Final_EF!$A$2:$B$32, 2, FALSE))</f>
        <v>118.17</v>
      </c>
      <c r="P2247" s="2">
        <f>(16112*Table1[[#This Row],[Generation (TWh)]]*10^9)/10^6</f>
        <v>2032432.1280000003</v>
      </c>
      <c r="Q2247" s="2">
        <f>Table1[[#This Row],[Emission Factor (kg CO2/ mmBtu)]]*Table1[[#This Row],[Fuel Consumption (mmBtu)]]*10^3</f>
        <v>240172504565.76004</v>
      </c>
      <c r="R2247" s="2">
        <f>(Table1[[#This Row],[CO2 Emissions (g CO2)]])/(Table1[[#This Row],[Generation (TWh)]]*10^9)</f>
        <v>1903.9550400000003</v>
      </c>
    </row>
    <row r="2248" spans="1:18" hidden="1">
      <c r="A2248" t="s">
        <v>1306</v>
      </c>
      <c r="B2248" t="s">
        <v>25</v>
      </c>
      <c r="C2248" t="str">
        <f>SUBSTITUTE(Table1[[#This Row],[Fuel]],", ",",")</f>
        <v>bioenergy: wood &amp; other biomass (solids)</v>
      </c>
      <c r="D2248" t="s">
        <v>25</v>
      </c>
      <c r="G2248">
        <v>3</v>
      </c>
      <c r="H2248" t="s">
        <v>27</v>
      </c>
      <c r="I2248">
        <v>2011</v>
      </c>
      <c r="J2248" t="s">
        <v>21</v>
      </c>
      <c r="K2248">
        <v>35.826999999999998</v>
      </c>
      <c r="L2248">
        <v>128.52930000000001</v>
      </c>
      <c r="M2248" t="s">
        <v>333</v>
      </c>
      <c r="N2248" s="2">
        <f>Table1[[#This Row],[Capacity (MW)]]*8760*0.72*10^-6</f>
        <v>1.8921599999999997E-2</v>
      </c>
      <c r="O2248" s="2" cm="1">
        <f t="array" ref="O2248">AVERAGE(VLOOKUP(_xlfn.TEXTSPLIT(Table1[[#This Row],[Fuel (no space after comma)]], ","), FuelList_Final_EF!$A$2:$B$32, 2, FALSE))</f>
        <v>93.8</v>
      </c>
      <c r="P2248" s="2">
        <f>(16112*Table1[[#This Row],[Generation (TWh)]]*10^9)/10^6</f>
        <v>304864.81919999991</v>
      </c>
      <c r="Q2248" s="2">
        <f>Table1[[#This Row],[Emission Factor (kg CO2/ mmBtu)]]*Table1[[#This Row],[Fuel Consumption (mmBtu)]]*10^3</f>
        <v>28596320040.959991</v>
      </c>
      <c r="R2248" s="2">
        <f>(Table1[[#This Row],[CO2 Emissions (g CO2)]])/(Table1[[#This Row],[Generation (TWh)]]*10^9)</f>
        <v>1511.3055999999999</v>
      </c>
    </row>
    <row r="2249" spans="1:18" hidden="1">
      <c r="A2249" t="s">
        <v>1307</v>
      </c>
      <c r="B2249" t="s">
        <v>25</v>
      </c>
      <c r="C2249" t="str">
        <f>SUBSTITUTE(Table1[[#This Row],[Fuel]],", ",",")</f>
        <v>bioenergy: wood &amp; other biomass (solids)</v>
      </c>
      <c r="D2249" t="s">
        <v>25</v>
      </c>
      <c r="G2249">
        <v>1.4</v>
      </c>
      <c r="H2249" t="s">
        <v>27</v>
      </c>
      <c r="I2249">
        <v>2014</v>
      </c>
      <c r="J2249" t="s">
        <v>21</v>
      </c>
      <c r="K2249">
        <v>37.9161</v>
      </c>
      <c r="L2249">
        <v>127.07810000000001</v>
      </c>
      <c r="M2249" t="s">
        <v>333</v>
      </c>
      <c r="N2249" s="2">
        <f>Table1[[#This Row],[Capacity (MW)]]*8760*0.72*10^-6</f>
        <v>8.8300799999999988E-3</v>
      </c>
      <c r="O2249" s="2" cm="1">
        <f t="array" ref="O2249">AVERAGE(VLOOKUP(_xlfn.TEXTSPLIT(Table1[[#This Row],[Fuel (no space after comma)]], ","), FuelList_Final_EF!$A$2:$B$32, 2, FALSE))</f>
        <v>93.8</v>
      </c>
      <c r="P2249" s="2">
        <f>(16112*Table1[[#This Row],[Generation (TWh)]]*10^9)/10^6</f>
        <v>142270.24895999997</v>
      </c>
      <c r="Q2249" s="2">
        <f>Table1[[#This Row],[Emission Factor (kg CO2/ mmBtu)]]*Table1[[#This Row],[Fuel Consumption (mmBtu)]]*10^3</f>
        <v>13344949352.447996</v>
      </c>
      <c r="R2249" s="2">
        <f>(Table1[[#This Row],[CO2 Emissions (g CO2)]])/(Table1[[#This Row],[Generation (TWh)]]*10^9)</f>
        <v>1511.3055999999999</v>
      </c>
    </row>
    <row r="2250" spans="1:18" hidden="1">
      <c r="A2250" t="s">
        <v>1308</v>
      </c>
      <c r="B2250" t="s">
        <v>25</v>
      </c>
      <c r="C2250" t="str">
        <f>SUBSTITUTE(Table1[[#This Row],[Fuel]],", ",",")</f>
        <v>bioenergy: wood &amp; other biomass (solids)</v>
      </c>
      <c r="D2250" t="s">
        <v>25</v>
      </c>
      <c r="G2250">
        <v>1.1000000000000001</v>
      </c>
      <c r="H2250" t="s">
        <v>27</v>
      </c>
      <c r="I2250">
        <v>2017</v>
      </c>
      <c r="J2250" t="s">
        <v>21</v>
      </c>
      <c r="K2250">
        <v>37.015799999999999</v>
      </c>
      <c r="L2250">
        <v>126.99420000000001</v>
      </c>
      <c r="M2250" t="s">
        <v>333</v>
      </c>
      <c r="N2250" s="2">
        <f>Table1[[#This Row],[Capacity (MW)]]*8760*0.72*10^-6</f>
        <v>6.9379199999999993E-3</v>
      </c>
      <c r="O2250" s="2" cm="1">
        <f t="array" ref="O2250">AVERAGE(VLOOKUP(_xlfn.TEXTSPLIT(Table1[[#This Row],[Fuel (no space after comma)]], ","), FuelList_Final_EF!$A$2:$B$32, 2, FALSE))</f>
        <v>93.8</v>
      </c>
      <c r="P2250" s="2">
        <f>(16112*Table1[[#This Row],[Generation (TWh)]]*10^9)/10^6</f>
        <v>111783.76703999999</v>
      </c>
      <c r="Q2250" s="2">
        <f>Table1[[#This Row],[Emission Factor (kg CO2/ mmBtu)]]*Table1[[#This Row],[Fuel Consumption (mmBtu)]]*10^3</f>
        <v>10485317348.351997</v>
      </c>
      <c r="R2250" s="2">
        <f>(Table1[[#This Row],[CO2 Emissions (g CO2)]])/(Table1[[#This Row],[Generation (TWh)]]*10^9)</f>
        <v>1511.3055999999999</v>
      </c>
    </row>
    <row r="2251" spans="1:18" hidden="1">
      <c r="A2251" t="s">
        <v>1309</v>
      </c>
      <c r="B2251" t="s">
        <v>25</v>
      </c>
      <c r="C2251" t="str">
        <f>SUBSTITUTE(Table1[[#This Row],[Fuel]],", ",",")</f>
        <v>bioenergy: wood &amp; other biomass (solids)</v>
      </c>
      <c r="D2251" t="s">
        <v>25</v>
      </c>
      <c r="G2251">
        <v>5</v>
      </c>
      <c r="H2251" t="s">
        <v>27</v>
      </c>
      <c r="I2251">
        <v>2019</v>
      </c>
      <c r="J2251" t="s">
        <v>21</v>
      </c>
      <c r="K2251">
        <v>35.9221</v>
      </c>
      <c r="L2251" t="s">
        <v>21</v>
      </c>
      <c r="M2251" t="s">
        <v>333</v>
      </c>
      <c r="N2251" s="2">
        <f>Table1[[#This Row],[Capacity (MW)]]*8760*0.72*10^-6</f>
        <v>3.1536000000000002E-2</v>
      </c>
      <c r="O2251" s="2" cm="1">
        <f t="array" ref="O2251">AVERAGE(VLOOKUP(_xlfn.TEXTSPLIT(Table1[[#This Row],[Fuel (no space after comma)]], ","), FuelList_Final_EF!$A$2:$B$32, 2, FALSE))</f>
        <v>93.8</v>
      </c>
      <c r="P2251" s="2">
        <f>(16112*Table1[[#This Row],[Generation (TWh)]]*10^9)/10^6</f>
        <v>508108.03200000006</v>
      </c>
      <c r="Q2251" s="2">
        <f>Table1[[#This Row],[Emission Factor (kg CO2/ mmBtu)]]*Table1[[#This Row],[Fuel Consumption (mmBtu)]]*10^3</f>
        <v>47660533401.600006</v>
      </c>
      <c r="R2251" s="2">
        <f>(Table1[[#This Row],[CO2 Emissions (g CO2)]])/(Table1[[#This Row],[Generation (TWh)]]*10^9)</f>
        <v>1511.3056000000001</v>
      </c>
    </row>
    <row r="2252" spans="1:18" hidden="1">
      <c r="A2252" t="s">
        <v>21</v>
      </c>
      <c r="B2252" t="s">
        <v>19</v>
      </c>
      <c r="C2252" t="str">
        <f>SUBSTITUTE(Table1[[#This Row],[Fuel]],", ",",")</f>
        <v>bioenergy: refuse (municipal and industrial wastes)</v>
      </c>
      <c r="D2252" t="s">
        <v>19</v>
      </c>
      <c r="G2252">
        <v>12</v>
      </c>
      <c r="H2252" t="s">
        <v>27</v>
      </c>
      <c r="I2252">
        <v>2019</v>
      </c>
      <c r="J2252" t="s">
        <v>21</v>
      </c>
      <c r="K2252">
        <v>27.276675000000001</v>
      </c>
      <c r="L2252">
        <v>120.171909</v>
      </c>
      <c r="M2252" t="s">
        <v>102</v>
      </c>
      <c r="N2252" s="2">
        <f>Table1[[#This Row],[Capacity (MW)]]*8760*0.72*10^-6</f>
        <v>7.5686399999999987E-2</v>
      </c>
      <c r="O2252" s="2" cm="1">
        <f t="array" ref="O2252">AVERAGE(VLOOKUP(_xlfn.TEXTSPLIT(Table1[[#This Row],[Fuel (no space after comma)]], ","), FuelList_Final_EF!$A$2:$B$32, 2, FALSE))</f>
        <v>105.42962572482868</v>
      </c>
      <c r="P2252" s="2">
        <f>(16112*Table1[[#This Row],[Generation (TWh)]]*10^9)/10^6</f>
        <v>1219459.2767999996</v>
      </c>
      <c r="Q2252" s="2">
        <f>Table1[[#This Row],[Emission Factor (kg CO2/ mmBtu)]]*Table1[[#This Row],[Fuel Consumption (mmBtu)]]*10^3</f>
        <v>128567135139.69423</v>
      </c>
      <c r="R2252" s="2">
        <f>(Table1[[#This Row],[CO2 Emissions (g CO2)]])/(Table1[[#This Row],[Generation (TWh)]]*10^9)</f>
        <v>1698.6821296784397</v>
      </c>
    </row>
    <row r="2253" spans="1:18" hidden="1">
      <c r="A2253" t="s">
        <v>21</v>
      </c>
      <c r="B2253" t="s">
        <v>19</v>
      </c>
      <c r="C2253" t="str">
        <f>SUBSTITUTE(Table1[[#This Row],[Fuel]],", ",",")</f>
        <v>bioenergy: refuse (municipal and industrial wastes)</v>
      </c>
      <c r="D2253" t="s">
        <v>19</v>
      </c>
      <c r="G2253">
        <v>6</v>
      </c>
      <c r="H2253" t="s">
        <v>27</v>
      </c>
      <c r="I2253">
        <v>2017</v>
      </c>
      <c r="J2253" t="s">
        <v>21</v>
      </c>
      <c r="K2253">
        <v>25.678812000000001</v>
      </c>
      <c r="L2253">
        <v>119.367107</v>
      </c>
      <c r="M2253" t="s">
        <v>102</v>
      </c>
      <c r="N2253" s="2">
        <f>Table1[[#This Row],[Capacity (MW)]]*8760*0.72*10^-6</f>
        <v>3.7843199999999994E-2</v>
      </c>
      <c r="O2253" s="2" cm="1">
        <f t="array" ref="O2253">AVERAGE(VLOOKUP(_xlfn.TEXTSPLIT(Table1[[#This Row],[Fuel (no space after comma)]], ","), FuelList_Final_EF!$A$2:$B$32, 2, FALSE))</f>
        <v>105.42962572482868</v>
      </c>
      <c r="P2253" s="2">
        <f>(16112*Table1[[#This Row],[Generation (TWh)]]*10^9)/10^6</f>
        <v>609729.63839999982</v>
      </c>
      <c r="Q2253" s="2">
        <f>Table1[[#This Row],[Emission Factor (kg CO2/ mmBtu)]]*Table1[[#This Row],[Fuel Consumption (mmBtu)]]*10^3</f>
        <v>64283567569.847115</v>
      </c>
      <c r="R2253" s="2">
        <f>(Table1[[#This Row],[CO2 Emissions (g CO2)]])/(Table1[[#This Row],[Generation (TWh)]]*10^9)</f>
        <v>1698.6821296784397</v>
      </c>
    </row>
    <row r="2254" spans="1:18" hidden="1">
      <c r="A2254" t="s">
        <v>21</v>
      </c>
      <c r="B2254" t="s">
        <v>19</v>
      </c>
      <c r="C2254" t="str">
        <f>SUBSTITUTE(Table1[[#This Row],[Fuel]],", ",",")</f>
        <v>bioenergy: refuse (municipal and industrial wastes)</v>
      </c>
      <c r="D2254" t="s">
        <v>19</v>
      </c>
      <c r="G2254">
        <v>12</v>
      </c>
      <c r="H2254" t="s">
        <v>27</v>
      </c>
      <c r="I2254">
        <v>2012</v>
      </c>
      <c r="J2254" t="s">
        <v>21</v>
      </c>
      <c r="K2254">
        <v>25.678812000000001</v>
      </c>
      <c r="L2254">
        <v>119.367107</v>
      </c>
      <c r="M2254" t="s">
        <v>102</v>
      </c>
      <c r="N2254" s="2">
        <f>Table1[[#This Row],[Capacity (MW)]]*8760*0.72*10^-6</f>
        <v>7.5686399999999987E-2</v>
      </c>
      <c r="O2254" s="2" cm="1">
        <f t="array" ref="O2254">AVERAGE(VLOOKUP(_xlfn.TEXTSPLIT(Table1[[#This Row],[Fuel (no space after comma)]], ","), FuelList_Final_EF!$A$2:$B$32, 2, FALSE))</f>
        <v>105.42962572482868</v>
      </c>
      <c r="P2254" s="2">
        <f>(16112*Table1[[#This Row],[Generation (TWh)]]*10^9)/10^6</f>
        <v>1219459.2767999996</v>
      </c>
      <c r="Q2254" s="2">
        <f>Table1[[#This Row],[Emission Factor (kg CO2/ mmBtu)]]*Table1[[#This Row],[Fuel Consumption (mmBtu)]]*10^3</f>
        <v>128567135139.69423</v>
      </c>
      <c r="R2254" s="2">
        <f>(Table1[[#This Row],[CO2 Emissions (g CO2)]])/(Table1[[#This Row],[Generation (TWh)]]*10^9)</f>
        <v>1698.6821296784397</v>
      </c>
    </row>
    <row r="2255" spans="1:18">
      <c r="A2255" t="s">
        <v>21</v>
      </c>
      <c r="B2255" t="s">
        <v>41</v>
      </c>
      <c r="C2255" t="str">
        <f>SUBSTITUTE(Table1[[#This Row],[Fuel]],", ",",")</f>
        <v>bioenergy: refuse (municipal and industrial wastes),bioenergy: wastewater and sewage sludge (solids or biogas)</v>
      </c>
      <c r="D2255" t="s">
        <v>19</v>
      </c>
      <c r="E2255" t="s">
        <v>42</v>
      </c>
      <c r="G2255">
        <v>20</v>
      </c>
      <c r="H2255" t="s">
        <v>53</v>
      </c>
      <c r="I2255" t="s">
        <v>21</v>
      </c>
      <c r="J2255" t="s">
        <v>21</v>
      </c>
      <c r="K2255">
        <v>25.678812000000001</v>
      </c>
      <c r="L2255">
        <v>119.367107</v>
      </c>
      <c r="M2255" t="s">
        <v>102</v>
      </c>
      <c r="N2255" s="2">
        <f>Table1[[#This Row],[Capacity (MW)]]*8760*0.72*10^-6</f>
        <v>0.12614400000000001</v>
      </c>
      <c r="O2255" s="2" cm="1">
        <f t="array" ref="O2255">AVERAGE(VLOOKUP(_xlfn.TEXTSPLIT(Table1[[#This Row],[Fuel (no space after comma)]], ","), FuelList_Final_EF!$A$2:$B$32, 2, FALSE))</f>
        <v>81.497100685292565</v>
      </c>
      <c r="P2255" s="2">
        <f>(16112*Table1[[#This Row],[Generation (TWh)]]*10^9)/10^6</f>
        <v>2032432.1280000003</v>
      </c>
      <c r="Q2255" s="2">
        <f>Table1[[#This Row],[Emission Factor (kg CO2/ mmBtu)]]*Table1[[#This Row],[Fuel Consumption (mmBtu)]]*10^3</f>
        <v>165637325771.63943</v>
      </c>
      <c r="R2255" s="2">
        <f>(Table1[[#This Row],[CO2 Emissions (g CO2)]])/(Table1[[#This Row],[Generation (TWh)]]*10^9)</f>
        <v>1313.0812862414339</v>
      </c>
    </row>
    <row r="2256" spans="1:18" hidden="1">
      <c r="A2256" t="s">
        <v>21</v>
      </c>
      <c r="B2256" t="s">
        <v>19</v>
      </c>
      <c r="C2256" t="str">
        <f>SUBSTITUTE(Table1[[#This Row],[Fuel]],", ",",")</f>
        <v>bioenergy: refuse (municipal and industrial wastes)</v>
      </c>
      <c r="D2256" t="s">
        <v>19</v>
      </c>
      <c r="G2256">
        <v>25</v>
      </c>
      <c r="H2256" t="s">
        <v>27</v>
      </c>
      <c r="I2256">
        <v>2021</v>
      </c>
      <c r="J2256" t="s">
        <v>21</v>
      </c>
      <c r="K2256">
        <v>24.662306000000001</v>
      </c>
      <c r="L2256">
        <v>117.606577</v>
      </c>
      <c r="M2256" t="s">
        <v>102</v>
      </c>
      <c r="N2256" s="2">
        <f>Table1[[#This Row],[Capacity (MW)]]*8760*0.72*10^-6</f>
        <v>0.15767999999999999</v>
      </c>
      <c r="O2256" s="2" cm="1">
        <f t="array" ref="O2256">AVERAGE(VLOOKUP(_xlfn.TEXTSPLIT(Table1[[#This Row],[Fuel (no space after comma)]], ","), FuelList_Final_EF!$A$2:$B$32, 2, FALSE))</f>
        <v>105.42962572482868</v>
      </c>
      <c r="P2256" s="2">
        <f>(16112*Table1[[#This Row],[Generation (TWh)]]*10^9)/10^6</f>
        <v>2540540.16</v>
      </c>
      <c r="Q2256" s="2">
        <f>Table1[[#This Row],[Emission Factor (kg CO2/ mmBtu)]]*Table1[[#This Row],[Fuel Consumption (mmBtu)]]*10^3</f>
        <v>267848198207.69638</v>
      </c>
      <c r="R2256" s="2">
        <f>(Table1[[#This Row],[CO2 Emissions (g CO2)]])/(Table1[[#This Row],[Generation (TWh)]]*10^9)</f>
        <v>1698.6821296784397</v>
      </c>
    </row>
    <row r="2257" spans="1:18" hidden="1">
      <c r="A2257" t="s">
        <v>21</v>
      </c>
      <c r="B2257" t="s">
        <v>19</v>
      </c>
      <c r="C2257" t="str">
        <f>SUBSTITUTE(Table1[[#This Row],[Fuel]],", ",",")</f>
        <v>bioenergy: refuse (municipal and industrial wastes)</v>
      </c>
      <c r="D2257" t="s">
        <v>19</v>
      </c>
      <c r="G2257">
        <v>9</v>
      </c>
      <c r="H2257" t="s">
        <v>27</v>
      </c>
      <c r="I2257">
        <v>2015</v>
      </c>
      <c r="J2257" t="s">
        <v>21</v>
      </c>
      <c r="K2257">
        <v>24.946801000000001</v>
      </c>
      <c r="L2257">
        <v>118.849058</v>
      </c>
      <c r="M2257" t="s">
        <v>102</v>
      </c>
      <c r="N2257" s="2">
        <f>Table1[[#This Row],[Capacity (MW)]]*8760*0.72*10^-6</f>
        <v>5.676479999999999E-2</v>
      </c>
      <c r="O2257" s="2" cm="1">
        <f t="array" ref="O2257">AVERAGE(VLOOKUP(_xlfn.TEXTSPLIT(Table1[[#This Row],[Fuel (no space after comma)]], ","), FuelList_Final_EF!$A$2:$B$32, 2, FALSE))</f>
        <v>105.42962572482868</v>
      </c>
      <c r="P2257" s="2">
        <f>(16112*Table1[[#This Row],[Generation (TWh)]]*10^9)/10^6</f>
        <v>914594.45759999985</v>
      </c>
      <c r="Q2257" s="2">
        <f>Table1[[#This Row],[Emission Factor (kg CO2/ mmBtu)]]*Table1[[#This Row],[Fuel Consumption (mmBtu)]]*10^3</f>
        <v>96425351354.770676</v>
      </c>
      <c r="R2257" s="2">
        <f>(Table1[[#This Row],[CO2 Emissions (g CO2)]])/(Table1[[#This Row],[Generation (TWh)]]*10^9)</f>
        <v>1698.6821296784397</v>
      </c>
    </row>
    <row r="2258" spans="1:18" hidden="1">
      <c r="A2258" t="s">
        <v>21</v>
      </c>
      <c r="B2258" t="s">
        <v>19</v>
      </c>
      <c r="C2258" t="str">
        <f>SUBSTITUTE(Table1[[#This Row],[Fuel]],", ",",")</f>
        <v>bioenergy: refuse (municipal and industrial wastes)</v>
      </c>
      <c r="D2258" t="s">
        <v>19</v>
      </c>
      <c r="G2258">
        <v>15</v>
      </c>
      <c r="H2258" t="s">
        <v>27</v>
      </c>
      <c r="I2258">
        <v>2011</v>
      </c>
      <c r="J2258" t="s">
        <v>21</v>
      </c>
      <c r="K2258">
        <v>24.946801000000001</v>
      </c>
      <c r="L2258">
        <v>118.849058</v>
      </c>
      <c r="M2258" t="s">
        <v>102</v>
      </c>
      <c r="N2258" s="2">
        <f>Table1[[#This Row],[Capacity (MW)]]*8760*0.72*10^-6</f>
        <v>9.4607999999999998E-2</v>
      </c>
      <c r="O2258" s="2" cm="1">
        <f t="array" ref="O2258">AVERAGE(VLOOKUP(_xlfn.TEXTSPLIT(Table1[[#This Row],[Fuel (no space after comma)]], ","), FuelList_Final_EF!$A$2:$B$32, 2, FALSE))</f>
        <v>105.42962572482868</v>
      </c>
      <c r="P2258" s="2">
        <f>(16112*Table1[[#This Row],[Generation (TWh)]]*10^9)/10^6</f>
        <v>1524324.0959999999</v>
      </c>
      <c r="Q2258" s="2">
        <f>Table1[[#This Row],[Emission Factor (kg CO2/ mmBtu)]]*Table1[[#This Row],[Fuel Consumption (mmBtu)]]*10^3</f>
        <v>160708918924.61783</v>
      </c>
      <c r="R2258" s="2">
        <f>(Table1[[#This Row],[CO2 Emissions (g CO2)]])/(Table1[[#This Row],[Generation (TWh)]]*10^9)</f>
        <v>1698.6821296784397</v>
      </c>
    </row>
    <row r="2259" spans="1:18" hidden="1">
      <c r="A2259" t="s">
        <v>21</v>
      </c>
      <c r="B2259" t="s">
        <v>19</v>
      </c>
      <c r="C2259" t="str">
        <f>SUBSTITUTE(Table1[[#This Row],[Fuel]],", ",",")</f>
        <v>bioenergy: refuse (municipal and industrial wastes)</v>
      </c>
      <c r="D2259" t="s">
        <v>19</v>
      </c>
      <c r="G2259">
        <v>6</v>
      </c>
      <c r="H2259" t="s">
        <v>27</v>
      </c>
      <c r="I2259">
        <v>2022</v>
      </c>
      <c r="J2259" t="s">
        <v>21</v>
      </c>
      <c r="K2259">
        <v>26.198882000000001</v>
      </c>
      <c r="L2259">
        <v>118.818163</v>
      </c>
      <c r="M2259" t="s">
        <v>102</v>
      </c>
      <c r="N2259" s="2">
        <f>Table1[[#This Row],[Capacity (MW)]]*8760*0.72*10^-6</f>
        <v>3.7843199999999994E-2</v>
      </c>
      <c r="O2259" s="2" cm="1">
        <f t="array" ref="O2259">AVERAGE(VLOOKUP(_xlfn.TEXTSPLIT(Table1[[#This Row],[Fuel (no space after comma)]], ","), FuelList_Final_EF!$A$2:$B$32, 2, FALSE))</f>
        <v>105.42962572482868</v>
      </c>
      <c r="P2259" s="2">
        <f>(16112*Table1[[#This Row],[Generation (TWh)]]*10^9)/10^6</f>
        <v>609729.63839999982</v>
      </c>
      <c r="Q2259" s="2">
        <f>Table1[[#This Row],[Emission Factor (kg CO2/ mmBtu)]]*Table1[[#This Row],[Fuel Consumption (mmBtu)]]*10^3</f>
        <v>64283567569.847115</v>
      </c>
      <c r="R2259" s="2">
        <f>(Table1[[#This Row],[CO2 Emissions (g CO2)]])/(Table1[[#This Row],[Generation (TWh)]]*10^9)</f>
        <v>1698.6821296784397</v>
      </c>
    </row>
    <row r="2260" spans="1:18" hidden="1">
      <c r="A2260" t="s">
        <v>21</v>
      </c>
      <c r="B2260" t="s">
        <v>41</v>
      </c>
      <c r="C2260" t="str">
        <f>SUBSTITUTE(Table1[[#This Row],[Fuel]],", ",",")</f>
        <v>bioenergy: refuse (municipal and industrial wastes),bioenergy: wastewater and sewage sludge (solids or biogas)</v>
      </c>
      <c r="D2260" t="s">
        <v>19</v>
      </c>
      <c r="E2260" t="s">
        <v>42</v>
      </c>
      <c r="G2260">
        <v>9</v>
      </c>
      <c r="H2260" t="s">
        <v>27</v>
      </c>
      <c r="I2260">
        <v>2018</v>
      </c>
      <c r="J2260" t="s">
        <v>21</v>
      </c>
      <c r="K2260">
        <v>26.532513999999999</v>
      </c>
      <c r="L2260">
        <v>118.282742</v>
      </c>
      <c r="M2260" t="s">
        <v>102</v>
      </c>
      <c r="N2260" s="2">
        <f>Table1[[#This Row],[Capacity (MW)]]*8760*0.72*10^-6</f>
        <v>5.676479999999999E-2</v>
      </c>
      <c r="O2260" s="2" cm="1">
        <f t="array" ref="O2260">AVERAGE(VLOOKUP(_xlfn.TEXTSPLIT(Table1[[#This Row],[Fuel (no space after comma)]], ","), FuelList_Final_EF!$A$2:$B$32, 2, FALSE))</f>
        <v>81.497100685292565</v>
      </c>
      <c r="P2260" s="2">
        <f>(16112*Table1[[#This Row],[Generation (TWh)]]*10^9)/10^6</f>
        <v>914594.45759999985</v>
      </c>
      <c r="Q2260" s="2">
        <f>Table1[[#This Row],[Emission Factor (kg CO2/ mmBtu)]]*Table1[[#This Row],[Fuel Consumption (mmBtu)]]*10^3</f>
        <v>74536796597.237732</v>
      </c>
      <c r="R2260" s="2">
        <f>(Table1[[#This Row],[CO2 Emissions (g CO2)]])/(Table1[[#This Row],[Generation (TWh)]]*10^9)</f>
        <v>1313.0812862414339</v>
      </c>
    </row>
    <row r="2261" spans="1:18" hidden="1">
      <c r="A2261" t="s">
        <v>21</v>
      </c>
      <c r="B2261" t="s">
        <v>19</v>
      </c>
      <c r="C2261" t="str">
        <f>SUBSTITUTE(Table1[[#This Row],[Fuel]],", ",",")</f>
        <v>bioenergy: refuse (municipal and industrial wastes)</v>
      </c>
      <c r="D2261" t="s">
        <v>19</v>
      </c>
      <c r="G2261">
        <v>12</v>
      </c>
      <c r="H2261" t="s">
        <v>27</v>
      </c>
      <c r="I2261">
        <v>2023</v>
      </c>
      <c r="J2261" t="s">
        <v>21</v>
      </c>
      <c r="K2261">
        <v>25.041793999999999</v>
      </c>
      <c r="L2261">
        <v>116.44937899999999</v>
      </c>
      <c r="M2261" t="s">
        <v>102</v>
      </c>
      <c r="N2261" s="2">
        <f>Table1[[#This Row],[Capacity (MW)]]*8760*0.72*10^-6</f>
        <v>7.5686399999999987E-2</v>
      </c>
      <c r="O2261" s="2" cm="1">
        <f t="array" ref="O2261">AVERAGE(VLOOKUP(_xlfn.TEXTSPLIT(Table1[[#This Row],[Fuel (no space after comma)]], ","), FuelList_Final_EF!$A$2:$B$32, 2, FALSE))</f>
        <v>105.42962572482868</v>
      </c>
      <c r="P2261" s="2">
        <f>(16112*Table1[[#This Row],[Generation (TWh)]]*10^9)/10^6</f>
        <v>1219459.2767999996</v>
      </c>
      <c r="Q2261" s="2">
        <f>Table1[[#This Row],[Emission Factor (kg CO2/ mmBtu)]]*Table1[[#This Row],[Fuel Consumption (mmBtu)]]*10^3</f>
        <v>128567135139.69423</v>
      </c>
      <c r="R2261" s="2">
        <f>(Table1[[#This Row],[CO2 Emissions (g CO2)]])/(Table1[[#This Row],[Generation (TWh)]]*10^9)</f>
        <v>1698.6821296784397</v>
      </c>
    </row>
    <row r="2262" spans="1:18" hidden="1">
      <c r="A2262" t="s">
        <v>21</v>
      </c>
      <c r="B2262" t="s">
        <v>19</v>
      </c>
      <c r="C2262" t="str">
        <f>SUBSTITUTE(Table1[[#This Row],[Fuel]],", ",",")</f>
        <v>bioenergy: refuse (municipal and industrial wastes)</v>
      </c>
      <c r="D2262" t="s">
        <v>19</v>
      </c>
      <c r="G2262">
        <v>7.5</v>
      </c>
      <c r="H2262" t="s">
        <v>27</v>
      </c>
      <c r="I2262">
        <v>2023</v>
      </c>
      <c r="J2262" t="s">
        <v>21</v>
      </c>
      <c r="K2262">
        <v>25.055712</v>
      </c>
      <c r="L2262">
        <v>116.136315</v>
      </c>
      <c r="M2262" t="s">
        <v>102</v>
      </c>
      <c r="N2262" s="2">
        <f>Table1[[#This Row],[Capacity (MW)]]*8760*0.72*10^-6</f>
        <v>4.7303999999999999E-2</v>
      </c>
      <c r="O2262" s="2" cm="1">
        <f t="array" ref="O2262">AVERAGE(VLOOKUP(_xlfn.TEXTSPLIT(Table1[[#This Row],[Fuel (no space after comma)]], ","), FuelList_Final_EF!$A$2:$B$32, 2, FALSE))</f>
        <v>105.42962572482868</v>
      </c>
      <c r="P2262" s="2">
        <f>(16112*Table1[[#This Row],[Generation (TWh)]]*10^9)/10^6</f>
        <v>762162.04799999995</v>
      </c>
      <c r="Q2262" s="2">
        <f>Table1[[#This Row],[Emission Factor (kg CO2/ mmBtu)]]*Table1[[#This Row],[Fuel Consumption (mmBtu)]]*10^3</f>
        <v>80354459462.308914</v>
      </c>
      <c r="R2262" s="2">
        <f>(Table1[[#This Row],[CO2 Emissions (g CO2)]])/(Table1[[#This Row],[Generation (TWh)]]*10^9)</f>
        <v>1698.6821296784397</v>
      </c>
    </row>
    <row r="2263" spans="1:18" hidden="1">
      <c r="A2263" t="s">
        <v>21</v>
      </c>
      <c r="B2263" t="s">
        <v>43</v>
      </c>
      <c r="C2263" t="str">
        <f>SUBSTITUTE(Table1[[#This Row],[Fuel]],", ",",")</f>
        <v>bioenergy: agricultural waste (biogas)</v>
      </c>
      <c r="D2263" t="s">
        <v>43</v>
      </c>
      <c r="G2263">
        <v>1</v>
      </c>
      <c r="H2263" t="s">
        <v>27</v>
      </c>
      <c r="I2263">
        <v>2022</v>
      </c>
      <c r="J2263" t="s">
        <v>21</v>
      </c>
      <c r="K2263">
        <v>24.723240000000001</v>
      </c>
      <c r="L2263">
        <v>118.273747</v>
      </c>
      <c r="M2263" t="s">
        <v>102</v>
      </c>
      <c r="N2263" s="2">
        <f>Table1[[#This Row],[Capacity (MW)]]*8760*0.72*10^-6</f>
        <v>6.3071999999999998E-3</v>
      </c>
      <c r="O2263" s="2" cm="1">
        <f t="array" ref="O2263">AVERAGE(VLOOKUP(_xlfn.TEXTSPLIT(Table1[[#This Row],[Fuel (no space after comma)]], ","), FuelList_Final_EF!$A$2:$B$32, 2, FALSE))</f>
        <v>52.07</v>
      </c>
      <c r="P2263" s="2">
        <f>(16112*Table1[[#This Row],[Generation (TWh)]]*10^9)/10^6</f>
        <v>101621.60639999999</v>
      </c>
      <c r="Q2263" s="2">
        <f>Table1[[#This Row],[Emission Factor (kg CO2/ mmBtu)]]*Table1[[#This Row],[Fuel Consumption (mmBtu)]]*10^3</f>
        <v>5291437045.2480001</v>
      </c>
      <c r="R2263" s="2">
        <f>(Table1[[#This Row],[CO2 Emissions (g CO2)]])/(Table1[[#This Row],[Generation (TWh)]]*10^9)</f>
        <v>838.95184000000006</v>
      </c>
    </row>
    <row r="2264" spans="1:18" hidden="1">
      <c r="A2264" t="s">
        <v>21</v>
      </c>
      <c r="B2264" t="s">
        <v>43</v>
      </c>
      <c r="C2264" t="str">
        <f>SUBSTITUTE(Table1[[#This Row],[Fuel]],", ",",")</f>
        <v>bioenergy: agricultural waste (biogas)</v>
      </c>
      <c r="D2264" t="s">
        <v>43</v>
      </c>
      <c r="G2264">
        <v>1</v>
      </c>
      <c r="H2264" t="s">
        <v>27</v>
      </c>
      <c r="I2264">
        <v>2022</v>
      </c>
      <c r="J2264" t="s">
        <v>21</v>
      </c>
      <c r="K2264">
        <v>24.723240000000001</v>
      </c>
      <c r="L2264">
        <v>118.273747</v>
      </c>
      <c r="M2264" t="s">
        <v>102</v>
      </c>
      <c r="N2264" s="2">
        <f>Table1[[#This Row],[Capacity (MW)]]*8760*0.72*10^-6</f>
        <v>6.3071999999999998E-3</v>
      </c>
      <c r="O2264" s="2" cm="1">
        <f t="array" ref="O2264">AVERAGE(VLOOKUP(_xlfn.TEXTSPLIT(Table1[[#This Row],[Fuel (no space after comma)]], ","), FuelList_Final_EF!$A$2:$B$32, 2, FALSE))</f>
        <v>52.07</v>
      </c>
      <c r="P2264" s="2">
        <f>(16112*Table1[[#This Row],[Generation (TWh)]]*10^9)/10^6</f>
        <v>101621.60639999999</v>
      </c>
      <c r="Q2264" s="2">
        <f>Table1[[#This Row],[Emission Factor (kg CO2/ mmBtu)]]*Table1[[#This Row],[Fuel Consumption (mmBtu)]]*10^3</f>
        <v>5291437045.2480001</v>
      </c>
      <c r="R2264" s="2">
        <f>(Table1[[#This Row],[CO2 Emissions (g CO2)]])/(Table1[[#This Row],[Generation (TWh)]]*10^9)</f>
        <v>838.95184000000006</v>
      </c>
    </row>
    <row r="2265" spans="1:18" hidden="1">
      <c r="A2265" t="s">
        <v>21</v>
      </c>
      <c r="B2265" t="s">
        <v>19</v>
      </c>
      <c r="C2265" t="str">
        <f>SUBSTITUTE(Table1[[#This Row],[Fuel]],", ",",")</f>
        <v>bioenergy: refuse (municipal and industrial wastes)</v>
      </c>
      <c r="D2265" t="s">
        <v>19</v>
      </c>
      <c r="G2265">
        <v>6</v>
      </c>
      <c r="H2265" t="s">
        <v>27</v>
      </c>
      <c r="I2265">
        <v>2022</v>
      </c>
      <c r="J2265" t="s">
        <v>21</v>
      </c>
      <c r="K2265">
        <v>24.723240000000001</v>
      </c>
      <c r="L2265">
        <v>118.273747</v>
      </c>
      <c r="M2265" t="s">
        <v>102</v>
      </c>
      <c r="N2265" s="2">
        <f>Table1[[#This Row],[Capacity (MW)]]*8760*0.72*10^-6</f>
        <v>3.7843199999999994E-2</v>
      </c>
      <c r="O2265" s="2" cm="1">
        <f t="array" ref="O2265">AVERAGE(VLOOKUP(_xlfn.TEXTSPLIT(Table1[[#This Row],[Fuel (no space after comma)]], ","), FuelList_Final_EF!$A$2:$B$32, 2, FALSE))</f>
        <v>105.42962572482868</v>
      </c>
      <c r="P2265" s="2">
        <f>(16112*Table1[[#This Row],[Generation (TWh)]]*10^9)/10^6</f>
        <v>609729.63839999982</v>
      </c>
      <c r="Q2265" s="2">
        <f>Table1[[#This Row],[Emission Factor (kg CO2/ mmBtu)]]*Table1[[#This Row],[Fuel Consumption (mmBtu)]]*10^3</f>
        <v>64283567569.847115</v>
      </c>
      <c r="R2265" s="2">
        <f>(Table1[[#This Row],[CO2 Emissions (g CO2)]])/(Table1[[#This Row],[Generation (TWh)]]*10^9)</f>
        <v>1698.6821296784397</v>
      </c>
    </row>
    <row r="2266" spans="1:18" hidden="1">
      <c r="A2266" t="s">
        <v>21</v>
      </c>
      <c r="B2266" t="s">
        <v>19</v>
      </c>
      <c r="C2266" t="str">
        <f>SUBSTITUTE(Table1[[#This Row],[Fuel]],", ",",")</f>
        <v>bioenergy: refuse (municipal and industrial wastes)</v>
      </c>
      <c r="D2266" t="s">
        <v>19</v>
      </c>
      <c r="G2266">
        <v>12</v>
      </c>
      <c r="H2266" t="s">
        <v>27</v>
      </c>
      <c r="I2266">
        <v>2012</v>
      </c>
      <c r="J2266" t="s">
        <v>21</v>
      </c>
      <c r="K2266">
        <v>24.724117</v>
      </c>
      <c r="L2266">
        <v>118.276747</v>
      </c>
      <c r="M2266" t="s">
        <v>102</v>
      </c>
      <c r="N2266" s="2">
        <f>Table1[[#This Row],[Capacity (MW)]]*8760*0.72*10^-6</f>
        <v>7.5686399999999987E-2</v>
      </c>
      <c r="O2266" s="2" cm="1">
        <f t="array" ref="O2266">AVERAGE(VLOOKUP(_xlfn.TEXTSPLIT(Table1[[#This Row],[Fuel (no space after comma)]], ","), FuelList_Final_EF!$A$2:$B$32, 2, FALSE))</f>
        <v>105.42962572482868</v>
      </c>
      <c r="P2266" s="2">
        <f>(16112*Table1[[#This Row],[Generation (TWh)]]*10^9)/10^6</f>
        <v>1219459.2767999996</v>
      </c>
      <c r="Q2266" s="2">
        <f>Table1[[#This Row],[Emission Factor (kg CO2/ mmBtu)]]*Table1[[#This Row],[Fuel Consumption (mmBtu)]]*10^3</f>
        <v>128567135139.69423</v>
      </c>
      <c r="R2266" s="2">
        <f>(Table1[[#This Row],[CO2 Emissions (g CO2)]])/(Table1[[#This Row],[Generation (TWh)]]*10^9)</f>
        <v>1698.6821296784397</v>
      </c>
    </row>
    <row r="2267" spans="1:18" hidden="1">
      <c r="A2267" t="s">
        <v>21</v>
      </c>
      <c r="B2267" t="s">
        <v>19</v>
      </c>
      <c r="C2267" t="str">
        <f>SUBSTITUTE(Table1[[#This Row],[Fuel]],", ",",")</f>
        <v>bioenergy: refuse (municipal and industrial wastes)</v>
      </c>
      <c r="D2267" t="s">
        <v>19</v>
      </c>
      <c r="G2267">
        <v>18</v>
      </c>
      <c r="H2267" t="s">
        <v>27</v>
      </c>
      <c r="I2267">
        <v>2020</v>
      </c>
      <c r="J2267" t="s">
        <v>21</v>
      </c>
      <c r="K2267">
        <v>24.724117</v>
      </c>
      <c r="L2267">
        <v>118.276747</v>
      </c>
      <c r="M2267" t="s">
        <v>102</v>
      </c>
      <c r="N2267" s="2">
        <f>Table1[[#This Row],[Capacity (MW)]]*8760*0.72*10^-6</f>
        <v>0.11352959999999998</v>
      </c>
      <c r="O2267" s="2" cm="1">
        <f t="array" ref="O2267">AVERAGE(VLOOKUP(_xlfn.TEXTSPLIT(Table1[[#This Row],[Fuel (no space after comma)]], ","), FuelList_Final_EF!$A$2:$B$32, 2, FALSE))</f>
        <v>105.42962572482868</v>
      </c>
      <c r="P2267" s="2">
        <f>(16112*Table1[[#This Row],[Generation (TWh)]]*10^9)/10^6</f>
        <v>1829188.9151999997</v>
      </c>
      <c r="Q2267" s="2">
        <f>Table1[[#This Row],[Emission Factor (kg CO2/ mmBtu)]]*Table1[[#This Row],[Fuel Consumption (mmBtu)]]*10^3</f>
        <v>192850702709.54135</v>
      </c>
      <c r="R2267" s="2">
        <f>(Table1[[#This Row],[CO2 Emissions (g CO2)]])/(Table1[[#This Row],[Generation (TWh)]]*10^9)</f>
        <v>1698.6821296784397</v>
      </c>
    </row>
    <row r="2268" spans="1:18" hidden="1">
      <c r="A2268" t="s">
        <v>21</v>
      </c>
      <c r="B2268" t="s">
        <v>19</v>
      </c>
      <c r="C2268" t="str">
        <f>SUBSTITUTE(Table1[[#This Row],[Fuel]],", ",",")</f>
        <v>bioenergy: refuse (municipal and industrial wastes)</v>
      </c>
      <c r="D2268" t="s">
        <v>19</v>
      </c>
      <c r="G2268">
        <v>18</v>
      </c>
      <c r="H2268" t="s">
        <v>27</v>
      </c>
      <c r="I2268">
        <v>2020</v>
      </c>
      <c r="J2268" t="s">
        <v>21</v>
      </c>
      <c r="K2268">
        <v>24.724117</v>
      </c>
      <c r="L2268">
        <v>118.276747</v>
      </c>
      <c r="M2268" t="s">
        <v>102</v>
      </c>
      <c r="N2268" s="2">
        <f>Table1[[#This Row],[Capacity (MW)]]*8760*0.72*10^-6</f>
        <v>0.11352959999999998</v>
      </c>
      <c r="O2268" s="2" cm="1">
        <f t="array" ref="O2268">AVERAGE(VLOOKUP(_xlfn.TEXTSPLIT(Table1[[#This Row],[Fuel (no space after comma)]], ","), FuelList_Final_EF!$A$2:$B$32, 2, FALSE))</f>
        <v>105.42962572482868</v>
      </c>
      <c r="P2268" s="2">
        <f>(16112*Table1[[#This Row],[Generation (TWh)]]*10^9)/10^6</f>
        <v>1829188.9151999997</v>
      </c>
      <c r="Q2268" s="2">
        <f>Table1[[#This Row],[Emission Factor (kg CO2/ mmBtu)]]*Table1[[#This Row],[Fuel Consumption (mmBtu)]]*10^3</f>
        <v>192850702709.54135</v>
      </c>
      <c r="R2268" s="2">
        <f>(Table1[[#This Row],[CO2 Emissions (g CO2)]])/(Table1[[#This Row],[Generation (TWh)]]*10^9)</f>
        <v>1698.6821296784397</v>
      </c>
    </row>
    <row r="2269" spans="1:18" hidden="1">
      <c r="A2269" t="s">
        <v>21</v>
      </c>
      <c r="B2269" t="s">
        <v>19</v>
      </c>
      <c r="C2269" t="str">
        <f>SUBSTITUTE(Table1[[#This Row],[Fuel]],", ",",")</f>
        <v>bioenergy: refuse (municipal and industrial wastes)</v>
      </c>
      <c r="D2269" t="s">
        <v>19</v>
      </c>
      <c r="G2269">
        <v>12</v>
      </c>
      <c r="H2269" t="s">
        <v>27</v>
      </c>
      <c r="I2269">
        <v>2019</v>
      </c>
      <c r="J2269" t="s">
        <v>21</v>
      </c>
      <c r="K2269">
        <v>25.412822999999999</v>
      </c>
      <c r="L2269">
        <v>118.64368399999999</v>
      </c>
      <c r="M2269" t="s">
        <v>102</v>
      </c>
      <c r="N2269" s="2">
        <f>Table1[[#This Row],[Capacity (MW)]]*8760*0.72*10^-6</f>
        <v>7.5686399999999987E-2</v>
      </c>
      <c r="O2269" s="2" cm="1">
        <f t="array" ref="O2269">AVERAGE(VLOOKUP(_xlfn.TEXTSPLIT(Table1[[#This Row],[Fuel (no space after comma)]], ","), FuelList_Final_EF!$A$2:$B$32, 2, FALSE))</f>
        <v>105.42962572482868</v>
      </c>
      <c r="P2269" s="2">
        <f>(16112*Table1[[#This Row],[Generation (TWh)]]*10^9)/10^6</f>
        <v>1219459.2767999996</v>
      </c>
      <c r="Q2269" s="2">
        <f>Table1[[#This Row],[Emission Factor (kg CO2/ mmBtu)]]*Table1[[#This Row],[Fuel Consumption (mmBtu)]]*10^3</f>
        <v>128567135139.69423</v>
      </c>
      <c r="R2269" s="2">
        <f>(Table1[[#This Row],[CO2 Emissions (g CO2)]])/(Table1[[#This Row],[Generation (TWh)]]*10^9)</f>
        <v>1698.6821296784397</v>
      </c>
    </row>
    <row r="2270" spans="1:18">
      <c r="A2270" t="s">
        <v>21</v>
      </c>
      <c r="B2270" t="s">
        <v>19</v>
      </c>
      <c r="C2270" t="str">
        <f>SUBSTITUTE(Table1[[#This Row],[Fuel]],", ",",")</f>
        <v>bioenergy: refuse (municipal and industrial wastes)</v>
      </c>
      <c r="D2270" t="s">
        <v>19</v>
      </c>
      <c r="G2270">
        <v>12</v>
      </c>
      <c r="H2270" t="s">
        <v>138</v>
      </c>
      <c r="I2270" t="s">
        <v>21</v>
      </c>
      <c r="J2270" t="s">
        <v>21</v>
      </c>
      <c r="K2270">
        <v>25.412822999999999</v>
      </c>
      <c r="L2270">
        <v>118.64368399999999</v>
      </c>
      <c r="M2270" t="s">
        <v>102</v>
      </c>
      <c r="N2270" s="2">
        <f>Table1[[#This Row],[Capacity (MW)]]*8760*0.72*10^-6</f>
        <v>7.5686399999999987E-2</v>
      </c>
      <c r="O2270" s="2" cm="1">
        <f t="array" ref="O2270">AVERAGE(VLOOKUP(_xlfn.TEXTSPLIT(Table1[[#This Row],[Fuel (no space after comma)]], ","), FuelList_Final_EF!$A$2:$B$32, 2, FALSE))</f>
        <v>105.42962572482868</v>
      </c>
      <c r="P2270" s="2">
        <f>(16112*Table1[[#This Row],[Generation (TWh)]]*10^9)/10^6</f>
        <v>1219459.2767999996</v>
      </c>
      <c r="Q2270" s="2">
        <f>Table1[[#This Row],[Emission Factor (kg CO2/ mmBtu)]]*Table1[[#This Row],[Fuel Consumption (mmBtu)]]*10^3</f>
        <v>128567135139.69423</v>
      </c>
      <c r="R2270" s="2">
        <f>(Table1[[#This Row],[CO2 Emissions (g CO2)]])/(Table1[[#This Row],[Generation (TWh)]]*10^9)</f>
        <v>1698.6821296784397</v>
      </c>
    </row>
    <row r="2271" spans="1:18" hidden="1">
      <c r="A2271" t="s">
        <v>21</v>
      </c>
      <c r="B2271" t="s">
        <v>19</v>
      </c>
      <c r="C2271" t="str">
        <f>SUBSTITUTE(Table1[[#This Row],[Fuel]],", ",",")</f>
        <v>bioenergy: refuse (municipal and industrial wastes)</v>
      </c>
      <c r="D2271" t="s">
        <v>19</v>
      </c>
      <c r="G2271">
        <v>9</v>
      </c>
      <c r="H2271" t="s">
        <v>27</v>
      </c>
      <c r="I2271">
        <v>2014</v>
      </c>
      <c r="J2271" t="s">
        <v>21</v>
      </c>
      <c r="K2271">
        <v>24.469132999999999</v>
      </c>
      <c r="L2271">
        <v>117.74166099999999</v>
      </c>
      <c r="M2271" t="s">
        <v>102</v>
      </c>
      <c r="N2271" s="2">
        <f>Table1[[#This Row],[Capacity (MW)]]*8760*0.72*10^-6</f>
        <v>5.676479999999999E-2</v>
      </c>
      <c r="O2271" s="2" cm="1">
        <f t="array" ref="O2271">AVERAGE(VLOOKUP(_xlfn.TEXTSPLIT(Table1[[#This Row],[Fuel (no space after comma)]], ","), FuelList_Final_EF!$A$2:$B$32, 2, FALSE))</f>
        <v>105.42962572482868</v>
      </c>
      <c r="P2271" s="2">
        <f>(16112*Table1[[#This Row],[Generation (TWh)]]*10^9)/10^6</f>
        <v>914594.45759999985</v>
      </c>
      <c r="Q2271" s="2">
        <f>Table1[[#This Row],[Emission Factor (kg CO2/ mmBtu)]]*Table1[[#This Row],[Fuel Consumption (mmBtu)]]*10^3</f>
        <v>96425351354.770676</v>
      </c>
      <c r="R2271" s="2">
        <f>(Table1[[#This Row],[CO2 Emissions (g CO2)]])/(Table1[[#This Row],[Generation (TWh)]]*10^9)</f>
        <v>1698.6821296784397</v>
      </c>
    </row>
    <row r="2272" spans="1:18" hidden="1">
      <c r="A2272" t="s">
        <v>21</v>
      </c>
      <c r="B2272" t="s">
        <v>19</v>
      </c>
      <c r="C2272" t="str">
        <f>SUBSTITUTE(Table1[[#This Row],[Fuel]],", ",",")</f>
        <v>bioenergy: refuse (municipal and industrial wastes)</v>
      </c>
      <c r="D2272" t="s">
        <v>19</v>
      </c>
      <c r="G2272">
        <v>9</v>
      </c>
      <c r="H2272" t="s">
        <v>27</v>
      </c>
      <c r="I2272">
        <v>2014</v>
      </c>
      <c r="J2272" t="s">
        <v>21</v>
      </c>
      <c r="K2272">
        <v>24.469132999999999</v>
      </c>
      <c r="L2272">
        <v>117.74166099999999</v>
      </c>
      <c r="M2272" t="s">
        <v>102</v>
      </c>
      <c r="N2272" s="2">
        <f>Table1[[#This Row],[Capacity (MW)]]*8760*0.72*10^-6</f>
        <v>5.676479999999999E-2</v>
      </c>
      <c r="O2272" s="2" cm="1">
        <f t="array" ref="O2272">AVERAGE(VLOOKUP(_xlfn.TEXTSPLIT(Table1[[#This Row],[Fuel (no space after comma)]], ","), FuelList_Final_EF!$A$2:$B$32, 2, FALSE))</f>
        <v>105.42962572482868</v>
      </c>
      <c r="P2272" s="2">
        <f>(16112*Table1[[#This Row],[Generation (TWh)]]*10^9)/10^6</f>
        <v>914594.45759999985</v>
      </c>
      <c r="Q2272" s="2">
        <f>Table1[[#This Row],[Emission Factor (kg CO2/ mmBtu)]]*Table1[[#This Row],[Fuel Consumption (mmBtu)]]*10^3</f>
        <v>96425351354.770676</v>
      </c>
      <c r="R2272" s="2">
        <f>(Table1[[#This Row],[CO2 Emissions (g CO2)]])/(Table1[[#This Row],[Generation (TWh)]]*10^9)</f>
        <v>1698.6821296784397</v>
      </c>
    </row>
    <row r="2273" spans="1:18" hidden="1">
      <c r="A2273" t="s">
        <v>21</v>
      </c>
      <c r="B2273" t="s">
        <v>19</v>
      </c>
      <c r="C2273" t="str">
        <f>SUBSTITUTE(Table1[[#This Row],[Fuel]],", ",",")</f>
        <v>bioenergy: refuse (municipal and industrial wastes)</v>
      </c>
      <c r="D2273" t="s">
        <v>19</v>
      </c>
      <c r="G2273">
        <v>22</v>
      </c>
      <c r="H2273" t="s">
        <v>27</v>
      </c>
      <c r="I2273">
        <v>2020</v>
      </c>
      <c r="J2273" t="s">
        <v>21</v>
      </c>
      <c r="K2273">
        <v>24.469132999999999</v>
      </c>
      <c r="L2273">
        <v>117.74166099999999</v>
      </c>
      <c r="M2273" t="s">
        <v>102</v>
      </c>
      <c r="N2273" s="2">
        <f>Table1[[#This Row],[Capacity (MW)]]*8760*0.72*10^-6</f>
        <v>0.13875839999999998</v>
      </c>
      <c r="O2273" s="2" cm="1">
        <f t="array" ref="O2273">AVERAGE(VLOOKUP(_xlfn.TEXTSPLIT(Table1[[#This Row],[Fuel (no space after comma)]], ","), FuelList_Final_EF!$A$2:$B$32, 2, FALSE))</f>
        <v>105.42962572482868</v>
      </c>
      <c r="P2273" s="2">
        <f>(16112*Table1[[#This Row],[Generation (TWh)]]*10^9)/10^6</f>
        <v>2235675.3407999994</v>
      </c>
      <c r="Q2273" s="2">
        <f>Table1[[#This Row],[Emission Factor (kg CO2/ mmBtu)]]*Table1[[#This Row],[Fuel Consumption (mmBtu)]]*10^3</f>
        <v>235706414422.77274</v>
      </c>
      <c r="R2273" s="2">
        <f>(Table1[[#This Row],[CO2 Emissions (g CO2)]])/(Table1[[#This Row],[Generation (TWh)]]*10^9)</f>
        <v>1698.6821296784397</v>
      </c>
    </row>
    <row r="2274" spans="1:18" hidden="1">
      <c r="A2274" t="s">
        <v>416</v>
      </c>
      <c r="B2274" t="s">
        <v>19</v>
      </c>
      <c r="C2274" t="str">
        <f>SUBSTITUTE(Table1[[#This Row],[Fuel]],", ",",")</f>
        <v>bioenergy: refuse (municipal and industrial wastes)</v>
      </c>
      <c r="D2274" t="s">
        <v>19</v>
      </c>
      <c r="G2274">
        <v>20</v>
      </c>
      <c r="H2274" t="s">
        <v>27</v>
      </c>
      <c r="I2274">
        <v>2016</v>
      </c>
      <c r="J2274" t="s">
        <v>21</v>
      </c>
      <c r="K2274">
        <v>36.148400000000002</v>
      </c>
      <c r="L2274">
        <v>103.7933</v>
      </c>
      <c r="M2274" t="s">
        <v>102</v>
      </c>
      <c r="N2274" s="2">
        <f>Table1[[#This Row],[Capacity (MW)]]*8760*0.72*10^-6</f>
        <v>0.12614400000000001</v>
      </c>
      <c r="O2274" s="2" cm="1">
        <f t="array" ref="O2274">AVERAGE(VLOOKUP(_xlfn.TEXTSPLIT(Table1[[#This Row],[Fuel (no space after comma)]], ","), FuelList_Final_EF!$A$2:$B$32, 2, FALSE))</f>
        <v>105.42962572482868</v>
      </c>
      <c r="P2274" s="2">
        <f>(16112*Table1[[#This Row],[Generation (TWh)]]*10^9)/10^6</f>
        <v>2032432.1280000003</v>
      </c>
      <c r="Q2274" s="2">
        <f>Table1[[#This Row],[Emission Factor (kg CO2/ mmBtu)]]*Table1[[#This Row],[Fuel Consumption (mmBtu)]]*10^3</f>
        <v>214278558566.15714</v>
      </c>
      <c r="R2274" s="2">
        <f>(Table1[[#This Row],[CO2 Emissions (g CO2)]])/(Table1[[#This Row],[Generation (TWh)]]*10^9)</f>
        <v>1698.6821296784401</v>
      </c>
    </row>
    <row r="2275" spans="1:18" hidden="1">
      <c r="A2275" t="s">
        <v>416</v>
      </c>
      <c r="B2275" t="s">
        <v>19</v>
      </c>
      <c r="C2275" t="str">
        <f>SUBSTITUTE(Table1[[#This Row],[Fuel]],", ",",")</f>
        <v>bioenergy: refuse (municipal and industrial wastes)</v>
      </c>
      <c r="D2275" t="s">
        <v>19</v>
      </c>
      <c r="G2275">
        <v>20</v>
      </c>
      <c r="H2275" t="s">
        <v>27</v>
      </c>
      <c r="I2275">
        <v>2016</v>
      </c>
      <c r="J2275" t="s">
        <v>21</v>
      </c>
      <c r="K2275">
        <v>36.148400000000002</v>
      </c>
      <c r="L2275">
        <v>103.7933</v>
      </c>
      <c r="M2275" t="s">
        <v>102</v>
      </c>
      <c r="N2275" s="2">
        <f>Table1[[#This Row],[Capacity (MW)]]*8760*0.72*10^-6</f>
        <v>0.12614400000000001</v>
      </c>
      <c r="O2275" s="2" cm="1">
        <f t="array" ref="O2275">AVERAGE(VLOOKUP(_xlfn.TEXTSPLIT(Table1[[#This Row],[Fuel (no space after comma)]], ","), FuelList_Final_EF!$A$2:$B$32, 2, FALSE))</f>
        <v>105.42962572482868</v>
      </c>
      <c r="P2275" s="2">
        <f>(16112*Table1[[#This Row],[Generation (TWh)]]*10^9)/10^6</f>
        <v>2032432.1280000003</v>
      </c>
      <c r="Q2275" s="2">
        <f>Table1[[#This Row],[Emission Factor (kg CO2/ mmBtu)]]*Table1[[#This Row],[Fuel Consumption (mmBtu)]]*10^3</f>
        <v>214278558566.15714</v>
      </c>
      <c r="R2275" s="2">
        <f>(Table1[[#This Row],[CO2 Emissions (g CO2)]])/(Table1[[#This Row],[Generation (TWh)]]*10^9)</f>
        <v>1698.6821296784401</v>
      </c>
    </row>
    <row r="2276" spans="1:18" hidden="1">
      <c r="A2276" t="s">
        <v>21</v>
      </c>
      <c r="B2276" t="s">
        <v>19</v>
      </c>
      <c r="C2276" t="str">
        <f>SUBSTITUTE(Table1[[#This Row],[Fuel]],", ",",")</f>
        <v>bioenergy: refuse (municipal and industrial wastes)</v>
      </c>
      <c r="D2276" t="s">
        <v>19</v>
      </c>
      <c r="G2276">
        <v>12</v>
      </c>
      <c r="H2276" t="s">
        <v>27</v>
      </c>
      <c r="I2276">
        <v>2021</v>
      </c>
      <c r="J2276" t="s">
        <v>21</v>
      </c>
      <c r="K2276">
        <v>39.685333</v>
      </c>
      <c r="L2276">
        <v>98.526537000000005</v>
      </c>
      <c r="M2276" t="s">
        <v>102</v>
      </c>
      <c r="N2276" s="2">
        <f>Table1[[#This Row],[Capacity (MW)]]*8760*0.72*10^-6</f>
        <v>7.5686399999999987E-2</v>
      </c>
      <c r="O2276" s="2" cm="1">
        <f t="array" ref="O2276">AVERAGE(VLOOKUP(_xlfn.TEXTSPLIT(Table1[[#This Row],[Fuel (no space after comma)]], ","), FuelList_Final_EF!$A$2:$B$32, 2, FALSE))</f>
        <v>105.42962572482868</v>
      </c>
      <c r="P2276" s="2">
        <f>(16112*Table1[[#This Row],[Generation (TWh)]]*10^9)/10^6</f>
        <v>1219459.2767999996</v>
      </c>
      <c r="Q2276" s="2">
        <f>Table1[[#This Row],[Emission Factor (kg CO2/ mmBtu)]]*Table1[[#This Row],[Fuel Consumption (mmBtu)]]*10^3</f>
        <v>128567135139.69423</v>
      </c>
      <c r="R2276" s="2">
        <f>(Table1[[#This Row],[CO2 Emissions (g CO2)]])/(Table1[[#This Row],[Generation (TWh)]]*10^9)</f>
        <v>1698.6821296784397</v>
      </c>
    </row>
    <row r="2277" spans="1:18" hidden="1">
      <c r="A2277" t="s">
        <v>21</v>
      </c>
      <c r="B2277" t="s">
        <v>41</v>
      </c>
      <c r="C2277" t="str">
        <f>SUBSTITUTE(Table1[[#This Row],[Fuel]],", ",",")</f>
        <v>bioenergy: refuse (municipal and industrial wastes),bioenergy: wastewater and sewage sludge (solids or biogas)</v>
      </c>
      <c r="D2277" t="s">
        <v>19</v>
      </c>
      <c r="E2277" t="s">
        <v>42</v>
      </c>
      <c r="G2277">
        <v>9</v>
      </c>
      <c r="H2277" t="s">
        <v>27</v>
      </c>
      <c r="I2277">
        <v>2021</v>
      </c>
      <c r="J2277" t="s">
        <v>21</v>
      </c>
      <c r="K2277">
        <v>35.777230000000003</v>
      </c>
      <c r="L2277">
        <v>103.709064</v>
      </c>
      <c r="M2277" t="s">
        <v>102</v>
      </c>
      <c r="N2277" s="2">
        <f>Table1[[#This Row],[Capacity (MW)]]*8760*0.72*10^-6</f>
        <v>5.676479999999999E-2</v>
      </c>
      <c r="O2277" s="2" cm="1">
        <f t="array" ref="O2277">AVERAGE(VLOOKUP(_xlfn.TEXTSPLIT(Table1[[#This Row],[Fuel (no space after comma)]], ","), FuelList_Final_EF!$A$2:$B$32, 2, FALSE))</f>
        <v>81.497100685292565</v>
      </c>
      <c r="P2277" s="2">
        <f>(16112*Table1[[#This Row],[Generation (TWh)]]*10^9)/10^6</f>
        <v>914594.45759999985</v>
      </c>
      <c r="Q2277" s="2">
        <f>Table1[[#This Row],[Emission Factor (kg CO2/ mmBtu)]]*Table1[[#This Row],[Fuel Consumption (mmBtu)]]*10^3</f>
        <v>74536796597.237732</v>
      </c>
      <c r="R2277" s="2">
        <f>(Table1[[#This Row],[CO2 Emissions (g CO2)]])/(Table1[[#This Row],[Generation (TWh)]]*10^9)</f>
        <v>1313.0812862414339</v>
      </c>
    </row>
    <row r="2278" spans="1:18" hidden="1">
      <c r="A2278" t="s">
        <v>21</v>
      </c>
      <c r="B2278" t="s">
        <v>19</v>
      </c>
      <c r="C2278" t="str">
        <f>SUBSTITUTE(Table1[[#This Row],[Fuel]],", ",",")</f>
        <v>bioenergy: refuse (municipal and industrial wastes)</v>
      </c>
      <c r="D2278" t="s">
        <v>19</v>
      </c>
      <c r="G2278">
        <v>12</v>
      </c>
      <c r="H2278" t="s">
        <v>27</v>
      </c>
      <c r="I2278">
        <v>2020</v>
      </c>
      <c r="J2278" t="s">
        <v>21</v>
      </c>
      <c r="K2278">
        <v>35.580598999999999</v>
      </c>
      <c r="L2278">
        <v>107.601355</v>
      </c>
      <c r="M2278" t="s">
        <v>102</v>
      </c>
      <c r="N2278" s="2">
        <f>Table1[[#This Row],[Capacity (MW)]]*8760*0.72*10^-6</f>
        <v>7.5686399999999987E-2</v>
      </c>
      <c r="O2278" s="2" cm="1">
        <f t="array" ref="O2278">AVERAGE(VLOOKUP(_xlfn.TEXTSPLIT(Table1[[#This Row],[Fuel (no space after comma)]], ","), FuelList_Final_EF!$A$2:$B$32, 2, FALSE))</f>
        <v>105.42962572482868</v>
      </c>
      <c r="P2278" s="2">
        <f>(16112*Table1[[#This Row],[Generation (TWh)]]*10^9)/10^6</f>
        <v>1219459.2767999996</v>
      </c>
      <c r="Q2278" s="2">
        <f>Table1[[#This Row],[Emission Factor (kg CO2/ mmBtu)]]*Table1[[#This Row],[Fuel Consumption (mmBtu)]]*10^3</f>
        <v>128567135139.69423</v>
      </c>
      <c r="R2278" s="2">
        <f>(Table1[[#This Row],[CO2 Emissions (g CO2)]])/(Table1[[#This Row],[Generation (TWh)]]*10^9)</f>
        <v>1698.6821296784397</v>
      </c>
    </row>
    <row r="2279" spans="1:18" hidden="1">
      <c r="A2279" t="s">
        <v>21</v>
      </c>
      <c r="B2279" t="s">
        <v>19</v>
      </c>
      <c r="C2279" t="str">
        <f>SUBSTITUTE(Table1[[#This Row],[Fuel]],", ",",")</f>
        <v>bioenergy: refuse (municipal and industrial wastes)</v>
      </c>
      <c r="D2279" t="s">
        <v>19</v>
      </c>
      <c r="G2279">
        <v>12</v>
      </c>
      <c r="H2279" t="s">
        <v>27</v>
      </c>
      <c r="I2279">
        <v>2022</v>
      </c>
      <c r="J2279" t="s">
        <v>21</v>
      </c>
      <c r="K2279">
        <v>35.580598999999999</v>
      </c>
      <c r="L2279">
        <v>107.601355</v>
      </c>
      <c r="M2279" t="s">
        <v>102</v>
      </c>
      <c r="N2279" s="2">
        <f>Table1[[#This Row],[Capacity (MW)]]*8760*0.72*10^-6</f>
        <v>7.5686399999999987E-2</v>
      </c>
      <c r="O2279" s="2" cm="1">
        <f t="array" ref="O2279">AVERAGE(VLOOKUP(_xlfn.TEXTSPLIT(Table1[[#This Row],[Fuel (no space after comma)]], ","), FuelList_Final_EF!$A$2:$B$32, 2, FALSE))</f>
        <v>105.42962572482868</v>
      </c>
      <c r="P2279" s="2">
        <f>(16112*Table1[[#This Row],[Generation (TWh)]]*10^9)/10^6</f>
        <v>1219459.2767999996</v>
      </c>
      <c r="Q2279" s="2">
        <f>Table1[[#This Row],[Emission Factor (kg CO2/ mmBtu)]]*Table1[[#This Row],[Fuel Consumption (mmBtu)]]*10^3</f>
        <v>128567135139.69423</v>
      </c>
      <c r="R2279" s="2">
        <f>(Table1[[#This Row],[CO2 Emissions (g CO2)]])/(Table1[[#This Row],[Generation (TWh)]]*10^9)</f>
        <v>1698.6821296784397</v>
      </c>
    </row>
    <row r="2280" spans="1:18" hidden="1">
      <c r="A2280" t="s">
        <v>21</v>
      </c>
      <c r="B2280" t="s">
        <v>19</v>
      </c>
      <c r="C2280" t="str">
        <f>SUBSTITUTE(Table1[[#This Row],[Fuel]],", ",",")</f>
        <v>bioenergy: refuse (municipal and industrial wastes)</v>
      </c>
      <c r="D2280" t="s">
        <v>19</v>
      </c>
      <c r="G2280">
        <v>6</v>
      </c>
      <c r="H2280" t="s">
        <v>27</v>
      </c>
      <c r="I2280">
        <v>2021</v>
      </c>
      <c r="J2280" t="s">
        <v>21</v>
      </c>
      <c r="K2280">
        <v>39.054217999999999</v>
      </c>
      <c r="L2280">
        <v>100.496433</v>
      </c>
      <c r="M2280" t="s">
        <v>102</v>
      </c>
      <c r="N2280" s="2">
        <f>Table1[[#This Row],[Capacity (MW)]]*8760*0.72*10^-6</f>
        <v>3.7843199999999994E-2</v>
      </c>
      <c r="O2280" s="2" cm="1">
        <f t="array" ref="O2280">AVERAGE(VLOOKUP(_xlfn.TEXTSPLIT(Table1[[#This Row],[Fuel (no space after comma)]], ","), FuelList_Final_EF!$A$2:$B$32, 2, FALSE))</f>
        <v>105.42962572482868</v>
      </c>
      <c r="P2280" s="2">
        <f>(16112*Table1[[#This Row],[Generation (TWh)]]*10^9)/10^6</f>
        <v>609729.63839999982</v>
      </c>
      <c r="Q2280" s="2">
        <f>Table1[[#This Row],[Emission Factor (kg CO2/ mmBtu)]]*Table1[[#This Row],[Fuel Consumption (mmBtu)]]*10^3</f>
        <v>64283567569.847115</v>
      </c>
      <c r="R2280" s="2">
        <f>(Table1[[#This Row],[CO2 Emissions (g CO2)]])/(Table1[[#This Row],[Generation (TWh)]]*10^9)</f>
        <v>1698.6821296784397</v>
      </c>
    </row>
    <row r="2281" spans="1:18" hidden="1">
      <c r="A2281" t="s">
        <v>21</v>
      </c>
      <c r="B2281" t="s">
        <v>19</v>
      </c>
      <c r="C2281" t="str">
        <f>SUBSTITUTE(Table1[[#This Row],[Fuel]],", ",",")</f>
        <v>bioenergy: refuse (municipal and industrial wastes)</v>
      </c>
      <c r="D2281" t="s">
        <v>19</v>
      </c>
      <c r="G2281">
        <v>6</v>
      </c>
      <c r="H2281" t="s">
        <v>27</v>
      </c>
      <c r="I2281">
        <v>2021</v>
      </c>
      <c r="J2281" t="s">
        <v>21</v>
      </c>
      <c r="K2281">
        <v>39.054217999999999</v>
      </c>
      <c r="L2281">
        <v>100.496433</v>
      </c>
      <c r="M2281" t="s">
        <v>102</v>
      </c>
      <c r="N2281" s="2">
        <f>Table1[[#This Row],[Capacity (MW)]]*8760*0.72*10^-6</f>
        <v>3.7843199999999994E-2</v>
      </c>
      <c r="O2281" s="2" cm="1">
        <f t="array" ref="O2281">AVERAGE(VLOOKUP(_xlfn.TEXTSPLIT(Table1[[#This Row],[Fuel (no space after comma)]], ","), FuelList_Final_EF!$A$2:$B$32, 2, FALSE))</f>
        <v>105.42962572482868</v>
      </c>
      <c r="P2281" s="2">
        <f>(16112*Table1[[#This Row],[Generation (TWh)]]*10^9)/10^6</f>
        <v>609729.63839999982</v>
      </c>
      <c r="Q2281" s="2">
        <f>Table1[[#This Row],[Emission Factor (kg CO2/ mmBtu)]]*Table1[[#This Row],[Fuel Consumption (mmBtu)]]*10^3</f>
        <v>64283567569.847115</v>
      </c>
      <c r="R2281" s="2">
        <f>(Table1[[#This Row],[CO2 Emissions (g CO2)]])/(Table1[[#This Row],[Generation (TWh)]]*10^9)</f>
        <v>1698.6821296784397</v>
      </c>
    </row>
    <row r="2282" spans="1:18">
      <c r="A2282" t="s">
        <v>423</v>
      </c>
      <c r="B2282" t="s">
        <v>46</v>
      </c>
      <c r="C2282" t="str">
        <f>SUBSTITUTE(Table1[[#This Row],[Fuel]],", ",",")</f>
        <v>bioenergy: agricultural waste (solids)</v>
      </c>
      <c r="D2282" t="s">
        <v>46</v>
      </c>
      <c r="G2282">
        <v>18</v>
      </c>
      <c r="H2282" t="s">
        <v>27</v>
      </c>
      <c r="I2282" t="s">
        <v>21</v>
      </c>
      <c r="J2282" t="s">
        <v>21</v>
      </c>
      <c r="K2282">
        <v>12.975967519999999</v>
      </c>
      <c r="L2282">
        <v>77.579067280000004</v>
      </c>
      <c r="M2282" t="s">
        <v>66</v>
      </c>
      <c r="N2282" s="2">
        <f>Table1[[#This Row],[Capacity (MW)]]*8760*0.72*10^-6</f>
        <v>0.11352959999999998</v>
      </c>
      <c r="O2282" s="2" cm="1">
        <f t="array" ref="O2282">AVERAGE(VLOOKUP(_xlfn.TEXTSPLIT(Table1[[#This Row],[Fuel (no space after comma)]], ","), FuelList_Final_EF!$A$2:$B$32, 2, FALSE))</f>
        <v>118.17</v>
      </c>
      <c r="P2282" s="2">
        <f>(16112*Table1[[#This Row],[Generation (TWh)]]*10^9)/10^6</f>
        <v>1829188.9151999997</v>
      </c>
      <c r="Q2282" s="2">
        <f>Table1[[#This Row],[Emission Factor (kg CO2/ mmBtu)]]*Table1[[#This Row],[Fuel Consumption (mmBtu)]]*10^3</f>
        <v>216155254109.18396</v>
      </c>
      <c r="R2282" s="2">
        <f>(Table1[[#This Row],[CO2 Emissions (g CO2)]])/(Table1[[#This Row],[Generation (TWh)]]*10^9)</f>
        <v>1903.9550399999998</v>
      </c>
    </row>
    <row r="2283" spans="1:18" hidden="1">
      <c r="A2283" t="s">
        <v>21</v>
      </c>
      <c r="B2283" t="s">
        <v>19</v>
      </c>
      <c r="C2283" t="str">
        <f>SUBSTITUTE(Table1[[#This Row],[Fuel]],", ",",")</f>
        <v>bioenergy: refuse (municipal and industrial wastes)</v>
      </c>
      <c r="D2283" t="s">
        <v>19</v>
      </c>
      <c r="G2283">
        <v>15</v>
      </c>
      <c r="H2283" t="s">
        <v>27</v>
      </c>
      <c r="I2283">
        <v>2018</v>
      </c>
      <c r="J2283" t="s">
        <v>21</v>
      </c>
      <c r="K2283">
        <v>23.488928000000001</v>
      </c>
      <c r="L2283">
        <v>116.574726</v>
      </c>
      <c r="M2283" t="s">
        <v>102</v>
      </c>
      <c r="N2283" s="2">
        <f>Table1[[#This Row],[Capacity (MW)]]*8760*0.72*10^-6</f>
        <v>9.4607999999999998E-2</v>
      </c>
      <c r="O2283" s="2" cm="1">
        <f t="array" ref="O2283">AVERAGE(VLOOKUP(_xlfn.TEXTSPLIT(Table1[[#This Row],[Fuel (no space after comma)]], ","), FuelList_Final_EF!$A$2:$B$32, 2, FALSE))</f>
        <v>105.42962572482868</v>
      </c>
      <c r="P2283" s="2">
        <f>(16112*Table1[[#This Row],[Generation (TWh)]]*10^9)/10^6</f>
        <v>1524324.0959999999</v>
      </c>
      <c r="Q2283" s="2">
        <f>Table1[[#This Row],[Emission Factor (kg CO2/ mmBtu)]]*Table1[[#This Row],[Fuel Consumption (mmBtu)]]*10^3</f>
        <v>160708918924.61783</v>
      </c>
      <c r="R2283" s="2">
        <f>(Table1[[#This Row],[CO2 Emissions (g CO2)]])/(Table1[[#This Row],[Generation (TWh)]]*10^9)</f>
        <v>1698.6821296784397</v>
      </c>
    </row>
    <row r="2284" spans="1:18" hidden="1">
      <c r="A2284" t="s">
        <v>21</v>
      </c>
      <c r="B2284" t="s">
        <v>19</v>
      </c>
      <c r="C2284" t="str">
        <f>SUBSTITUTE(Table1[[#This Row],[Fuel]],", ",",")</f>
        <v>bioenergy: refuse (municipal and industrial wastes)</v>
      </c>
      <c r="D2284" t="s">
        <v>19</v>
      </c>
      <c r="G2284">
        <v>15</v>
      </c>
      <c r="H2284" t="s">
        <v>27</v>
      </c>
      <c r="I2284">
        <v>2018</v>
      </c>
      <c r="J2284" t="s">
        <v>21</v>
      </c>
      <c r="K2284">
        <v>23.488928000000001</v>
      </c>
      <c r="L2284">
        <v>116.574726</v>
      </c>
      <c r="M2284" t="s">
        <v>102</v>
      </c>
      <c r="N2284" s="2">
        <f>Table1[[#This Row],[Capacity (MW)]]*8760*0.72*10^-6</f>
        <v>9.4607999999999998E-2</v>
      </c>
      <c r="O2284" s="2" cm="1">
        <f t="array" ref="O2284">AVERAGE(VLOOKUP(_xlfn.TEXTSPLIT(Table1[[#This Row],[Fuel (no space after comma)]], ","), FuelList_Final_EF!$A$2:$B$32, 2, FALSE))</f>
        <v>105.42962572482868</v>
      </c>
      <c r="P2284" s="2">
        <f>(16112*Table1[[#This Row],[Generation (TWh)]]*10^9)/10^6</f>
        <v>1524324.0959999999</v>
      </c>
      <c r="Q2284" s="2">
        <f>Table1[[#This Row],[Emission Factor (kg CO2/ mmBtu)]]*Table1[[#This Row],[Fuel Consumption (mmBtu)]]*10^3</f>
        <v>160708918924.61783</v>
      </c>
      <c r="R2284" s="2">
        <f>(Table1[[#This Row],[CO2 Emissions (g CO2)]])/(Table1[[#This Row],[Generation (TWh)]]*10^9)</f>
        <v>1698.6821296784397</v>
      </c>
    </row>
    <row r="2285" spans="1:18" hidden="1">
      <c r="A2285" t="s">
        <v>438</v>
      </c>
      <c r="B2285" t="s">
        <v>19</v>
      </c>
      <c r="C2285" t="str">
        <f>SUBSTITUTE(Table1[[#This Row],[Fuel]],", ",",")</f>
        <v>bioenergy: refuse (municipal and industrial wastes)</v>
      </c>
      <c r="D2285" t="s">
        <v>19</v>
      </c>
      <c r="G2285">
        <v>12</v>
      </c>
      <c r="H2285" t="s">
        <v>27</v>
      </c>
      <c r="I2285">
        <v>2011</v>
      </c>
      <c r="J2285" t="s">
        <v>21</v>
      </c>
      <c r="K2285">
        <v>22.898064000000002</v>
      </c>
      <c r="L2285">
        <v>113.676344</v>
      </c>
      <c r="M2285" t="s">
        <v>102</v>
      </c>
      <c r="N2285" s="2">
        <f>Table1[[#This Row],[Capacity (MW)]]*8760*0.72*10^-6</f>
        <v>7.5686399999999987E-2</v>
      </c>
      <c r="O2285" s="2" cm="1">
        <f t="array" ref="O2285">AVERAGE(VLOOKUP(_xlfn.TEXTSPLIT(Table1[[#This Row],[Fuel (no space after comma)]], ","), FuelList_Final_EF!$A$2:$B$32, 2, FALSE))</f>
        <v>105.42962572482868</v>
      </c>
      <c r="P2285" s="2">
        <f>(16112*Table1[[#This Row],[Generation (TWh)]]*10^9)/10^6</f>
        <v>1219459.2767999996</v>
      </c>
      <c r="Q2285" s="2">
        <f>Table1[[#This Row],[Emission Factor (kg CO2/ mmBtu)]]*Table1[[#This Row],[Fuel Consumption (mmBtu)]]*10^3</f>
        <v>128567135139.69423</v>
      </c>
      <c r="R2285" s="2">
        <f>(Table1[[#This Row],[CO2 Emissions (g CO2)]])/(Table1[[#This Row],[Generation (TWh)]]*10^9)</f>
        <v>1698.6821296784397</v>
      </c>
    </row>
    <row r="2286" spans="1:18" hidden="1">
      <c r="A2286" t="s">
        <v>438</v>
      </c>
      <c r="B2286" t="s">
        <v>19</v>
      </c>
      <c r="C2286" t="str">
        <f>SUBSTITUTE(Table1[[#This Row],[Fuel]],", ",",")</f>
        <v>bioenergy: refuse (municipal and industrial wastes)</v>
      </c>
      <c r="D2286" t="s">
        <v>19</v>
      </c>
      <c r="G2286">
        <v>12</v>
      </c>
      <c r="H2286" t="s">
        <v>27</v>
      </c>
      <c r="I2286">
        <v>2011</v>
      </c>
      <c r="J2286" t="s">
        <v>21</v>
      </c>
      <c r="K2286">
        <v>22.898064000000002</v>
      </c>
      <c r="L2286">
        <v>113.676344</v>
      </c>
      <c r="M2286" t="s">
        <v>102</v>
      </c>
      <c r="N2286" s="2">
        <f>Table1[[#This Row],[Capacity (MW)]]*8760*0.72*10^-6</f>
        <v>7.5686399999999987E-2</v>
      </c>
      <c r="O2286" s="2" cm="1">
        <f t="array" ref="O2286">AVERAGE(VLOOKUP(_xlfn.TEXTSPLIT(Table1[[#This Row],[Fuel (no space after comma)]], ","), FuelList_Final_EF!$A$2:$B$32, 2, FALSE))</f>
        <v>105.42962572482868</v>
      </c>
      <c r="P2286" s="2">
        <f>(16112*Table1[[#This Row],[Generation (TWh)]]*10^9)/10^6</f>
        <v>1219459.2767999996</v>
      </c>
      <c r="Q2286" s="2">
        <f>Table1[[#This Row],[Emission Factor (kg CO2/ mmBtu)]]*Table1[[#This Row],[Fuel Consumption (mmBtu)]]*10^3</f>
        <v>128567135139.69423</v>
      </c>
      <c r="R2286" s="2">
        <f>(Table1[[#This Row],[CO2 Emissions (g CO2)]])/(Table1[[#This Row],[Generation (TWh)]]*10^9)</f>
        <v>1698.6821296784397</v>
      </c>
    </row>
    <row r="2287" spans="1:18" hidden="1">
      <c r="A2287" t="s">
        <v>21</v>
      </c>
      <c r="B2287" t="s">
        <v>19</v>
      </c>
      <c r="C2287" t="str">
        <f>SUBSTITUTE(Table1[[#This Row],[Fuel]],", ",",")</f>
        <v>bioenergy: refuse (municipal and industrial wastes)</v>
      </c>
      <c r="D2287" t="s">
        <v>19</v>
      </c>
      <c r="G2287">
        <v>12</v>
      </c>
      <c r="H2287" t="s">
        <v>27</v>
      </c>
      <c r="I2287">
        <v>2013</v>
      </c>
      <c r="J2287" t="s">
        <v>21</v>
      </c>
      <c r="K2287">
        <v>22.945705</v>
      </c>
      <c r="L2287">
        <v>113.763403</v>
      </c>
      <c r="M2287" t="s">
        <v>102</v>
      </c>
      <c r="N2287" s="2">
        <f>Table1[[#This Row],[Capacity (MW)]]*8760*0.72*10^-6</f>
        <v>7.5686399999999987E-2</v>
      </c>
      <c r="O2287" s="2" cm="1">
        <f t="array" ref="O2287">AVERAGE(VLOOKUP(_xlfn.TEXTSPLIT(Table1[[#This Row],[Fuel (no space after comma)]], ","), FuelList_Final_EF!$A$2:$B$32, 2, FALSE))</f>
        <v>105.42962572482868</v>
      </c>
      <c r="P2287" s="2">
        <f>(16112*Table1[[#This Row],[Generation (TWh)]]*10^9)/10^6</f>
        <v>1219459.2767999996</v>
      </c>
      <c r="Q2287" s="2">
        <f>Table1[[#This Row],[Emission Factor (kg CO2/ mmBtu)]]*Table1[[#This Row],[Fuel Consumption (mmBtu)]]*10^3</f>
        <v>128567135139.69423</v>
      </c>
      <c r="R2287" s="2">
        <f>(Table1[[#This Row],[CO2 Emissions (g CO2)]])/(Table1[[#This Row],[Generation (TWh)]]*10^9)</f>
        <v>1698.6821296784397</v>
      </c>
    </row>
    <row r="2288" spans="1:18" hidden="1">
      <c r="A2288" t="s">
        <v>21</v>
      </c>
      <c r="B2288" t="s">
        <v>19</v>
      </c>
      <c r="C2288" t="str">
        <f>SUBSTITUTE(Table1[[#This Row],[Fuel]],", ",",")</f>
        <v>bioenergy: refuse (municipal and industrial wastes)</v>
      </c>
      <c r="D2288" t="s">
        <v>19</v>
      </c>
      <c r="G2288">
        <v>15</v>
      </c>
      <c r="H2288" t="s">
        <v>27</v>
      </c>
      <c r="I2288">
        <v>2013</v>
      </c>
      <c r="J2288" t="s">
        <v>21</v>
      </c>
      <c r="K2288">
        <v>22.945705</v>
      </c>
      <c r="L2288">
        <v>113.763403</v>
      </c>
      <c r="M2288" t="s">
        <v>102</v>
      </c>
      <c r="N2288" s="2">
        <f>Table1[[#This Row],[Capacity (MW)]]*8760*0.72*10^-6</f>
        <v>9.4607999999999998E-2</v>
      </c>
      <c r="O2288" s="2" cm="1">
        <f t="array" ref="O2288">AVERAGE(VLOOKUP(_xlfn.TEXTSPLIT(Table1[[#This Row],[Fuel (no space after comma)]], ","), FuelList_Final_EF!$A$2:$B$32, 2, FALSE))</f>
        <v>105.42962572482868</v>
      </c>
      <c r="P2288" s="2">
        <f>(16112*Table1[[#This Row],[Generation (TWh)]]*10^9)/10^6</f>
        <v>1524324.0959999999</v>
      </c>
      <c r="Q2288" s="2">
        <f>Table1[[#This Row],[Emission Factor (kg CO2/ mmBtu)]]*Table1[[#This Row],[Fuel Consumption (mmBtu)]]*10^3</f>
        <v>160708918924.61783</v>
      </c>
      <c r="R2288" s="2">
        <f>(Table1[[#This Row],[CO2 Emissions (g CO2)]])/(Table1[[#This Row],[Generation (TWh)]]*10^9)</f>
        <v>1698.6821296784397</v>
      </c>
    </row>
    <row r="2289" spans="1:18" hidden="1">
      <c r="A2289" t="s">
        <v>21</v>
      </c>
      <c r="B2289" t="s">
        <v>19</v>
      </c>
      <c r="C2289" t="str">
        <f>SUBSTITUTE(Table1[[#This Row],[Fuel]],", ",",")</f>
        <v>bioenergy: refuse (municipal and industrial wastes)</v>
      </c>
      <c r="D2289" t="s">
        <v>19</v>
      </c>
      <c r="G2289">
        <v>15</v>
      </c>
      <c r="H2289" t="s">
        <v>27</v>
      </c>
      <c r="I2289">
        <v>2013</v>
      </c>
      <c r="J2289" t="s">
        <v>21</v>
      </c>
      <c r="K2289">
        <v>22.945705</v>
      </c>
      <c r="L2289">
        <v>113.763403</v>
      </c>
      <c r="M2289" t="s">
        <v>102</v>
      </c>
      <c r="N2289" s="2">
        <f>Table1[[#This Row],[Capacity (MW)]]*8760*0.72*10^-6</f>
        <v>9.4607999999999998E-2</v>
      </c>
      <c r="O2289" s="2" cm="1">
        <f t="array" ref="O2289">AVERAGE(VLOOKUP(_xlfn.TEXTSPLIT(Table1[[#This Row],[Fuel (no space after comma)]], ","), FuelList_Final_EF!$A$2:$B$32, 2, FALSE))</f>
        <v>105.42962572482868</v>
      </c>
      <c r="P2289" s="2">
        <f>(16112*Table1[[#This Row],[Generation (TWh)]]*10^9)/10^6</f>
        <v>1524324.0959999999</v>
      </c>
      <c r="Q2289" s="2">
        <f>Table1[[#This Row],[Emission Factor (kg CO2/ mmBtu)]]*Table1[[#This Row],[Fuel Consumption (mmBtu)]]*10^3</f>
        <v>160708918924.61783</v>
      </c>
      <c r="R2289" s="2">
        <f>(Table1[[#This Row],[CO2 Emissions (g CO2)]])/(Table1[[#This Row],[Generation (TWh)]]*10^9)</f>
        <v>1698.6821296784397</v>
      </c>
    </row>
    <row r="2290" spans="1:18" hidden="1">
      <c r="A2290" t="s">
        <v>21</v>
      </c>
      <c r="B2290" t="s">
        <v>19</v>
      </c>
      <c r="C2290" t="str">
        <f>SUBSTITUTE(Table1[[#This Row],[Fuel]],", ",",")</f>
        <v>bioenergy: refuse (municipal and industrial wastes)</v>
      </c>
      <c r="D2290" t="s">
        <v>19</v>
      </c>
      <c r="G2290">
        <v>18</v>
      </c>
      <c r="H2290" t="s">
        <v>27</v>
      </c>
      <c r="I2290">
        <v>2017</v>
      </c>
      <c r="J2290" t="s">
        <v>21</v>
      </c>
      <c r="K2290">
        <v>22.945705</v>
      </c>
      <c r="L2290">
        <v>113.763403</v>
      </c>
      <c r="M2290" t="s">
        <v>102</v>
      </c>
      <c r="N2290" s="2">
        <f>Table1[[#This Row],[Capacity (MW)]]*8760*0.72*10^-6</f>
        <v>0.11352959999999998</v>
      </c>
      <c r="O2290" s="2" cm="1">
        <f t="array" ref="O2290">AVERAGE(VLOOKUP(_xlfn.TEXTSPLIT(Table1[[#This Row],[Fuel (no space after comma)]], ","), FuelList_Final_EF!$A$2:$B$32, 2, FALSE))</f>
        <v>105.42962572482868</v>
      </c>
      <c r="P2290" s="2">
        <f>(16112*Table1[[#This Row],[Generation (TWh)]]*10^9)/10^6</f>
        <v>1829188.9151999997</v>
      </c>
      <c r="Q2290" s="2">
        <f>Table1[[#This Row],[Emission Factor (kg CO2/ mmBtu)]]*Table1[[#This Row],[Fuel Consumption (mmBtu)]]*10^3</f>
        <v>192850702709.54135</v>
      </c>
      <c r="R2290" s="2">
        <f>(Table1[[#This Row],[CO2 Emissions (g CO2)]])/(Table1[[#This Row],[Generation (TWh)]]*10^9)</f>
        <v>1698.6821296784397</v>
      </c>
    </row>
    <row r="2291" spans="1:18" hidden="1">
      <c r="A2291" t="s">
        <v>21</v>
      </c>
      <c r="B2291" t="s">
        <v>19</v>
      </c>
      <c r="C2291" t="str">
        <f>SUBSTITUTE(Table1[[#This Row],[Fuel]],", ",",")</f>
        <v>bioenergy: refuse (municipal and industrial wastes)</v>
      </c>
      <c r="D2291" t="s">
        <v>19</v>
      </c>
      <c r="G2291">
        <v>18</v>
      </c>
      <c r="H2291" t="s">
        <v>27</v>
      </c>
      <c r="I2291">
        <v>2017</v>
      </c>
      <c r="J2291" t="s">
        <v>21</v>
      </c>
      <c r="K2291">
        <v>22.945705</v>
      </c>
      <c r="L2291">
        <v>113.763403</v>
      </c>
      <c r="M2291" t="s">
        <v>102</v>
      </c>
      <c r="N2291" s="2">
        <f>Table1[[#This Row],[Capacity (MW)]]*8760*0.72*10^-6</f>
        <v>0.11352959999999998</v>
      </c>
      <c r="O2291" s="2" cm="1">
        <f t="array" ref="O2291">AVERAGE(VLOOKUP(_xlfn.TEXTSPLIT(Table1[[#This Row],[Fuel (no space after comma)]], ","), FuelList_Final_EF!$A$2:$B$32, 2, FALSE))</f>
        <v>105.42962572482868</v>
      </c>
      <c r="P2291" s="2">
        <f>(16112*Table1[[#This Row],[Generation (TWh)]]*10^9)/10^6</f>
        <v>1829188.9151999997</v>
      </c>
      <c r="Q2291" s="2">
        <f>Table1[[#This Row],[Emission Factor (kg CO2/ mmBtu)]]*Table1[[#This Row],[Fuel Consumption (mmBtu)]]*10^3</f>
        <v>192850702709.54135</v>
      </c>
      <c r="R2291" s="2">
        <f>(Table1[[#This Row],[CO2 Emissions (g CO2)]])/(Table1[[#This Row],[Generation (TWh)]]*10^9)</f>
        <v>1698.6821296784397</v>
      </c>
    </row>
    <row r="2292" spans="1:18" hidden="1">
      <c r="A2292" t="s">
        <v>21</v>
      </c>
      <c r="B2292" t="s">
        <v>19</v>
      </c>
      <c r="C2292" t="str">
        <f>SUBSTITUTE(Table1[[#This Row],[Fuel]],", ",",")</f>
        <v>bioenergy: refuse (municipal and industrial wastes)</v>
      </c>
      <c r="D2292" t="s">
        <v>19</v>
      </c>
      <c r="G2292">
        <v>25</v>
      </c>
      <c r="H2292" t="s">
        <v>27</v>
      </c>
      <c r="I2292">
        <v>2021</v>
      </c>
      <c r="J2292" t="s">
        <v>21</v>
      </c>
      <c r="K2292">
        <v>21.825903</v>
      </c>
      <c r="L2292">
        <v>110.831885</v>
      </c>
      <c r="M2292" t="s">
        <v>102</v>
      </c>
      <c r="N2292" s="2">
        <f>Table1[[#This Row],[Capacity (MW)]]*8760*0.72*10^-6</f>
        <v>0.15767999999999999</v>
      </c>
      <c r="O2292" s="2" cm="1">
        <f t="array" ref="O2292">AVERAGE(VLOOKUP(_xlfn.TEXTSPLIT(Table1[[#This Row],[Fuel (no space after comma)]], ","), FuelList_Final_EF!$A$2:$B$32, 2, FALSE))</f>
        <v>105.42962572482868</v>
      </c>
      <c r="P2292" s="2">
        <f>(16112*Table1[[#This Row],[Generation (TWh)]]*10^9)/10^6</f>
        <v>2540540.16</v>
      </c>
      <c r="Q2292" s="2">
        <f>Table1[[#This Row],[Emission Factor (kg CO2/ mmBtu)]]*Table1[[#This Row],[Fuel Consumption (mmBtu)]]*10^3</f>
        <v>267848198207.69638</v>
      </c>
      <c r="R2292" s="2">
        <f>(Table1[[#This Row],[CO2 Emissions (g CO2)]])/(Table1[[#This Row],[Generation (TWh)]]*10^9)</f>
        <v>1698.6821296784397</v>
      </c>
    </row>
    <row r="2293" spans="1:18" hidden="1">
      <c r="A2293" t="s">
        <v>127</v>
      </c>
      <c r="B2293" t="s">
        <v>19</v>
      </c>
      <c r="C2293" t="str">
        <f>SUBSTITUTE(Table1[[#This Row],[Fuel]],", ",",")</f>
        <v>bioenergy: refuse (municipal and industrial wastes)</v>
      </c>
      <c r="D2293" t="s">
        <v>19</v>
      </c>
      <c r="G2293">
        <v>12</v>
      </c>
      <c r="H2293" t="s">
        <v>27</v>
      </c>
      <c r="I2293">
        <v>2019</v>
      </c>
      <c r="J2293" t="s">
        <v>21</v>
      </c>
      <c r="K2293">
        <v>21.754581000000002</v>
      </c>
      <c r="L2293">
        <v>110.601885</v>
      </c>
      <c r="M2293" t="s">
        <v>102</v>
      </c>
      <c r="N2293" s="2">
        <f>Table1[[#This Row],[Capacity (MW)]]*8760*0.72*10^-6</f>
        <v>7.5686399999999987E-2</v>
      </c>
      <c r="O2293" s="2" cm="1">
        <f t="array" ref="O2293">AVERAGE(VLOOKUP(_xlfn.TEXTSPLIT(Table1[[#This Row],[Fuel (no space after comma)]], ","), FuelList_Final_EF!$A$2:$B$32, 2, FALSE))</f>
        <v>105.42962572482868</v>
      </c>
      <c r="P2293" s="2">
        <f>(16112*Table1[[#This Row],[Generation (TWh)]]*10^9)/10^6</f>
        <v>1219459.2767999996</v>
      </c>
      <c r="Q2293" s="2">
        <f>Table1[[#This Row],[Emission Factor (kg CO2/ mmBtu)]]*Table1[[#This Row],[Fuel Consumption (mmBtu)]]*10^3</f>
        <v>128567135139.69423</v>
      </c>
      <c r="R2293" s="2">
        <f>(Table1[[#This Row],[CO2 Emissions (g CO2)]])/(Table1[[#This Row],[Generation (TWh)]]*10^9)</f>
        <v>1698.6821296784397</v>
      </c>
    </row>
    <row r="2294" spans="1:18" hidden="1">
      <c r="A2294" t="s">
        <v>482</v>
      </c>
      <c r="B2294" t="s">
        <v>19</v>
      </c>
      <c r="C2294" t="str">
        <f>SUBSTITUTE(Table1[[#This Row],[Fuel]],", ",",")</f>
        <v>bioenergy: refuse (municipal and industrial wastes)</v>
      </c>
      <c r="D2294" t="s">
        <v>19</v>
      </c>
      <c r="G2294">
        <v>16.2</v>
      </c>
      <c r="H2294" t="s">
        <v>27</v>
      </c>
      <c r="I2294">
        <v>2023</v>
      </c>
      <c r="J2294" t="s">
        <v>21</v>
      </c>
      <c r="K2294">
        <v>22.296299999999999</v>
      </c>
      <c r="L2294">
        <v>113.1425</v>
      </c>
      <c r="M2294" t="s">
        <v>102</v>
      </c>
      <c r="N2294" s="2">
        <f>Table1[[#This Row],[Capacity (MW)]]*8760*0.72*10^-6</f>
        <v>0.10217664</v>
      </c>
      <c r="O2294" s="2" cm="1">
        <f t="array" ref="O2294">AVERAGE(VLOOKUP(_xlfn.TEXTSPLIT(Table1[[#This Row],[Fuel (no space after comma)]], ","), FuelList_Final_EF!$A$2:$B$32, 2, FALSE))</f>
        <v>105.42962572482868</v>
      </c>
      <c r="P2294" s="2">
        <f>(16112*Table1[[#This Row],[Generation (TWh)]]*10^9)/10^6</f>
        <v>1646270.0236800001</v>
      </c>
      <c r="Q2294" s="2">
        <f>Table1[[#This Row],[Emission Factor (kg CO2/ mmBtu)]]*Table1[[#This Row],[Fuel Consumption (mmBtu)]]*10^3</f>
        <v>173565632438.58725</v>
      </c>
      <c r="R2294" s="2">
        <f>(Table1[[#This Row],[CO2 Emissions (g CO2)]])/(Table1[[#This Row],[Generation (TWh)]]*10^9)</f>
        <v>1698.6821296784397</v>
      </c>
    </row>
    <row r="2295" spans="1:18" hidden="1">
      <c r="A2295" t="s">
        <v>1310</v>
      </c>
      <c r="B2295" t="s">
        <v>19</v>
      </c>
      <c r="C2295" t="str">
        <f>SUBSTITUTE(Table1[[#This Row],[Fuel]],", ",",")</f>
        <v>bioenergy: refuse (municipal and industrial wastes)</v>
      </c>
      <c r="D2295" t="s">
        <v>19</v>
      </c>
      <c r="G2295">
        <v>1.8</v>
      </c>
      <c r="H2295" t="s">
        <v>27</v>
      </c>
      <c r="I2295">
        <v>2023</v>
      </c>
      <c r="J2295" t="s">
        <v>21</v>
      </c>
      <c r="K2295">
        <v>22.296299999999999</v>
      </c>
      <c r="L2295">
        <v>113.1425</v>
      </c>
      <c r="M2295" t="s">
        <v>102</v>
      </c>
      <c r="N2295" s="2">
        <f>Table1[[#This Row],[Capacity (MW)]]*8760*0.72*10^-6</f>
        <v>1.1352959999999999E-2</v>
      </c>
      <c r="O2295" s="2" cm="1">
        <f t="array" ref="O2295">AVERAGE(VLOOKUP(_xlfn.TEXTSPLIT(Table1[[#This Row],[Fuel (no space after comma)]], ","), FuelList_Final_EF!$A$2:$B$32, 2, FALSE))</f>
        <v>105.42962572482868</v>
      </c>
      <c r="P2295" s="2">
        <f>(16112*Table1[[#This Row],[Generation (TWh)]]*10^9)/10^6</f>
        <v>182918.89152</v>
      </c>
      <c r="Q2295" s="2">
        <f>Table1[[#This Row],[Emission Factor (kg CO2/ mmBtu)]]*Table1[[#This Row],[Fuel Consumption (mmBtu)]]*10^3</f>
        <v>19285070270.95414</v>
      </c>
      <c r="R2295" s="2">
        <f>(Table1[[#This Row],[CO2 Emissions (g CO2)]])/(Table1[[#This Row],[Generation (TWh)]]*10^9)</f>
        <v>1698.6821296784401</v>
      </c>
    </row>
    <row r="2296" spans="1:18" hidden="1">
      <c r="A2296" t="s">
        <v>1310</v>
      </c>
      <c r="B2296" t="s">
        <v>19</v>
      </c>
      <c r="C2296" t="str">
        <f>SUBSTITUTE(Table1[[#This Row],[Fuel]],", ",",")</f>
        <v>bioenergy: refuse (municipal and industrial wastes)</v>
      </c>
      <c r="D2296" t="s">
        <v>19</v>
      </c>
      <c r="G2296">
        <v>1.8</v>
      </c>
      <c r="H2296" t="s">
        <v>27</v>
      </c>
      <c r="I2296">
        <v>2023</v>
      </c>
      <c r="J2296" t="s">
        <v>21</v>
      </c>
      <c r="K2296">
        <v>22.296299999999999</v>
      </c>
      <c r="L2296">
        <v>113.1425</v>
      </c>
      <c r="M2296" t="s">
        <v>102</v>
      </c>
      <c r="N2296" s="2">
        <f>Table1[[#This Row],[Capacity (MW)]]*8760*0.72*10^-6</f>
        <v>1.1352959999999999E-2</v>
      </c>
      <c r="O2296" s="2" cm="1">
        <f t="array" ref="O2296">AVERAGE(VLOOKUP(_xlfn.TEXTSPLIT(Table1[[#This Row],[Fuel (no space after comma)]], ","), FuelList_Final_EF!$A$2:$B$32, 2, FALSE))</f>
        <v>105.42962572482868</v>
      </c>
      <c r="P2296" s="2">
        <f>(16112*Table1[[#This Row],[Generation (TWh)]]*10^9)/10^6</f>
        <v>182918.89152</v>
      </c>
      <c r="Q2296" s="2">
        <f>Table1[[#This Row],[Emission Factor (kg CO2/ mmBtu)]]*Table1[[#This Row],[Fuel Consumption (mmBtu)]]*10^3</f>
        <v>19285070270.95414</v>
      </c>
      <c r="R2296" s="2">
        <f>(Table1[[#This Row],[CO2 Emissions (g CO2)]])/(Table1[[#This Row],[Generation (TWh)]]*10^9)</f>
        <v>1698.6821296784401</v>
      </c>
    </row>
    <row r="2297" spans="1:18" hidden="1">
      <c r="A2297" t="s">
        <v>482</v>
      </c>
      <c r="B2297" t="s">
        <v>19</v>
      </c>
      <c r="C2297" t="str">
        <f>SUBSTITUTE(Table1[[#This Row],[Fuel]],", ",",")</f>
        <v>bioenergy: refuse (municipal and industrial wastes)</v>
      </c>
      <c r="D2297" t="s">
        <v>19</v>
      </c>
      <c r="G2297">
        <v>16.2</v>
      </c>
      <c r="H2297" t="s">
        <v>27</v>
      </c>
      <c r="I2297">
        <v>2023</v>
      </c>
      <c r="J2297" t="s">
        <v>21</v>
      </c>
      <c r="K2297">
        <v>22.296299999999999</v>
      </c>
      <c r="L2297">
        <v>113.1425</v>
      </c>
      <c r="M2297" t="s">
        <v>102</v>
      </c>
      <c r="N2297" s="2">
        <f>Table1[[#This Row],[Capacity (MW)]]*8760*0.72*10^-6</f>
        <v>0.10217664</v>
      </c>
      <c r="O2297" s="2" cm="1">
        <f t="array" ref="O2297">AVERAGE(VLOOKUP(_xlfn.TEXTSPLIT(Table1[[#This Row],[Fuel (no space after comma)]], ","), FuelList_Final_EF!$A$2:$B$32, 2, FALSE))</f>
        <v>105.42962572482868</v>
      </c>
      <c r="P2297" s="2">
        <f>(16112*Table1[[#This Row],[Generation (TWh)]]*10^9)/10^6</f>
        <v>1646270.0236800001</v>
      </c>
      <c r="Q2297" s="2">
        <f>Table1[[#This Row],[Emission Factor (kg CO2/ mmBtu)]]*Table1[[#This Row],[Fuel Consumption (mmBtu)]]*10^3</f>
        <v>173565632438.58725</v>
      </c>
      <c r="R2297" s="2">
        <f>(Table1[[#This Row],[CO2 Emissions (g CO2)]])/(Table1[[#This Row],[Generation (TWh)]]*10^9)</f>
        <v>1698.6821296784397</v>
      </c>
    </row>
    <row r="2298" spans="1:18" hidden="1">
      <c r="A2298" t="s">
        <v>21</v>
      </c>
      <c r="B2298" t="s">
        <v>19</v>
      </c>
      <c r="C2298" t="str">
        <f>SUBSTITUTE(Table1[[#This Row],[Fuel]],", ",",")</f>
        <v>bioenergy: refuse (municipal and industrial wastes)</v>
      </c>
      <c r="D2298" t="s">
        <v>19</v>
      </c>
      <c r="G2298">
        <v>25</v>
      </c>
      <c r="H2298" t="s">
        <v>27</v>
      </c>
      <c r="I2298">
        <v>2019</v>
      </c>
      <c r="J2298" t="s">
        <v>21</v>
      </c>
      <c r="K2298">
        <v>23.657291000000001</v>
      </c>
      <c r="L2298">
        <v>116.486069</v>
      </c>
      <c r="M2298" t="s">
        <v>102</v>
      </c>
      <c r="N2298" s="2">
        <f>Table1[[#This Row],[Capacity (MW)]]*8760*0.72*10^-6</f>
        <v>0.15767999999999999</v>
      </c>
      <c r="O2298" s="2" cm="1">
        <f t="array" ref="O2298">AVERAGE(VLOOKUP(_xlfn.TEXTSPLIT(Table1[[#This Row],[Fuel (no space after comma)]], ","), FuelList_Final_EF!$A$2:$B$32, 2, FALSE))</f>
        <v>105.42962572482868</v>
      </c>
      <c r="P2298" s="2">
        <f>(16112*Table1[[#This Row],[Generation (TWh)]]*10^9)/10^6</f>
        <v>2540540.16</v>
      </c>
      <c r="Q2298" s="2">
        <f>Table1[[#This Row],[Emission Factor (kg CO2/ mmBtu)]]*Table1[[#This Row],[Fuel Consumption (mmBtu)]]*10^3</f>
        <v>267848198207.69638</v>
      </c>
      <c r="R2298" s="2">
        <f>(Table1[[#This Row],[CO2 Emissions (g CO2)]])/(Table1[[#This Row],[Generation (TWh)]]*10^9)</f>
        <v>1698.6821296784397</v>
      </c>
    </row>
    <row r="2299" spans="1:18" hidden="1">
      <c r="A2299" t="s">
        <v>21</v>
      </c>
      <c r="B2299" t="s">
        <v>19</v>
      </c>
      <c r="C2299" t="str">
        <f>SUBSTITUTE(Table1[[#This Row],[Fuel]],", ",",")</f>
        <v>bioenergy: refuse (municipal and industrial wastes)</v>
      </c>
      <c r="D2299" t="s">
        <v>19</v>
      </c>
      <c r="G2299">
        <v>12</v>
      </c>
      <c r="H2299" t="s">
        <v>27</v>
      </c>
      <c r="I2299">
        <v>2021</v>
      </c>
      <c r="J2299" t="s">
        <v>21</v>
      </c>
      <c r="K2299">
        <v>25.074522999999999</v>
      </c>
      <c r="L2299">
        <v>113.354145</v>
      </c>
      <c r="M2299" t="s">
        <v>102</v>
      </c>
      <c r="N2299" s="2">
        <f>Table1[[#This Row],[Capacity (MW)]]*8760*0.72*10^-6</f>
        <v>7.5686399999999987E-2</v>
      </c>
      <c r="O2299" s="2" cm="1">
        <f t="array" ref="O2299">AVERAGE(VLOOKUP(_xlfn.TEXTSPLIT(Table1[[#This Row],[Fuel (no space after comma)]], ","), FuelList_Final_EF!$A$2:$B$32, 2, FALSE))</f>
        <v>105.42962572482868</v>
      </c>
      <c r="P2299" s="2">
        <f>(16112*Table1[[#This Row],[Generation (TWh)]]*10^9)/10^6</f>
        <v>1219459.2767999996</v>
      </c>
      <c r="Q2299" s="2">
        <f>Table1[[#This Row],[Emission Factor (kg CO2/ mmBtu)]]*Table1[[#This Row],[Fuel Consumption (mmBtu)]]*10^3</f>
        <v>128567135139.69423</v>
      </c>
      <c r="R2299" s="2">
        <f>(Table1[[#This Row],[CO2 Emissions (g CO2)]])/(Table1[[#This Row],[Generation (TWh)]]*10^9)</f>
        <v>1698.6821296784397</v>
      </c>
    </row>
    <row r="2300" spans="1:18" hidden="1">
      <c r="A2300" t="s">
        <v>21</v>
      </c>
      <c r="B2300" t="s">
        <v>19</v>
      </c>
      <c r="C2300" t="str">
        <f>SUBSTITUTE(Table1[[#This Row],[Fuel]],", ",",")</f>
        <v>bioenergy: refuse (municipal and industrial wastes)</v>
      </c>
      <c r="D2300" t="s">
        <v>19</v>
      </c>
      <c r="G2300">
        <v>15</v>
      </c>
      <c r="H2300" t="s">
        <v>27</v>
      </c>
      <c r="I2300">
        <v>2020</v>
      </c>
      <c r="J2300" t="s">
        <v>21</v>
      </c>
      <c r="K2300">
        <v>23.671941</v>
      </c>
      <c r="L2300">
        <v>114.229793</v>
      </c>
      <c r="M2300" t="s">
        <v>102</v>
      </c>
      <c r="N2300" s="2">
        <f>Table1[[#This Row],[Capacity (MW)]]*8760*0.72*10^-6</f>
        <v>9.4607999999999998E-2</v>
      </c>
      <c r="O2300" s="2" cm="1">
        <f t="array" ref="O2300">AVERAGE(VLOOKUP(_xlfn.TEXTSPLIT(Table1[[#This Row],[Fuel (no space after comma)]], ","), FuelList_Final_EF!$A$2:$B$32, 2, FALSE))</f>
        <v>105.42962572482868</v>
      </c>
      <c r="P2300" s="2">
        <f>(16112*Table1[[#This Row],[Generation (TWh)]]*10^9)/10^6</f>
        <v>1524324.0959999999</v>
      </c>
      <c r="Q2300" s="2">
        <f>Table1[[#This Row],[Emission Factor (kg CO2/ mmBtu)]]*Table1[[#This Row],[Fuel Consumption (mmBtu)]]*10^3</f>
        <v>160708918924.61783</v>
      </c>
      <c r="R2300" s="2">
        <f>(Table1[[#This Row],[CO2 Emissions (g CO2)]])/(Table1[[#This Row],[Generation (TWh)]]*10^9)</f>
        <v>1698.6821296784397</v>
      </c>
    </row>
    <row r="2301" spans="1:18" hidden="1">
      <c r="A2301" t="s">
        <v>21</v>
      </c>
      <c r="B2301" t="s">
        <v>19</v>
      </c>
      <c r="C2301" t="str">
        <f>SUBSTITUTE(Table1[[#This Row],[Fuel]],", ",",")</f>
        <v>bioenergy: refuse (municipal and industrial wastes)</v>
      </c>
      <c r="D2301" t="s">
        <v>19</v>
      </c>
      <c r="G2301">
        <v>15</v>
      </c>
      <c r="H2301" t="s">
        <v>27</v>
      </c>
      <c r="I2301">
        <v>2018</v>
      </c>
      <c r="J2301" t="s">
        <v>21</v>
      </c>
      <c r="K2301">
        <v>22.887865999999999</v>
      </c>
      <c r="L2301">
        <v>115.930329</v>
      </c>
      <c r="M2301" t="s">
        <v>102</v>
      </c>
      <c r="N2301" s="2">
        <f>Table1[[#This Row],[Capacity (MW)]]*8760*0.72*10^-6</f>
        <v>9.4607999999999998E-2</v>
      </c>
      <c r="O2301" s="2" cm="1">
        <f t="array" ref="O2301">AVERAGE(VLOOKUP(_xlfn.TEXTSPLIT(Table1[[#This Row],[Fuel (no space after comma)]], ","), FuelList_Final_EF!$A$2:$B$32, 2, FALSE))</f>
        <v>105.42962572482868</v>
      </c>
      <c r="P2301" s="2">
        <f>(16112*Table1[[#This Row],[Generation (TWh)]]*10^9)/10^6</f>
        <v>1524324.0959999999</v>
      </c>
      <c r="Q2301" s="2">
        <f>Table1[[#This Row],[Emission Factor (kg CO2/ mmBtu)]]*Table1[[#This Row],[Fuel Consumption (mmBtu)]]*10^3</f>
        <v>160708918924.61783</v>
      </c>
      <c r="R2301" s="2">
        <f>(Table1[[#This Row],[CO2 Emissions (g CO2)]])/(Table1[[#This Row],[Generation (TWh)]]*10^9)</f>
        <v>1698.6821296784397</v>
      </c>
    </row>
    <row r="2302" spans="1:18" hidden="1">
      <c r="A2302" t="s">
        <v>21</v>
      </c>
      <c r="B2302" t="s">
        <v>19</v>
      </c>
      <c r="C2302" t="str">
        <f>SUBSTITUTE(Table1[[#This Row],[Fuel]],", ",",")</f>
        <v>bioenergy: refuse (municipal and industrial wastes)</v>
      </c>
      <c r="D2302" t="s">
        <v>19</v>
      </c>
      <c r="G2302">
        <v>15</v>
      </c>
      <c r="H2302" t="s">
        <v>27</v>
      </c>
      <c r="I2302">
        <v>2018</v>
      </c>
      <c r="J2302" t="s">
        <v>21</v>
      </c>
      <c r="K2302">
        <v>22.887865999999999</v>
      </c>
      <c r="L2302">
        <v>115.930329</v>
      </c>
      <c r="M2302" t="s">
        <v>102</v>
      </c>
      <c r="N2302" s="2">
        <f>Table1[[#This Row],[Capacity (MW)]]*8760*0.72*10^-6</f>
        <v>9.4607999999999998E-2</v>
      </c>
      <c r="O2302" s="2" cm="1">
        <f t="array" ref="O2302">AVERAGE(VLOOKUP(_xlfn.TEXTSPLIT(Table1[[#This Row],[Fuel (no space after comma)]], ","), FuelList_Final_EF!$A$2:$B$32, 2, FALSE))</f>
        <v>105.42962572482868</v>
      </c>
      <c r="P2302" s="2">
        <f>(16112*Table1[[#This Row],[Generation (TWh)]]*10^9)/10^6</f>
        <v>1524324.0959999999</v>
      </c>
      <c r="Q2302" s="2">
        <f>Table1[[#This Row],[Emission Factor (kg CO2/ mmBtu)]]*Table1[[#This Row],[Fuel Consumption (mmBtu)]]*10^3</f>
        <v>160708918924.61783</v>
      </c>
      <c r="R2302" s="2">
        <f>(Table1[[#This Row],[CO2 Emissions (g CO2)]])/(Table1[[#This Row],[Generation (TWh)]]*10^9)</f>
        <v>1698.6821296784397</v>
      </c>
    </row>
    <row r="2303" spans="1:18" hidden="1">
      <c r="A2303" t="s">
        <v>21</v>
      </c>
      <c r="B2303" t="s">
        <v>19</v>
      </c>
      <c r="C2303" t="str">
        <f>SUBSTITUTE(Table1[[#This Row],[Fuel]],", ",",")</f>
        <v>bioenergy: refuse (municipal and industrial wastes)</v>
      </c>
      <c r="D2303" t="s">
        <v>19</v>
      </c>
      <c r="G2303">
        <v>18</v>
      </c>
      <c r="H2303" t="s">
        <v>27</v>
      </c>
      <c r="I2303">
        <v>2017</v>
      </c>
      <c r="J2303" t="s">
        <v>21</v>
      </c>
      <c r="K2303">
        <v>23.009855000000002</v>
      </c>
      <c r="L2303">
        <v>113.590869</v>
      </c>
      <c r="M2303" t="s">
        <v>102</v>
      </c>
      <c r="N2303" s="2">
        <f>Table1[[#This Row],[Capacity (MW)]]*8760*0.72*10^-6</f>
        <v>0.11352959999999998</v>
      </c>
      <c r="O2303" s="2" cm="1">
        <f t="array" ref="O2303">AVERAGE(VLOOKUP(_xlfn.TEXTSPLIT(Table1[[#This Row],[Fuel (no space after comma)]], ","), FuelList_Final_EF!$A$2:$B$32, 2, FALSE))</f>
        <v>105.42962572482868</v>
      </c>
      <c r="P2303" s="2">
        <f>(16112*Table1[[#This Row],[Generation (TWh)]]*10^9)/10^6</f>
        <v>1829188.9151999997</v>
      </c>
      <c r="Q2303" s="2">
        <f>Table1[[#This Row],[Emission Factor (kg CO2/ mmBtu)]]*Table1[[#This Row],[Fuel Consumption (mmBtu)]]*10^3</f>
        <v>192850702709.54135</v>
      </c>
      <c r="R2303" s="2">
        <f>(Table1[[#This Row],[CO2 Emissions (g CO2)]])/(Table1[[#This Row],[Generation (TWh)]]*10^9)</f>
        <v>1698.6821296784397</v>
      </c>
    </row>
    <row r="2304" spans="1:18" hidden="1">
      <c r="A2304" t="s">
        <v>21</v>
      </c>
      <c r="B2304" t="s">
        <v>19</v>
      </c>
      <c r="C2304" t="str">
        <f>SUBSTITUTE(Table1[[#This Row],[Fuel]],", ",",")</f>
        <v>bioenergy: refuse (municipal and industrial wastes)</v>
      </c>
      <c r="D2304" t="s">
        <v>19</v>
      </c>
      <c r="G2304">
        <v>18</v>
      </c>
      <c r="H2304" t="s">
        <v>27</v>
      </c>
      <c r="I2304">
        <v>2017</v>
      </c>
      <c r="J2304" t="s">
        <v>21</v>
      </c>
      <c r="K2304">
        <v>23.009855000000002</v>
      </c>
      <c r="L2304">
        <v>113.590869</v>
      </c>
      <c r="M2304" t="s">
        <v>102</v>
      </c>
      <c r="N2304" s="2">
        <f>Table1[[#This Row],[Capacity (MW)]]*8760*0.72*10^-6</f>
        <v>0.11352959999999998</v>
      </c>
      <c r="O2304" s="2" cm="1">
        <f t="array" ref="O2304">AVERAGE(VLOOKUP(_xlfn.TEXTSPLIT(Table1[[#This Row],[Fuel (no space after comma)]], ","), FuelList_Final_EF!$A$2:$B$32, 2, FALSE))</f>
        <v>105.42962572482868</v>
      </c>
      <c r="P2304" s="2">
        <f>(16112*Table1[[#This Row],[Generation (TWh)]]*10^9)/10^6</f>
        <v>1829188.9151999997</v>
      </c>
      <c r="Q2304" s="2">
        <f>Table1[[#This Row],[Emission Factor (kg CO2/ mmBtu)]]*Table1[[#This Row],[Fuel Consumption (mmBtu)]]*10^3</f>
        <v>192850702709.54135</v>
      </c>
      <c r="R2304" s="2">
        <f>(Table1[[#This Row],[CO2 Emissions (g CO2)]])/(Table1[[#This Row],[Generation (TWh)]]*10^9)</f>
        <v>1698.6821296784397</v>
      </c>
    </row>
    <row r="2305" spans="1:18" hidden="1">
      <c r="A2305" t="s">
        <v>21</v>
      </c>
      <c r="B2305" t="s">
        <v>19</v>
      </c>
      <c r="C2305" t="str">
        <f>SUBSTITUTE(Table1[[#This Row],[Fuel]],", ",",")</f>
        <v>bioenergy: refuse (municipal and industrial wastes)</v>
      </c>
      <c r="D2305" t="s">
        <v>19</v>
      </c>
      <c r="G2305">
        <v>12</v>
      </c>
      <c r="H2305" t="s">
        <v>27</v>
      </c>
      <c r="I2305">
        <v>2013</v>
      </c>
      <c r="J2305" t="s">
        <v>21</v>
      </c>
      <c r="K2305">
        <v>21.706253</v>
      </c>
      <c r="L2305">
        <v>110.824072</v>
      </c>
      <c r="M2305" t="s">
        <v>102</v>
      </c>
      <c r="N2305" s="2">
        <f>Table1[[#This Row],[Capacity (MW)]]*8760*0.72*10^-6</f>
        <v>7.5686399999999987E-2</v>
      </c>
      <c r="O2305" s="2" cm="1">
        <f t="array" ref="O2305">AVERAGE(VLOOKUP(_xlfn.TEXTSPLIT(Table1[[#This Row],[Fuel (no space after comma)]], ","), FuelList_Final_EF!$A$2:$B$32, 2, FALSE))</f>
        <v>105.42962572482868</v>
      </c>
      <c r="P2305" s="2">
        <f>(16112*Table1[[#This Row],[Generation (TWh)]]*10^9)/10^6</f>
        <v>1219459.2767999996</v>
      </c>
      <c r="Q2305" s="2">
        <f>Table1[[#This Row],[Emission Factor (kg CO2/ mmBtu)]]*Table1[[#This Row],[Fuel Consumption (mmBtu)]]*10^3</f>
        <v>128567135139.69423</v>
      </c>
      <c r="R2305" s="2">
        <f>(Table1[[#This Row],[CO2 Emissions (g CO2)]])/(Table1[[#This Row],[Generation (TWh)]]*10^9)</f>
        <v>1698.6821296784397</v>
      </c>
    </row>
    <row r="2306" spans="1:18" hidden="1">
      <c r="A2306" t="s">
        <v>21</v>
      </c>
      <c r="B2306" t="s">
        <v>19</v>
      </c>
      <c r="C2306" t="str">
        <f>SUBSTITUTE(Table1[[#This Row],[Fuel]],", ",",")</f>
        <v>bioenergy: refuse (municipal and industrial wastes)</v>
      </c>
      <c r="D2306" t="s">
        <v>19</v>
      </c>
      <c r="G2306">
        <v>12</v>
      </c>
      <c r="H2306" t="s">
        <v>27</v>
      </c>
      <c r="I2306">
        <v>2013</v>
      </c>
      <c r="J2306" t="s">
        <v>21</v>
      </c>
      <c r="K2306">
        <v>21.706253</v>
      </c>
      <c r="L2306">
        <v>110.824072</v>
      </c>
      <c r="M2306" t="s">
        <v>102</v>
      </c>
      <c r="N2306" s="2">
        <f>Table1[[#This Row],[Capacity (MW)]]*8760*0.72*10^-6</f>
        <v>7.5686399999999987E-2</v>
      </c>
      <c r="O2306" s="2" cm="1">
        <f t="array" ref="O2306">AVERAGE(VLOOKUP(_xlfn.TEXTSPLIT(Table1[[#This Row],[Fuel (no space after comma)]], ","), FuelList_Final_EF!$A$2:$B$32, 2, FALSE))</f>
        <v>105.42962572482868</v>
      </c>
      <c r="P2306" s="2">
        <f>(16112*Table1[[#This Row],[Generation (TWh)]]*10^9)/10^6</f>
        <v>1219459.2767999996</v>
      </c>
      <c r="Q2306" s="2">
        <f>Table1[[#This Row],[Emission Factor (kg CO2/ mmBtu)]]*Table1[[#This Row],[Fuel Consumption (mmBtu)]]*10^3</f>
        <v>128567135139.69423</v>
      </c>
      <c r="R2306" s="2">
        <f>(Table1[[#This Row],[CO2 Emissions (g CO2)]])/(Table1[[#This Row],[Generation (TWh)]]*10^9)</f>
        <v>1698.6821296784397</v>
      </c>
    </row>
    <row r="2307" spans="1:18" hidden="1">
      <c r="A2307" t="s">
        <v>21</v>
      </c>
      <c r="B2307" t="s">
        <v>19</v>
      </c>
      <c r="C2307" t="str">
        <f>SUBSTITUTE(Table1[[#This Row],[Fuel]],", ",",")</f>
        <v>bioenergy: refuse (municipal and industrial wastes)</v>
      </c>
      <c r="D2307" t="s">
        <v>19</v>
      </c>
      <c r="G2307">
        <v>18</v>
      </c>
      <c r="H2307" t="s">
        <v>27</v>
      </c>
      <c r="I2307">
        <v>2019</v>
      </c>
      <c r="J2307" t="s">
        <v>21</v>
      </c>
      <c r="K2307">
        <v>24.299890000000001</v>
      </c>
      <c r="L2307">
        <v>116.179018</v>
      </c>
      <c r="M2307" t="s">
        <v>102</v>
      </c>
      <c r="N2307" s="2">
        <f>Table1[[#This Row],[Capacity (MW)]]*8760*0.72*10^-6</f>
        <v>0.11352959999999998</v>
      </c>
      <c r="O2307" s="2" cm="1">
        <f t="array" ref="O2307">AVERAGE(VLOOKUP(_xlfn.TEXTSPLIT(Table1[[#This Row],[Fuel (no space after comma)]], ","), FuelList_Final_EF!$A$2:$B$32, 2, FALSE))</f>
        <v>105.42962572482868</v>
      </c>
      <c r="P2307" s="2">
        <f>(16112*Table1[[#This Row],[Generation (TWh)]]*10^9)/10^6</f>
        <v>1829188.9151999997</v>
      </c>
      <c r="Q2307" s="2">
        <f>Table1[[#This Row],[Emission Factor (kg CO2/ mmBtu)]]*Table1[[#This Row],[Fuel Consumption (mmBtu)]]*10^3</f>
        <v>192850702709.54135</v>
      </c>
      <c r="R2307" s="2">
        <f>(Table1[[#This Row],[CO2 Emissions (g CO2)]])/(Table1[[#This Row],[Generation (TWh)]]*10^9)</f>
        <v>1698.6821296784397</v>
      </c>
    </row>
    <row r="2308" spans="1:18">
      <c r="A2308" t="s">
        <v>21</v>
      </c>
      <c r="B2308" t="s">
        <v>19</v>
      </c>
      <c r="C2308" t="str">
        <f>SUBSTITUTE(Table1[[#This Row],[Fuel]],", ",",")</f>
        <v>bioenergy: refuse (municipal and industrial wastes)</v>
      </c>
      <c r="D2308" t="s">
        <v>19</v>
      </c>
      <c r="G2308">
        <v>18</v>
      </c>
      <c r="H2308" t="s">
        <v>20</v>
      </c>
      <c r="I2308" t="s">
        <v>21</v>
      </c>
      <c r="J2308" t="s">
        <v>21</v>
      </c>
      <c r="K2308">
        <v>24.299890000000001</v>
      </c>
      <c r="L2308">
        <v>116.179018</v>
      </c>
      <c r="M2308" t="s">
        <v>102</v>
      </c>
      <c r="N2308" s="2">
        <f>Table1[[#This Row],[Capacity (MW)]]*8760*0.72*10^-6</f>
        <v>0.11352959999999998</v>
      </c>
      <c r="O2308" s="2" cm="1">
        <f t="array" ref="O2308">AVERAGE(VLOOKUP(_xlfn.TEXTSPLIT(Table1[[#This Row],[Fuel (no space after comma)]], ","), FuelList_Final_EF!$A$2:$B$32, 2, FALSE))</f>
        <v>105.42962572482868</v>
      </c>
      <c r="P2308" s="2">
        <f>(16112*Table1[[#This Row],[Generation (TWh)]]*10^9)/10^6</f>
        <v>1829188.9151999997</v>
      </c>
      <c r="Q2308" s="2">
        <f>Table1[[#This Row],[Emission Factor (kg CO2/ mmBtu)]]*Table1[[#This Row],[Fuel Consumption (mmBtu)]]*10^3</f>
        <v>192850702709.54135</v>
      </c>
      <c r="R2308" s="2">
        <f>(Table1[[#This Row],[CO2 Emissions (g CO2)]])/(Table1[[#This Row],[Generation (TWh)]]*10^9)</f>
        <v>1698.6821296784397</v>
      </c>
    </row>
    <row r="2309" spans="1:18" hidden="1">
      <c r="A2309" t="s">
        <v>1192</v>
      </c>
      <c r="B2309" t="s">
        <v>19</v>
      </c>
      <c r="C2309" t="str">
        <f>SUBSTITUTE(Table1[[#This Row],[Fuel]],", ",",")</f>
        <v>bioenergy: refuse (municipal and industrial wastes)</v>
      </c>
      <c r="D2309" t="s">
        <v>19</v>
      </c>
      <c r="G2309">
        <v>25</v>
      </c>
      <c r="H2309" t="s">
        <v>27</v>
      </c>
      <c r="I2309">
        <v>2021</v>
      </c>
      <c r="J2309" t="s">
        <v>21</v>
      </c>
      <c r="K2309">
        <v>23.840226999999999</v>
      </c>
      <c r="L2309">
        <v>113.33164499999999</v>
      </c>
      <c r="M2309" t="s">
        <v>102</v>
      </c>
      <c r="N2309" s="2">
        <f>Table1[[#This Row],[Capacity (MW)]]*8760*0.72*10^-6</f>
        <v>0.15767999999999999</v>
      </c>
      <c r="O2309" s="2" cm="1">
        <f t="array" ref="O2309">AVERAGE(VLOOKUP(_xlfn.TEXTSPLIT(Table1[[#This Row],[Fuel (no space after comma)]], ","), FuelList_Final_EF!$A$2:$B$32, 2, FALSE))</f>
        <v>105.42962572482868</v>
      </c>
      <c r="P2309" s="2">
        <f>(16112*Table1[[#This Row],[Generation (TWh)]]*10^9)/10^6</f>
        <v>2540540.16</v>
      </c>
      <c r="Q2309" s="2">
        <f>Table1[[#This Row],[Emission Factor (kg CO2/ mmBtu)]]*Table1[[#This Row],[Fuel Consumption (mmBtu)]]*10^3</f>
        <v>267848198207.69638</v>
      </c>
      <c r="R2309" s="2">
        <f>(Table1[[#This Row],[CO2 Emissions (g CO2)]])/(Table1[[#This Row],[Generation (TWh)]]*10^9)</f>
        <v>1698.6821296784397</v>
      </c>
    </row>
    <row r="2310" spans="1:18" hidden="1">
      <c r="A2310" t="s">
        <v>1192</v>
      </c>
      <c r="B2310" t="s">
        <v>19</v>
      </c>
      <c r="C2310" t="str">
        <f>SUBSTITUTE(Table1[[#This Row],[Fuel]],", ",",")</f>
        <v>bioenergy: refuse (municipal and industrial wastes)</v>
      </c>
      <c r="D2310" t="s">
        <v>19</v>
      </c>
      <c r="G2310">
        <v>25</v>
      </c>
      <c r="H2310" t="s">
        <v>27</v>
      </c>
      <c r="I2310">
        <v>2021</v>
      </c>
      <c r="J2310" t="s">
        <v>21</v>
      </c>
      <c r="K2310">
        <v>23.840226999999999</v>
      </c>
      <c r="L2310">
        <v>113.33164499999999</v>
      </c>
      <c r="M2310" t="s">
        <v>102</v>
      </c>
      <c r="N2310" s="2">
        <f>Table1[[#This Row],[Capacity (MW)]]*8760*0.72*10^-6</f>
        <v>0.15767999999999999</v>
      </c>
      <c r="O2310" s="2" cm="1">
        <f t="array" ref="O2310">AVERAGE(VLOOKUP(_xlfn.TEXTSPLIT(Table1[[#This Row],[Fuel (no space after comma)]], ","), FuelList_Final_EF!$A$2:$B$32, 2, FALSE))</f>
        <v>105.42962572482868</v>
      </c>
      <c r="P2310" s="2">
        <f>(16112*Table1[[#This Row],[Generation (TWh)]]*10^9)/10^6</f>
        <v>2540540.16</v>
      </c>
      <c r="Q2310" s="2">
        <f>Table1[[#This Row],[Emission Factor (kg CO2/ mmBtu)]]*Table1[[#This Row],[Fuel Consumption (mmBtu)]]*10^3</f>
        <v>267848198207.69638</v>
      </c>
      <c r="R2310" s="2">
        <f>(Table1[[#This Row],[CO2 Emissions (g CO2)]])/(Table1[[#This Row],[Generation (TWh)]]*10^9)</f>
        <v>1698.6821296784397</v>
      </c>
    </row>
    <row r="2311" spans="1:18" hidden="1">
      <c r="A2311" t="s">
        <v>1311</v>
      </c>
      <c r="B2311" t="s">
        <v>41</v>
      </c>
      <c r="C2311" t="str">
        <f>SUBSTITUTE(Table1[[#This Row],[Fuel]],", ",",")</f>
        <v>bioenergy: refuse (municipal and industrial wastes),bioenergy: wastewater and sewage sludge (solids or biogas)</v>
      </c>
      <c r="D2311" t="s">
        <v>19</v>
      </c>
      <c r="E2311" t="s">
        <v>42</v>
      </c>
      <c r="G2311">
        <v>10</v>
      </c>
      <c r="H2311" t="s">
        <v>27</v>
      </c>
      <c r="I2311">
        <v>2018</v>
      </c>
      <c r="J2311" t="s">
        <v>21</v>
      </c>
      <c r="K2311">
        <v>23.174085000000002</v>
      </c>
      <c r="L2311">
        <v>116.398478</v>
      </c>
      <c r="M2311" t="s">
        <v>102</v>
      </c>
      <c r="N2311" s="2">
        <f>Table1[[#This Row],[Capacity (MW)]]*8760*0.72*10^-6</f>
        <v>6.3072000000000003E-2</v>
      </c>
      <c r="O2311" s="2" cm="1">
        <f t="array" ref="O2311">AVERAGE(VLOOKUP(_xlfn.TEXTSPLIT(Table1[[#This Row],[Fuel (no space after comma)]], ","), FuelList_Final_EF!$A$2:$B$32, 2, FALSE))</f>
        <v>81.497100685292565</v>
      </c>
      <c r="P2311" s="2">
        <f>(16112*Table1[[#This Row],[Generation (TWh)]]*10^9)/10^6</f>
        <v>1016216.0640000001</v>
      </c>
      <c r="Q2311" s="2">
        <f>Table1[[#This Row],[Emission Factor (kg CO2/ mmBtu)]]*Table1[[#This Row],[Fuel Consumption (mmBtu)]]*10^3</f>
        <v>82818662885.819717</v>
      </c>
      <c r="R2311" s="2">
        <f>(Table1[[#This Row],[CO2 Emissions (g CO2)]])/(Table1[[#This Row],[Generation (TWh)]]*10^9)</f>
        <v>1313.0812862414339</v>
      </c>
    </row>
    <row r="2312" spans="1:18" hidden="1">
      <c r="A2312" t="s">
        <v>1311</v>
      </c>
      <c r="B2312" t="s">
        <v>41</v>
      </c>
      <c r="C2312" t="str">
        <f>SUBSTITUTE(Table1[[#This Row],[Fuel]],", ",",")</f>
        <v>bioenergy: refuse (municipal and industrial wastes),bioenergy: wastewater and sewage sludge (solids or biogas)</v>
      </c>
      <c r="D2312" t="s">
        <v>19</v>
      </c>
      <c r="E2312" t="s">
        <v>42</v>
      </c>
      <c r="G2312">
        <v>10</v>
      </c>
      <c r="H2312" t="s">
        <v>27</v>
      </c>
      <c r="I2312">
        <v>2018</v>
      </c>
      <c r="J2312" t="s">
        <v>21</v>
      </c>
      <c r="K2312">
        <v>23.174085000000002</v>
      </c>
      <c r="L2312">
        <v>116.398478</v>
      </c>
      <c r="M2312" t="s">
        <v>102</v>
      </c>
      <c r="N2312" s="2">
        <f>Table1[[#This Row],[Capacity (MW)]]*8760*0.72*10^-6</f>
        <v>6.3072000000000003E-2</v>
      </c>
      <c r="O2312" s="2" cm="1">
        <f t="array" ref="O2312">AVERAGE(VLOOKUP(_xlfn.TEXTSPLIT(Table1[[#This Row],[Fuel (no space after comma)]], ","), FuelList_Final_EF!$A$2:$B$32, 2, FALSE))</f>
        <v>81.497100685292565</v>
      </c>
      <c r="P2312" s="2">
        <f>(16112*Table1[[#This Row],[Generation (TWh)]]*10^9)/10^6</f>
        <v>1016216.0640000001</v>
      </c>
      <c r="Q2312" s="2">
        <f>Table1[[#This Row],[Emission Factor (kg CO2/ mmBtu)]]*Table1[[#This Row],[Fuel Consumption (mmBtu)]]*10^3</f>
        <v>82818662885.819717</v>
      </c>
      <c r="R2312" s="2">
        <f>(Table1[[#This Row],[CO2 Emissions (g CO2)]])/(Table1[[#This Row],[Generation (TWh)]]*10^9)</f>
        <v>1313.0812862414339</v>
      </c>
    </row>
    <row r="2313" spans="1:18" hidden="1">
      <c r="A2313" t="s">
        <v>1311</v>
      </c>
      <c r="B2313" t="s">
        <v>19</v>
      </c>
      <c r="C2313" t="str">
        <f>SUBSTITUTE(Table1[[#This Row],[Fuel]],", ",",")</f>
        <v>bioenergy: refuse (municipal and industrial wastes)</v>
      </c>
      <c r="D2313" t="s">
        <v>19</v>
      </c>
      <c r="G2313">
        <v>20</v>
      </c>
      <c r="H2313" t="s">
        <v>27</v>
      </c>
      <c r="I2313">
        <v>2021</v>
      </c>
      <c r="J2313" t="s">
        <v>21</v>
      </c>
      <c r="K2313">
        <v>23.174085000000002</v>
      </c>
      <c r="L2313">
        <v>116.398478</v>
      </c>
      <c r="M2313" t="s">
        <v>102</v>
      </c>
      <c r="N2313" s="2">
        <f>Table1[[#This Row],[Capacity (MW)]]*8760*0.72*10^-6</f>
        <v>0.12614400000000001</v>
      </c>
      <c r="O2313" s="2" cm="1">
        <f t="array" ref="O2313">AVERAGE(VLOOKUP(_xlfn.TEXTSPLIT(Table1[[#This Row],[Fuel (no space after comma)]], ","), FuelList_Final_EF!$A$2:$B$32, 2, FALSE))</f>
        <v>105.42962572482868</v>
      </c>
      <c r="P2313" s="2">
        <f>(16112*Table1[[#This Row],[Generation (TWh)]]*10^9)/10^6</f>
        <v>2032432.1280000003</v>
      </c>
      <c r="Q2313" s="2">
        <f>Table1[[#This Row],[Emission Factor (kg CO2/ mmBtu)]]*Table1[[#This Row],[Fuel Consumption (mmBtu)]]*10^3</f>
        <v>214278558566.15714</v>
      </c>
      <c r="R2313" s="2">
        <f>(Table1[[#This Row],[CO2 Emissions (g CO2)]])/(Table1[[#This Row],[Generation (TWh)]]*10^9)</f>
        <v>1698.6821296784401</v>
      </c>
    </row>
    <row r="2314" spans="1:18" hidden="1">
      <c r="A2314" t="s">
        <v>21</v>
      </c>
      <c r="B2314" t="s">
        <v>19</v>
      </c>
      <c r="C2314" t="str">
        <f>SUBSTITUTE(Table1[[#This Row],[Fuel]],", ",",")</f>
        <v>bioenergy: refuse (municipal and industrial wastes)</v>
      </c>
      <c r="D2314" t="s">
        <v>19</v>
      </c>
      <c r="G2314">
        <v>7.5</v>
      </c>
      <c r="H2314" t="s">
        <v>27</v>
      </c>
      <c r="I2314">
        <v>2015</v>
      </c>
      <c r="J2314" t="s">
        <v>21</v>
      </c>
      <c r="K2314">
        <v>23.543326</v>
      </c>
      <c r="L2314">
        <v>116.788635</v>
      </c>
      <c r="M2314" t="s">
        <v>102</v>
      </c>
      <c r="N2314" s="2">
        <f>Table1[[#This Row],[Capacity (MW)]]*8760*0.72*10^-6</f>
        <v>4.7303999999999999E-2</v>
      </c>
      <c r="O2314" s="2" cm="1">
        <f t="array" ref="O2314">AVERAGE(VLOOKUP(_xlfn.TEXTSPLIT(Table1[[#This Row],[Fuel (no space after comma)]], ","), FuelList_Final_EF!$A$2:$B$32, 2, FALSE))</f>
        <v>105.42962572482868</v>
      </c>
      <c r="P2314" s="2">
        <f>(16112*Table1[[#This Row],[Generation (TWh)]]*10^9)/10^6</f>
        <v>762162.04799999995</v>
      </c>
      <c r="Q2314" s="2">
        <f>Table1[[#This Row],[Emission Factor (kg CO2/ mmBtu)]]*Table1[[#This Row],[Fuel Consumption (mmBtu)]]*10^3</f>
        <v>80354459462.308914</v>
      </c>
      <c r="R2314" s="2">
        <f>(Table1[[#This Row],[CO2 Emissions (g CO2)]])/(Table1[[#This Row],[Generation (TWh)]]*10^9)</f>
        <v>1698.6821296784397</v>
      </c>
    </row>
    <row r="2315" spans="1:18" hidden="1">
      <c r="A2315" t="s">
        <v>21</v>
      </c>
      <c r="B2315" t="s">
        <v>19</v>
      </c>
      <c r="C2315" t="str">
        <f>SUBSTITUTE(Table1[[#This Row],[Fuel]],", ",",")</f>
        <v>bioenergy: refuse (municipal and industrial wastes)</v>
      </c>
      <c r="D2315" t="s">
        <v>19</v>
      </c>
      <c r="G2315">
        <v>9</v>
      </c>
      <c r="H2315" t="s">
        <v>27</v>
      </c>
      <c r="I2315">
        <v>2018</v>
      </c>
      <c r="J2315" t="s">
        <v>21</v>
      </c>
      <c r="K2315">
        <v>23.543326</v>
      </c>
      <c r="L2315">
        <v>116.788635</v>
      </c>
      <c r="M2315" t="s">
        <v>102</v>
      </c>
      <c r="N2315" s="2">
        <f>Table1[[#This Row],[Capacity (MW)]]*8760*0.72*10^-6</f>
        <v>5.676479999999999E-2</v>
      </c>
      <c r="O2315" s="2" cm="1">
        <f t="array" ref="O2315">AVERAGE(VLOOKUP(_xlfn.TEXTSPLIT(Table1[[#This Row],[Fuel (no space after comma)]], ","), FuelList_Final_EF!$A$2:$B$32, 2, FALSE))</f>
        <v>105.42962572482868</v>
      </c>
      <c r="P2315" s="2">
        <f>(16112*Table1[[#This Row],[Generation (TWh)]]*10^9)/10^6</f>
        <v>914594.45759999985</v>
      </c>
      <c r="Q2315" s="2">
        <f>Table1[[#This Row],[Emission Factor (kg CO2/ mmBtu)]]*Table1[[#This Row],[Fuel Consumption (mmBtu)]]*10^3</f>
        <v>96425351354.770676</v>
      </c>
      <c r="R2315" s="2">
        <f>(Table1[[#This Row],[CO2 Emissions (g CO2)]])/(Table1[[#This Row],[Generation (TWh)]]*10^9)</f>
        <v>1698.6821296784397</v>
      </c>
    </row>
    <row r="2316" spans="1:18" hidden="1">
      <c r="A2316" t="s">
        <v>21</v>
      </c>
      <c r="B2316" t="s">
        <v>19</v>
      </c>
      <c r="C2316" t="str">
        <f>SUBSTITUTE(Table1[[#This Row],[Fuel]],", ",",")</f>
        <v>bioenergy: refuse (municipal and industrial wastes)</v>
      </c>
      <c r="D2316" t="s">
        <v>19</v>
      </c>
      <c r="G2316">
        <v>25</v>
      </c>
      <c r="H2316" t="s">
        <v>27</v>
      </c>
      <c r="I2316">
        <v>2021</v>
      </c>
      <c r="J2316" t="s">
        <v>21</v>
      </c>
      <c r="K2316">
        <v>23.543326</v>
      </c>
      <c r="L2316">
        <v>116.788635</v>
      </c>
      <c r="M2316" t="s">
        <v>102</v>
      </c>
      <c r="N2316" s="2">
        <f>Table1[[#This Row],[Capacity (MW)]]*8760*0.72*10^-6</f>
        <v>0.15767999999999999</v>
      </c>
      <c r="O2316" s="2" cm="1">
        <f t="array" ref="O2316">AVERAGE(VLOOKUP(_xlfn.TEXTSPLIT(Table1[[#This Row],[Fuel (no space after comma)]], ","), FuelList_Final_EF!$A$2:$B$32, 2, FALSE))</f>
        <v>105.42962572482868</v>
      </c>
      <c r="P2316" s="2">
        <f>(16112*Table1[[#This Row],[Generation (TWh)]]*10^9)/10^6</f>
        <v>2540540.16</v>
      </c>
      <c r="Q2316" s="2">
        <f>Table1[[#This Row],[Emission Factor (kg CO2/ mmBtu)]]*Table1[[#This Row],[Fuel Consumption (mmBtu)]]*10^3</f>
        <v>267848198207.69638</v>
      </c>
      <c r="R2316" s="2">
        <f>(Table1[[#This Row],[CO2 Emissions (g CO2)]])/(Table1[[#This Row],[Generation (TWh)]]*10^9)</f>
        <v>1698.6821296784397</v>
      </c>
    </row>
    <row r="2317" spans="1:18" hidden="1">
      <c r="A2317" t="s">
        <v>448</v>
      </c>
      <c r="B2317" t="s">
        <v>19</v>
      </c>
      <c r="C2317" t="str">
        <f>SUBSTITUTE(Table1[[#This Row],[Fuel]],", ",",")</f>
        <v>bioenergy: refuse (municipal and industrial wastes)</v>
      </c>
      <c r="D2317" t="s">
        <v>19</v>
      </c>
      <c r="G2317">
        <v>15</v>
      </c>
      <c r="H2317" t="s">
        <v>27</v>
      </c>
      <c r="I2317">
        <v>2018</v>
      </c>
      <c r="J2317" t="s">
        <v>21</v>
      </c>
      <c r="K2317">
        <v>23.4466</v>
      </c>
      <c r="L2317">
        <v>116.5963</v>
      </c>
      <c r="M2317" t="s">
        <v>102</v>
      </c>
      <c r="N2317" s="2">
        <f>Table1[[#This Row],[Capacity (MW)]]*8760*0.72*10^-6</f>
        <v>9.4607999999999998E-2</v>
      </c>
      <c r="O2317" s="2" cm="1">
        <f t="array" ref="O2317">AVERAGE(VLOOKUP(_xlfn.TEXTSPLIT(Table1[[#This Row],[Fuel (no space after comma)]], ","), FuelList_Final_EF!$A$2:$B$32, 2, FALSE))</f>
        <v>105.42962572482868</v>
      </c>
      <c r="P2317" s="2">
        <f>(16112*Table1[[#This Row],[Generation (TWh)]]*10^9)/10^6</f>
        <v>1524324.0959999999</v>
      </c>
      <c r="Q2317" s="2">
        <f>Table1[[#This Row],[Emission Factor (kg CO2/ mmBtu)]]*Table1[[#This Row],[Fuel Consumption (mmBtu)]]*10^3</f>
        <v>160708918924.61783</v>
      </c>
      <c r="R2317" s="2">
        <f>(Table1[[#This Row],[CO2 Emissions (g CO2)]])/(Table1[[#This Row],[Generation (TWh)]]*10^9)</f>
        <v>1698.6821296784397</v>
      </c>
    </row>
    <row r="2318" spans="1:18" hidden="1">
      <c r="A2318" t="s">
        <v>448</v>
      </c>
      <c r="B2318" t="s">
        <v>19</v>
      </c>
      <c r="C2318" t="str">
        <f>SUBSTITUTE(Table1[[#This Row],[Fuel]],", ",",")</f>
        <v>bioenergy: refuse (municipal and industrial wastes)</v>
      </c>
      <c r="D2318" t="s">
        <v>19</v>
      </c>
      <c r="G2318">
        <v>15</v>
      </c>
      <c r="H2318" t="s">
        <v>27</v>
      </c>
      <c r="I2318">
        <v>2018</v>
      </c>
      <c r="J2318" t="s">
        <v>21</v>
      </c>
      <c r="K2318">
        <v>23.4466</v>
      </c>
      <c r="L2318">
        <v>116.5963</v>
      </c>
      <c r="M2318" t="s">
        <v>102</v>
      </c>
      <c r="N2318" s="2">
        <f>Table1[[#This Row],[Capacity (MW)]]*8760*0.72*10^-6</f>
        <v>9.4607999999999998E-2</v>
      </c>
      <c r="O2318" s="2" cm="1">
        <f t="array" ref="O2318">AVERAGE(VLOOKUP(_xlfn.TEXTSPLIT(Table1[[#This Row],[Fuel (no space after comma)]], ","), FuelList_Final_EF!$A$2:$B$32, 2, FALSE))</f>
        <v>105.42962572482868</v>
      </c>
      <c r="P2318" s="2">
        <f>(16112*Table1[[#This Row],[Generation (TWh)]]*10^9)/10^6</f>
        <v>1524324.0959999999</v>
      </c>
      <c r="Q2318" s="2">
        <f>Table1[[#This Row],[Emission Factor (kg CO2/ mmBtu)]]*Table1[[#This Row],[Fuel Consumption (mmBtu)]]*10^3</f>
        <v>160708918924.61783</v>
      </c>
      <c r="R2318" s="2">
        <f>(Table1[[#This Row],[CO2 Emissions (g CO2)]])/(Table1[[#This Row],[Generation (TWh)]]*10^9)</f>
        <v>1698.6821296784397</v>
      </c>
    </row>
    <row r="2319" spans="1:18" hidden="1">
      <c r="A2319" t="s">
        <v>21</v>
      </c>
      <c r="B2319" t="s">
        <v>19</v>
      </c>
      <c r="C2319" t="str">
        <f>SUBSTITUTE(Table1[[#This Row],[Fuel]],", ",",")</f>
        <v>bioenergy: refuse (municipal and industrial wastes)</v>
      </c>
      <c r="D2319" t="s">
        <v>19</v>
      </c>
      <c r="G2319">
        <v>25</v>
      </c>
      <c r="H2319" t="s">
        <v>27</v>
      </c>
      <c r="I2319">
        <v>2023</v>
      </c>
      <c r="J2319" t="s">
        <v>21</v>
      </c>
      <c r="K2319">
        <v>22.683969999999999</v>
      </c>
      <c r="L2319">
        <v>114.096943</v>
      </c>
      <c r="M2319" t="s">
        <v>102</v>
      </c>
      <c r="N2319" s="2">
        <f>Table1[[#This Row],[Capacity (MW)]]*8760*0.72*10^-6</f>
        <v>0.15767999999999999</v>
      </c>
      <c r="O2319" s="2" cm="1">
        <f t="array" ref="O2319">AVERAGE(VLOOKUP(_xlfn.TEXTSPLIT(Table1[[#This Row],[Fuel (no space after comma)]], ","), FuelList_Final_EF!$A$2:$B$32, 2, FALSE))</f>
        <v>105.42962572482868</v>
      </c>
      <c r="P2319" s="2">
        <f>(16112*Table1[[#This Row],[Generation (TWh)]]*10^9)/10^6</f>
        <v>2540540.16</v>
      </c>
      <c r="Q2319" s="2">
        <f>Table1[[#This Row],[Emission Factor (kg CO2/ mmBtu)]]*Table1[[#This Row],[Fuel Consumption (mmBtu)]]*10^3</f>
        <v>267848198207.69638</v>
      </c>
      <c r="R2319" s="2">
        <f>(Table1[[#This Row],[CO2 Emissions (g CO2)]])/(Table1[[#This Row],[Generation (TWh)]]*10^9)</f>
        <v>1698.6821296784397</v>
      </c>
    </row>
    <row r="2320" spans="1:18" hidden="1">
      <c r="A2320" t="s">
        <v>21</v>
      </c>
      <c r="B2320" t="s">
        <v>19</v>
      </c>
      <c r="C2320" t="str">
        <f>SUBSTITUTE(Table1[[#This Row],[Fuel]],", ",",")</f>
        <v>bioenergy: refuse (municipal and industrial wastes)</v>
      </c>
      <c r="D2320" t="s">
        <v>19</v>
      </c>
      <c r="G2320">
        <v>25</v>
      </c>
      <c r="H2320" t="s">
        <v>27</v>
      </c>
      <c r="I2320">
        <v>2023</v>
      </c>
      <c r="J2320" t="s">
        <v>21</v>
      </c>
      <c r="K2320">
        <v>22.683969999999999</v>
      </c>
      <c r="L2320">
        <v>114.096943</v>
      </c>
      <c r="M2320" t="s">
        <v>102</v>
      </c>
      <c r="N2320" s="2">
        <f>Table1[[#This Row],[Capacity (MW)]]*8760*0.72*10^-6</f>
        <v>0.15767999999999999</v>
      </c>
      <c r="O2320" s="2" cm="1">
        <f t="array" ref="O2320">AVERAGE(VLOOKUP(_xlfn.TEXTSPLIT(Table1[[#This Row],[Fuel (no space after comma)]], ","), FuelList_Final_EF!$A$2:$B$32, 2, FALSE))</f>
        <v>105.42962572482868</v>
      </c>
      <c r="P2320" s="2">
        <f>(16112*Table1[[#This Row],[Generation (TWh)]]*10^9)/10^6</f>
        <v>2540540.16</v>
      </c>
      <c r="Q2320" s="2">
        <f>Table1[[#This Row],[Emission Factor (kg CO2/ mmBtu)]]*Table1[[#This Row],[Fuel Consumption (mmBtu)]]*10^3</f>
        <v>267848198207.69638</v>
      </c>
      <c r="R2320" s="2">
        <f>(Table1[[#This Row],[CO2 Emissions (g CO2)]])/(Table1[[#This Row],[Generation (TWh)]]*10^9)</f>
        <v>1698.6821296784397</v>
      </c>
    </row>
    <row r="2321" spans="1:18" hidden="1">
      <c r="A2321" t="s">
        <v>21</v>
      </c>
      <c r="B2321" t="s">
        <v>19</v>
      </c>
      <c r="C2321" t="str">
        <f>SUBSTITUTE(Table1[[#This Row],[Fuel]],", ",",")</f>
        <v>bioenergy: refuse (municipal and industrial wastes)</v>
      </c>
      <c r="D2321" t="s">
        <v>19</v>
      </c>
      <c r="G2321">
        <v>6</v>
      </c>
      <c r="H2321" t="s">
        <v>27</v>
      </c>
      <c r="I2321">
        <v>2003</v>
      </c>
      <c r="J2321" t="s">
        <v>21</v>
      </c>
      <c r="K2321">
        <v>22.609306</v>
      </c>
      <c r="L2321">
        <v>114.242915</v>
      </c>
      <c r="M2321" t="s">
        <v>102</v>
      </c>
      <c r="N2321" s="2">
        <f>Table1[[#This Row],[Capacity (MW)]]*8760*0.72*10^-6</f>
        <v>3.7843199999999994E-2</v>
      </c>
      <c r="O2321" s="2" cm="1">
        <f t="array" ref="O2321">AVERAGE(VLOOKUP(_xlfn.TEXTSPLIT(Table1[[#This Row],[Fuel (no space after comma)]], ","), FuelList_Final_EF!$A$2:$B$32, 2, FALSE))</f>
        <v>105.42962572482868</v>
      </c>
      <c r="P2321" s="2">
        <f>(16112*Table1[[#This Row],[Generation (TWh)]]*10^9)/10^6</f>
        <v>609729.63839999982</v>
      </c>
      <c r="Q2321" s="2">
        <f>Table1[[#This Row],[Emission Factor (kg CO2/ mmBtu)]]*Table1[[#This Row],[Fuel Consumption (mmBtu)]]*10^3</f>
        <v>64283567569.847115</v>
      </c>
      <c r="R2321" s="2">
        <f>(Table1[[#This Row],[CO2 Emissions (g CO2)]])/(Table1[[#This Row],[Generation (TWh)]]*10^9)</f>
        <v>1698.6821296784397</v>
      </c>
    </row>
    <row r="2322" spans="1:18" hidden="1">
      <c r="A2322" t="s">
        <v>1312</v>
      </c>
      <c r="B2322" t="s">
        <v>19</v>
      </c>
      <c r="C2322" t="str">
        <f>SUBSTITUTE(Table1[[#This Row],[Fuel]],", ",",")</f>
        <v>bioenergy: refuse (municipal and industrial wastes)</v>
      </c>
      <c r="D2322" t="s">
        <v>19</v>
      </c>
      <c r="G2322">
        <v>25</v>
      </c>
      <c r="H2322" t="s">
        <v>27</v>
      </c>
      <c r="I2322">
        <v>2021</v>
      </c>
      <c r="J2322" t="s">
        <v>21</v>
      </c>
      <c r="K2322">
        <v>21.416091000000002</v>
      </c>
      <c r="L2322">
        <v>110.812687</v>
      </c>
      <c r="M2322" t="s">
        <v>102</v>
      </c>
      <c r="N2322" s="2">
        <f>Table1[[#This Row],[Capacity (MW)]]*8760*0.72*10^-6</f>
        <v>0.15767999999999999</v>
      </c>
      <c r="O2322" s="2" cm="1">
        <f t="array" ref="O2322">AVERAGE(VLOOKUP(_xlfn.TEXTSPLIT(Table1[[#This Row],[Fuel (no space after comma)]], ","), FuelList_Final_EF!$A$2:$B$32, 2, FALSE))</f>
        <v>105.42962572482868</v>
      </c>
      <c r="P2322" s="2">
        <f>(16112*Table1[[#This Row],[Generation (TWh)]]*10^9)/10^6</f>
        <v>2540540.16</v>
      </c>
      <c r="Q2322" s="2">
        <f>Table1[[#This Row],[Emission Factor (kg CO2/ mmBtu)]]*Table1[[#This Row],[Fuel Consumption (mmBtu)]]*10^3</f>
        <v>267848198207.69638</v>
      </c>
      <c r="R2322" s="2">
        <f>(Table1[[#This Row],[CO2 Emissions (g CO2)]])/(Table1[[#This Row],[Generation (TWh)]]*10^9)</f>
        <v>1698.6821296784397</v>
      </c>
    </row>
    <row r="2323" spans="1:18" hidden="1">
      <c r="A2323" t="s">
        <v>21</v>
      </c>
      <c r="B2323" t="s">
        <v>19</v>
      </c>
      <c r="C2323" t="str">
        <f>SUBSTITUTE(Table1[[#This Row],[Fuel]],", ",",")</f>
        <v>bioenergy: refuse (municipal and industrial wastes)</v>
      </c>
      <c r="D2323" t="s">
        <v>19</v>
      </c>
      <c r="G2323">
        <v>18</v>
      </c>
      <c r="H2323" t="s">
        <v>27</v>
      </c>
      <c r="I2323">
        <v>2020</v>
      </c>
      <c r="J2323" t="s">
        <v>21</v>
      </c>
      <c r="K2323">
        <v>23.743231999999999</v>
      </c>
      <c r="L2323">
        <v>115.66572499999999</v>
      </c>
      <c r="M2323" t="s">
        <v>102</v>
      </c>
      <c r="N2323" s="2">
        <f>Table1[[#This Row],[Capacity (MW)]]*8760*0.72*10^-6</f>
        <v>0.11352959999999998</v>
      </c>
      <c r="O2323" s="2" cm="1">
        <f t="array" ref="O2323">AVERAGE(VLOOKUP(_xlfn.TEXTSPLIT(Table1[[#This Row],[Fuel (no space after comma)]], ","), FuelList_Final_EF!$A$2:$B$32, 2, FALSE))</f>
        <v>105.42962572482868</v>
      </c>
      <c r="P2323" s="2">
        <f>(16112*Table1[[#This Row],[Generation (TWh)]]*10^9)/10^6</f>
        <v>1829188.9151999997</v>
      </c>
      <c r="Q2323" s="2">
        <f>Table1[[#This Row],[Emission Factor (kg CO2/ mmBtu)]]*Table1[[#This Row],[Fuel Consumption (mmBtu)]]*10^3</f>
        <v>192850702709.54135</v>
      </c>
      <c r="R2323" s="2">
        <f>(Table1[[#This Row],[CO2 Emissions (g CO2)]])/(Table1[[#This Row],[Generation (TWh)]]*10^9)</f>
        <v>1698.6821296784397</v>
      </c>
    </row>
    <row r="2324" spans="1:18" hidden="1">
      <c r="A2324" t="s">
        <v>21</v>
      </c>
      <c r="B2324" t="s">
        <v>19</v>
      </c>
      <c r="C2324" t="str">
        <f>SUBSTITUTE(Table1[[#This Row],[Fuel]],", ",",")</f>
        <v>bioenergy: refuse (municipal and industrial wastes)</v>
      </c>
      <c r="D2324" t="s">
        <v>19</v>
      </c>
      <c r="G2324">
        <v>18</v>
      </c>
      <c r="H2324" t="s">
        <v>27</v>
      </c>
      <c r="I2324">
        <v>2020</v>
      </c>
      <c r="J2324" t="s">
        <v>21</v>
      </c>
      <c r="K2324">
        <v>20.282516000000001</v>
      </c>
      <c r="L2324">
        <v>110.129687</v>
      </c>
      <c r="M2324" t="s">
        <v>102</v>
      </c>
      <c r="N2324" s="2">
        <f>Table1[[#This Row],[Capacity (MW)]]*8760*0.72*10^-6</f>
        <v>0.11352959999999998</v>
      </c>
      <c r="O2324" s="2" cm="1">
        <f t="array" ref="O2324">AVERAGE(VLOOKUP(_xlfn.TEXTSPLIT(Table1[[#This Row],[Fuel (no space after comma)]], ","), FuelList_Final_EF!$A$2:$B$32, 2, FALSE))</f>
        <v>105.42962572482868</v>
      </c>
      <c r="P2324" s="2">
        <f>(16112*Table1[[#This Row],[Generation (TWh)]]*10^9)/10^6</f>
        <v>1829188.9151999997</v>
      </c>
      <c r="Q2324" s="2">
        <f>Table1[[#This Row],[Emission Factor (kg CO2/ mmBtu)]]*Table1[[#This Row],[Fuel Consumption (mmBtu)]]*10^3</f>
        <v>192850702709.54135</v>
      </c>
      <c r="R2324" s="2">
        <f>(Table1[[#This Row],[CO2 Emissions (g CO2)]])/(Table1[[#This Row],[Generation (TWh)]]*10^9)</f>
        <v>1698.6821296784397</v>
      </c>
    </row>
    <row r="2325" spans="1:18" hidden="1">
      <c r="A2325" t="s">
        <v>440</v>
      </c>
      <c r="B2325" t="s">
        <v>19</v>
      </c>
      <c r="C2325" t="str">
        <f>SUBSTITUTE(Table1[[#This Row],[Fuel]],", ",",")</f>
        <v>bioenergy: refuse (municipal and industrial wastes)</v>
      </c>
      <c r="D2325" t="s">
        <v>19</v>
      </c>
      <c r="G2325">
        <v>25</v>
      </c>
      <c r="H2325" t="s">
        <v>27</v>
      </c>
      <c r="I2325">
        <v>2018</v>
      </c>
      <c r="J2325" t="s">
        <v>21</v>
      </c>
      <c r="K2325">
        <v>23.210799999999999</v>
      </c>
      <c r="L2325">
        <v>113.7167</v>
      </c>
      <c r="M2325" t="s">
        <v>102</v>
      </c>
      <c r="N2325" s="2">
        <f>Table1[[#This Row],[Capacity (MW)]]*8760*0.72*10^-6</f>
        <v>0.15767999999999999</v>
      </c>
      <c r="O2325" s="2" cm="1">
        <f t="array" ref="O2325">AVERAGE(VLOOKUP(_xlfn.TEXTSPLIT(Table1[[#This Row],[Fuel (no space after comma)]], ","), FuelList_Final_EF!$A$2:$B$32, 2, FALSE))</f>
        <v>105.42962572482868</v>
      </c>
      <c r="P2325" s="2">
        <f>(16112*Table1[[#This Row],[Generation (TWh)]]*10^9)/10^6</f>
        <v>2540540.16</v>
      </c>
      <c r="Q2325" s="2">
        <f>Table1[[#This Row],[Emission Factor (kg CO2/ mmBtu)]]*Table1[[#This Row],[Fuel Consumption (mmBtu)]]*10^3</f>
        <v>267848198207.69638</v>
      </c>
      <c r="R2325" s="2">
        <f>(Table1[[#This Row],[CO2 Emissions (g CO2)]])/(Table1[[#This Row],[Generation (TWh)]]*10^9)</f>
        <v>1698.6821296784397</v>
      </c>
    </row>
    <row r="2326" spans="1:18" hidden="1">
      <c r="A2326" t="s">
        <v>440</v>
      </c>
      <c r="B2326" t="s">
        <v>19</v>
      </c>
      <c r="C2326" t="str">
        <f>SUBSTITUTE(Table1[[#This Row],[Fuel]],", ",",")</f>
        <v>bioenergy: refuse (municipal and industrial wastes)</v>
      </c>
      <c r="D2326" t="s">
        <v>19</v>
      </c>
      <c r="G2326">
        <v>25</v>
      </c>
      <c r="H2326" t="s">
        <v>27</v>
      </c>
      <c r="I2326">
        <v>2018</v>
      </c>
      <c r="J2326" t="s">
        <v>21</v>
      </c>
      <c r="K2326">
        <v>23.210799999999999</v>
      </c>
      <c r="L2326">
        <v>113.7167</v>
      </c>
      <c r="M2326" t="s">
        <v>102</v>
      </c>
      <c r="N2326" s="2">
        <f>Table1[[#This Row],[Capacity (MW)]]*8760*0.72*10^-6</f>
        <v>0.15767999999999999</v>
      </c>
      <c r="O2326" s="2" cm="1">
        <f t="array" ref="O2326">AVERAGE(VLOOKUP(_xlfn.TEXTSPLIT(Table1[[#This Row],[Fuel (no space after comma)]], ","), FuelList_Final_EF!$A$2:$B$32, 2, FALSE))</f>
        <v>105.42962572482868</v>
      </c>
      <c r="P2326" s="2">
        <f>(16112*Table1[[#This Row],[Generation (TWh)]]*10^9)/10^6</f>
        <v>2540540.16</v>
      </c>
      <c r="Q2326" s="2">
        <f>Table1[[#This Row],[Emission Factor (kg CO2/ mmBtu)]]*Table1[[#This Row],[Fuel Consumption (mmBtu)]]*10^3</f>
        <v>267848198207.69638</v>
      </c>
      <c r="R2326" s="2">
        <f>(Table1[[#This Row],[CO2 Emissions (g CO2)]])/(Table1[[#This Row],[Generation (TWh)]]*10^9)</f>
        <v>1698.6821296784397</v>
      </c>
    </row>
    <row r="2327" spans="1:18" hidden="1">
      <c r="A2327" t="s">
        <v>21</v>
      </c>
      <c r="B2327" t="s">
        <v>19</v>
      </c>
      <c r="C2327" t="str">
        <f>SUBSTITUTE(Table1[[#This Row],[Fuel]],", ",",")</f>
        <v>bioenergy: refuse (municipal and industrial wastes)</v>
      </c>
      <c r="D2327" t="s">
        <v>19</v>
      </c>
      <c r="G2327">
        <v>15</v>
      </c>
      <c r="H2327" t="s">
        <v>27</v>
      </c>
      <c r="I2327">
        <v>2016</v>
      </c>
      <c r="J2327" t="s">
        <v>21</v>
      </c>
      <c r="K2327">
        <v>22.204027</v>
      </c>
      <c r="L2327">
        <v>113.119269</v>
      </c>
      <c r="M2327" t="s">
        <v>102</v>
      </c>
      <c r="N2327" s="2">
        <f>Table1[[#This Row],[Capacity (MW)]]*8760*0.72*10^-6</f>
        <v>9.4607999999999998E-2</v>
      </c>
      <c r="O2327" s="2" cm="1">
        <f t="array" ref="O2327">AVERAGE(VLOOKUP(_xlfn.TEXTSPLIT(Table1[[#This Row],[Fuel (no space after comma)]], ","), FuelList_Final_EF!$A$2:$B$32, 2, FALSE))</f>
        <v>105.42962572482868</v>
      </c>
      <c r="P2327" s="2">
        <f>(16112*Table1[[#This Row],[Generation (TWh)]]*10^9)/10^6</f>
        <v>1524324.0959999999</v>
      </c>
      <c r="Q2327" s="2">
        <f>Table1[[#This Row],[Emission Factor (kg CO2/ mmBtu)]]*Table1[[#This Row],[Fuel Consumption (mmBtu)]]*10^3</f>
        <v>160708918924.61783</v>
      </c>
      <c r="R2327" s="2">
        <f>(Table1[[#This Row],[CO2 Emissions (g CO2)]])/(Table1[[#This Row],[Generation (TWh)]]*10^9)</f>
        <v>1698.6821296784397</v>
      </c>
    </row>
    <row r="2328" spans="1:18" hidden="1">
      <c r="A2328" t="s">
        <v>21</v>
      </c>
      <c r="B2328" t="s">
        <v>19</v>
      </c>
      <c r="C2328" t="str">
        <f>SUBSTITUTE(Table1[[#This Row],[Fuel]],", ",",")</f>
        <v>bioenergy: refuse (municipal and industrial wastes)</v>
      </c>
      <c r="D2328" t="s">
        <v>19</v>
      </c>
      <c r="G2328">
        <v>15</v>
      </c>
      <c r="H2328" t="s">
        <v>27</v>
      </c>
      <c r="I2328">
        <v>2016</v>
      </c>
      <c r="J2328" t="s">
        <v>21</v>
      </c>
      <c r="K2328">
        <v>22.204027</v>
      </c>
      <c r="L2328">
        <v>113.119269</v>
      </c>
      <c r="M2328" t="s">
        <v>102</v>
      </c>
      <c r="N2328" s="2">
        <f>Table1[[#This Row],[Capacity (MW)]]*8760*0.72*10^-6</f>
        <v>9.4607999999999998E-2</v>
      </c>
      <c r="O2328" s="2" cm="1">
        <f t="array" ref="O2328">AVERAGE(VLOOKUP(_xlfn.TEXTSPLIT(Table1[[#This Row],[Fuel (no space after comma)]], ","), FuelList_Final_EF!$A$2:$B$32, 2, FALSE))</f>
        <v>105.42962572482868</v>
      </c>
      <c r="P2328" s="2">
        <f>(16112*Table1[[#This Row],[Generation (TWh)]]*10^9)/10^6</f>
        <v>1524324.0959999999</v>
      </c>
      <c r="Q2328" s="2">
        <f>Table1[[#This Row],[Emission Factor (kg CO2/ mmBtu)]]*Table1[[#This Row],[Fuel Consumption (mmBtu)]]*10^3</f>
        <v>160708918924.61783</v>
      </c>
      <c r="R2328" s="2">
        <f>(Table1[[#This Row],[CO2 Emissions (g CO2)]])/(Table1[[#This Row],[Generation (TWh)]]*10^9)</f>
        <v>1698.6821296784397</v>
      </c>
    </row>
    <row r="2329" spans="1:18" hidden="1">
      <c r="A2329" t="s">
        <v>21</v>
      </c>
      <c r="B2329" t="s">
        <v>19</v>
      </c>
      <c r="C2329" t="str">
        <f>SUBSTITUTE(Table1[[#This Row],[Fuel]],", ",",")</f>
        <v>bioenergy: refuse (municipal and industrial wastes)</v>
      </c>
      <c r="D2329" t="s">
        <v>19</v>
      </c>
      <c r="G2329">
        <v>12</v>
      </c>
      <c r="H2329" t="s">
        <v>27</v>
      </c>
      <c r="I2329">
        <v>2018</v>
      </c>
      <c r="J2329" t="s">
        <v>21</v>
      </c>
      <c r="K2329">
        <v>22.765744999999999</v>
      </c>
      <c r="L2329">
        <v>110.433724</v>
      </c>
      <c r="M2329" t="s">
        <v>102</v>
      </c>
      <c r="N2329" s="2">
        <f>Table1[[#This Row],[Capacity (MW)]]*8760*0.72*10^-6</f>
        <v>7.5686399999999987E-2</v>
      </c>
      <c r="O2329" s="2" cm="1">
        <f t="array" ref="O2329">AVERAGE(VLOOKUP(_xlfn.TEXTSPLIT(Table1[[#This Row],[Fuel (no space after comma)]], ","), FuelList_Final_EF!$A$2:$B$32, 2, FALSE))</f>
        <v>105.42962572482868</v>
      </c>
      <c r="P2329" s="2">
        <f>(16112*Table1[[#This Row],[Generation (TWh)]]*10^9)/10^6</f>
        <v>1219459.2767999996</v>
      </c>
      <c r="Q2329" s="2">
        <f>Table1[[#This Row],[Emission Factor (kg CO2/ mmBtu)]]*Table1[[#This Row],[Fuel Consumption (mmBtu)]]*10^3</f>
        <v>128567135139.69423</v>
      </c>
      <c r="R2329" s="2">
        <f>(Table1[[#This Row],[CO2 Emissions (g CO2)]])/(Table1[[#This Row],[Generation (TWh)]]*10^9)</f>
        <v>1698.6821296784397</v>
      </c>
    </row>
    <row r="2330" spans="1:18" hidden="1">
      <c r="A2330" t="s">
        <v>21</v>
      </c>
      <c r="B2330" t="s">
        <v>19</v>
      </c>
      <c r="C2330" t="str">
        <f>SUBSTITUTE(Table1[[#This Row],[Fuel]],", ",",")</f>
        <v>bioenergy: refuse (municipal and industrial wastes)</v>
      </c>
      <c r="D2330" t="s">
        <v>19</v>
      </c>
      <c r="G2330">
        <v>12</v>
      </c>
      <c r="H2330" t="s">
        <v>27</v>
      </c>
      <c r="I2330">
        <v>2018</v>
      </c>
      <c r="J2330" t="s">
        <v>21</v>
      </c>
      <c r="K2330">
        <v>22.765744999999999</v>
      </c>
      <c r="L2330">
        <v>110.433724</v>
      </c>
      <c r="M2330" t="s">
        <v>102</v>
      </c>
      <c r="N2330" s="2">
        <f>Table1[[#This Row],[Capacity (MW)]]*8760*0.72*10^-6</f>
        <v>7.5686399999999987E-2</v>
      </c>
      <c r="O2330" s="2" cm="1">
        <f t="array" ref="O2330">AVERAGE(VLOOKUP(_xlfn.TEXTSPLIT(Table1[[#This Row],[Fuel (no space after comma)]], ","), FuelList_Final_EF!$A$2:$B$32, 2, FALSE))</f>
        <v>105.42962572482868</v>
      </c>
      <c r="P2330" s="2">
        <f>(16112*Table1[[#This Row],[Generation (TWh)]]*10^9)/10^6</f>
        <v>1219459.2767999996</v>
      </c>
      <c r="Q2330" s="2">
        <f>Table1[[#This Row],[Emission Factor (kg CO2/ mmBtu)]]*Table1[[#This Row],[Fuel Consumption (mmBtu)]]*10^3</f>
        <v>128567135139.69423</v>
      </c>
      <c r="R2330" s="2">
        <f>(Table1[[#This Row],[CO2 Emissions (g CO2)]])/(Table1[[#This Row],[Generation (TWh)]]*10^9)</f>
        <v>1698.6821296784397</v>
      </c>
    </row>
    <row r="2331" spans="1:18" hidden="1">
      <c r="A2331" t="s">
        <v>21</v>
      </c>
      <c r="B2331" t="s">
        <v>19</v>
      </c>
      <c r="C2331" t="str">
        <f>SUBSTITUTE(Table1[[#This Row],[Fuel]],", ",",")</f>
        <v>bioenergy: refuse (municipal and industrial wastes)</v>
      </c>
      <c r="D2331" t="s">
        <v>19</v>
      </c>
      <c r="G2331">
        <v>12</v>
      </c>
      <c r="H2331" t="s">
        <v>27</v>
      </c>
      <c r="I2331">
        <v>2023</v>
      </c>
      <c r="J2331" t="s">
        <v>21</v>
      </c>
      <c r="K2331">
        <v>22.291575000000002</v>
      </c>
      <c r="L2331">
        <v>107.1675</v>
      </c>
      <c r="M2331" t="s">
        <v>102</v>
      </c>
      <c r="N2331" s="2">
        <f>Table1[[#This Row],[Capacity (MW)]]*8760*0.72*10^-6</f>
        <v>7.5686399999999987E-2</v>
      </c>
      <c r="O2331" s="2" cm="1">
        <f t="array" ref="O2331">AVERAGE(VLOOKUP(_xlfn.TEXTSPLIT(Table1[[#This Row],[Fuel (no space after comma)]], ","), FuelList_Final_EF!$A$2:$B$32, 2, FALSE))</f>
        <v>105.42962572482868</v>
      </c>
      <c r="P2331" s="2">
        <f>(16112*Table1[[#This Row],[Generation (TWh)]]*10^9)/10^6</f>
        <v>1219459.2767999996</v>
      </c>
      <c r="Q2331" s="2">
        <f>Table1[[#This Row],[Emission Factor (kg CO2/ mmBtu)]]*Table1[[#This Row],[Fuel Consumption (mmBtu)]]*10^3</f>
        <v>128567135139.69423</v>
      </c>
      <c r="R2331" s="2">
        <f>(Table1[[#This Row],[CO2 Emissions (g CO2)]])/(Table1[[#This Row],[Generation (TWh)]]*10^9)</f>
        <v>1698.6821296784397</v>
      </c>
    </row>
    <row r="2332" spans="1:18" hidden="1">
      <c r="A2332" t="s">
        <v>21</v>
      </c>
      <c r="B2332" t="s">
        <v>19</v>
      </c>
      <c r="C2332" t="str">
        <f>SUBSTITUTE(Table1[[#This Row],[Fuel]],", ",",")</f>
        <v>bioenergy: refuse (municipal and industrial wastes)</v>
      </c>
      <c r="D2332" t="s">
        <v>19</v>
      </c>
      <c r="G2332">
        <v>9</v>
      </c>
      <c r="H2332" t="s">
        <v>27</v>
      </c>
      <c r="I2332">
        <v>2022</v>
      </c>
      <c r="J2332" t="s">
        <v>21</v>
      </c>
      <c r="K2332">
        <v>23.828541999999999</v>
      </c>
      <c r="L2332">
        <v>108.175134</v>
      </c>
      <c r="M2332" t="s">
        <v>102</v>
      </c>
      <c r="N2332" s="2">
        <f>Table1[[#This Row],[Capacity (MW)]]*8760*0.72*10^-6</f>
        <v>5.676479999999999E-2</v>
      </c>
      <c r="O2332" s="2" cm="1">
        <f t="array" ref="O2332">AVERAGE(VLOOKUP(_xlfn.TEXTSPLIT(Table1[[#This Row],[Fuel (no space after comma)]], ","), FuelList_Final_EF!$A$2:$B$32, 2, FALSE))</f>
        <v>105.42962572482868</v>
      </c>
      <c r="P2332" s="2">
        <f>(16112*Table1[[#This Row],[Generation (TWh)]]*10^9)/10^6</f>
        <v>914594.45759999985</v>
      </c>
      <c r="Q2332" s="2">
        <f>Table1[[#This Row],[Emission Factor (kg CO2/ mmBtu)]]*Table1[[#This Row],[Fuel Consumption (mmBtu)]]*10^3</f>
        <v>96425351354.770676</v>
      </c>
      <c r="R2332" s="2">
        <f>(Table1[[#This Row],[CO2 Emissions (g CO2)]])/(Table1[[#This Row],[Generation (TWh)]]*10^9)</f>
        <v>1698.6821296784397</v>
      </c>
    </row>
    <row r="2333" spans="1:18" hidden="1">
      <c r="A2333" t="s">
        <v>21</v>
      </c>
      <c r="B2333" t="s">
        <v>19</v>
      </c>
      <c r="C2333" t="str">
        <f>SUBSTITUTE(Table1[[#This Row],[Fuel]],", ",",")</f>
        <v>bioenergy: refuse (municipal and industrial wastes)</v>
      </c>
      <c r="D2333" t="s">
        <v>19</v>
      </c>
      <c r="G2333">
        <v>9</v>
      </c>
      <c r="H2333" t="s">
        <v>27</v>
      </c>
      <c r="I2333">
        <v>2017</v>
      </c>
      <c r="J2333" t="s">
        <v>21</v>
      </c>
      <c r="K2333">
        <v>21.722992000000001</v>
      </c>
      <c r="L2333">
        <v>108.457911</v>
      </c>
      <c r="M2333" t="s">
        <v>102</v>
      </c>
      <c r="N2333" s="2">
        <f>Table1[[#This Row],[Capacity (MW)]]*8760*0.72*10^-6</f>
        <v>5.676479999999999E-2</v>
      </c>
      <c r="O2333" s="2" cm="1">
        <f t="array" ref="O2333">AVERAGE(VLOOKUP(_xlfn.TEXTSPLIT(Table1[[#This Row],[Fuel (no space after comma)]], ","), FuelList_Final_EF!$A$2:$B$32, 2, FALSE))</f>
        <v>105.42962572482868</v>
      </c>
      <c r="P2333" s="2">
        <f>(16112*Table1[[#This Row],[Generation (TWh)]]*10^9)/10^6</f>
        <v>914594.45759999985</v>
      </c>
      <c r="Q2333" s="2">
        <f>Table1[[#This Row],[Emission Factor (kg CO2/ mmBtu)]]*Table1[[#This Row],[Fuel Consumption (mmBtu)]]*10^3</f>
        <v>96425351354.770676</v>
      </c>
      <c r="R2333" s="2">
        <f>(Table1[[#This Row],[CO2 Emissions (g CO2)]])/(Table1[[#This Row],[Generation (TWh)]]*10^9)</f>
        <v>1698.6821296784397</v>
      </c>
    </row>
    <row r="2334" spans="1:18" hidden="1">
      <c r="A2334" t="s">
        <v>21</v>
      </c>
      <c r="B2334" t="s">
        <v>19</v>
      </c>
      <c r="C2334" t="str">
        <f>SUBSTITUTE(Table1[[#This Row],[Fuel]],", ",",")</f>
        <v>bioenergy: refuse (municipal and industrial wastes)</v>
      </c>
      <c r="D2334" t="s">
        <v>19</v>
      </c>
      <c r="G2334">
        <v>12</v>
      </c>
      <c r="H2334" t="s">
        <v>27</v>
      </c>
      <c r="I2334">
        <v>2022</v>
      </c>
      <c r="J2334" t="s">
        <v>21</v>
      </c>
      <c r="K2334">
        <v>21.722992000000001</v>
      </c>
      <c r="L2334">
        <v>108.457911</v>
      </c>
      <c r="M2334" t="s">
        <v>102</v>
      </c>
      <c r="N2334" s="2">
        <f>Table1[[#This Row],[Capacity (MW)]]*8760*0.72*10^-6</f>
        <v>7.5686399999999987E-2</v>
      </c>
      <c r="O2334" s="2" cm="1">
        <f t="array" ref="O2334">AVERAGE(VLOOKUP(_xlfn.TEXTSPLIT(Table1[[#This Row],[Fuel (no space after comma)]], ","), FuelList_Final_EF!$A$2:$B$32, 2, FALSE))</f>
        <v>105.42962572482868</v>
      </c>
      <c r="P2334" s="2">
        <f>(16112*Table1[[#This Row],[Generation (TWh)]]*10^9)/10^6</f>
        <v>1219459.2767999996</v>
      </c>
      <c r="Q2334" s="2">
        <f>Table1[[#This Row],[Emission Factor (kg CO2/ mmBtu)]]*Table1[[#This Row],[Fuel Consumption (mmBtu)]]*10^3</f>
        <v>128567135139.69423</v>
      </c>
      <c r="R2334" s="2">
        <f>(Table1[[#This Row],[CO2 Emissions (g CO2)]])/(Table1[[#This Row],[Generation (TWh)]]*10^9)</f>
        <v>1698.6821296784397</v>
      </c>
    </row>
    <row r="2335" spans="1:18" hidden="1">
      <c r="A2335" t="s">
        <v>21</v>
      </c>
      <c r="B2335" t="s">
        <v>19</v>
      </c>
      <c r="C2335" t="str">
        <f>SUBSTITUTE(Table1[[#This Row],[Fuel]],", ",",")</f>
        <v>bioenergy: refuse (municipal and industrial wastes)</v>
      </c>
      <c r="D2335" t="s">
        <v>19</v>
      </c>
      <c r="G2335">
        <v>15</v>
      </c>
      <c r="H2335" t="s">
        <v>27</v>
      </c>
      <c r="I2335">
        <v>2023</v>
      </c>
      <c r="J2335" t="s">
        <v>21</v>
      </c>
      <c r="K2335">
        <v>23.268380000000001</v>
      </c>
      <c r="L2335">
        <v>109.962007</v>
      </c>
      <c r="M2335" t="s">
        <v>102</v>
      </c>
      <c r="N2335" s="2">
        <f>Table1[[#This Row],[Capacity (MW)]]*8760*0.72*10^-6</f>
        <v>9.4607999999999998E-2</v>
      </c>
      <c r="O2335" s="2" cm="1">
        <f t="array" ref="O2335">AVERAGE(VLOOKUP(_xlfn.TEXTSPLIT(Table1[[#This Row],[Fuel (no space after comma)]], ","), FuelList_Final_EF!$A$2:$B$32, 2, FALSE))</f>
        <v>105.42962572482868</v>
      </c>
      <c r="P2335" s="2">
        <f>(16112*Table1[[#This Row],[Generation (TWh)]]*10^9)/10^6</f>
        <v>1524324.0959999999</v>
      </c>
      <c r="Q2335" s="2">
        <f>Table1[[#This Row],[Emission Factor (kg CO2/ mmBtu)]]*Table1[[#This Row],[Fuel Consumption (mmBtu)]]*10^3</f>
        <v>160708918924.61783</v>
      </c>
      <c r="R2335" s="2">
        <f>(Table1[[#This Row],[CO2 Emissions (g CO2)]])/(Table1[[#This Row],[Generation (TWh)]]*10^9)</f>
        <v>1698.6821296784397</v>
      </c>
    </row>
    <row r="2336" spans="1:18" hidden="1">
      <c r="A2336" t="s">
        <v>21</v>
      </c>
      <c r="B2336" t="s">
        <v>19</v>
      </c>
      <c r="C2336" t="str">
        <f>SUBSTITUTE(Table1[[#This Row],[Fuel]],", ",",")</f>
        <v>bioenergy: refuse (municipal and industrial wastes)</v>
      </c>
      <c r="D2336" t="s">
        <v>19</v>
      </c>
      <c r="G2336">
        <v>25</v>
      </c>
      <c r="H2336" t="s">
        <v>27</v>
      </c>
      <c r="I2336">
        <v>2024</v>
      </c>
      <c r="J2336" t="s">
        <v>21</v>
      </c>
      <c r="K2336">
        <v>22.812560000000001</v>
      </c>
      <c r="L2336">
        <v>108.95619600000001</v>
      </c>
      <c r="M2336" t="s">
        <v>102</v>
      </c>
      <c r="N2336" s="2">
        <f>Table1[[#This Row],[Capacity (MW)]]*8760*0.72*10^-6</f>
        <v>0.15767999999999999</v>
      </c>
      <c r="O2336" s="2" cm="1">
        <f t="array" ref="O2336">AVERAGE(VLOOKUP(_xlfn.TEXTSPLIT(Table1[[#This Row],[Fuel (no space after comma)]], ","), FuelList_Final_EF!$A$2:$B$32, 2, FALSE))</f>
        <v>105.42962572482868</v>
      </c>
      <c r="P2336" s="2">
        <f>(16112*Table1[[#This Row],[Generation (TWh)]]*10^9)/10^6</f>
        <v>2540540.16</v>
      </c>
      <c r="Q2336" s="2">
        <f>Table1[[#This Row],[Emission Factor (kg CO2/ mmBtu)]]*Table1[[#This Row],[Fuel Consumption (mmBtu)]]*10^3</f>
        <v>267848198207.69638</v>
      </c>
      <c r="R2336" s="2">
        <f>(Table1[[#This Row],[CO2 Emissions (g CO2)]])/(Table1[[#This Row],[Generation (TWh)]]*10^9)</f>
        <v>1698.6821296784397</v>
      </c>
    </row>
    <row r="2337" spans="1:18" hidden="1">
      <c r="A2337" t="s">
        <v>21</v>
      </c>
      <c r="B2337" t="s">
        <v>19</v>
      </c>
      <c r="C2337" t="str">
        <f>SUBSTITUTE(Table1[[#This Row],[Fuel]],", ",",")</f>
        <v>bioenergy: refuse (municipal and industrial wastes)</v>
      </c>
      <c r="D2337" t="s">
        <v>19</v>
      </c>
      <c r="G2337">
        <v>15</v>
      </c>
      <c r="H2337" t="s">
        <v>27</v>
      </c>
      <c r="I2337">
        <v>2024</v>
      </c>
      <c r="J2337" t="s">
        <v>21</v>
      </c>
      <c r="K2337">
        <v>23.055382999999999</v>
      </c>
      <c r="L2337">
        <v>106.394049</v>
      </c>
      <c r="M2337" t="s">
        <v>102</v>
      </c>
      <c r="N2337" s="2">
        <f>Table1[[#This Row],[Capacity (MW)]]*8760*0.72*10^-6</f>
        <v>9.4607999999999998E-2</v>
      </c>
      <c r="O2337" s="2" cm="1">
        <f t="array" ref="O2337">AVERAGE(VLOOKUP(_xlfn.TEXTSPLIT(Table1[[#This Row],[Fuel (no space after comma)]], ","), FuelList_Final_EF!$A$2:$B$32, 2, FALSE))</f>
        <v>105.42962572482868</v>
      </c>
      <c r="P2337" s="2">
        <f>(16112*Table1[[#This Row],[Generation (TWh)]]*10^9)/10^6</f>
        <v>1524324.0959999999</v>
      </c>
      <c r="Q2337" s="2">
        <f>Table1[[#This Row],[Emission Factor (kg CO2/ mmBtu)]]*Table1[[#This Row],[Fuel Consumption (mmBtu)]]*10^3</f>
        <v>160708918924.61783</v>
      </c>
      <c r="R2337" s="2">
        <f>(Table1[[#This Row],[CO2 Emissions (g CO2)]])/(Table1[[#This Row],[Generation (TWh)]]*10^9)</f>
        <v>1698.6821296784397</v>
      </c>
    </row>
    <row r="2338" spans="1:18" hidden="1">
      <c r="A2338" t="s">
        <v>21</v>
      </c>
      <c r="B2338" t="s">
        <v>19</v>
      </c>
      <c r="C2338" t="str">
        <f>SUBSTITUTE(Table1[[#This Row],[Fuel]],", ",",")</f>
        <v>bioenergy: refuse (municipal and industrial wastes)</v>
      </c>
      <c r="D2338" t="s">
        <v>19</v>
      </c>
      <c r="G2338">
        <v>9</v>
      </c>
      <c r="H2338" t="s">
        <v>27</v>
      </c>
      <c r="I2338">
        <v>2022</v>
      </c>
      <c r="J2338" t="s">
        <v>21</v>
      </c>
      <c r="K2338">
        <v>24.449553999999999</v>
      </c>
      <c r="L2338">
        <v>109.69731</v>
      </c>
      <c r="M2338" t="s">
        <v>102</v>
      </c>
      <c r="N2338" s="2">
        <f>Table1[[#This Row],[Capacity (MW)]]*8760*0.72*10^-6</f>
        <v>5.676479999999999E-2</v>
      </c>
      <c r="O2338" s="2" cm="1">
        <f t="array" ref="O2338">AVERAGE(VLOOKUP(_xlfn.TEXTSPLIT(Table1[[#This Row],[Fuel (no space after comma)]], ","), FuelList_Final_EF!$A$2:$B$32, 2, FALSE))</f>
        <v>105.42962572482868</v>
      </c>
      <c r="P2338" s="2">
        <f>(16112*Table1[[#This Row],[Generation (TWh)]]*10^9)/10^6</f>
        <v>914594.45759999985</v>
      </c>
      <c r="Q2338" s="2">
        <f>Table1[[#This Row],[Emission Factor (kg CO2/ mmBtu)]]*Table1[[#This Row],[Fuel Consumption (mmBtu)]]*10^3</f>
        <v>96425351354.770676</v>
      </c>
      <c r="R2338" s="2">
        <f>(Table1[[#This Row],[CO2 Emissions (g CO2)]])/(Table1[[#This Row],[Generation (TWh)]]*10^9)</f>
        <v>1698.6821296784397</v>
      </c>
    </row>
    <row r="2339" spans="1:18" hidden="1">
      <c r="A2339" t="s">
        <v>21</v>
      </c>
      <c r="B2339" t="s">
        <v>19</v>
      </c>
      <c r="C2339" t="str">
        <f>SUBSTITUTE(Table1[[#This Row],[Fuel]],", ",",")</f>
        <v>bioenergy: refuse (municipal and industrial wastes)</v>
      </c>
      <c r="D2339" t="s">
        <v>19</v>
      </c>
      <c r="G2339">
        <v>6</v>
      </c>
      <c r="H2339" t="s">
        <v>27</v>
      </c>
      <c r="I2339">
        <v>2021</v>
      </c>
      <c r="J2339" t="s">
        <v>21</v>
      </c>
      <c r="K2339">
        <v>21.878197</v>
      </c>
      <c r="L2339">
        <v>108.65315</v>
      </c>
      <c r="M2339" t="s">
        <v>102</v>
      </c>
      <c r="N2339" s="2">
        <f>Table1[[#This Row],[Capacity (MW)]]*8760*0.72*10^-6</f>
        <v>3.7843199999999994E-2</v>
      </c>
      <c r="O2339" s="2" cm="1">
        <f t="array" ref="O2339">AVERAGE(VLOOKUP(_xlfn.TEXTSPLIT(Table1[[#This Row],[Fuel (no space after comma)]], ","), FuelList_Final_EF!$A$2:$B$32, 2, FALSE))</f>
        <v>105.42962572482868</v>
      </c>
      <c r="P2339" s="2">
        <f>(16112*Table1[[#This Row],[Generation (TWh)]]*10^9)/10^6</f>
        <v>609729.63839999982</v>
      </c>
      <c r="Q2339" s="2">
        <f>Table1[[#This Row],[Emission Factor (kg CO2/ mmBtu)]]*Table1[[#This Row],[Fuel Consumption (mmBtu)]]*10^3</f>
        <v>64283567569.847115</v>
      </c>
      <c r="R2339" s="2">
        <f>(Table1[[#This Row],[CO2 Emissions (g CO2)]])/(Table1[[#This Row],[Generation (TWh)]]*10^9)</f>
        <v>1698.6821296784397</v>
      </c>
    </row>
    <row r="2340" spans="1:18" hidden="1">
      <c r="A2340" t="s">
        <v>21</v>
      </c>
      <c r="B2340" t="s">
        <v>19</v>
      </c>
      <c r="C2340" t="str">
        <f>SUBSTITUTE(Table1[[#This Row],[Fuel]],", ",",")</f>
        <v>bioenergy: refuse (municipal and industrial wastes)</v>
      </c>
      <c r="D2340" t="s">
        <v>19</v>
      </c>
      <c r="G2340">
        <v>12</v>
      </c>
      <c r="H2340" t="s">
        <v>27</v>
      </c>
      <c r="I2340">
        <v>2016</v>
      </c>
      <c r="J2340" t="s">
        <v>21</v>
      </c>
      <c r="K2340">
        <v>21.878197</v>
      </c>
      <c r="L2340">
        <v>108.65315</v>
      </c>
      <c r="M2340" t="s">
        <v>102</v>
      </c>
      <c r="N2340" s="2">
        <f>Table1[[#This Row],[Capacity (MW)]]*8760*0.72*10^-6</f>
        <v>7.5686399999999987E-2</v>
      </c>
      <c r="O2340" s="2" cm="1">
        <f t="array" ref="O2340">AVERAGE(VLOOKUP(_xlfn.TEXTSPLIT(Table1[[#This Row],[Fuel (no space after comma)]], ","), FuelList_Final_EF!$A$2:$B$32, 2, FALSE))</f>
        <v>105.42962572482868</v>
      </c>
      <c r="P2340" s="2">
        <f>(16112*Table1[[#This Row],[Generation (TWh)]]*10^9)/10^6</f>
        <v>1219459.2767999996</v>
      </c>
      <c r="Q2340" s="2">
        <f>Table1[[#This Row],[Emission Factor (kg CO2/ mmBtu)]]*Table1[[#This Row],[Fuel Consumption (mmBtu)]]*10^3</f>
        <v>128567135139.69423</v>
      </c>
      <c r="R2340" s="2">
        <f>(Table1[[#This Row],[CO2 Emissions (g CO2)]])/(Table1[[#This Row],[Generation (TWh)]]*10^9)</f>
        <v>1698.6821296784397</v>
      </c>
    </row>
    <row r="2341" spans="1:18" hidden="1">
      <c r="A2341" t="s">
        <v>1313</v>
      </c>
      <c r="B2341" t="s">
        <v>19</v>
      </c>
      <c r="C2341" t="str">
        <f>SUBSTITUTE(Table1[[#This Row],[Fuel]],", ",",")</f>
        <v>bioenergy: refuse (municipal and industrial wastes)</v>
      </c>
      <c r="D2341" t="s">
        <v>19</v>
      </c>
      <c r="G2341">
        <v>15</v>
      </c>
      <c r="H2341" t="s">
        <v>27</v>
      </c>
      <c r="I2341">
        <v>2019</v>
      </c>
      <c r="J2341" t="s">
        <v>21</v>
      </c>
      <c r="K2341">
        <v>22.667614</v>
      </c>
      <c r="L2341">
        <v>110.01787400000001</v>
      </c>
      <c r="M2341" t="s">
        <v>102</v>
      </c>
      <c r="N2341" s="2">
        <f>Table1[[#This Row],[Capacity (MW)]]*8760*0.72*10^-6</f>
        <v>9.4607999999999998E-2</v>
      </c>
      <c r="O2341" s="2" cm="1">
        <f t="array" ref="O2341">AVERAGE(VLOOKUP(_xlfn.TEXTSPLIT(Table1[[#This Row],[Fuel (no space after comma)]], ","), FuelList_Final_EF!$A$2:$B$32, 2, FALSE))</f>
        <v>105.42962572482868</v>
      </c>
      <c r="P2341" s="2">
        <f>(16112*Table1[[#This Row],[Generation (TWh)]]*10^9)/10^6</f>
        <v>1524324.0959999999</v>
      </c>
      <c r="Q2341" s="2">
        <f>Table1[[#This Row],[Emission Factor (kg CO2/ mmBtu)]]*Table1[[#This Row],[Fuel Consumption (mmBtu)]]*10^3</f>
        <v>160708918924.61783</v>
      </c>
      <c r="R2341" s="2">
        <f>(Table1[[#This Row],[CO2 Emissions (g CO2)]])/(Table1[[#This Row],[Generation (TWh)]]*10^9)</f>
        <v>1698.6821296784397</v>
      </c>
    </row>
    <row r="2342" spans="1:18" hidden="1">
      <c r="A2342" t="s">
        <v>1313</v>
      </c>
      <c r="B2342" t="s">
        <v>19</v>
      </c>
      <c r="C2342" t="str">
        <f>SUBSTITUTE(Table1[[#This Row],[Fuel]],", ",",")</f>
        <v>bioenergy: refuse (municipal and industrial wastes)</v>
      </c>
      <c r="D2342" t="s">
        <v>19</v>
      </c>
      <c r="G2342">
        <v>15</v>
      </c>
      <c r="H2342" t="s">
        <v>27</v>
      </c>
      <c r="I2342">
        <v>2019</v>
      </c>
      <c r="J2342" t="s">
        <v>21</v>
      </c>
      <c r="K2342">
        <v>22.667614</v>
      </c>
      <c r="L2342">
        <v>110.01787400000001</v>
      </c>
      <c r="M2342" t="s">
        <v>102</v>
      </c>
      <c r="N2342" s="2">
        <f>Table1[[#This Row],[Capacity (MW)]]*8760*0.72*10^-6</f>
        <v>9.4607999999999998E-2</v>
      </c>
      <c r="O2342" s="2" cm="1">
        <f t="array" ref="O2342">AVERAGE(VLOOKUP(_xlfn.TEXTSPLIT(Table1[[#This Row],[Fuel (no space after comma)]], ","), FuelList_Final_EF!$A$2:$B$32, 2, FALSE))</f>
        <v>105.42962572482868</v>
      </c>
      <c r="P2342" s="2">
        <f>(16112*Table1[[#This Row],[Generation (TWh)]]*10^9)/10^6</f>
        <v>1524324.0959999999</v>
      </c>
      <c r="Q2342" s="2">
        <f>Table1[[#This Row],[Emission Factor (kg CO2/ mmBtu)]]*Table1[[#This Row],[Fuel Consumption (mmBtu)]]*10^3</f>
        <v>160708918924.61783</v>
      </c>
      <c r="R2342" s="2">
        <f>(Table1[[#This Row],[CO2 Emissions (g CO2)]])/(Table1[[#This Row],[Generation (TWh)]]*10^9)</f>
        <v>1698.6821296784397</v>
      </c>
    </row>
    <row r="2343" spans="1:18" hidden="1">
      <c r="A2343" t="s">
        <v>21</v>
      </c>
      <c r="B2343" t="s">
        <v>19</v>
      </c>
      <c r="C2343" t="str">
        <f>SUBSTITUTE(Table1[[#This Row],[Fuel]],", ",",")</f>
        <v>bioenergy: refuse (municipal and industrial wastes)</v>
      </c>
      <c r="D2343" t="s">
        <v>19</v>
      </c>
      <c r="G2343">
        <v>20</v>
      </c>
      <c r="H2343" t="s">
        <v>27</v>
      </c>
      <c r="I2343">
        <v>2020</v>
      </c>
      <c r="J2343" t="s">
        <v>21</v>
      </c>
      <c r="K2343">
        <v>27.340443</v>
      </c>
      <c r="L2343">
        <v>105.464144</v>
      </c>
      <c r="M2343" t="s">
        <v>102</v>
      </c>
      <c r="N2343" s="2">
        <f>Table1[[#This Row],[Capacity (MW)]]*8760*0.72*10^-6</f>
        <v>0.12614400000000001</v>
      </c>
      <c r="O2343" s="2" cm="1">
        <f t="array" ref="O2343">AVERAGE(VLOOKUP(_xlfn.TEXTSPLIT(Table1[[#This Row],[Fuel (no space after comma)]], ","), FuelList_Final_EF!$A$2:$B$32, 2, FALSE))</f>
        <v>105.42962572482868</v>
      </c>
      <c r="P2343" s="2">
        <f>(16112*Table1[[#This Row],[Generation (TWh)]]*10^9)/10^6</f>
        <v>2032432.1280000003</v>
      </c>
      <c r="Q2343" s="2">
        <f>Table1[[#This Row],[Emission Factor (kg CO2/ mmBtu)]]*Table1[[#This Row],[Fuel Consumption (mmBtu)]]*10^3</f>
        <v>214278558566.15714</v>
      </c>
      <c r="R2343" s="2">
        <f>(Table1[[#This Row],[CO2 Emissions (g CO2)]])/(Table1[[#This Row],[Generation (TWh)]]*10^9)</f>
        <v>1698.6821296784401</v>
      </c>
    </row>
    <row r="2344" spans="1:18" hidden="1">
      <c r="A2344" t="s">
        <v>21</v>
      </c>
      <c r="B2344" t="s">
        <v>19</v>
      </c>
      <c r="C2344" t="str">
        <f>SUBSTITUTE(Table1[[#This Row],[Fuel]],", ",",")</f>
        <v>bioenergy: refuse (municipal and industrial wastes)</v>
      </c>
      <c r="D2344" t="s">
        <v>19</v>
      </c>
      <c r="G2344">
        <v>12</v>
      </c>
      <c r="H2344" t="s">
        <v>27</v>
      </c>
      <c r="I2344">
        <v>2018</v>
      </c>
      <c r="J2344" t="s">
        <v>21</v>
      </c>
      <c r="K2344">
        <v>26.326844000000001</v>
      </c>
      <c r="L2344">
        <v>106.638052</v>
      </c>
      <c r="M2344" t="s">
        <v>102</v>
      </c>
      <c r="N2344" s="2">
        <f>Table1[[#This Row],[Capacity (MW)]]*8760*0.72*10^-6</f>
        <v>7.5686399999999987E-2</v>
      </c>
      <c r="O2344" s="2" cm="1">
        <f t="array" ref="O2344">AVERAGE(VLOOKUP(_xlfn.TEXTSPLIT(Table1[[#This Row],[Fuel (no space after comma)]], ","), FuelList_Final_EF!$A$2:$B$32, 2, FALSE))</f>
        <v>105.42962572482868</v>
      </c>
      <c r="P2344" s="2">
        <f>(16112*Table1[[#This Row],[Generation (TWh)]]*10^9)/10^6</f>
        <v>1219459.2767999996</v>
      </c>
      <c r="Q2344" s="2">
        <f>Table1[[#This Row],[Emission Factor (kg CO2/ mmBtu)]]*Table1[[#This Row],[Fuel Consumption (mmBtu)]]*10^3</f>
        <v>128567135139.69423</v>
      </c>
      <c r="R2344" s="2">
        <f>(Table1[[#This Row],[CO2 Emissions (g CO2)]])/(Table1[[#This Row],[Generation (TWh)]]*10^9)</f>
        <v>1698.6821296784397</v>
      </c>
    </row>
    <row r="2345" spans="1:18" hidden="1">
      <c r="A2345" t="s">
        <v>21</v>
      </c>
      <c r="B2345" t="s">
        <v>19</v>
      </c>
      <c r="C2345" t="str">
        <f>SUBSTITUTE(Table1[[#This Row],[Fuel]],", ",",")</f>
        <v>bioenergy: refuse (municipal and industrial wastes)</v>
      </c>
      <c r="D2345" t="s">
        <v>19</v>
      </c>
      <c r="G2345">
        <v>12</v>
      </c>
      <c r="H2345" t="s">
        <v>27</v>
      </c>
      <c r="I2345">
        <v>2018</v>
      </c>
      <c r="J2345" t="s">
        <v>21</v>
      </c>
      <c r="K2345">
        <v>26.326844000000001</v>
      </c>
      <c r="L2345">
        <v>106.638052</v>
      </c>
      <c r="M2345" t="s">
        <v>102</v>
      </c>
      <c r="N2345" s="2">
        <f>Table1[[#This Row],[Capacity (MW)]]*8760*0.72*10^-6</f>
        <v>7.5686399999999987E-2</v>
      </c>
      <c r="O2345" s="2" cm="1">
        <f t="array" ref="O2345">AVERAGE(VLOOKUP(_xlfn.TEXTSPLIT(Table1[[#This Row],[Fuel (no space after comma)]], ","), FuelList_Final_EF!$A$2:$B$32, 2, FALSE))</f>
        <v>105.42962572482868</v>
      </c>
      <c r="P2345" s="2">
        <f>(16112*Table1[[#This Row],[Generation (TWh)]]*10^9)/10^6</f>
        <v>1219459.2767999996</v>
      </c>
      <c r="Q2345" s="2">
        <f>Table1[[#This Row],[Emission Factor (kg CO2/ mmBtu)]]*Table1[[#This Row],[Fuel Consumption (mmBtu)]]*10^3</f>
        <v>128567135139.69423</v>
      </c>
      <c r="R2345" s="2">
        <f>(Table1[[#This Row],[CO2 Emissions (g CO2)]])/(Table1[[#This Row],[Generation (TWh)]]*10^9)</f>
        <v>1698.6821296784397</v>
      </c>
    </row>
    <row r="2346" spans="1:18" hidden="1">
      <c r="A2346" t="s">
        <v>21</v>
      </c>
      <c r="B2346" t="s">
        <v>19</v>
      </c>
      <c r="C2346" t="str">
        <f>SUBSTITUTE(Table1[[#This Row],[Fuel]],", ",",")</f>
        <v>bioenergy: refuse (municipal and industrial wastes)</v>
      </c>
      <c r="D2346" t="s">
        <v>19</v>
      </c>
      <c r="G2346">
        <v>25</v>
      </c>
      <c r="H2346" t="s">
        <v>27</v>
      </c>
      <c r="I2346">
        <v>2022</v>
      </c>
      <c r="J2346" t="s">
        <v>21</v>
      </c>
      <c r="K2346">
        <v>26.326844000000001</v>
      </c>
      <c r="L2346">
        <v>106.638052</v>
      </c>
      <c r="M2346" t="s">
        <v>102</v>
      </c>
      <c r="N2346" s="2">
        <f>Table1[[#This Row],[Capacity (MW)]]*8760*0.72*10^-6</f>
        <v>0.15767999999999999</v>
      </c>
      <c r="O2346" s="2" cm="1">
        <f t="array" ref="O2346">AVERAGE(VLOOKUP(_xlfn.TEXTSPLIT(Table1[[#This Row],[Fuel (no space after comma)]], ","), FuelList_Final_EF!$A$2:$B$32, 2, FALSE))</f>
        <v>105.42962572482868</v>
      </c>
      <c r="P2346" s="2">
        <f>(16112*Table1[[#This Row],[Generation (TWh)]]*10^9)/10^6</f>
        <v>2540540.16</v>
      </c>
      <c r="Q2346" s="2">
        <f>Table1[[#This Row],[Emission Factor (kg CO2/ mmBtu)]]*Table1[[#This Row],[Fuel Consumption (mmBtu)]]*10^3</f>
        <v>267848198207.69638</v>
      </c>
      <c r="R2346" s="2">
        <f>(Table1[[#This Row],[CO2 Emissions (g CO2)]])/(Table1[[#This Row],[Generation (TWh)]]*10^9)</f>
        <v>1698.6821296784397</v>
      </c>
    </row>
    <row r="2347" spans="1:18" hidden="1">
      <c r="A2347" t="s">
        <v>21</v>
      </c>
      <c r="B2347" t="s">
        <v>19</v>
      </c>
      <c r="C2347" t="str">
        <f>SUBSTITUTE(Table1[[#This Row],[Fuel]],", ",",")</f>
        <v>bioenergy: refuse (municipal and industrial wastes)</v>
      </c>
      <c r="D2347" t="s">
        <v>19</v>
      </c>
      <c r="G2347">
        <v>12</v>
      </c>
      <c r="H2347" t="s">
        <v>27</v>
      </c>
      <c r="I2347">
        <v>2020</v>
      </c>
      <c r="J2347" t="s">
        <v>21</v>
      </c>
      <c r="K2347">
        <v>27.662818000000001</v>
      </c>
      <c r="L2347">
        <v>106.456481</v>
      </c>
      <c r="M2347" t="s">
        <v>102</v>
      </c>
      <c r="N2347" s="2">
        <f>Table1[[#This Row],[Capacity (MW)]]*8760*0.72*10^-6</f>
        <v>7.5686399999999987E-2</v>
      </c>
      <c r="O2347" s="2" cm="1">
        <f t="array" ref="O2347">AVERAGE(VLOOKUP(_xlfn.TEXTSPLIT(Table1[[#This Row],[Fuel (no space after comma)]], ","), FuelList_Final_EF!$A$2:$B$32, 2, FALSE))</f>
        <v>105.42962572482868</v>
      </c>
      <c r="P2347" s="2">
        <f>(16112*Table1[[#This Row],[Generation (TWh)]]*10^9)/10^6</f>
        <v>1219459.2767999996</v>
      </c>
      <c r="Q2347" s="2">
        <f>Table1[[#This Row],[Emission Factor (kg CO2/ mmBtu)]]*Table1[[#This Row],[Fuel Consumption (mmBtu)]]*10^3</f>
        <v>128567135139.69423</v>
      </c>
      <c r="R2347" s="2">
        <f>(Table1[[#This Row],[CO2 Emissions (g CO2)]])/(Table1[[#This Row],[Generation (TWh)]]*10^9)</f>
        <v>1698.6821296784397</v>
      </c>
    </row>
    <row r="2348" spans="1:18" hidden="1">
      <c r="A2348" t="s">
        <v>21</v>
      </c>
      <c r="B2348" t="s">
        <v>19</v>
      </c>
      <c r="C2348" t="str">
        <f>SUBSTITUTE(Table1[[#This Row],[Fuel]],", ",",")</f>
        <v>bioenergy: refuse (municipal and industrial wastes)</v>
      </c>
      <c r="D2348" t="s">
        <v>19</v>
      </c>
      <c r="G2348">
        <v>12</v>
      </c>
      <c r="H2348" t="s">
        <v>27</v>
      </c>
      <c r="I2348">
        <v>2020</v>
      </c>
      <c r="J2348" t="s">
        <v>21</v>
      </c>
      <c r="K2348">
        <v>27.662818000000001</v>
      </c>
      <c r="L2348">
        <v>106.456481</v>
      </c>
      <c r="M2348" t="s">
        <v>102</v>
      </c>
      <c r="N2348" s="2">
        <f>Table1[[#This Row],[Capacity (MW)]]*8760*0.72*10^-6</f>
        <v>7.5686399999999987E-2</v>
      </c>
      <c r="O2348" s="2" cm="1">
        <f t="array" ref="O2348">AVERAGE(VLOOKUP(_xlfn.TEXTSPLIT(Table1[[#This Row],[Fuel (no space after comma)]], ","), FuelList_Final_EF!$A$2:$B$32, 2, FALSE))</f>
        <v>105.42962572482868</v>
      </c>
      <c r="P2348" s="2">
        <f>(16112*Table1[[#This Row],[Generation (TWh)]]*10^9)/10^6</f>
        <v>1219459.2767999996</v>
      </c>
      <c r="Q2348" s="2">
        <f>Table1[[#This Row],[Emission Factor (kg CO2/ mmBtu)]]*Table1[[#This Row],[Fuel Consumption (mmBtu)]]*10^3</f>
        <v>128567135139.69423</v>
      </c>
      <c r="R2348" s="2">
        <f>(Table1[[#This Row],[CO2 Emissions (g CO2)]])/(Table1[[#This Row],[Generation (TWh)]]*10^9)</f>
        <v>1698.6821296784397</v>
      </c>
    </row>
    <row r="2349" spans="1:18" hidden="1">
      <c r="A2349" t="s">
        <v>21</v>
      </c>
      <c r="B2349" t="s">
        <v>19</v>
      </c>
      <c r="C2349" t="str">
        <f>SUBSTITUTE(Table1[[#This Row],[Fuel]],", ",",")</f>
        <v>bioenergy: refuse (municipal and industrial wastes)</v>
      </c>
      <c r="D2349" t="s">
        <v>19</v>
      </c>
      <c r="G2349">
        <v>15</v>
      </c>
      <c r="H2349" t="s">
        <v>27</v>
      </c>
      <c r="I2349">
        <v>2021</v>
      </c>
      <c r="J2349" t="s">
        <v>21</v>
      </c>
      <c r="K2349">
        <v>26.920615000000002</v>
      </c>
      <c r="L2349">
        <v>108.641989</v>
      </c>
      <c r="M2349" t="s">
        <v>102</v>
      </c>
      <c r="N2349" s="2">
        <f>Table1[[#This Row],[Capacity (MW)]]*8760*0.72*10^-6</f>
        <v>9.4607999999999998E-2</v>
      </c>
      <c r="O2349" s="2" cm="1">
        <f t="array" ref="O2349">AVERAGE(VLOOKUP(_xlfn.TEXTSPLIT(Table1[[#This Row],[Fuel (no space after comma)]], ","), FuelList_Final_EF!$A$2:$B$32, 2, FALSE))</f>
        <v>105.42962572482868</v>
      </c>
      <c r="P2349" s="2">
        <f>(16112*Table1[[#This Row],[Generation (TWh)]]*10^9)/10^6</f>
        <v>1524324.0959999999</v>
      </c>
      <c r="Q2349" s="2">
        <f>Table1[[#This Row],[Emission Factor (kg CO2/ mmBtu)]]*Table1[[#This Row],[Fuel Consumption (mmBtu)]]*10^3</f>
        <v>160708918924.61783</v>
      </c>
      <c r="R2349" s="2">
        <f>(Table1[[#This Row],[CO2 Emissions (g CO2)]])/(Table1[[#This Row],[Generation (TWh)]]*10^9)</f>
        <v>1698.6821296784397</v>
      </c>
    </row>
    <row r="2350" spans="1:18" hidden="1">
      <c r="A2350" t="s">
        <v>21</v>
      </c>
      <c r="B2350" t="s">
        <v>19</v>
      </c>
      <c r="C2350" t="str">
        <f>SUBSTITUTE(Table1[[#This Row],[Fuel]],", ",",")</f>
        <v>bioenergy: refuse (municipal and industrial wastes)</v>
      </c>
      <c r="D2350" t="s">
        <v>19</v>
      </c>
      <c r="G2350">
        <v>9</v>
      </c>
      <c r="H2350" t="s">
        <v>27</v>
      </c>
      <c r="I2350">
        <v>2021</v>
      </c>
      <c r="J2350" t="s">
        <v>21</v>
      </c>
      <c r="K2350">
        <v>27.873691999999998</v>
      </c>
      <c r="L2350">
        <v>107.053342</v>
      </c>
      <c r="M2350" t="s">
        <v>102</v>
      </c>
      <c r="N2350" s="2">
        <f>Table1[[#This Row],[Capacity (MW)]]*8760*0.72*10^-6</f>
        <v>5.676479999999999E-2</v>
      </c>
      <c r="O2350" s="2" cm="1">
        <f t="array" ref="O2350">AVERAGE(VLOOKUP(_xlfn.TEXTSPLIT(Table1[[#This Row],[Fuel (no space after comma)]], ","), FuelList_Final_EF!$A$2:$B$32, 2, FALSE))</f>
        <v>105.42962572482868</v>
      </c>
      <c r="P2350" s="2">
        <f>(16112*Table1[[#This Row],[Generation (TWh)]]*10^9)/10^6</f>
        <v>914594.45759999985</v>
      </c>
      <c r="Q2350" s="2">
        <f>Table1[[#This Row],[Emission Factor (kg CO2/ mmBtu)]]*Table1[[#This Row],[Fuel Consumption (mmBtu)]]*10^3</f>
        <v>96425351354.770676</v>
      </c>
      <c r="R2350" s="2">
        <f>(Table1[[#This Row],[CO2 Emissions (g CO2)]])/(Table1[[#This Row],[Generation (TWh)]]*10^9)</f>
        <v>1698.6821296784397</v>
      </c>
    </row>
    <row r="2351" spans="1:18" hidden="1">
      <c r="A2351" t="s">
        <v>21</v>
      </c>
      <c r="B2351" t="s">
        <v>19</v>
      </c>
      <c r="C2351" t="str">
        <f>SUBSTITUTE(Table1[[#This Row],[Fuel]],", ",",")</f>
        <v>bioenergy: refuse (municipal and industrial wastes)</v>
      </c>
      <c r="D2351" t="s">
        <v>19</v>
      </c>
      <c r="G2351">
        <v>12</v>
      </c>
      <c r="H2351" t="s">
        <v>27</v>
      </c>
      <c r="I2351">
        <v>2017</v>
      </c>
      <c r="J2351" t="s">
        <v>21</v>
      </c>
      <c r="K2351">
        <v>27.716280999999999</v>
      </c>
      <c r="L2351">
        <v>109.13466099999999</v>
      </c>
      <c r="M2351" t="s">
        <v>102</v>
      </c>
      <c r="N2351" s="2">
        <f>Table1[[#This Row],[Capacity (MW)]]*8760*0.72*10^-6</f>
        <v>7.5686399999999987E-2</v>
      </c>
      <c r="O2351" s="2" cm="1">
        <f t="array" ref="O2351">AVERAGE(VLOOKUP(_xlfn.TEXTSPLIT(Table1[[#This Row],[Fuel (no space after comma)]], ","), FuelList_Final_EF!$A$2:$B$32, 2, FALSE))</f>
        <v>105.42962572482868</v>
      </c>
      <c r="P2351" s="2">
        <f>(16112*Table1[[#This Row],[Generation (TWh)]]*10^9)/10^6</f>
        <v>1219459.2767999996</v>
      </c>
      <c r="Q2351" s="2">
        <f>Table1[[#This Row],[Emission Factor (kg CO2/ mmBtu)]]*Table1[[#This Row],[Fuel Consumption (mmBtu)]]*10^3</f>
        <v>128567135139.69423</v>
      </c>
      <c r="R2351" s="2">
        <f>(Table1[[#This Row],[CO2 Emissions (g CO2)]])/(Table1[[#This Row],[Generation (TWh)]]*10^9)</f>
        <v>1698.6821296784397</v>
      </c>
    </row>
    <row r="2352" spans="1:18" hidden="1">
      <c r="A2352" t="s">
        <v>1192</v>
      </c>
      <c r="B2352" t="s">
        <v>19</v>
      </c>
      <c r="C2352" t="str">
        <f>SUBSTITUTE(Table1[[#This Row],[Fuel]],", ",",")</f>
        <v>bioenergy: refuse (municipal and industrial wastes)</v>
      </c>
      <c r="D2352" t="s">
        <v>19</v>
      </c>
      <c r="G2352">
        <v>12</v>
      </c>
      <c r="H2352" t="s">
        <v>27</v>
      </c>
      <c r="I2352">
        <v>2015</v>
      </c>
      <c r="J2352" t="s">
        <v>21</v>
      </c>
      <c r="K2352">
        <v>25.135055999999999</v>
      </c>
      <c r="L2352">
        <v>105.10585</v>
      </c>
      <c r="M2352" t="s">
        <v>102</v>
      </c>
      <c r="N2352" s="2">
        <f>Table1[[#This Row],[Capacity (MW)]]*8760*0.72*10^-6</f>
        <v>7.5686399999999987E-2</v>
      </c>
      <c r="O2352" s="2" cm="1">
        <f t="array" ref="O2352">AVERAGE(VLOOKUP(_xlfn.TEXTSPLIT(Table1[[#This Row],[Fuel (no space after comma)]], ","), FuelList_Final_EF!$A$2:$B$32, 2, FALSE))</f>
        <v>105.42962572482868</v>
      </c>
      <c r="P2352" s="2">
        <f>(16112*Table1[[#This Row],[Generation (TWh)]]*10^9)/10^6</f>
        <v>1219459.2767999996</v>
      </c>
      <c r="Q2352" s="2">
        <f>Table1[[#This Row],[Emission Factor (kg CO2/ mmBtu)]]*Table1[[#This Row],[Fuel Consumption (mmBtu)]]*10^3</f>
        <v>128567135139.69423</v>
      </c>
      <c r="R2352" s="2">
        <f>(Table1[[#This Row],[CO2 Emissions (g CO2)]])/(Table1[[#This Row],[Generation (TWh)]]*10^9)</f>
        <v>1698.6821296784397</v>
      </c>
    </row>
    <row r="2353" spans="1:18" hidden="1">
      <c r="A2353" t="s">
        <v>1192</v>
      </c>
      <c r="B2353" t="s">
        <v>19</v>
      </c>
      <c r="C2353" t="str">
        <f>SUBSTITUTE(Table1[[#This Row],[Fuel]],", ",",")</f>
        <v>bioenergy: refuse (municipal and industrial wastes)</v>
      </c>
      <c r="D2353" t="s">
        <v>19</v>
      </c>
      <c r="G2353">
        <v>12</v>
      </c>
      <c r="H2353" t="s">
        <v>27</v>
      </c>
      <c r="I2353">
        <v>2017</v>
      </c>
      <c r="J2353" t="s">
        <v>21</v>
      </c>
      <c r="K2353">
        <v>25.135055999999999</v>
      </c>
      <c r="L2353">
        <v>105.10585</v>
      </c>
      <c r="M2353" t="s">
        <v>102</v>
      </c>
      <c r="N2353" s="2">
        <f>Table1[[#This Row],[Capacity (MW)]]*8760*0.72*10^-6</f>
        <v>7.5686399999999987E-2</v>
      </c>
      <c r="O2353" s="2" cm="1">
        <f t="array" ref="O2353">AVERAGE(VLOOKUP(_xlfn.TEXTSPLIT(Table1[[#This Row],[Fuel (no space after comma)]], ","), FuelList_Final_EF!$A$2:$B$32, 2, FALSE))</f>
        <v>105.42962572482868</v>
      </c>
      <c r="P2353" s="2">
        <f>(16112*Table1[[#This Row],[Generation (TWh)]]*10^9)/10^6</f>
        <v>1219459.2767999996</v>
      </c>
      <c r="Q2353" s="2">
        <f>Table1[[#This Row],[Emission Factor (kg CO2/ mmBtu)]]*Table1[[#This Row],[Fuel Consumption (mmBtu)]]*10^3</f>
        <v>128567135139.69423</v>
      </c>
      <c r="R2353" s="2">
        <f>(Table1[[#This Row],[CO2 Emissions (g CO2)]])/(Table1[[#This Row],[Generation (TWh)]]*10^9)</f>
        <v>1698.6821296784397</v>
      </c>
    </row>
    <row r="2354" spans="1:18" hidden="1">
      <c r="A2354" t="s">
        <v>21</v>
      </c>
      <c r="B2354" t="s">
        <v>19</v>
      </c>
      <c r="C2354" t="str">
        <f>SUBSTITUTE(Table1[[#This Row],[Fuel]],", ",",")</f>
        <v>bioenergy: refuse (municipal and industrial wastes)</v>
      </c>
      <c r="D2354" t="s">
        <v>19</v>
      </c>
      <c r="G2354">
        <v>12</v>
      </c>
      <c r="H2354" t="s">
        <v>27</v>
      </c>
      <c r="I2354">
        <v>2022</v>
      </c>
      <c r="J2354" t="s">
        <v>21</v>
      </c>
      <c r="K2354">
        <v>25.474764</v>
      </c>
      <c r="L2354">
        <v>105.465458</v>
      </c>
      <c r="M2354" t="s">
        <v>102</v>
      </c>
      <c r="N2354" s="2">
        <f>Table1[[#This Row],[Capacity (MW)]]*8760*0.72*10^-6</f>
        <v>7.5686399999999987E-2</v>
      </c>
      <c r="O2354" s="2" cm="1">
        <f t="array" ref="O2354">AVERAGE(VLOOKUP(_xlfn.TEXTSPLIT(Table1[[#This Row],[Fuel (no space after comma)]], ","), FuelList_Final_EF!$A$2:$B$32, 2, FALSE))</f>
        <v>105.42962572482868</v>
      </c>
      <c r="P2354" s="2">
        <f>(16112*Table1[[#This Row],[Generation (TWh)]]*10^9)/10^6</f>
        <v>1219459.2767999996</v>
      </c>
      <c r="Q2354" s="2">
        <f>Table1[[#This Row],[Emission Factor (kg CO2/ mmBtu)]]*Table1[[#This Row],[Fuel Consumption (mmBtu)]]*10^3</f>
        <v>128567135139.69423</v>
      </c>
      <c r="R2354" s="2">
        <f>(Table1[[#This Row],[CO2 Emissions (g CO2)]])/(Table1[[#This Row],[Generation (TWh)]]*10^9)</f>
        <v>1698.6821296784397</v>
      </c>
    </row>
    <row r="2355" spans="1:18" hidden="1">
      <c r="A2355" t="s">
        <v>541</v>
      </c>
      <c r="B2355" t="s">
        <v>19</v>
      </c>
      <c r="C2355" t="str">
        <f>SUBSTITUTE(Table1[[#This Row],[Fuel]],", ",",")</f>
        <v>bioenergy: refuse (municipal and industrial wastes)</v>
      </c>
      <c r="D2355" t="s">
        <v>19</v>
      </c>
      <c r="G2355">
        <v>12</v>
      </c>
      <c r="H2355" t="s">
        <v>27</v>
      </c>
      <c r="I2355">
        <v>2022</v>
      </c>
      <c r="J2355" t="s">
        <v>21</v>
      </c>
      <c r="K2355">
        <v>19.661415000000002</v>
      </c>
      <c r="L2355">
        <v>109.52998599999999</v>
      </c>
      <c r="M2355" t="s">
        <v>102</v>
      </c>
      <c r="N2355" s="2">
        <f>Table1[[#This Row],[Capacity (MW)]]*8760*0.72*10^-6</f>
        <v>7.5686399999999987E-2</v>
      </c>
      <c r="O2355" s="2" cm="1">
        <f t="array" ref="O2355">AVERAGE(VLOOKUP(_xlfn.TEXTSPLIT(Table1[[#This Row],[Fuel (no space after comma)]], ","), FuelList_Final_EF!$A$2:$B$32, 2, FALSE))</f>
        <v>105.42962572482868</v>
      </c>
      <c r="P2355" s="2">
        <f>(16112*Table1[[#This Row],[Generation (TWh)]]*10^9)/10^6</f>
        <v>1219459.2767999996</v>
      </c>
      <c r="Q2355" s="2">
        <f>Table1[[#This Row],[Emission Factor (kg CO2/ mmBtu)]]*Table1[[#This Row],[Fuel Consumption (mmBtu)]]*10^3</f>
        <v>128567135139.69423</v>
      </c>
      <c r="R2355" s="2">
        <f>(Table1[[#This Row],[CO2 Emissions (g CO2)]])/(Table1[[#This Row],[Generation (TWh)]]*10^9)</f>
        <v>1698.6821296784397</v>
      </c>
    </row>
    <row r="2356" spans="1:18" hidden="1">
      <c r="A2356" t="s">
        <v>541</v>
      </c>
      <c r="B2356" t="s">
        <v>19</v>
      </c>
      <c r="C2356" t="str">
        <f>SUBSTITUTE(Table1[[#This Row],[Fuel]],", ",",")</f>
        <v>bioenergy: refuse (municipal and industrial wastes)</v>
      </c>
      <c r="D2356" t="s">
        <v>19</v>
      </c>
      <c r="G2356">
        <v>25</v>
      </c>
      <c r="H2356" t="s">
        <v>27</v>
      </c>
      <c r="I2356">
        <v>2020</v>
      </c>
      <c r="J2356" t="s">
        <v>21</v>
      </c>
      <c r="K2356">
        <v>19.661415000000002</v>
      </c>
      <c r="L2356">
        <v>109.52998599999999</v>
      </c>
      <c r="M2356" t="s">
        <v>102</v>
      </c>
      <c r="N2356" s="2">
        <f>Table1[[#This Row],[Capacity (MW)]]*8760*0.72*10^-6</f>
        <v>0.15767999999999999</v>
      </c>
      <c r="O2356" s="2" cm="1">
        <f t="array" ref="O2356">AVERAGE(VLOOKUP(_xlfn.TEXTSPLIT(Table1[[#This Row],[Fuel (no space after comma)]], ","), FuelList_Final_EF!$A$2:$B$32, 2, FALSE))</f>
        <v>105.42962572482868</v>
      </c>
      <c r="P2356" s="2">
        <f>(16112*Table1[[#This Row],[Generation (TWh)]]*10^9)/10^6</f>
        <v>2540540.16</v>
      </c>
      <c r="Q2356" s="2">
        <f>Table1[[#This Row],[Emission Factor (kg CO2/ mmBtu)]]*Table1[[#This Row],[Fuel Consumption (mmBtu)]]*10^3</f>
        <v>267848198207.69638</v>
      </c>
      <c r="R2356" s="2">
        <f>(Table1[[#This Row],[CO2 Emissions (g CO2)]])/(Table1[[#This Row],[Generation (TWh)]]*10^9)</f>
        <v>1698.6821296784397</v>
      </c>
    </row>
    <row r="2357" spans="1:18" hidden="1">
      <c r="A2357" t="s">
        <v>21</v>
      </c>
      <c r="B2357" t="s">
        <v>19</v>
      </c>
      <c r="C2357" t="str">
        <f>SUBSTITUTE(Table1[[#This Row],[Fuel]],", ",",")</f>
        <v>bioenergy: refuse (municipal and industrial wastes)</v>
      </c>
      <c r="D2357" t="s">
        <v>19</v>
      </c>
      <c r="G2357">
        <v>18</v>
      </c>
      <c r="H2357" t="s">
        <v>27</v>
      </c>
      <c r="I2357">
        <v>2020</v>
      </c>
      <c r="J2357" t="s">
        <v>21</v>
      </c>
      <c r="K2357">
        <v>19.109096999999998</v>
      </c>
      <c r="L2357">
        <v>108.75368</v>
      </c>
      <c r="M2357" t="s">
        <v>102</v>
      </c>
      <c r="N2357" s="2">
        <f>Table1[[#This Row],[Capacity (MW)]]*8760*0.72*10^-6</f>
        <v>0.11352959999999998</v>
      </c>
      <c r="O2357" s="2" cm="1">
        <f t="array" ref="O2357">AVERAGE(VLOOKUP(_xlfn.TEXTSPLIT(Table1[[#This Row],[Fuel (no space after comma)]], ","), FuelList_Final_EF!$A$2:$B$32, 2, FALSE))</f>
        <v>105.42962572482868</v>
      </c>
      <c r="P2357" s="2">
        <f>(16112*Table1[[#This Row],[Generation (TWh)]]*10^9)/10^6</f>
        <v>1829188.9151999997</v>
      </c>
      <c r="Q2357" s="2">
        <f>Table1[[#This Row],[Emission Factor (kg CO2/ mmBtu)]]*Table1[[#This Row],[Fuel Consumption (mmBtu)]]*10^3</f>
        <v>192850702709.54135</v>
      </c>
      <c r="R2357" s="2">
        <f>(Table1[[#This Row],[CO2 Emissions (g CO2)]])/(Table1[[#This Row],[Generation (TWh)]]*10^9)</f>
        <v>1698.6821296784397</v>
      </c>
    </row>
    <row r="2358" spans="1:18" hidden="1">
      <c r="A2358" t="s">
        <v>1314</v>
      </c>
      <c r="B2358" t="s">
        <v>19</v>
      </c>
      <c r="C2358" t="str">
        <f>SUBSTITUTE(Table1[[#This Row],[Fuel]],", ",",")</f>
        <v>bioenergy: refuse (municipal and industrial wastes)</v>
      </c>
      <c r="D2358" t="s">
        <v>19</v>
      </c>
      <c r="G2358">
        <v>12</v>
      </c>
      <c r="H2358" t="s">
        <v>27</v>
      </c>
      <c r="I2358">
        <v>2011</v>
      </c>
      <c r="J2358" t="s">
        <v>21</v>
      </c>
      <c r="K2358">
        <v>19.930426000000001</v>
      </c>
      <c r="L2358">
        <v>110.066435</v>
      </c>
      <c r="M2358" t="s">
        <v>102</v>
      </c>
      <c r="N2358" s="2">
        <f>Table1[[#This Row],[Capacity (MW)]]*8760*0.72*10^-6</f>
        <v>7.5686399999999987E-2</v>
      </c>
      <c r="O2358" s="2" cm="1">
        <f t="array" ref="O2358">AVERAGE(VLOOKUP(_xlfn.TEXTSPLIT(Table1[[#This Row],[Fuel (no space after comma)]], ","), FuelList_Final_EF!$A$2:$B$32, 2, FALSE))</f>
        <v>105.42962572482868</v>
      </c>
      <c r="P2358" s="2">
        <f>(16112*Table1[[#This Row],[Generation (TWh)]]*10^9)/10^6</f>
        <v>1219459.2767999996</v>
      </c>
      <c r="Q2358" s="2">
        <f>Table1[[#This Row],[Emission Factor (kg CO2/ mmBtu)]]*Table1[[#This Row],[Fuel Consumption (mmBtu)]]*10^3</f>
        <v>128567135139.69423</v>
      </c>
      <c r="R2358" s="2">
        <f>(Table1[[#This Row],[CO2 Emissions (g CO2)]])/(Table1[[#This Row],[Generation (TWh)]]*10^9)</f>
        <v>1698.6821296784397</v>
      </c>
    </row>
    <row r="2359" spans="1:18" hidden="1">
      <c r="A2359" t="s">
        <v>1314</v>
      </c>
      <c r="B2359" t="s">
        <v>19</v>
      </c>
      <c r="C2359" t="str">
        <f>SUBSTITUTE(Table1[[#This Row],[Fuel]],", ",",")</f>
        <v>bioenergy: refuse (municipal and industrial wastes)</v>
      </c>
      <c r="D2359" t="s">
        <v>19</v>
      </c>
      <c r="G2359">
        <v>12</v>
      </c>
      <c r="H2359" t="s">
        <v>27</v>
      </c>
      <c r="I2359">
        <v>2011</v>
      </c>
      <c r="J2359" t="s">
        <v>21</v>
      </c>
      <c r="K2359">
        <v>19.930426000000001</v>
      </c>
      <c r="L2359">
        <v>110.066435</v>
      </c>
      <c r="M2359" t="s">
        <v>102</v>
      </c>
      <c r="N2359" s="2">
        <f>Table1[[#This Row],[Capacity (MW)]]*8760*0.72*10^-6</f>
        <v>7.5686399999999987E-2</v>
      </c>
      <c r="O2359" s="2" cm="1">
        <f t="array" ref="O2359">AVERAGE(VLOOKUP(_xlfn.TEXTSPLIT(Table1[[#This Row],[Fuel (no space after comma)]], ","), FuelList_Final_EF!$A$2:$B$32, 2, FALSE))</f>
        <v>105.42962572482868</v>
      </c>
      <c r="P2359" s="2">
        <f>(16112*Table1[[#This Row],[Generation (TWh)]]*10^9)/10^6</f>
        <v>1219459.2767999996</v>
      </c>
      <c r="Q2359" s="2">
        <f>Table1[[#This Row],[Emission Factor (kg CO2/ mmBtu)]]*Table1[[#This Row],[Fuel Consumption (mmBtu)]]*10^3</f>
        <v>128567135139.69423</v>
      </c>
      <c r="R2359" s="2">
        <f>(Table1[[#This Row],[CO2 Emissions (g CO2)]])/(Table1[[#This Row],[Generation (TWh)]]*10^9)</f>
        <v>1698.6821296784397</v>
      </c>
    </row>
    <row r="2360" spans="1:18" hidden="1">
      <c r="A2360" t="s">
        <v>1314</v>
      </c>
      <c r="B2360" t="s">
        <v>19</v>
      </c>
      <c r="C2360" t="str">
        <f>SUBSTITUTE(Table1[[#This Row],[Fuel]],", ",",")</f>
        <v>bioenergy: refuse (municipal and industrial wastes)</v>
      </c>
      <c r="D2360" t="s">
        <v>19</v>
      </c>
      <c r="G2360">
        <v>12</v>
      </c>
      <c r="H2360" t="s">
        <v>27</v>
      </c>
      <c r="I2360">
        <v>2016</v>
      </c>
      <c r="J2360" t="s">
        <v>21</v>
      </c>
      <c r="K2360">
        <v>19.930426000000001</v>
      </c>
      <c r="L2360">
        <v>110.066435</v>
      </c>
      <c r="M2360" t="s">
        <v>102</v>
      </c>
      <c r="N2360" s="2">
        <f>Table1[[#This Row],[Capacity (MW)]]*8760*0.72*10^-6</f>
        <v>7.5686399999999987E-2</v>
      </c>
      <c r="O2360" s="2" cm="1">
        <f t="array" ref="O2360">AVERAGE(VLOOKUP(_xlfn.TEXTSPLIT(Table1[[#This Row],[Fuel (no space after comma)]], ","), FuelList_Final_EF!$A$2:$B$32, 2, FALSE))</f>
        <v>105.42962572482868</v>
      </c>
      <c r="P2360" s="2">
        <f>(16112*Table1[[#This Row],[Generation (TWh)]]*10^9)/10^6</f>
        <v>1219459.2767999996</v>
      </c>
      <c r="Q2360" s="2">
        <f>Table1[[#This Row],[Emission Factor (kg CO2/ mmBtu)]]*Table1[[#This Row],[Fuel Consumption (mmBtu)]]*10^3</f>
        <v>128567135139.69423</v>
      </c>
      <c r="R2360" s="2">
        <f>(Table1[[#This Row],[CO2 Emissions (g CO2)]])/(Table1[[#This Row],[Generation (TWh)]]*10^9)</f>
        <v>1698.6821296784397</v>
      </c>
    </row>
    <row r="2361" spans="1:18" hidden="1">
      <c r="A2361" t="s">
        <v>1314</v>
      </c>
      <c r="B2361" t="s">
        <v>19</v>
      </c>
      <c r="C2361" t="str">
        <f>SUBSTITUTE(Table1[[#This Row],[Fuel]],", ",",")</f>
        <v>bioenergy: refuse (municipal and industrial wastes)</v>
      </c>
      <c r="D2361" t="s">
        <v>19</v>
      </c>
      <c r="G2361">
        <v>12</v>
      </c>
      <c r="H2361" t="s">
        <v>27</v>
      </c>
      <c r="I2361">
        <v>2016</v>
      </c>
      <c r="J2361" t="s">
        <v>21</v>
      </c>
      <c r="K2361">
        <v>19.930426000000001</v>
      </c>
      <c r="L2361">
        <v>110.066435</v>
      </c>
      <c r="M2361" t="s">
        <v>102</v>
      </c>
      <c r="N2361" s="2">
        <f>Table1[[#This Row],[Capacity (MW)]]*8760*0.72*10^-6</f>
        <v>7.5686399999999987E-2</v>
      </c>
      <c r="O2361" s="2" cm="1">
        <f t="array" ref="O2361">AVERAGE(VLOOKUP(_xlfn.TEXTSPLIT(Table1[[#This Row],[Fuel (no space after comma)]], ","), FuelList_Final_EF!$A$2:$B$32, 2, FALSE))</f>
        <v>105.42962572482868</v>
      </c>
      <c r="P2361" s="2">
        <f>(16112*Table1[[#This Row],[Generation (TWh)]]*10^9)/10^6</f>
        <v>1219459.2767999996</v>
      </c>
      <c r="Q2361" s="2">
        <f>Table1[[#This Row],[Emission Factor (kg CO2/ mmBtu)]]*Table1[[#This Row],[Fuel Consumption (mmBtu)]]*10^3</f>
        <v>128567135139.69423</v>
      </c>
      <c r="R2361" s="2">
        <f>(Table1[[#This Row],[CO2 Emissions (g CO2)]])/(Table1[[#This Row],[Generation (TWh)]]*10^9)</f>
        <v>1698.6821296784397</v>
      </c>
    </row>
    <row r="2362" spans="1:18" hidden="1">
      <c r="A2362" t="s">
        <v>1314</v>
      </c>
      <c r="B2362" t="s">
        <v>19</v>
      </c>
      <c r="C2362" t="str">
        <f>SUBSTITUTE(Table1[[#This Row],[Fuel]],", ",",")</f>
        <v>bioenergy: refuse (municipal and industrial wastes)</v>
      </c>
      <c r="D2362" t="s">
        <v>19</v>
      </c>
      <c r="G2362">
        <v>20</v>
      </c>
      <c r="H2362" t="s">
        <v>27</v>
      </c>
      <c r="I2362">
        <v>2020</v>
      </c>
      <c r="J2362" t="s">
        <v>21</v>
      </c>
      <c r="K2362">
        <v>19.930426000000001</v>
      </c>
      <c r="L2362">
        <v>110.066435</v>
      </c>
      <c r="M2362" t="s">
        <v>102</v>
      </c>
      <c r="N2362" s="2">
        <f>Table1[[#This Row],[Capacity (MW)]]*8760*0.72*10^-6</f>
        <v>0.12614400000000001</v>
      </c>
      <c r="O2362" s="2" cm="1">
        <f t="array" ref="O2362">AVERAGE(VLOOKUP(_xlfn.TEXTSPLIT(Table1[[#This Row],[Fuel (no space after comma)]], ","), FuelList_Final_EF!$A$2:$B$32, 2, FALSE))</f>
        <v>105.42962572482868</v>
      </c>
      <c r="P2362" s="2">
        <f>(16112*Table1[[#This Row],[Generation (TWh)]]*10^9)/10^6</f>
        <v>2032432.1280000003</v>
      </c>
      <c r="Q2362" s="2">
        <f>Table1[[#This Row],[Emission Factor (kg CO2/ mmBtu)]]*Table1[[#This Row],[Fuel Consumption (mmBtu)]]*10^3</f>
        <v>214278558566.15714</v>
      </c>
      <c r="R2362" s="2">
        <f>(Table1[[#This Row],[CO2 Emissions (g CO2)]])/(Table1[[#This Row],[Generation (TWh)]]*10^9)</f>
        <v>1698.6821296784401</v>
      </c>
    </row>
    <row r="2363" spans="1:18" hidden="1">
      <c r="A2363" t="s">
        <v>1314</v>
      </c>
      <c r="B2363" t="s">
        <v>19</v>
      </c>
      <c r="C2363" t="str">
        <f>SUBSTITUTE(Table1[[#This Row],[Fuel]],", ",",")</f>
        <v>bioenergy: refuse (municipal and industrial wastes)</v>
      </c>
      <c r="D2363" t="s">
        <v>19</v>
      </c>
      <c r="G2363">
        <v>20</v>
      </c>
      <c r="H2363" t="s">
        <v>27</v>
      </c>
      <c r="I2363">
        <v>2020</v>
      </c>
      <c r="J2363" t="s">
        <v>21</v>
      </c>
      <c r="K2363">
        <v>19.930426000000001</v>
      </c>
      <c r="L2363">
        <v>110.066435</v>
      </c>
      <c r="M2363" t="s">
        <v>102</v>
      </c>
      <c r="N2363" s="2">
        <f>Table1[[#This Row],[Capacity (MW)]]*8760*0.72*10^-6</f>
        <v>0.12614400000000001</v>
      </c>
      <c r="O2363" s="2" cm="1">
        <f t="array" ref="O2363">AVERAGE(VLOOKUP(_xlfn.TEXTSPLIT(Table1[[#This Row],[Fuel (no space after comma)]], ","), FuelList_Final_EF!$A$2:$B$32, 2, FALSE))</f>
        <v>105.42962572482868</v>
      </c>
      <c r="P2363" s="2">
        <f>(16112*Table1[[#This Row],[Generation (TWh)]]*10^9)/10^6</f>
        <v>2032432.1280000003</v>
      </c>
      <c r="Q2363" s="2">
        <f>Table1[[#This Row],[Emission Factor (kg CO2/ mmBtu)]]*Table1[[#This Row],[Fuel Consumption (mmBtu)]]*10^3</f>
        <v>214278558566.15714</v>
      </c>
      <c r="R2363" s="2">
        <f>(Table1[[#This Row],[CO2 Emissions (g CO2)]])/(Table1[[#This Row],[Generation (TWh)]]*10^9)</f>
        <v>1698.6821296784401</v>
      </c>
    </row>
    <row r="2364" spans="1:18" hidden="1">
      <c r="A2364" t="s">
        <v>1315</v>
      </c>
      <c r="B2364" t="s">
        <v>25</v>
      </c>
      <c r="C2364" t="str">
        <f>SUBSTITUTE(Table1[[#This Row],[Fuel]],", ",",")</f>
        <v>bioenergy: wood &amp; other biomass (solids)</v>
      </c>
      <c r="D2364" t="s">
        <v>25</v>
      </c>
      <c r="G2364">
        <v>3</v>
      </c>
      <c r="H2364" t="s">
        <v>27</v>
      </c>
      <c r="I2364">
        <v>2015</v>
      </c>
      <c r="J2364" t="s">
        <v>21</v>
      </c>
      <c r="K2364">
        <v>33.255000000000003</v>
      </c>
      <c r="L2364">
        <v>126.5616</v>
      </c>
      <c r="M2364" t="s">
        <v>333</v>
      </c>
      <c r="N2364" s="2">
        <f>Table1[[#This Row],[Capacity (MW)]]*8760*0.72*10^-6</f>
        <v>1.8921599999999997E-2</v>
      </c>
      <c r="O2364" s="2" cm="1">
        <f t="array" ref="O2364">AVERAGE(VLOOKUP(_xlfn.TEXTSPLIT(Table1[[#This Row],[Fuel (no space after comma)]], ","), FuelList_Final_EF!$A$2:$B$32, 2, FALSE))</f>
        <v>93.8</v>
      </c>
      <c r="P2364" s="2">
        <f>(16112*Table1[[#This Row],[Generation (TWh)]]*10^9)/10^6</f>
        <v>304864.81919999991</v>
      </c>
      <c r="Q2364" s="2">
        <f>Table1[[#This Row],[Emission Factor (kg CO2/ mmBtu)]]*Table1[[#This Row],[Fuel Consumption (mmBtu)]]*10^3</f>
        <v>28596320040.959991</v>
      </c>
      <c r="R2364" s="2">
        <f>(Table1[[#This Row],[CO2 Emissions (g CO2)]])/(Table1[[#This Row],[Generation (TWh)]]*10^9)</f>
        <v>1511.3055999999999</v>
      </c>
    </row>
    <row r="2365" spans="1:18" hidden="1">
      <c r="A2365" t="s">
        <v>1316</v>
      </c>
      <c r="B2365" t="s">
        <v>25</v>
      </c>
      <c r="C2365" t="str">
        <f>SUBSTITUTE(Table1[[#This Row],[Fuel]],", ",",")</f>
        <v>bioenergy: wood &amp; other biomass (solids)</v>
      </c>
      <c r="D2365" t="s">
        <v>25</v>
      </c>
      <c r="G2365">
        <v>4.0999999999999996</v>
      </c>
      <c r="H2365" t="s">
        <v>27</v>
      </c>
      <c r="I2365">
        <v>2015</v>
      </c>
      <c r="J2365" t="s">
        <v>21</v>
      </c>
      <c r="K2365">
        <v>36.023000000000003</v>
      </c>
      <c r="L2365">
        <v>126.9896</v>
      </c>
      <c r="M2365" t="s">
        <v>333</v>
      </c>
      <c r="N2365" s="2">
        <f>Table1[[#This Row],[Capacity (MW)]]*8760*0.72*10^-6</f>
        <v>2.585952E-2</v>
      </c>
      <c r="O2365" s="2" cm="1">
        <f t="array" ref="O2365">AVERAGE(VLOOKUP(_xlfn.TEXTSPLIT(Table1[[#This Row],[Fuel (no space after comma)]], ","), FuelList_Final_EF!$A$2:$B$32, 2, FALSE))</f>
        <v>93.8</v>
      </c>
      <c r="P2365" s="2">
        <f>(16112*Table1[[#This Row],[Generation (TWh)]]*10^9)/10^6</f>
        <v>416648.58623999998</v>
      </c>
      <c r="Q2365" s="2">
        <f>Table1[[#This Row],[Emission Factor (kg CO2/ mmBtu)]]*Table1[[#This Row],[Fuel Consumption (mmBtu)]]*10^3</f>
        <v>39081637389.311996</v>
      </c>
      <c r="R2365" s="2">
        <f>(Table1[[#This Row],[CO2 Emissions (g CO2)]])/(Table1[[#This Row],[Generation (TWh)]]*10^9)</f>
        <v>1511.3055999999999</v>
      </c>
    </row>
    <row r="2366" spans="1:18" hidden="1">
      <c r="A2366" t="s">
        <v>1316</v>
      </c>
      <c r="B2366" t="s">
        <v>25</v>
      </c>
      <c r="C2366" t="str">
        <f>SUBSTITUTE(Table1[[#This Row],[Fuel]],", ",",")</f>
        <v>bioenergy: wood &amp; other biomass (solids)</v>
      </c>
      <c r="D2366" t="s">
        <v>25</v>
      </c>
      <c r="G2366">
        <v>4.0999999999999996</v>
      </c>
      <c r="H2366" t="s">
        <v>27</v>
      </c>
      <c r="I2366">
        <v>2017</v>
      </c>
      <c r="J2366" t="s">
        <v>21</v>
      </c>
      <c r="K2366">
        <v>36.023000000000003</v>
      </c>
      <c r="L2366">
        <v>126.9896</v>
      </c>
      <c r="M2366" t="s">
        <v>333</v>
      </c>
      <c r="N2366" s="2">
        <f>Table1[[#This Row],[Capacity (MW)]]*8760*0.72*10^-6</f>
        <v>2.585952E-2</v>
      </c>
      <c r="O2366" s="2" cm="1">
        <f t="array" ref="O2366">AVERAGE(VLOOKUP(_xlfn.TEXTSPLIT(Table1[[#This Row],[Fuel (no space after comma)]], ","), FuelList_Final_EF!$A$2:$B$32, 2, FALSE))</f>
        <v>93.8</v>
      </c>
      <c r="P2366" s="2">
        <f>(16112*Table1[[#This Row],[Generation (TWh)]]*10^9)/10^6</f>
        <v>416648.58623999998</v>
      </c>
      <c r="Q2366" s="2">
        <f>Table1[[#This Row],[Emission Factor (kg CO2/ mmBtu)]]*Table1[[#This Row],[Fuel Consumption (mmBtu)]]*10^3</f>
        <v>39081637389.311996</v>
      </c>
      <c r="R2366" s="2">
        <f>(Table1[[#This Row],[CO2 Emissions (g CO2)]])/(Table1[[#This Row],[Generation (TWh)]]*10^9)</f>
        <v>1511.3055999999999</v>
      </c>
    </row>
    <row r="2367" spans="1:18">
      <c r="A2367" t="s">
        <v>1317</v>
      </c>
      <c r="B2367" t="s">
        <v>46</v>
      </c>
      <c r="C2367" t="str">
        <f>SUBSTITUTE(Table1[[#This Row],[Fuel]],", ",",")</f>
        <v>bioenergy: agricultural waste (solids)</v>
      </c>
      <c r="D2367" t="s">
        <v>46</v>
      </c>
      <c r="G2367">
        <v>29</v>
      </c>
      <c r="H2367" t="s">
        <v>27</v>
      </c>
      <c r="I2367" t="s">
        <v>21</v>
      </c>
      <c r="J2367" t="s">
        <v>21</v>
      </c>
      <c r="K2367">
        <v>10.83057275</v>
      </c>
      <c r="L2367">
        <v>123.002836</v>
      </c>
      <c r="M2367" t="s">
        <v>72</v>
      </c>
      <c r="N2367" s="2">
        <f>Table1[[#This Row],[Capacity (MW)]]*8760*0.72*10^-6</f>
        <v>0.18290879999999998</v>
      </c>
      <c r="O2367" s="2" cm="1">
        <f t="array" ref="O2367">AVERAGE(VLOOKUP(_xlfn.TEXTSPLIT(Table1[[#This Row],[Fuel (no space after comma)]], ","), FuelList_Final_EF!$A$2:$B$32, 2, FALSE))</f>
        <v>118.17</v>
      </c>
      <c r="P2367" s="2">
        <f>(16112*Table1[[#This Row],[Generation (TWh)]]*10^9)/10^6</f>
        <v>2947026.5855999994</v>
      </c>
      <c r="Q2367" s="2">
        <f>Table1[[#This Row],[Emission Factor (kg CO2/ mmBtu)]]*Table1[[#This Row],[Fuel Consumption (mmBtu)]]*10^3</f>
        <v>348250131620.35193</v>
      </c>
      <c r="R2367" s="2">
        <f>(Table1[[#This Row],[CO2 Emissions (g CO2)]])/(Table1[[#This Row],[Generation (TWh)]]*10^9)</f>
        <v>1903.9550399999998</v>
      </c>
    </row>
    <row r="2368" spans="1:18" hidden="1">
      <c r="A2368" t="s">
        <v>21</v>
      </c>
      <c r="B2368" t="s">
        <v>19</v>
      </c>
      <c r="C2368" t="str">
        <f>SUBSTITUTE(Table1[[#This Row],[Fuel]],", ",",")</f>
        <v>bioenergy: refuse (municipal and industrial wastes)</v>
      </c>
      <c r="D2368" t="s">
        <v>19</v>
      </c>
      <c r="G2368">
        <v>18</v>
      </c>
      <c r="H2368" t="s">
        <v>27</v>
      </c>
      <c r="I2368">
        <v>2021</v>
      </c>
      <c r="J2368" t="s">
        <v>21</v>
      </c>
      <c r="K2368">
        <v>38.246656999999999</v>
      </c>
      <c r="L2368">
        <v>115.617813</v>
      </c>
      <c r="M2368" t="s">
        <v>102</v>
      </c>
      <c r="N2368" s="2">
        <f>Table1[[#This Row],[Capacity (MW)]]*8760*0.72*10^-6</f>
        <v>0.11352959999999998</v>
      </c>
      <c r="O2368" s="2" cm="1">
        <f t="array" ref="O2368">AVERAGE(VLOOKUP(_xlfn.TEXTSPLIT(Table1[[#This Row],[Fuel (no space after comma)]], ","), FuelList_Final_EF!$A$2:$B$32, 2, FALSE))</f>
        <v>105.42962572482868</v>
      </c>
      <c r="P2368" s="2">
        <f>(16112*Table1[[#This Row],[Generation (TWh)]]*10^9)/10^6</f>
        <v>1829188.9151999997</v>
      </c>
      <c r="Q2368" s="2">
        <f>Table1[[#This Row],[Emission Factor (kg CO2/ mmBtu)]]*Table1[[#This Row],[Fuel Consumption (mmBtu)]]*10^3</f>
        <v>192850702709.54135</v>
      </c>
      <c r="R2368" s="2">
        <f>(Table1[[#This Row],[CO2 Emissions (g CO2)]])/(Table1[[#This Row],[Generation (TWh)]]*10^9)</f>
        <v>1698.6821296784397</v>
      </c>
    </row>
    <row r="2369" spans="1:18" hidden="1">
      <c r="A2369" t="s">
        <v>21</v>
      </c>
      <c r="B2369" t="s">
        <v>19</v>
      </c>
      <c r="C2369" t="str">
        <f>SUBSTITUTE(Table1[[#This Row],[Fuel]],", ",",")</f>
        <v>bioenergy: refuse (municipal and industrial wastes)</v>
      </c>
      <c r="D2369" t="s">
        <v>19</v>
      </c>
      <c r="G2369">
        <v>9</v>
      </c>
      <c r="H2369" t="s">
        <v>27</v>
      </c>
      <c r="I2369">
        <v>2018</v>
      </c>
      <c r="J2369" t="s">
        <v>21</v>
      </c>
      <c r="K2369">
        <v>38.577036</v>
      </c>
      <c r="L2369">
        <v>114.967269</v>
      </c>
      <c r="M2369" t="s">
        <v>102</v>
      </c>
      <c r="N2369" s="2">
        <f>Table1[[#This Row],[Capacity (MW)]]*8760*0.72*10^-6</f>
        <v>5.676479999999999E-2</v>
      </c>
      <c r="O2369" s="2" cm="1">
        <f t="array" ref="O2369">AVERAGE(VLOOKUP(_xlfn.TEXTSPLIT(Table1[[#This Row],[Fuel (no space after comma)]], ","), FuelList_Final_EF!$A$2:$B$32, 2, FALSE))</f>
        <v>105.42962572482868</v>
      </c>
      <c r="P2369" s="2">
        <f>(16112*Table1[[#This Row],[Generation (TWh)]]*10^9)/10^6</f>
        <v>914594.45759999985</v>
      </c>
      <c r="Q2369" s="2">
        <f>Table1[[#This Row],[Emission Factor (kg CO2/ mmBtu)]]*Table1[[#This Row],[Fuel Consumption (mmBtu)]]*10^3</f>
        <v>96425351354.770676</v>
      </c>
      <c r="R2369" s="2">
        <f>(Table1[[#This Row],[CO2 Emissions (g CO2)]])/(Table1[[#This Row],[Generation (TWh)]]*10^9)</f>
        <v>1698.6821296784397</v>
      </c>
    </row>
    <row r="2370" spans="1:18" hidden="1">
      <c r="A2370" t="s">
        <v>21</v>
      </c>
      <c r="B2370" t="s">
        <v>19</v>
      </c>
      <c r="C2370" t="str">
        <f>SUBSTITUTE(Table1[[#This Row],[Fuel]],", ",",")</f>
        <v>bioenergy: refuse (municipal and industrial wastes)</v>
      </c>
      <c r="D2370" t="s">
        <v>19</v>
      </c>
      <c r="G2370">
        <v>25</v>
      </c>
      <c r="H2370" t="s">
        <v>27</v>
      </c>
      <c r="I2370">
        <v>2021</v>
      </c>
      <c r="J2370" t="s">
        <v>21</v>
      </c>
      <c r="K2370">
        <v>39.339241000000001</v>
      </c>
      <c r="L2370">
        <v>116.276927</v>
      </c>
      <c r="M2370" t="s">
        <v>102</v>
      </c>
      <c r="N2370" s="2">
        <f>Table1[[#This Row],[Capacity (MW)]]*8760*0.72*10^-6</f>
        <v>0.15767999999999999</v>
      </c>
      <c r="O2370" s="2" cm="1">
        <f t="array" ref="O2370">AVERAGE(VLOOKUP(_xlfn.TEXTSPLIT(Table1[[#This Row],[Fuel (no space after comma)]], ","), FuelList_Final_EF!$A$2:$B$32, 2, FALSE))</f>
        <v>105.42962572482868</v>
      </c>
      <c r="P2370" s="2">
        <f>(16112*Table1[[#This Row],[Generation (TWh)]]*10^9)/10^6</f>
        <v>2540540.16</v>
      </c>
      <c r="Q2370" s="2">
        <f>Table1[[#This Row],[Emission Factor (kg CO2/ mmBtu)]]*Table1[[#This Row],[Fuel Consumption (mmBtu)]]*10^3</f>
        <v>267848198207.69638</v>
      </c>
      <c r="R2370" s="2">
        <f>(Table1[[#This Row],[CO2 Emissions (g CO2)]])/(Table1[[#This Row],[Generation (TWh)]]*10^9)</f>
        <v>1698.6821296784397</v>
      </c>
    </row>
    <row r="2371" spans="1:18" hidden="1">
      <c r="A2371" t="s">
        <v>21</v>
      </c>
      <c r="B2371" t="s">
        <v>19</v>
      </c>
      <c r="C2371" t="str">
        <f>SUBSTITUTE(Table1[[#This Row],[Fuel]],", ",",")</f>
        <v>bioenergy: refuse (municipal and industrial wastes)</v>
      </c>
      <c r="D2371" t="s">
        <v>19</v>
      </c>
      <c r="G2371">
        <v>9</v>
      </c>
      <c r="H2371" t="s">
        <v>27</v>
      </c>
      <c r="I2371">
        <v>2021</v>
      </c>
      <c r="J2371" t="s">
        <v>21</v>
      </c>
      <c r="K2371">
        <v>36.537931999999998</v>
      </c>
      <c r="L2371">
        <v>115.162969</v>
      </c>
      <c r="M2371" t="s">
        <v>102</v>
      </c>
      <c r="N2371" s="2">
        <f>Table1[[#This Row],[Capacity (MW)]]*8760*0.72*10^-6</f>
        <v>5.676479999999999E-2</v>
      </c>
      <c r="O2371" s="2" cm="1">
        <f t="array" ref="O2371">AVERAGE(VLOOKUP(_xlfn.TEXTSPLIT(Table1[[#This Row],[Fuel (no space after comma)]], ","), FuelList_Final_EF!$A$2:$B$32, 2, FALSE))</f>
        <v>105.42962572482868</v>
      </c>
      <c r="P2371" s="2">
        <f>(16112*Table1[[#This Row],[Generation (TWh)]]*10^9)/10^6</f>
        <v>914594.45759999985</v>
      </c>
      <c r="Q2371" s="2">
        <f>Table1[[#This Row],[Emission Factor (kg CO2/ mmBtu)]]*Table1[[#This Row],[Fuel Consumption (mmBtu)]]*10^3</f>
        <v>96425351354.770676</v>
      </c>
      <c r="R2371" s="2">
        <f>(Table1[[#This Row],[CO2 Emissions (g CO2)]])/(Table1[[#This Row],[Generation (TWh)]]*10^9)</f>
        <v>1698.6821296784397</v>
      </c>
    </row>
    <row r="2372" spans="1:18" hidden="1">
      <c r="A2372" t="s">
        <v>21</v>
      </c>
      <c r="B2372" t="s">
        <v>19</v>
      </c>
      <c r="C2372" t="str">
        <f>SUBSTITUTE(Table1[[#This Row],[Fuel]],", ",",")</f>
        <v>bioenergy: refuse (municipal and industrial wastes)</v>
      </c>
      <c r="D2372" t="s">
        <v>19</v>
      </c>
      <c r="G2372">
        <v>12</v>
      </c>
      <c r="H2372" t="s">
        <v>27</v>
      </c>
      <c r="I2372">
        <v>2021</v>
      </c>
      <c r="J2372" t="s">
        <v>21</v>
      </c>
      <c r="K2372">
        <v>37.460897000000003</v>
      </c>
      <c r="L2372">
        <v>116.207713</v>
      </c>
      <c r="M2372" t="s">
        <v>102</v>
      </c>
      <c r="N2372" s="2">
        <f>Table1[[#This Row],[Capacity (MW)]]*8760*0.72*10^-6</f>
        <v>7.5686399999999987E-2</v>
      </c>
      <c r="O2372" s="2" cm="1">
        <f t="array" ref="O2372">AVERAGE(VLOOKUP(_xlfn.TEXTSPLIT(Table1[[#This Row],[Fuel (no space after comma)]], ","), FuelList_Final_EF!$A$2:$B$32, 2, FALSE))</f>
        <v>105.42962572482868</v>
      </c>
      <c r="P2372" s="2">
        <f>(16112*Table1[[#This Row],[Generation (TWh)]]*10^9)/10^6</f>
        <v>1219459.2767999996</v>
      </c>
      <c r="Q2372" s="2">
        <f>Table1[[#This Row],[Emission Factor (kg CO2/ mmBtu)]]*Table1[[#This Row],[Fuel Consumption (mmBtu)]]*10^3</f>
        <v>128567135139.69423</v>
      </c>
      <c r="R2372" s="2">
        <f>(Table1[[#This Row],[CO2 Emissions (g CO2)]])/(Table1[[#This Row],[Generation (TWh)]]*10^9)</f>
        <v>1698.6821296784397</v>
      </c>
    </row>
    <row r="2373" spans="1:18" hidden="1">
      <c r="A2373" t="s">
        <v>21</v>
      </c>
      <c r="B2373" t="s">
        <v>19</v>
      </c>
      <c r="C2373" t="str">
        <f>SUBSTITUTE(Table1[[#This Row],[Fuel]],", ",",")</f>
        <v>bioenergy: refuse (municipal and industrial wastes)</v>
      </c>
      <c r="D2373" t="s">
        <v>19</v>
      </c>
      <c r="G2373">
        <v>18</v>
      </c>
      <c r="H2373" t="s">
        <v>27</v>
      </c>
      <c r="I2373">
        <v>2022</v>
      </c>
      <c r="J2373" t="s">
        <v>21</v>
      </c>
      <c r="K2373">
        <v>36.669046999999999</v>
      </c>
      <c r="L2373">
        <v>114.38377199999999</v>
      </c>
      <c r="M2373" t="s">
        <v>102</v>
      </c>
      <c r="N2373" s="2">
        <f>Table1[[#This Row],[Capacity (MW)]]*8760*0.72*10^-6</f>
        <v>0.11352959999999998</v>
      </c>
      <c r="O2373" s="2" cm="1">
        <f t="array" ref="O2373">AVERAGE(VLOOKUP(_xlfn.TEXTSPLIT(Table1[[#This Row],[Fuel (no space after comma)]], ","), FuelList_Final_EF!$A$2:$B$32, 2, FALSE))</f>
        <v>105.42962572482868</v>
      </c>
      <c r="P2373" s="2">
        <f>(16112*Table1[[#This Row],[Generation (TWh)]]*10^9)/10^6</f>
        <v>1829188.9151999997</v>
      </c>
      <c r="Q2373" s="2">
        <f>Table1[[#This Row],[Emission Factor (kg CO2/ mmBtu)]]*Table1[[#This Row],[Fuel Consumption (mmBtu)]]*10^3</f>
        <v>192850702709.54135</v>
      </c>
      <c r="R2373" s="2">
        <f>(Table1[[#This Row],[CO2 Emissions (g CO2)]])/(Table1[[#This Row],[Generation (TWh)]]*10^9)</f>
        <v>1698.6821296784397</v>
      </c>
    </row>
    <row r="2374" spans="1:18" hidden="1">
      <c r="A2374" t="s">
        <v>21</v>
      </c>
      <c r="B2374" t="s">
        <v>19</v>
      </c>
      <c r="C2374" t="str">
        <f>SUBSTITUTE(Table1[[#This Row],[Fuel]],", ",",")</f>
        <v>bioenergy: refuse (municipal and industrial wastes)</v>
      </c>
      <c r="D2374" t="s">
        <v>19</v>
      </c>
      <c r="G2374">
        <v>18</v>
      </c>
      <c r="H2374" t="s">
        <v>27</v>
      </c>
      <c r="I2374">
        <v>2022</v>
      </c>
      <c r="J2374" t="s">
        <v>21</v>
      </c>
      <c r="K2374">
        <v>36.669046999999999</v>
      </c>
      <c r="L2374">
        <v>114.38377199999999</v>
      </c>
      <c r="M2374" t="s">
        <v>102</v>
      </c>
      <c r="N2374" s="2">
        <f>Table1[[#This Row],[Capacity (MW)]]*8760*0.72*10^-6</f>
        <v>0.11352959999999998</v>
      </c>
      <c r="O2374" s="2" cm="1">
        <f t="array" ref="O2374">AVERAGE(VLOOKUP(_xlfn.TEXTSPLIT(Table1[[#This Row],[Fuel (no space after comma)]], ","), FuelList_Final_EF!$A$2:$B$32, 2, FALSE))</f>
        <v>105.42962572482868</v>
      </c>
      <c r="P2374" s="2">
        <f>(16112*Table1[[#This Row],[Generation (TWh)]]*10^9)/10^6</f>
        <v>1829188.9151999997</v>
      </c>
      <c r="Q2374" s="2">
        <f>Table1[[#This Row],[Emission Factor (kg CO2/ mmBtu)]]*Table1[[#This Row],[Fuel Consumption (mmBtu)]]*10^3</f>
        <v>192850702709.54135</v>
      </c>
      <c r="R2374" s="2">
        <f>(Table1[[#This Row],[CO2 Emissions (g CO2)]])/(Table1[[#This Row],[Generation (TWh)]]*10^9)</f>
        <v>1698.6821296784397</v>
      </c>
    </row>
    <row r="2375" spans="1:18" hidden="1">
      <c r="A2375" t="s">
        <v>21</v>
      </c>
      <c r="B2375" t="s">
        <v>41</v>
      </c>
      <c r="C2375" t="str">
        <f>SUBSTITUTE(Table1[[#This Row],[Fuel]],", ",",")</f>
        <v>bioenergy: refuse (municipal and industrial wastes),bioenergy: wastewater and sewage sludge (solids or biogas)</v>
      </c>
      <c r="D2375" t="s">
        <v>19</v>
      </c>
      <c r="E2375" t="s">
        <v>42</v>
      </c>
      <c r="G2375">
        <v>18</v>
      </c>
      <c r="H2375" t="s">
        <v>27</v>
      </c>
      <c r="I2375">
        <v>2021</v>
      </c>
      <c r="J2375" t="s">
        <v>21</v>
      </c>
      <c r="K2375">
        <v>36.556047999999997</v>
      </c>
      <c r="L2375">
        <v>114.647706</v>
      </c>
      <c r="M2375" t="s">
        <v>102</v>
      </c>
      <c r="N2375" s="2">
        <f>Table1[[#This Row],[Capacity (MW)]]*8760*0.72*10^-6</f>
        <v>0.11352959999999998</v>
      </c>
      <c r="O2375" s="2" cm="1">
        <f t="array" ref="O2375">AVERAGE(VLOOKUP(_xlfn.TEXTSPLIT(Table1[[#This Row],[Fuel (no space after comma)]], ","), FuelList_Final_EF!$A$2:$B$32, 2, FALSE))</f>
        <v>81.497100685292565</v>
      </c>
      <c r="P2375" s="2">
        <f>(16112*Table1[[#This Row],[Generation (TWh)]]*10^9)/10^6</f>
        <v>1829188.9151999997</v>
      </c>
      <c r="Q2375" s="2">
        <f>Table1[[#This Row],[Emission Factor (kg CO2/ mmBtu)]]*Table1[[#This Row],[Fuel Consumption (mmBtu)]]*10^3</f>
        <v>149073593194.47546</v>
      </c>
      <c r="R2375" s="2">
        <f>(Table1[[#This Row],[CO2 Emissions (g CO2)]])/(Table1[[#This Row],[Generation (TWh)]]*10^9)</f>
        <v>1313.0812862414339</v>
      </c>
    </row>
    <row r="2376" spans="1:18" hidden="1">
      <c r="A2376" t="s">
        <v>21</v>
      </c>
      <c r="B2376" t="s">
        <v>19</v>
      </c>
      <c r="C2376" t="str">
        <f>SUBSTITUTE(Table1[[#This Row],[Fuel]],", ",",")</f>
        <v>bioenergy: refuse (municipal and industrial wastes)</v>
      </c>
      <c r="D2376" t="s">
        <v>19</v>
      </c>
      <c r="G2376">
        <v>20</v>
      </c>
      <c r="H2376" t="s">
        <v>27</v>
      </c>
      <c r="I2376">
        <v>2021</v>
      </c>
      <c r="J2376" t="s">
        <v>21</v>
      </c>
      <c r="K2376">
        <v>38.479796</v>
      </c>
      <c r="L2376">
        <v>116.01927499999999</v>
      </c>
      <c r="M2376" t="s">
        <v>102</v>
      </c>
      <c r="N2376" s="2">
        <f>Table1[[#This Row],[Capacity (MW)]]*8760*0.72*10^-6</f>
        <v>0.12614400000000001</v>
      </c>
      <c r="O2376" s="2" cm="1">
        <f t="array" ref="O2376">AVERAGE(VLOOKUP(_xlfn.TEXTSPLIT(Table1[[#This Row],[Fuel (no space after comma)]], ","), FuelList_Final_EF!$A$2:$B$32, 2, FALSE))</f>
        <v>105.42962572482868</v>
      </c>
      <c r="P2376" s="2">
        <f>(16112*Table1[[#This Row],[Generation (TWh)]]*10^9)/10^6</f>
        <v>2032432.1280000003</v>
      </c>
      <c r="Q2376" s="2">
        <f>Table1[[#This Row],[Emission Factor (kg CO2/ mmBtu)]]*Table1[[#This Row],[Fuel Consumption (mmBtu)]]*10^3</f>
        <v>214278558566.15714</v>
      </c>
      <c r="R2376" s="2">
        <f>(Table1[[#This Row],[CO2 Emissions (g CO2)]])/(Table1[[#This Row],[Generation (TWh)]]*10^9)</f>
        <v>1698.6821296784401</v>
      </c>
    </row>
    <row r="2377" spans="1:18" hidden="1">
      <c r="A2377" t="s">
        <v>21</v>
      </c>
      <c r="B2377" t="s">
        <v>19</v>
      </c>
      <c r="C2377" t="str">
        <f>SUBSTITUTE(Table1[[#This Row],[Fuel]],", ",",")</f>
        <v>bioenergy: refuse (municipal and industrial wastes)</v>
      </c>
      <c r="D2377" t="s">
        <v>19</v>
      </c>
      <c r="G2377">
        <v>12</v>
      </c>
      <c r="H2377" t="s">
        <v>27</v>
      </c>
      <c r="I2377">
        <v>2022</v>
      </c>
      <c r="J2377" t="s">
        <v>21</v>
      </c>
      <c r="K2377">
        <v>37.507368</v>
      </c>
      <c r="L2377">
        <v>115.511751</v>
      </c>
      <c r="M2377" t="s">
        <v>102</v>
      </c>
      <c r="N2377" s="2">
        <f>Table1[[#This Row],[Capacity (MW)]]*8760*0.72*10^-6</f>
        <v>7.5686399999999987E-2</v>
      </c>
      <c r="O2377" s="2" cm="1">
        <f t="array" ref="O2377">AVERAGE(VLOOKUP(_xlfn.TEXTSPLIT(Table1[[#This Row],[Fuel (no space after comma)]], ","), FuelList_Final_EF!$A$2:$B$32, 2, FALSE))</f>
        <v>105.42962572482868</v>
      </c>
      <c r="P2377" s="2">
        <f>(16112*Table1[[#This Row],[Generation (TWh)]]*10^9)/10^6</f>
        <v>1219459.2767999996</v>
      </c>
      <c r="Q2377" s="2">
        <f>Table1[[#This Row],[Emission Factor (kg CO2/ mmBtu)]]*Table1[[#This Row],[Fuel Consumption (mmBtu)]]*10^3</f>
        <v>128567135139.69423</v>
      </c>
      <c r="R2377" s="2">
        <f>(Table1[[#This Row],[CO2 Emissions (g CO2)]])/(Table1[[#This Row],[Generation (TWh)]]*10^9)</f>
        <v>1698.6821296784397</v>
      </c>
    </row>
    <row r="2378" spans="1:18" hidden="1">
      <c r="A2378" t="s">
        <v>21</v>
      </c>
      <c r="B2378" t="s">
        <v>19</v>
      </c>
      <c r="C2378" t="str">
        <f>SUBSTITUTE(Table1[[#This Row],[Fuel]],", ",",")</f>
        <v>bioenergy: refuse (municipal and industrial wastes)</v>
      </c>
      <c r="D2378" t="s">
        <v>19</v>
      </c>
      <c r="G2378">
        <v>20</v>
      </c>
      <c r="H2378" t="s">
        <v>27</v>
      </c>
      <c r="I2378">
        <v>2022</v>
      </c>
      <c r="J2378" t="s">
        <v>21</v>
      </c>
      <c r="K2378">
        <v>40.408101000000002</v>
      </c>
      <c r="L2378">
        <v>115.578424</v>
      </c>
      <c r="M2378" t="s">
        <v>102</v>
      </c>
      <c r="N2378" s="2">
        <f>Table1[[#This Row],[Capacity (MW)]]*8760*0.72*10^-6</f>
        <v>0.12614400000000001</v>
      </c>
      <c r="O2378" s="2" cm="1">
        <f t="array" ref="O2378">AVERAGE(VLOOKUP(_xlfn.TEXTSPLIT(Table1[[#This Row],[Fuel (no space after comma)]], ","), FuelList_Final_EF!$A$2:$B$32, 2, FALSE))</f>
        <v>105.42962572482868</v>
      </c>
      <c r="P2378" s="2">
        <f>(16112*Table1[[#This Row],[Generation (TWh)]]*10^9)/10^6</f>
        <v>2032432.1280000003</v>
      </c>
      <c r="Q2378" s="2">
        <f>Table1[[#This Row],[Emission Factor (kg CO2/ mmBtu)]]*Table1[[#This Row],[Fuel Consumption (mmBtu)]]*10^3</f>
        <v>214278558566.15714</v>
      </c>
      <c r="R2378" s="2">
        <f>(Table1[[#This Row],[CO2 Emissions (g CO2)]])/(Table1[[#This Row],[Generation (TWh)]]*10^9)</f>
        <v>1698.6821296784401</v>
      </c>
    </row>
    <row r="2379" spans="1:18" hidden="1">
      <c r="A2379" t="s">
        <v>21</v>
      </c>
      <c r="B2379" t="s">
        <v>19</v>
      </c>
      <c r="C2379" t="str">
        <f>SUBSTITUTE(Table1[[#This Row],[Fuel]],", ",",")</f>
        <v>bioenergy: refuse (municipal and industrial wastes)</v>
      </c>
      <c r="D2379" t="s">
        <v>19</v>
      </c>
      <c r="G2379">
        <v>6</v>
      </c>
      <c r="H2379" t="s">
        <v>27</v>
      </c>
      <c r="I2379">
        <v>2021</v>
      </c>
      <c r="J2379" t="s">
        <v>21</v>
      </c>
      <c r="K2379">
        <v>37.243490000000001</v>
      </c>
      <c r="L2379">
        <v>114.915502</v>
      </c>
      <c r="M2379" t="s">
        <v>102</v>
      </c>
      <c r="N2379" s="2">
        <f>Table1[[#This Row],[Capacity (MW)]]*8760*0.72*10^-6</f>
        <v>3.7843199999999994E-2</v>
      </c>
      <c r="O2379" s="2" cm="1">
        <f t="array" ref="O2379">AVERAGE(VLOOKUP(_xlfn.TEXTSPLIT(Table1[[#This Row],[Fuel (no space after comma)]], ","), FuelList_Final_EF!$A$2:$B$32, 2, FALSE))</f>
        <v>105.42962572482868</v>
      </c>
      <c r="P2379" s="2">
        <f>(16112*Table1[[#This Row],[Generation (TWh)]]*10^9)/10^6</f>
        <v>609729.63839999982</v>
      </c>
      <c r="Q2379" s="2">
        <f>Table1[[#This Row],[Emission Factor (kg CO2/ mmBtu)]]*Table1[[#This Row],[Fuel Consumption (mmBtu)]]*10^3</f>
        <v>64283567569.847115</v>
      </c>
      <c r="R2379" s="2">
        <f>(Table1[[#This Row],[CO2 Emissions (g CO2)]])/(Table1[[#This Row],[Generation (TWh)]]*10^9)</f>
        <v>1698.6821296784397</v>
      </c>
    </row>
    <row r="2380" spans="1:18" hidden="1">
      <c r="A2380" t="s">
        <v>21</v>
      </c>
      <c r="B2380" t="s">
        <v>19</v>
      </c>
      <c r="C2380" t="str">
        <f>SUBSTITUTE(Table1[[#This Row],[Fuel]],", ",",")</f>
        <v>bioenergy: refuse (municipal and industrial wastes)</v>
      </c>
      <c r="D2380" t="s">
        <v>19</v>
      </c>
      <c r="G2380">
        <v>15</v>
      </c>
      <c r="H2380" t="s">
        <v>27</v>
      </c>
      <c r="I2380">
        <v>2017</v>
      </c>
      <c r="J2380" t="s">
        <v>21</v>
      </c>
      <c r="K2380">
        <v>37.243490000000001</v>
      </c>
      <c r="L2380">
        <v>114.915502</v>
      </c>
      <c r="M2380" t="s">
        <v>102</v>
      </c>
      <c r="N2380" s="2">
        <f>Table1[[#This Row],[Capacity (MW)]]*8760*0.72*10^-6</f>
        <v>9.4607999999999998E-2</v>
      </c>
      <c r="O2380" s="2" cm="1">
        <f t="array" ref="O2380">AVERAGE(VLOOKUP(_xlfn.TEXTSPLIT(Table1[[#This Row],[Fuel (no space after comma)]], ","), FuelList_Final_EF!$A$2:$B$32, 2, FALSE))</f>
        <v>105.42962572482868</v>
      </c>
      <c r="P2380" s="2">
        <f>(16112*Table1[[#This Row],[Generation (TWh)]]*10^9)/10^6</f>
        <v>1524324.0959999999</v>
      </c>
      <c r="Q2380" s="2">
        <f>Table1[[#This Row],[Emission Factor (kg CO2/ mmBtu)]]*Table1[[#This Row],[Fuel Consumption (mmBtu)]]*10^3</f>
        <v>160708918924.61783</v>
      </c>
      <c r="R2380" s="2">
        <f>(Table1[[#This Row],[CO2 Emissions (g CO2)]])/(Table1[[#This Row],[Generation (TWh)]]*10^9)</f>
        <v>1698.6821296784397</v>
      </c>
    </row>
    <row r="2381" spans="1:18" hidden="1">
      <c r="A2381" t="s">
        <v>21</v>
      </c>
      <c r="B2381" t="s">
        <v>19</v>
      </c>
      <c r="C2381" t="str">
        <f>SUBSTITUTE(Table1[[#This Row],[Fuel]],", ",",")</f>
        <v>bioenergy: refuse (municipal and industrial wastes)</v>
      </c>
      <c r="D2381" t="s">
        <v>19</v>
      </c>
      <c r="G2381">
        <v>15</v>
      </c>
      <c r="H2381" t="s">
        <v>27</v>
      </c>
      <c r="I2381">
        <v>2017</v>
      </c>
      <c r="J2381" t="s">
        <v>21</v>
      </c>
      <c r="K2381">
        <v>37.243490000000001</v>
      </c>
      <c r="L2381">
        <v>114.915502</v>
      </c>
      <c r="M2381" t="s">
        <v>102</v>
      </c>
      <c r="N2381" s="2">
        <f>Table1[[#This Row],[Capacity (MW)]]*8760*0.72*10^-6</f>
        <v>9.4607999999999998E-2</v>
      </c>
      <c r="O2381" s="2" cm="1">
        <f t="array" ref="O2381">AVERAGE(VLOOKUP(_xlfn.TEXTSPLIT(Table1[[#This Row],[Fuel (no space after comma)]], ","), FuelList_Final_EF!$A$2:$B$32, 2, FALSE))</f>
        <v>105.42962572482868</v>
      </c>
      <c r="P2381" s="2">
        <f>(16112*Table1[[#This Row],[Generation (TWh)]]*10^9)/10^6</f>
        <v>1524324.0959999999</v>
      </c>
      <c r="Q2381" s="2">
        <f>Table1[[#This Row],[Emission Factor (kg CO2/ mmBtu)]]*Table1[[#This Row],[Fuel Consumption (mmBtu)]]*10^3</f>
        <v>160708918924.61783</v>
      </c>
      <c r="R2381" s="2">
        <f>(Table1[[#This Row],[CO2 Emissions (g CO2)]])/(Table1[[#This Row],[Generation (TWh)]]*10^9)</f>
        <v>1698.6821296784397</v>
      </c>
    </row>
    <row r="2382" spans="1:18" hidden="1">
      <c r="A2382" t="s">
        <v>21</v>
      </c>
      <c r="B2382" t="s">
        <v>19</v>
      </c>
      <c r="C2382" t="str">
        <f>SUBSTITUTE(Table1[[#This Row],[Fuel]],", ",",")</f>
        <v>bioenergy: refuse (municipal and industrial wastes)</v>
      </c>
      <c r="D2382" t="s">
        <v>19</v>
      </c>
      <c r="G2382">
        <v>12</v>
      </c>
      <c r="H2382" t="s">
        <v>27</v>
      </c>
      <c r="I2382">
        <v>2021</v>
      </c>
      <c r="J2382" t="s">
        <v>21</v>
      </c>
      <c r="K2382">
        <v>39.302337000000001</v>
      </c>
      <c r="L2382">
        <v>118.93399700000001</v>
      </c>
      <c r="M2382" t="s">
        <v>102</v>
      </c>
      <c r="N2382" s="2">
        <f>Table1[[#This Row],[Capacity (MW)]]*8760*0.72*10^-6</f>
        <v>7.5686399999999987E-2</v>
      </c>
      <c r="O2382" s="2" cm="1">
        <f t="array" ref="O2382">AVERAGE(VLOOKUP(_xlfn.TEXTSPLIT(Table1[[#This Row],[Fuel (no space after comma)]], ","), FuelList_Final_EF!$A$2:$B$32, 2, FALSE))</f>
        <v>105.42962572482868</v>
      </c>
      <c r="P2382" s="2">
        <f>(16112*Table1[[#This Row],[Generation (TWh)]]*10^9)/10^6</f>
        <v>1219459.2767999996</v>
      </c>
      <c r="Q2382" s="2">
        <f>Table1[[#This Row],[Emission Factor (kg CO2/ mmBtu)]]*Table1[[#This Row],[Fuel Consumption (mmBtu)]]*10^3</f>
        <v>128567135139.69423</v>
      </c>
      <c r="R2382" s="2">
        <f>(Table1[[#This Row],[CO2 Emissions (g CO2)]])/(Table1[[#This Row],[Generation (TWh)]]*10^9)</f>
        <v>1698.6821296784397</v>
      </c>
    </row>
    <row r="2383" spans="1:18" hidden="1">
      <c r="A2383" t="s">
        <v>21</v>
      </c>
      <c r="B2383" t="s">
        <v>19</v>
      </c>
      <c r="C2383" t="str">
        <f>SUBSTITUTE(Table1[[#This Row],[Fuel]],", ",",")</f>
        <v>bioenergy: refuse (municipal and industrial wastes)</v>
      </c>
      <c r="D2383" t="s">
        <v>19</v>
      </c>
      <c r="G2383">
        <v>12</v>
      </c>
      <c r="H2383" t="s">
        <v>27</v>
      </c>
      <c r="I2383">
        <v>2021</v>
      </c>
      <c r="J2383" t="s">
        <v>21</v>
      </c>
      <c r="K2383">
        <v>38.377139</v>
      </c>
      <c r="L2383">
        <v>115.665339</v>
      </c>
      <c r="M2383" t="s">
        <v>102</v>
      </c>
      <c r="N2383" s="2">
        <f>Table1[[#This Row],[Capacity (MW)]]*8760*0.72*10^-6</f>
        <v>7.5686399999999987E-2</v>
      </c>
      <c r="O2383" s="2" cm="1">
        <f t="array" ref="O2383">AVERAGE(VLOOKUP(_xlfn.TEXTSPLIT(Table1[[#This Row],[Fuel (no space after comma)]], ","), FuelList_Final_EF!$A$2:$B$32, 2, FALSE))</f>
        <v>105.42962572482868</v>
      </c>
      <c r="P2383" s="2">
        <f>(16112*Table1[[#This Row],[Generation (TWh)]]*10^9)/10^6</f>
        <v>1219459.2767999996</v>
      </c>
      <c r="Q2383" s="2">
        <f>Table1[[#This Row],[Emission Factor (kg CO2/ mmBtu)]]*Table1[[#This Row],[Fuel Consumption (mmBtu)]]*10^3</f>
        <v>128567135139.69423</v>
      </c>
      <c r="R2383" s="2">
        <f>(Table1[[#This Row],[CO2 Emissions (g CO2)]])/(Table1[[#This Row],[Generation (TWh)]]*10^9)</f>
        <v>1698.6821296784397</v>
      </c>
    </row>
    <row r="2384" spans="1:18" hidden="1">
      <c r="A2384" t="s">
        <v>21</v>
      </c>
      <c r="B2384" t="s">
        <v>19</v>
      </c>
      <c r="C2384" t="str">
        <f>SUBSTITUTE(Table1[[#This Row],[Fuel]],", ",",")</f>
        <v>bioenergy: refuse (municipal and industrial wastes)</v>
      </c>
      <c r="D2384" t="s">
        <v>19</v>
      </c>
      <c r="G2384">
        <v>12</v>
      </c>
      <c r="H2384" t="s">
        <v>27</v>
      </c>
      <c r="I2384">
        <v>2021</v>
      </c>
      <c r="J2384" t="s">
        <v>21</v>
      </c>
      <c r="K2384">
        <v>38.377139</v>
      </c>
      <c r="L2384">
        <v>115.665339</v>
      </c>
      <c r="M2384" t="s">
        <v>102</v>
      </c>
      <c r="N2384" s="2">
        <f>Table1[[#This Row],[Capacity (MW)]]*8760*0.72*10^-6</f>
        <v>7.5686399999999987E-2</v>
      </c>
      <c r="O2384" s="2" cm="1">
        <f t="array" ref="O2384">AVERAGE(VLOOKUP(_xlfn.TEXTSPLIT(Table1[[#This Row],[Fuel (no space after comma)]], ","), FuelList_Final_EF!$A$2:$B$32, 2, FALSE))</f>
        <v>105.42962572482868</v>
      </c>
      <c r="P2384" s="2">
        <f>(16112*Table1[[#This Row],[Generation (TWh)]]*10^9)/10^6</f>
        <v>1219459.2767999996</v>
      </c>
      <c r="Q2384" s="2">
        <f>Table1[[#This Row],[Emission Factor (kg CO2/ mmBtu)]]*Table1[[#This Row],[Fuel Consumption (mmBtu)]]*10^3</f>
        <v>128567135139.69423</v>
      </c>
      <c r="R2384" s="2">
        <f>(Table1[[#This Row],[CO2 Emissions (g CO2)]])/(Table1[[#This Row],[Generation (TWh)]]*10^9)</f>
        <v>1698.6821296784397</v>
      </c>
    </row>
    <row r="2385" spans="1:18" hidden="1">
      <c r="A2385" t="s">
        <v>21</v>
      </c>
      <c r="B2385" t="s">
        <v>19</v>
      </c>
      <c r="C2385" t="str">
        <f>SUBSTITUTE(Table1[[#This Row],[Fuel]],", ",",")</f>
        <v>bioenergy: refuse (municipal and industrial wastes)</v>
      </c>
      <c r="D2385" t="s">
        <v>19</v>
      </c>
      <c r="G2385">
        <v>15</v>
      </c>
      <c r="H2385" t="s">
        <v>27</v>
      </c>
      <c r="I2385">
        <v>2021</v>
      </c>
      <c r="J2385" t="s">
        <v>21</v>
      </c>
      <c r="K2385">
        <v>38.392412999999998</v>
      </c>
      <c r="L2385">
        <v>114.342902</v>
      </c>
      <c r="M2385" t="s">
        <v>102</v>
      </c>
      <c r="N2385" s="2">
        <f>Table1[[#This Row],[Capacity (MW)]]*8760*0.72*10^-6</f>
        <v>9.4607999999999998E-2</v>
      </c>
      <c r="O2385" s="2" cm="1">
        <f t="array" ref="O2385">AVERAGE(VLOOKUP(_xlfn.TEXTSPLIT(Table1[[#This Row],[Fuel (no space after comma)]], ","), FuelList_Final_EF!$A$2:$B$32, 2, FALSE))</f>
        <v>105.42962572482868</v>
      </c>
      <c r="P2385" s="2">
        <f>(16112*Table1[[#This Row],[Generation (TWh)]]*10^9)/10^6</f>
        <v>1524324.0959999999</v>
      </c>
      <c r="Q2385" s="2">
        <f>Table1[[#This Row],[Emission Factor (kg CO2/ mmBtu)]]*Table1[[#This Row],[Fuel Consumption (mmBtu)]]*10^3</f>
        <v>160708918924.61783</v>
      </c>
      <c r="R2385" s="2">
        <f>(Table1[[#This Row],[CO2 Emissions (g CO2)]])/(Table1[[#This Row],[Generation (TWh)]]*10^9)</f>
        <v>1698.6821296784397</v>
      </c>
    </row>
    <row r="2386" spans="1:18" hidden="1">
      <c r="A2386" t="s">
        <v>21</v>
      </c>
      <c r="B2386" t="s">
        <v>19</v>
      </c>
      <c r="C2386" t="str">
        <f>SUBSTITUTE(Table1[[#This Row],[Fuel]],", ",",")</f>
        <v>bioenergy: refuse (municipal and industrial wastes)</v>
      </c>
      <c r="D2386" t="s">
        <v>19</v>
      </c>
      <c r="G2386">
        <v>9</v>
      </c>
      <c r="H2386" t="s">
        <v>27</v>
      </c>
      <c r="I2386">
        <v>2021</v>
      </c>
      <c r="J2386" t="s">
        <v>21</v>
      </c>
      <c r="K2386">
        <v>39.663818999999997</v>
      </c>
      <c r="L2386">
        <v>118.673462</v>
      </c>
      <c r="M2386" t="s">
        <v>102</v>
      </c>
      <c r="N2386" s="2">
        <f>Table1[[#This Row],[Capacity (MW)]]*8760*0.72*10^-6</f>
        <v>5.676479999999999E-2</v>
      </c>
      <c r="O2386" s="2" cm="1">
        <f t="array" ref="O2386">AVERAGE(VLOOKUP(_xlfn.TEXTSPLIT(Table1[[#This Row],[Fuel (no space after comma)]], ","), FuelList_Final_EF!$A$2:$B$32, 2, FALSE))</f>
        <v>105.42962572482868</v>
      </c>
      <c r="P2386" s="2">
        <f>(16112*Table1[[#This Row],[Generation (TWh)]]*10^9)/10^6</f>
        <v>914594.45759999985</v>
      </c>
      <c r="Q2386" s="2">
        <f>Table1[[#This Row],[Emission Factor (kg CO2/ mmBtu)]]*Table1[[#This Row],[Fuel Consumption (mmBtu)]]*10^3</f>
        <v>96425351354.770676</v>
      </c>
      <c r="R2386" s="2">
        <f>(Table1[[#This Row],[CO2 Emissions (g CO2)]])/(Table1[[#This Row],[Generation (TWh)]]*10^9)</f>
        <v>1698.6821296784397</v>
      </c>
    </row>
    <row r="2387" spans="1:18" hidden="1">
      <c r="A2387" t="s">
        <v>21</v>
      </c>
      <c r="B2387" t="s">
        <v>19</v>
      </c>
      <c r="C2387" t="str">
        <f>SUBSTITUTE(Table1[[#This Row],[Fuel]],", ",",")</f>
        <v>bioenergy: refuse (municipal and industrial wastes)</v>
      </c>
      <c r="D2387" t="s">
        <v>19</v>
      </c>
      <c r="G2387">
        <v>6</v>
      </c>
      <c r="H2387" t="s">
        <v>27</v>
      </c>
      <c r="I2387">
        <v>2021</v>
      </c>
      <c r="J2387" t="s">
        <v>21</v>
      </c>
      <c r="K2387">
        <v>40.073590000000003</v>
      </c>
      <c r="L2387">
        <v>118.72880600000001</v>
      </c>
      <c r="M2387" t="s">
        <v>102</v>
      </c>
      <c r="N2387" s="2">
        <f>Table1[[#This Row],[Capacity (MW)]]*8760*0.72*10^-6</f>
        <v>3.7843199999999994E-2</v>
      </c>
      <c r="O2387" s="2" cm="1">
        <f t="array" ref="O2387">AVERAGE(VLOOKUP(_xlfn.TEXTSPLIT(Table1[[#This Row],[Fuel (no space after comma)]], ","), FuelList_Final_EF!$A$2:$B$32, 2, FALSE))</f>
        <v>105.42962572482868</v>
      </c>
      <c r="P2387" s="2">
        <f>(16112*Table1[[#This Row],[Generation (TWh)]]*10^9)/10^6</f>
        <v>609729.63839999982</v>
      </c>
      <c r="Q2387" s="2">
        <f>Table1[[#This Row],[Emission Factor (kg CO2/ mmBtu)]]*Table1[[#This Row],[Fuel Consumption (mmBtu)]]*10^3</f>
        <v>64283567569.847115</v>
      </c>
      <c r="R2387" s="2">
        <f>(Table1[[#This Row],[CO2 Emissions (g CO2)]])/(Table1[[#This Row],[Generation (TWh)]]*10^9)</f>
        <v>1698.6821296784397</v>
      </c>
    </row>
    <row r="2388" spans="1:18" hidden="1">
      <c r="A2388" t="s">
        <v>21</v>
      </c>
      <c r="B2388" t="s">
        <v>19</v>
      </c>
      <c r="C2388" t="str">
        <f>SUBSTITUTE(Table1[[#This Row],[Fuel]],", ",",")</f>
        <v>bioenergy: refuse (municipal and industrial wastes)</v>
      </c>
      <c r="D2388" t="s">
        <v>19</v>
      </c>
      <c r="G2388">
        <v>6</v>
      </c>
      <c r="H2388" t="s">
        <v>27</v>
      </c>
      <c r="I2388">
        <v>2021</v>
      </c>
      <c r="J2388" t="s">
        <v>21</v>
      </c>
      <c r="K2388">
        <v>40.073590000000003</v>
      </c>
      <c r="L2388">
        <v>118.72880600000001</v>
      </c>
      <c r="M2388" t="s">
        <v>102</v>
      </c>
      <c r="N2388" s="2">
        <f>Table1[[#This Row],[Capacity (MW)]]*8760*0.72*10^-6</f>
        <v>3.7843199999999994E-2</v>
      </c>
      <c r="O2388" s="2" cm="1">
        <f t="array" ref="O2388">AVERAGE(VLOOKUP(_xlfn.TEXTSPLIT(Table1[[#This Row],[Fuel (no space after comma)]], ","), FuelList_Final_EF!$A$2:$B$32, 2, FALSE))</f>
        <v>105.42962572482868</v>
      </c>
      <c r="P2388" s="2">
        <f>(16112*Table1[[#This Row],[Generation (TWh)]]*10^9)/10^6</f>
        <v>609729.63839999982</v>
      </c>
      <c r="Q2388" s="2">
        <f>Table1[[#This Row],[Emission Factor (kg CO2/ mmBtu)]]*Table1[[#This Row],[Fuel Consumption (mmBtu)]]*10^3</f>
        <v>64283567569.847115</v>
      </c>
      <c r="R2388" s="2">
        <f>(Table1[[#This Row],[CO2 Emissions (g CO2)]])/(Table1[[#This Row],[Generation (TWh)]]*10^9)</f>
        <v>1698.6821296784397</v>
      </c>
    </row>
    <row r="2389" spans="1:18" hidden="1">
      <c r="A2389" t="s">
        <v>21</v>
      </c>
      <c r="B2389" t="s">
        <v>19</v>
      </c>
      <c r="C2389" t="str">
        <f>SUBSTITUTE(Table1[[#This Row],[Fuel]],", ",",")</f>
        <v>bioenergy: refuse (municipal and industrial wastes)</v>
      </c>
      <c r="D2389" t="s">
        <v>19</v>
      </c>
      <c r="G2389">
        <v>20</v>
      </c>
      <c r="H2389" t="s">
        <v>27</v>
      </c>
      <c r="I2389">
        <v>2023</v>
      </c>
      <c r="J2389" t="s">
        <v>21</v>
      </c>
      <c r="K2389">
        <v>39.817487999999997</v>
      </c>
      <c r="L2389">
        <v>119.290317</v>
      </c>
      <c r="M2389" t="s">
        <v>102</v>
      </c>
      <c r="N2389" s="2">
        <f>Table1[[#This Row],[Capacity (MW)]]*8760*0.72*10^-6</f>
        <v>0.12614400000000001</v>
      </c>
      <c r="O2389" s="2" cm="1">
        <f t="array" ref="O2389">AVERAGE(VLOOKUP(_xlfn.TEXTSPLIT(Table1[[#This Row],[Fuel (no space after comma)]], ","), FuelList_Final_EF!$A$2:$B$32, 2, FALSE))</f>
        <v>105.42962572482868</v>
      </c>
      <c r="P2389" s="2">
        <f>(16112*Table1[[#This Row],[Generation (TWh)]]*10^9)/10^6</f>
        <v>2032432.1280000003</v>
      </c>
      <c r="Q2389" s="2">
        <f>Table1[[#This Row],[Emission Factor (kg CO2/ mmBtu)]]*Table1[[#This Row],[Fuel Consumption (mmBtu)]]*10^3</f>
        <v>214278558566.15714</v>
      </c>
      <c r="R2389" s="2">
        <f>(Table1[[#This Row],[CO2 Emissions (g CO2)]])/(Table1[[#This Row],[Generation (TWh)]]*10^9)</f>
        <v>1698.6821296784401</v>
      </c>
    </row>
    <row r="2390" spans="1:18" hidden="1">
      <c r="A2390" t="s">
        <v>21</v>
      </c>
      <c r="B2390" t="s">
        <v>19</v>
      </c>
      <c r="C2390" t="str">
        <f>SUBSTITUTE(Table1[[#This Row],[Fuel]],", ",",")</f>
        <v>bioenergy: refuse (municipal and industrial wastes)</v>
      </c>
      <c r="D2390" t="s">
        <v>19</v>
      </c>
      <c r="G2390">
        <v>25</v>
      </c>
      <c r="H2390" t="s">
        <v>27</v>
      </c>
      <c r="I2390">
        <v>2021</v>
      </c>
      <c r="J2390" t="s">
        <v>21</v>
      </c>
      <c r="K2390">
        <v>36.912779999999998</v>
      </c>
      <c r="L2390">
        <v>114.347583</v>
      </c>
      <c r="M2390" t="s">
        <v>102</v>
      </c>
      <c r="N2390" s="2">
        <f>Table1[[#This Row],[Capacity (MW)]]*8760*0.72*10^-6</f>
        <v>0.15767999999999999</v>
      </c>
      <c r="O2390" s="2" cm="1">
        <f t="array" ref="O2390">AVERAGE(VLOOKUP(_xlfn.TEXTSPLIT(Table1[[#This Row],[Fuel (no space after comma)]], ","), FuelList_Final_EF!$A$2:$B$32, 2, FALSE))</f>
        <v>105.42962572482868</v>
      </c>
      <c r="P2390" s="2">
        <f>(16112*Table1[[#This Row],[Generation (TWh)]]*10^9)/10^6</f>
        <v>2540540.16</v>
      </c>
      <c r="Q2390" s="2">
        <f>Table1[[#This Row],[Emission Factor (kg CO2/ mmBtu)]]*Table1[[#This Row],[Fuel Consumption (mmBtu)]]*10^3</f>
        <v>267848198207.69638</v>
      </c>
      <c r="R2390" s="2">
        <f>(Table1[[#This Row],[CO2 Emissions (g CO2)]])/(Table1[[#This Row],[Generation (TWh)]]*10^9)</f>
        <v>1698.6821296784397</v>
      </c>
    </row>
    <row r="2391" spans="1:18" hidden="1">
      <c r="A2391" t="s">
        <v>21</v>
      </c>
      <c r="B2391" t="s">
        <v>19</v>
      </c>
      <c r="C2391" t="str">
        <f>SUBSTITUTE(Table1[[#This Row],[Fuel]],", ",",")</f>
        <v>bioenergy: refuse (municipal and industrial wastes)</v>
      </c>
      <c r="D2391" t="s">
        <v>19</v>
      </c>
      <c r="G2391">
        <v>15</v>
      </c>
      <c r="H2391" t="s">
        <v>27</v>
      </c>
      <c r="I2391">
        <v>2021</v>
      </c>
      <c r="J2391" t="s">
        <v>21</v>
      </c>
      <c r="K2391">
        <v>37.970337000000001</v>
      </c>
      <c r="L2391">
        <v>115.583128</v>
      </c>
      <c r="M2391" t="s">
        <v>102</v>
      </c>
      <c r="N2391" s="2">
        <f>Table1[[#This Row],[Capacity (MW)]]*8760*0.72*10^-6</f>
        <v>9.4607999999999998E-2</v>
      </c>
      <c r="O2391" s="2" cm="1">
        <f t="array" ref="O2391">AVERAGE(VLOOKUP(_xlfn.TEXTSPLIT(Table1[[#This Row],[Fuel (no space after comma)]], ","), FuelList_Final_EF!$A$2:$B$32, 2, FALSE))</f>
        <v>105.42962572482868</v>
      </c>
      <c r="P2391" s="2">
        <f>(16112*Table1[[#This Row],[Generation (TWh)]]*10^9)/10^6</f>
        <v>1524324.0959999999</v>
      </c>
      <c r="Q2391" s="2">
        <f>Table1[[#This Row],[Emission Factor (kg CO2/ mmBtu)]]*Table1[[#This Row],[Fuel Consumption (mmBtu)]]*10^3</f>
        <v>160708918924.61783</v>
      </c>
      <c r="R2391" s="2">
        <f>(Table1[[#This Row],[CO2 Emissions (g CO2)]])/(Table1[[#This Row],[Generation (TWh)]]*10^9)</f>
        <v>1698.6821296784397</v>
      </c>
    </row>
    <row r="2392" spans="1:18" hidden="1">
      <c r="A2392" t="s">
        <v>21</v>
      </c>
      <c r="B2392" t="s">
        <v>19</v>
      </c>
      <c r="C2392" t="str">
        <f>SUBSTITUTE(Table1[[#This Row],[Fuel]],", ",",")</f>
        <v>bioenergy: refuse (municipal and industrial wastes)</v>
      </c>
      <c r="D2392" t="s">
        <v>19</v>
      </c>
      <c r="G2392">
        <v>12</v>
      </c>
      <c r="H2392" t="s">
        <v>27</v>
      </c>
      <c r="I2392">
        <v>2012</v>
      </c>
      <c r="J2392" t="s">
        <v>21</v>
      </c>
      <c r="K2392">
        <v>39.390701999999997</v>
      </c>
      <c r="L2392">
        <v>118.076224</v>
      </c>
      <c r="M2392" t="s">
        <v>102</v>
      </c>
      <c r="N2392" s="2">
        <f>Table1[[#This Row],[Capacity (MW)]]*8760*0.72*10^-6</f>
        <v>7.5686399999999987E-2</v>
      </c>
      <c r="O2392" s="2" cm="1">
        <f t="array" ref="O2392">AVERAGE(VLOOKUP(_xlfn.TEXTSPLIT(Table1[[#This Row],[Fuel (no space after comma)]], ","), FuelList_Final_EF!$A$2:$B$32, 2, FALSE))</f>
        <v>105.42962572482868</v>
      </c>
      <c r="P2392" s="2">
        <f>(16112*Table1[[#This Row],[Generation (TWh)]]*10^9)/10^6</f>
        <v>1219459.2767999996</v>
      </c>
      <c r="Q2392" s="2">
        <f>Table1[[#This Row],[Emission Factor (kg CO2/ mmBtu)]]*Table1[[#This Row],[Fuel Consumption (mmBtu)]]*10^3</f>
        <v>128567135139.69423</v>
      </c>
      <c r="R2392" s="2">
        <f>(Table1[[#This Row],[CO2 Emissions (g CO2)]])/(Table1[[#This Row],[Generation (TWh)]]*10^9)</f>
        <v>1698.6821296784397</v>
      </c>
    </row>
    <row r="2393" spans="1:18" hidden="1">
      <c r="A2393" t="s">
        <v>21</v>
      </c>
      <c r="B2393" t="s">
        <v>19</v>
      </c>
      <c r="C2393" t="str">
        <f>SUBSTITUTE(Table1[[#This Row],[Fuel]],", ",",")</f>
        <v>bioenergy: refuse (municipal and industrial wastes)</v>
      </c>
      <c r="D2393" t="s">
        <v>19</v>
      </c>
      <c r="G2393">
        <v>25</v>
      </c>
      <c r="H2393" t="s">
        <v>27</v>
      </c>
      <c r="I2393">
        <v>2012</v>
      </c>
      <c r="J2393" t="s">
        <v>21</v>
      </c>
      <c r="K2393">
        <v>39.390701999999997</v>
      </c>
      <c r="L2393">
        <v>118.076224</v>
      </c>
      <c r="M2393" t="s">
        <v>102</v>
      </c>
      <c r="N2393" s="2">
        <f>Table1[[#This Row],[Capacity (MW)]]*8760*0.72*10^-6</f>
        <v>0.15767999999999999</v>
      </c>
      <c r="O2393" s="2" cm="1">
        <f t="array" ref="O2393">AVERAGE(VLOOKUP(_xlfn.TEXTSPLIT(Table1[[#This Row],[Fuel (no space after comma)]], ","), FuelList_Final_EF!$A$2:$B$32, 2, FALSE))</f>
        <v>105.42962572482868</v>
      </c>
      <c r="P2393" s="2">
        <f>(16112*Table1[[#This Row],[Generation (TWh)]]*10^9)/10^6</f>
        <v>2540540.16</v>
      </c>
      <c r="Q2393" s="2">
        <f>Table1[[#This Row],[Emission Factor (kg CO2/ mmBtu)]]*Table1[[#This Row],[Fuel Consumption (mmBtu)]]*10^3</f>
        <v>267848198207.69638</v>
      </c>
      <c r="R2393" s="2">
        <f>(Table1[[#This Row],[CO2 Emissions (g CO2)]])/(Table1[[#This Row],[Generation (TWh)]]*10^9)</f>
        <v>1698.6821296784397</v>
      </c>
    </row>
    <row r="2394" spans="1:18">
      <c r="A2394" t="s">
        <v>21</v>
      </c>
      <c r="B2394" t="s">
        <v>19</v>
      </c>
      <c r="C2394" t="str">
        <f>SUBSTITUTE(Table1[[#This Row],[Fuel]],", ",",")</f>
        <v>bioenergy: refuse (municipal and industrial wastes)</v>
      </c>
      <c r="D2394" t="s">
        <v>19</v>
      </c>
      <c r="G2394">
        <v>16</v>
      </c>
      <c r="H2394" t="s">
        <v>53</v>
      </c>
      <c r="I2394" t="s">
        <v>21</v>
      </c>
      <c r="J2394" t="s">
        <v>21</v>
      </c>
      <c r="K2394">
        <v>37.069387999999996</v>
      </c>
      <c r="L2394">
        <v>115.316992</v>
      </c>
      <c r="M2394" t="s">
        <v>102</v>
      </c>
      <c r="N2394" s="2">
        <f>Table1[[#This Row],[Capacity (MW)]]*8760*0.72*10^-6</f>
        <v>0.1009152</v>
      </c>
      <c r="O2394" s="2" cm="1">
        <f t="array" ref="O2394">AVERAGE(VLOOKUP(_xlfn.TEXTSPLIT(Table1[[#This Row],[Fuel (no space after comma)]], ","), FuelList_Final_EF!$A$2:$B$32, 2, FALSE))</f>
        <v>105.42962572482868</v>
      </c>
      <c r="P2394" s="2">
        <f>(16112*Table1[[#This Row],[Generation (TWh)]]*10^9)/10^6</f>
        <v>1625945.7023999998</v>
      </c>
      <c r="Q2394" s="2">
        <f>Table1[[#This Row],[Emission Factor (kg CO2/ mmBtu)]]*Table1[[#This Row],[Fuel Consumption (mmBtu)]]*10^3</f>
        <v>171422846852.92566</v>
      </c>
      <c r="R2394" s="2">
        <f>(Table1[[#This Row],[CO2 Emissions (g CO2)]])/(Table1[[#This Row],[Generation (TWh)]]*10^9)</f>
        <v>1698.6821296784394</v>
      </c>
    </row>
    <row r="2395" spans="1:18" hidden="1">
      <c r="A2395" t="s">
        <v>21</v>
      </c>
      <c r="B2395" t="s">
        <v>19</v>
      </c>
      <c r="C2395" t="str">
        <f>SUBSTITUTE(Table1[[#This Row],[Fuel]],", ",",")</f>
        <v>bioenergy: refuse (municipal and industrial wastes)</v>
      </c>
      <c r="D2395" t="s">
        <v>19</v>
      </c>
      <c r="G2395">
        <v>18</v>
      </c>
      <c r="H2395" t="s">
        <v>27</v>
      </c>
      <c r="I2395">
        <v>2021</v>
      </c>
      <c r="J2395" t="s">
        <v>21</v>
      </c>
      <c r="K2395">
        <v>37.069387999999996</v>
      </c>
      <c r="L2395">
        <v>115.316992</v>
      </c>
      <c r="M2395" t="s">
        <v>102</v>
      </c>
      <c r="N2395" s="2">
        <f>Table1[[#This Row],[Capacity (MW)]]*8760*0.72*10^-6</f>
        <v>0.11352959999999998</v>
      </c>
      <c r="O2395" s="2" cm="1">
        <f t="array" ref="O2395">AVERAGE(VLOOKUP(_xlfn.TEXTSPLIT(Table1[[#This Row],[Fuel (no space after comma)]], ","), FuelList_Final_EF!$A$2:$B$32, 2, FALSE))</f>
        <v>105.42962572482868</v>
      </c>
      <c r="P2395" s="2">
        <f>(16112*Table1[[#This Row],[Generation (TWh)]]*10^9)/10^6</f>
        <v>1829188.9151999997</v>
      </c>
      <c r="Q2395" s="2">
        <f>Table1[[#This Row],[Emission Factor (kg CO2/ mmBtu)]]*Table1[[#This Row],[Fuel Consumption (mmBtu)]]*10^3</f>
        <v>192850702709.54135</v>
      </c>
      <c r="R2395" s="2">
        <f>(Table1[[#This Row],[CO2 Emissions (g CO2)]])/(Table1[[#This Row],[Generation (TWh)]]*10^9)</f>
        <v>1698.6821296784397</v>
      </c>
    </row>
    <row r="2396" spans="1:18" hidden="1">
      <c r="A2396" t="s">
        <v>21</v>
      </c>
      <c r="B2396" t="s">
        <v>19</v>
      </c>
      <c r="C2396" t="str">
        <f>SUBSTITUTE(Table1[[#This Row],[Fuel]],", ",",")</f>
        <v>bioenergy: refuse (municipal and industrial wastes)</v>
      </c>
      <c r="D2396" t="s">
        <v>19</v>
      </c>
      <c r="G2396">
        <v>6</v>
      </c>
      <c r="H2396" t="s">
        <v>27</v>
      </c>
      <c r="I2396">
        <v>2023</v>
      </c>
      <c r="J2396" t="s">
        <v>21</v>
      </c>
      <c r="K2396">
        <v>41.995874999999998</v>
      </c>
      <c r="L2396">
        <v>117.70443899999999</v>
      </c>
      <c r="M2396" t="s">
        <v>102</v>
      </c>
      <c r="N2396" s="2">
        <f>Table1[[#This Row],[Capacity (MW)]]*8760*0.72*10^-6</f>
        <v>3.7843199999999994E-2</v>
      </c>
      <c r="O2396" s="2" cm="1">
        <f t="array" ref="O2396">AVERAGE(VLOOKUP(_xlfn.TEXTSPLIT(Table1[[#This Row],[Fuel (no space after comma)]], ","), FuelList_Final_EF!$A$2:$B$32, 2, FALSE))</f>
        <v>105.42962572482868</v>
      </c>
      <c r="P2396" s="2">
        <f>(16112*Table1[[#This Row],[Generation (TWh)]]*10^9)/10^6</f>
        <v>609729.63839999982</v>
      </c>
      <c r="Q2396" s="2">
        <f>Table1[[#This Row],[Emission Factor (kg CO2/ mmBtu)]]*Table1[[#This Row],[Fuel Consumption (mmBtu)]]*10^3</f>
        <v>64283567569.847115</v>
      </c>
      <c r="R2396" s="2">
        <f>(Table1[[#This Row],[CO2 Emissions (g CO2)]])/(Table1[[#This Row],[Generation (TWh)]]*10^9)</f>
        <v>1698.6821296784397</v>
      </c>
    </row>
    <row r="2397" spans="1:18" hidden="1">
      <c r="A2397" t="s">
        <v>21</v>
      </c>
      <c r="B2397" t="s">
        <v>19</v>
      </c>
      <c r="C2397" t="str">
        <f>SUBSTITUTE(Table1[[#This Row],[Fuel]],", ",",")</f>
        <v>bioenergy: refuse (municipal and industrial wastes)</v>
      </c>
      <c r="D2397" t="s">
        <v>19</v>
      </c>
      <c r="G2397">
        <v>15</v>
      </c>
      <c r="H2397" t="s">
        <v>27</v>
      </c>
      <c r="I2397">
        <v>2022</v>
      </c>
      <c r="J2397" t="s">
        <v>21</v>
      </c>
      <c r="K2397">
        <v>38.867479000000003</v>
      </c>
      <c r="L2397">
        <v>116.686813</v>
      </c>
      <c r="M2397" t="s">
        <v>102</v>
      </c>
      <c r="N2397" s="2">
        <f>Table1[[#This Row],[Capacity (MW)]]*8760*0.72*10^-6</f>
        <v>9.4607999999999998E-2</v>
      </c>
      <c r="O2397" s="2" cm="1">
        <f t="array" ref="O2397">AVERAGE(VLOOKUP(_xlfn.TEXTSPLIT(Table1[[#This Row],[Fuel (no space after comma)]], ","), FuelList_Final_EF!$A$2:$B$32, 2, FALSE))</f>
        <v>105.42962572482868</v>
      </c>
      <c r="P2397" s="2">
        <f>(16112*Table1[[#This Row],[Generation (TWh)]]*10^9)/10^6</f>
        <v>1524324.0959999999</v>
      </c>
      <c r="Q2397" s="2">
        <f>Table1[[#This Row],[Emission Factor (kg CO2/ mmBtu)]]*Table1[[#This Row],[Fuel Consumption (mmBtu)]]*10^3</f>
        <v>160708918924.61783</v>
      </c>
      <c r="R2397" s="2">
        <f>(Table1[[#This Row],[CO2 Emissions (g CO2)]])/(Table1[[#This Row],[Generation (TWh)]]*10^9)</f>
        <v>1698.6821296784397</v>
      </c>
    </row>
    <row r="2398" spans="1:18" hidden="1">
      <c r="A2398" t="s">
        <v>21</v>
      </c>
      <c r="B2398" t="s">
        <v>105</v>
      </c>
      <c r="C2398" t="str">
        <f>SUBSTITUTE(Table1[[#This Row],[Fuel]],", ",",")</f>
        <v>bioenergy: agricultural waste (solids),bioenergy: wood &amp; other biomass (solids)</v>
      </c>
      <c r="D2398" t="s">
        <v>46</v>
      </c>
      <c r="E2398" t="s">
        <v>25</v>
      </c>
      <c r="G2398">
        <v>3</v>
      </c>
      <c r="H2398" t="s">
        <v>27</v>
      </c>
      <c r="I2398">
        <v>2017</v>
      </c>
      <c r="J2398" t="s">
        <v>21</v>
      </c>
      <c r="K2398">
        <v>39.010731</v>
      </c>
      <c r="L2398">
        <v>116.668294</v>
      </c>
      <c r="M2398" t="s">
        <v>102</v>
      </c>
      <c r="N2398" s="2">
        <f>Table1[[#This Row],[Capacity (MW)]]*8760*0.72*10^-6</f>
        <v>1.8921599999999997E-2</v>
      </c>
      <c r="O2398" s="2" cm="1">
        <f t="array" ref="O2398">AVERAGE(VLOOKUP(_xlfn.TEXTSPLIT(Table1[[#This Row],[Fuel (no space after comma)]], ","), FuelList_Final_EF!$A$2:$B$32, 2, FALSE))</f>
        <v>105.985</v>
      </c>
      <c r="P2398" s="2">
        <f>(16112*Table1[[#This Row],[Generation (TWh)]]*10^9)/10^6</f>
        <v>304864.81919999991</v>
      </c>
      <c r="Q2398" s="2">
        <f>Table1[[#This Row],[Emission Factor (kg CO2/ mmBtu)]]*Table1[[#This Row],[Fuel Consumption (mmBtu)]]*10^3</f>
        <v>32311097862.911991</v>
      </c>
      <c r="R2398" s="2">
        <f>(Table1[[#This Row],[CO2 Emissions (g CO2)]])/(Table1[[#This Row],[Generation (TWh)]]*10^9)</f>
        <v>1707.6303199999998</v>
      </c>
    </row>
    <row r="2399" spans="1:18" hidden="1">
      <c r="A2399" t="s">
        <v>1313</v>
      </c>
      <c r="B2399" t="s">
        <v>19</v>
      </c>
      <c r="C2399" t="str">
        <f>SUBSTITUTE(Table1[[#This Row],[Fuel]],", ",",")</f>
        <v>bioenergy: refuse (municipal and industrial wastes)</v>
      </c>
      <c r="D2399" t="s">
        <v>19</v>
      </c>
      <c r="G2399">
        <v>12</v>
      </c>
      <c r="H2399" t="s">
        <v>27</v>
      </c>
      <c r="I2399">
        <v>2021</v>
      </c>
      <c r="J2399" t="s">
        <v>21</v>
      </c>
      <c r="K2399">
        <v>38.204698</v>
      </c>
      <c r="L2399">
        <v>116.192305</v>
      </c>
      <c r="M2399" t="s">
        <v>102</v>
      </c>
      <c r="N2399" s="2">
        <f>Table1[[#This Row],[Capacity (MW)]]*8760*0.72*10^-6</f>
        <v>7.5686399999999987E-2</v>
      </c>
      <c r="O2399" s="2" cm="1">
        <f t="array" ref="O2399">AVERAGE(VLOOKUP(_xlfn.TEXTSPLIT(Table1[[#This Row],[Fuel (no space after comma)]], ","), FuelList_Final_EF!$A$2:$B$32, 2, FALSE))</f>
        <v>105.42962572482868</v>
      </c>
      <c r="P2399" s="2">
        <f>(16112*Table1[[#This Row],[Generation (TWh)]]*10^9)/10^6</f>
        <v>1219459.2767999996</v>
      </c>
      <c r="Q2399" s="2">
        <f>Table1[[#This Row],[Emission Factor (kg CO2/ mmBtu)]]*Table1[[#This Row],[Fuel Consumption (mmBtu)]]*10^3</f>
        <v>128567135139.69423</v>
      </c>
      <c r="R2399" s="2">
        <f>(Table1[[#This Row],[CO2 Emissions (g CO2)]])/(Table1[[#This Row],[Generation (TWh)]]*10^9)</f>
        <v>1698.6821296784397</v>
      </c>
    </row>
    <row r="2400" spans="1:18" hidden="1">
      <c r="A2400" t="s">
        <v>21</v>
      </c>
      <c r="B2400" t="s">
        <v>19</v>
      </c>
      <c r="C2400" t="str">
        <f>SUBSTITUTE(Table1[[#This Row],[Fuel]],", ",",")</f>
        <v>bioenergy: refuse (municipal and industrial wastes)</v>
      </c>
      <c r="D2400" t="s">
        <v>19</v>
      </c>
      <c r="G2400">
        <v>25</v>
      </c>
      <c r="H2400" t="s">
        <v>27</v>
      </c>
      <c r="I2400">
        <v>2021</v>
      </c>
      <c r="J2400" t="s">
        <v>21</v>
      </c>
      <c r="K2400">
        <v>38.424968999999997</v>
      </c>
      <c r="L2400">
        <v>114.592647</v>
      </c>
      <c r="M2400" t="s">
        <v>102</v>
      </c>
      <c r="N2400" s="2">
        <f>Table1[[#This Row],[Capacity (MW)]]*8760*0.72*10^-6</f>
        <v>0.15767999999999999</v>
      </c>
      <c r="O2400" s="2" cm="1">
        <f t="array" ref="O2400">AVERAGE(VLOOKUP(_xlfn.TEXTSPLIT(Table1[[#This Row],[Fuel (no space after comma)]], ","), FuelList_Final_EF!$A$2:$B$32, 2, FALSE))</f>
        <v>105.42962572482868</v>
      </c>
      <c r="P2400" s="2">
        <f>(16112*Table1[[#This Row],[Generation (TWh)]]*10^9)/10^6</f>
        <v>2540540.16</v>
      </c>
      <c r="Q2400" s="2">
        <f>Table1[[#This Row],[Emission Factor (kg CO2/ mmBtu)]]*Table1[[#This Row],[Fuel Consumption (mmBtu)]]*10^3</f>
        <v>267848198207.69638</v>
      </c>
      <c r="R2400" s="2">
        <f>(Table1[[#This Row],[CO2 Emissions (g CO2)]])/(Table1[[#This Row],[Generation (TWh)]]*10^9)</f>
        <v>1698.6821296784397</v>
      </c>
    </row>
    <row r="2401" spans="1:18" hidden="1">
      <c r="A2401" t="s">
        <v>21</v>
      </c>
      <c r="B2401" t="s">
        <v>19</v>
      </c>
      <c r="C2401" t="str">
        <f>SUBSTITUTE(Table1[[#This Row],[Fuel]],", ",",")</f>
        <v>bioenergy: refuse (municipal and industrial wastes)</v>
      </c>
      <c r="D2401" t="s">
        <v>19</v>
      </c>
      <c r="G2401">
        <v>12</v>
      </c>
      <c r="H2401" t="s">
        <v>27</v>
      </c>
      <c r="I2401">
        <v>2021</v>
      </c>
      <c r="J2401" t="s">
        <v>21</v>
      </c>
      <c r="K2401">
        <v>39.865735000000001</v>
      </c>
      <c r="L2401">
        <v>117.57884799999999</v>
      </c>
      <c r="M2401" t="s">
        <v>102</v>
      </c>
      <c r="N2401" s="2">
        <f>Table1[[#This Row],[Capacity (MW)]]*8760*0.72*10^-6</f>
        <v>7.5686399999999987E-2</v>
      </c>
      <c r="O2401" s="2" cm="1">
        <f t="array" ref="O2401">AVERAGE(VLOOKUP(_xlfn.TEXTSPLIT(Table1[[#This Row],[Fuel (no space after comma)]], ","), FuelList_Final_EF!$A$2:$B$32, 2, FALSE))</f>
        <v>105.42962572482868</v>
      </c>
      <c r="P2401" s="2">
        <f>(16112*Table1[[#This Row],[Generation (TWh)]]*10^9)/10^6</f>
        <v>1219459.2767999996</v>
      </c>
      <c r="Q2401" s="2">
        <f>Table1[[#This Row],[Emission Factor (kg CO2/ mmBtu)]]*Table1[[#This Row],[Fuel Consumption (mmBtu)]]*10^3</f>
        <v>128567135139.69423</v>
      </c>
      <c r="R2401" s="2">
        <f>(Table1[[#This Row],[CO2 Emissions (g CO2)]])/(Table1[[#This Row],[Generation (TWh)]]*10^9)</f>
        <v>1698.6821296784397</v>
      </c>
    </row>
    <row r="2402" spans="1:18" hidden="1">
      <c r="A2402" t="s">
        <v>21</v>
      </c>
      <c r="B2402" t="s">
        <v>19</v>
      </c>
      <c r="C2402" t="str">
        <f>SUBSTITUTE(Table1[[#This Row],[Fuel]],", ",",")</f>
        <v>bioenergy: refuse (municipal and industrial wastes)</v>
      </c>
      <c r="D2402" t="s">
        <v>19</v>
      </c>
      <c r="G2402">
        <v>15</v>
      </c>
      <c r="H2402" t="s">
        <v>27</v>
      </c>
      <c r="I2402">
        <v>2022</v>
      </c>
      <c r="J2402" t="s">
        <v>21</v>
      </c>
      <c r="K2402">
        <v>41.131086000000003</v>
      </c>
      <c r="L2402">
        <v>114.65954600000001</v>
      </c>
      <c r="M2402" t="s">
        <v>102</v>
      </c>
      <c r="N2402" s="2">
        <f>Table1[[#This Row],[Capacity (MW)]]*8760*0.72*10^-6</f>
        <v>9.4607999999999998E-2</v>
      </c>
      <c r="O2402" s="2" cm="1">
        <f t="array" ref="O2402">AVERAGE(VLOOKUP(_xlfn.TEXTSPLIT(Table1[[#This Row],[Fuel (no space after comma)]], ","), FuelList_Final_EF!$A$2:$B$32, 2, FALSE))</f>
        <v>105.42962572482868</v>
      </c>
      <c r="P2402" s="2">
        <f>(16112*Table1[[#This Row],[Generation (TWh)]]*10^9)/10^6</f>
        <v>1524324.0959999999</v>
      </c>
      <c r="Q2402" s="2">
        <f>Table1[[#This Row],[Emission Factor (kg CO2/ mmBtu)]]*Table1[[#This Row],[Fuel Consumption (mmBtu)]]*10^3</f>
        <v>160708918924.61783</v>
      </c>
      <c r="R2402" s="2">
        <f>(Table1[[#This Row],[CO2 Emissions (g CO2)]])/(Table1[[#This Row],[Generation (TWh)]]*10^9)</f>
        <v>1698.6821296784397</v>
      </c>
    </row>
    <row r="2403" spans="1:18" hidden="1">
      <c r="A2403" t="s">
        <v>21</v>
      </c>
      <c r="B2403" t="s">
        <v>19</v>
      </c>
      <c r="C2403" t="str">
        <f>SUBSTITUTE(Table1[[#This Row],[Fuel]],", ",",")</f>
        <v>bioenergy: refuse (municipal and industrial wastes)</v>
      </c>
      <c r="D2403" t="s">
        <v>19</v>
      </c>
      <c r="G2403">
        <v>12</v>
      </c>
      <c r="H2403" t="s">
        <v>27</v>
      </c>
      <c r="I2403">
        <v>2021</v>
      </c>
      <c r="J2403" t="s">
        <v>21</v>
      </c>
      <c r="K2403">
        <v>37.754441999999997</v>
      </c>
      <c r="L2403">
        <v>114.824434</v>
      </c>
      <c r="M2403" t="s">
        <v>102</v>
      </c>
      <c r="N2403" s="2">
        <f>Table1[[#This Row],[Capacity (MW)]]*8760*0.72*10^-6</f>
        <v>7.5686399999999987E-2</v>
      </c>
      <c r="O2403" s="2" cm="1">
        <f t="array" ref="O2403">AVERAGE(VLOOKUP(_xlfn.TEXTSPLIT(Table1[[#This Row],[Fuel (no space after comma)]], ","), FuelList_Final_EF!$A$2:$B$32, 2, FALSE))</f>
        <v>105.42962572482868</v>
      </c>
      <c r="P2403" s="2">
        <f>(16112*Table1[[#This Row],[Generation (TWh)]]*10^9)/10^6</f>
        <v>1219459.2767999996</v>
      </c>
      <c r="Q2403" s="2">
        <f>Table1[[#This Row],[Emission Factor (kg CO2/ mmBtu)]]*Table1[[#This Row],[Fuel Consumption (mmBtu)]]*10^3</f>
        <v>128567135139.69423</v>
      </c>
      <c r="R2403" s="2">
        <f>(Table1[[#This Row],[CO2 Emissions (g CO2)]])/(Table1[[#This Row],[Generation (TWh)]]*10^9)</f>
        <v>1698.6821296784397</v>
      </c>
    </row>
    <row r="2404" spans="1:18" hidden="1">
      <c r="A2404" t="s">
        <v>21</v>
      </c>
      <c r="B2404" t="s">
        <v>19</v>
      </c>
      <c r="C2404" t="str">
        <f>SUBSTITUTE(Table1[[#This Row],[Fuel]],", ",",")</f>
        <v>bioenergy: refuse (municipal and industrial wastes)</v>
      </c>
      <c r="D2404" t="s">
        <v>19</v>
      </c>
      <c r="G2404">
        <v>12</v>
      </c>
      <c r="H2404" t="s">
        <v>27</v>
      </c>
      <c r="I2404">
        <v>2021</v>
      </c>
      <c r="J2404" t="s">
        <v>21</v>
      </c>
      <c r="K2404">
        <v>37.754441999999997</v>
      </c>
      <c r="L2404">
        <v>114.824434</v>
      </c>
      <c r="M2404" t="s">
        <v>102</v>
      </c>
      <c r="N2404" s="2">
        <f>Table1[[#This Row],[Capacity (MW)]]*8760*0.72*10^-6</f>
        <v>7.5686399999999987E-2</v>
      </c>
      <c r="O2404" s="2" cm="1">
        <f t="array" ref="O2404">AVERAGE(VLOOKUP(_xlfn.TEXTSPLIT(Table1[[#This Row],[Fuel (no space after comma)]], ","), FuelList_Final_EF!$A$2:$B$32, 2, FALSE))</f>
        <v>105.42962572482868</v>
      </c>
      <c r="P2404" s="2">
        <f>(16112*Table1[[#This Row],[Generation (TWh)]]*10^9)/10^6</f>
        <v>1219459.2767999996</v>
      </c>
      <c r="Q2404" s="2">
        <f>Table1[[#This Row],[Emission Factor (kg CO2/ mmBtu)]]*Table1[[#This Row],[Fuel Consumption (mmBtu)]]*10^3</f>
        <v>128567135139.69423</v>
      </c>
      <c r="R2404" s="2">
        <f>(Table1[[#This Row],[CO2 Emissions (g CO2)]])/(Table1[[#This Row],[Generation (TWh)]]*10^9)</f>
        <v>1698.6821296784397</v>
      </c>
    </row>
    <row r="2405" spans="1:18" hidden="1">
      <c r="A2405" t="s">
        <v>21</v>
      </c>
      <c r="B2405" t="s">
        <v>19</v>
      </c>
      <c r="C2405" t="str">
        <f>SUBSTITUTE(Table1[[#This Row],[Fuel]],", ",",")</f>
        <v>bioenergy: refuse (municipal and industrial wastes)</v>
      </c>
      <c r="D2405" t="s">
        <v>19</v>
      </c>
      <c r="G2405">
        <v>7.5</v>
      </c>
      <c r="H2405" t="s">
        <v>27</v>
      </c>
      <c r="I2405">
        <v>2018</v>
      </c>
      <c r="J2405" t="s">
        <v>21</v>
      </c>
      <c r="K2405">
        <v>45.420819999999999</v>
      </c>
      <c r="L2405">
        <v>126.410842</v>
      </c>
      <c r="M2405" t="s">
        <v>102</v>
      </c>
      <c r="N2405" s="2">
        <f>Table1[[#This Row],[Capacity (MW)]]*8760*0.72*10^-6</f>
        <v>4.7303999999999999E-2</v>
      </c>
      <c r="O2405" s="2" cm="1">
        <f t="array" ref="O2405">AVERAGE(VLOOKUP(_xlfn.TEXTSPLIT(Table1[[#This Row],[Fuel (no space after comma)]], ","), FuelList_Final_EF!$A$2:$B$32, 2, FALSE))</f>
        <v>105.42962572482868</v>
      </c>
      <c r="P2405" s="2">
        <f>(16112*Table1[[#This Row],[Generation (TWh)]]*10^9)/10^6</f>
        <v>762162.04799999995</v>
      </c>
      <c r="Q2405" s="2">
        <f>Table1[[#This Row],[Emission Factor (kg CO2/ mmBtu)]]*Table1[[#This Row],[Fuel Consumption (mmBtu)]]*10^3</f>
        <v>80354459462.308914</v>
      </c>
      <c r="R2405" s="2">
        <f>(Table1[[#This Row],[CO2 Emissions (g CO2)]])/(Table1[[#This Row],[Generation (TWh)]]*10^9)</f>
        <v>1698.6821296784397</v>
      </c>
    </row>
    <row r="2406" spans="1:18" hidden="1">
      <c r="A2406" t="s">
        <v>21</v>
      </c>
      <c r="B2406" t="s">
        <v>19</v>
      </c>
      <c r="C2406" t="str">
        <f>SUBSTITUTE(Table1[[#This Row],[Fuel]],", ",",")</f>
        <v>bioenergy: refuse (municipal and industrial wastes)</v>
      </c>
      <c r="D2406" t="s">
        <v>19</v>
      </c>
      <c r="G2406">
        <v>9</v>
      </c>
      <c r="H2406" t="s">
        <v>27</v>
      </c>
      <c r="I2406">
        <v>2020</v>
      </c>
      <c r="J2406" t="s">
        <v>21</v>
      </c>
      <c r="K2406">
        <v>45.420819999999999</v>
      </c>
      <c r="L2406">
        <v>126.410842</v>
      </c>
      <c r="M2406" t="s">
        <v>102</v>
      </c>
      <c r="N2406" s="2">
        <f>Table1[[#This Row],[Capacity (MW)]]*8760*0.72*10^-6</f>
        <v>5.676479999999999E-2</v>
      </c>
      <c r="O2406" s="2" cm="1">
        <f t="array" ref="O2406">AVERAGE(VLOOKUP(_xlfn.TEXTSPLIT(Table1[[#This Row],[Fuel (no space after comma)]], ","), FuelList_Final_EF!$A$2:$B$32, 2, FALSE))</f>
        <v>105.42962572482868</v>
      </c>
      <c r="P2406" s="2">
        <f>(16112*Table1[[#This Row],[Generation (TWh)]]*10^9)/10^6</f>
        <v>914594.45759999985</v>
      </c>
      <c r="Q2406" s="2">
        <f>Table1[[#This Row],[Emission Factor (kg CO2/ mmBtu)]]*Table1[[#This Row],[Fuel Consumption (mmBtu)]]*10^3</f>
        <v>96425351354.770676</v>
      </c>
      <c r="R2406" s="2">
        <f>(Table1[[#This Row],[CO2 Emissions (g CO2)]])/(Table1[[#This Row],[Generation (TWh)]]*10^9)</f>
        <v>1698.6821296784397</v>
      </c>
    </row>
    <row r="2407" spans="1:18" hidden="1">
      <c r="A2407" t="s">
        <v>21</v>
      </c>
      <c r="B2407" t="s">
        <v>19</v>
      </c>
      <c r="C2407" t="str">
        <f>SUBSTITUTE(Table1[[#This Row],[Fuel]],", ",",")</f>
        <v>bioenergy: refuse (municipal and industrial wastes)</v>
      </c>
      <c r="D2407" t="s">
        <v>19</v>
      </c>
      <c r="G2407">
        <v>15</v>
      </c>
      <c r="H2407" t="s">
        <v>27</v>
      </c>
      <c r="I2407">
        <v>2018</v>
      </c>
      <c r="J2407" t="s">
        <v>21</v>
      </c>
      <c r="K2407">
        <v>45.260320999999998</v>
      </c>
      <c r="L2407">
        <v>131.067283</v>
      </c>
      <c r="M2407" t="s">
        <v>102</v>
      </c>
      <c r="N2407" s="2">
        <f>Table1[[#This Row],[Capacity (MW)]]*8760*0.72*10^-6</f>
        <v>9.4607999999999998E-2</v>
      </c>
      <c r="O2407" s="2" cm="1">
        <f t="array" ref="O2407">AVERAGE(VLOOKUP(_xlfn.TEXTSPLIT(Table1[[#This Row],[Fuel (no space after comma)]], ","), FuelList_Final_EF!$A$2:$B$32, 2, FALSE))</f>
        <v>105.42962572482868</v>
      </c>
      <c r="P2407" s="2">
        <f>(16112*Table1[[#This Row],[Generation (TWh)]]*10^9)/10^6</f>
        <v>1524324.0959999999</v>
      </c>
      <c r="Q2407" s="2">
        <f>Table1[[#This Row],[Emission Factor (kg CO2/ mmBtu)]]*Table1[[#This Row],[Fuel Consumption (mmBtu)]]*10^3</f>
        <v>160708918924.61783</v>
      </c>
      <c r="R2407" s="2">
        <f>(Table1[[#This Row],[CO2 Emissions (g CO2)]])/(Table1[[#This Row],[Generation (TWh)]]*10^9)</f>
        <v>1698.6821296784397</v>
      </c>
    </row>
    <row r="2408" spans="1:18" hidden="1">
      <c r="A2408" t="s">
        <v>21</v>
      </c>
      <c r="B2408" t="s">
        <v>19</v>
      </c>
      <c r="C2408" t="str">
        <f>SUBSTITUTE(Table1[[#This Row],[Fuel]],", ",",")</f>
        <v>bioenergy: refuse (municipal and industrial wastes)</v>
      </c>
      <c r="D2408" t="s">
        <v>19</v>
      </c>
      <c r="G2408">
        <v>9</v>
      </c>
      <c r="H2408" t="s">
        <v>27</v>
      </c>
      <c r="I2408">
        <v>2023</v>
      </c>
      <c r="J2408" t="s">
        <v>21</v>
      </c>
      <c r="K2408">
        <v>44.365935999999998</v>
      </c>
      <c r="L2408">
        <v>129.40421799999999</v>
      </c>
      <c r="M2408" t="s">
        <v>102</v>
      </c>
      <c r="N2408" s="2">
        <f>Table1[[#This Row],[Capacity (MW)]]*8760*0.72*10^-6</f>
        <v>5.676479999999999E-2</v>
      </c>
      <c r="O2408" s="2" cm="1">
        <f t="array" ref="O2408">AVERAGE(VLOOKUP(_xlfn.TEXTSPLIT(Table1[[#This Row],[Fuel (no space after comma)]], ","), FuelList_Final_EF!$A$2:$B$32, 2, FALSE))</f>
        <v>105.42962572482868</v>
      </c>
      <c r="P2408" s="2">
        <f>(16112*Table1[[#This Row],[Generation (TWh)]]*10^9)/10^6</f>
        <v>914594.45759999985</v>
      </c>
      <c r="Q2408" s="2">
        <f>Table1[[#This Row],[Emission Factor (kg CO2/ mmBtu)]]*Table1[[#This Row],[Fuel Consumption (mmBtu)]]*10^3</f>
        <v>96425351354.770676</v>
      </c>
      <c r="R2408" s="2">
        <f>(Table1[[#This Row],[CO2 Emissions (g CO2)]])/(Table1[[#This Row],[Generation (TWh)]]*10^9)</f>
        <v>1698.6821296784397</v>
      </c>
    </row>
    <row r="2409" spans="1:18" hidden="1">
      <c r="A2409" t="s">
        <v>21</v>
      </c>
      <c r="B2409" t="s">
        <v>19</v>
      </c>
      <c r="C2409" t="str">
        <f>SUBSTITUTE(Table1[[#This Row],[Fuel]],", ",",")</f>
        <v>bioenergy: refuse (municipal and industrial wastes)</v>
      </c>
      <c r="D2409" t="s">
        <v>19</v>
      </c>
      <c r="G2409">
        <v>15</v>
      </c>
      <c r="H2409" t="s">
        <v>27</v>
      </c>
      <c r="I2409">
        <v>2015</v>
      </c>
      <c r="J2409" t="s">
        <v>21</v>
      </c>
      <c r="K2409">
        <v>46.702876000000003</v>
      </c>
      <c r="L2409">
        <v>126.979277</v>
      </c>
      <c r="M2409" t="s">
        <v>102</v>
      </c>
      <c r="N2409" s="2">
        <f>Table1[[#This Row],[Capacity (MW)]]*8760*0.72*10^-6</f>
        <v>9.4607999999999998E-2</v>
      </c>
      <c r="O2409" s="2" cm="1">
        <f t="array" ref="O2409">AVERAGE(VLOOKUP(_xlfn.TEXTSPLIT(Table1[[#This Row],[Fuel (no space after comma)]], ","), FuelList_Final_EF!$A$2:$B$32, 2, FALSE))</f>
        <v>105.42962572482868</v>
      </c>
      <c r="P2409" s="2">
        <f>(16112*Table1[[#This Row],[Generation (TWh)]]*10^9)/10^6</f>
        <v>1524324.0959999999</v>
      </c>
      <c r="Q2409" s="2">
        <f>Table1[[#This Row],[Emission Factor (kg CO2/ mmBtu)]]*Table1[[#This Row],[Fuel Consumption (mmBtu)]]*10^3</f>
        <v>160708918924.61783</v>
      </c>
      <c r="R2409" s="2">
        <f>(Table1[[#This Row],[CO2 Emissions (g CO2)]])/(Table1[[#This Row],[Generation (TWh)]]*10^9)</f>
        <v>1698.6821296784397</v>
      </c>
    </row>
    <row r="2410" spans="1:18" hidden="1">
      <c r="A2410" t="s">
        <v>21</v>
      </c>
      <c r="B2410" t="s">
        <v>19</v>
      </c>
      <c r="C2410" t="str">
        <f>SUBSTITUTE(Table1[[#This Row],[Fuel]],", ",",")</f>
        <v>bioenergy: refuse (municipal and industrial wastes)</v>
      </c>
      <c r="D2410" t="s">
        <v>19</v>
      </c>
      <c r="G2410">
        <v>12</v>
      </c>
      <c r="H2410" t="s">
        <v>27</v>
      </c>
      <c r="I2410">
        <v>2015</v>
      </c>
      <c r="J2410" t="s">
        <v>21</v>
      </c>
      <c r="K2410">
        <v>47.733159999999998</v>
      </c>
      <c r="L2410">
        <v>128.921774</v>
      </c>
      <c r="M2410" t="s">
        <v>102</v>
      </c>
      <c r="N2410" s="2">
        <f>Table1[[#This Row],[Capacity (MW)]]*8760*0.72*10^-6</f>
        <v>7.5686399999999987E-2</v>
      </c>
      <c r="O2410" s="2" cm="1">
        <f t="array" ref="O2410">AVERAGE(VLOOKUP(_xlfn.TEXTSPLIT(Table1[[#This Row],[Fuel (no space after comma)]], ","), FuelList_Final_EF!$A$2:$B$32, 2, FALSE))</f>
        <v>105.42962572482868</v>
      </c>
      <c r="P2410" s="2">
        <f>(16112*Table1[[#This Row],[Generation (TWh)]]*10^9)/10^6</f>
        <v>1219459.2767999996</v>
      </c>
      <c r="Q2410" s="2">
        <f>Table1[[#This Row],[Emission Factor (kg CO2/ mmBtu)]]*Table1[[#This Row],[Fuel Consumption (mmBtu)]]*10^3</f>
        <v>128567135139.69423</v>
      </c>
      <c r="R2410" s="2">
        <f>(Table1[[#This Row],[CO2 Emissions (g CO2)]])/(Table1[[#This Row],[Generation (TWh)]]*10^9)</f>
        <v>1698.6821296784397</v>
      </c>
    </row>
    <row r="2411" spans="1:18" hidden="1">
      <c r="A2411" t="s">
        <v>1318</v>
      </c>
      <c r="B2411" t="s">
        <v>19</v>
      </c>
      <c r="C2411" t="str">
        <f>SUBSTITUTE(Table1[[#This Row],[Fuel]],", ",",")</f>
        <v>bioenergy: refuse (municipal and industrial wastes)</v>
      </c>
      <c r="D2411" t="s">
        <v>19</v>
      </c>
      <c r="G2411">
        <v>12</v>
      </c>
      <c r="H2411" t="s">
        <v>27</v>
      </c>
      <c r="I2411">
        <v>2021</v>
      </c>
      <c r="J2411" t="s">
        <v>21</v>
      </c>
      <c r="K2411">
        <v>33.878660000000004</v>
      </c>
      <c r="L2411">
        <v>112.991401</v>
      </c>
      <c r="M2411" t="s">
        <v>102</v>
      </c>
      <c r="N2411" s="2">
        <f>Table1[[#This Row],[Capacity (MW)]]*8760*0.72*10^-6</f>
        <v>7.5686399999999987E-2</v>
      </c>
      <c r="O2411" s="2" cm="1">
        <f t="array" ref="O2411">AVERAGE(VLOOKUP(_xlfn.TEXTSPLIT(Table1[[#This Row],[Fuel (no space after comma)]], ","), FuelList_Final_EF!$A$2:$B$32, 2, FALSE))</f>
        <v>105.42962572482868</v>
      </c>
      <c r="P2411" s="2">
        <f>(16112*Table1[[#This Row],[Generation (TWh)]]*10^9)/10^6</f>
        <v>1219459.2767999996</v>
      </c>
      <c r="Q2411" s="2">
        <f>Table1[[#This Row],[Emission Factor (kg CO2/ mmBtu)]]*Table1[[#This Row],[Fuel Consumption (mmBtu)]]*10^3</f>
        <v>128567135139.69423</v>
      </c>
      <c r="R2411" s="2">
        <f>(Table1[[#This Row],[CO2 Emissions (g CO2)]])/(Table1[[#This Row],[Generation (TWh)]]*10^9)</f>
        <v>1698.6821296784397</v>
      </c>
    </row>
    <row r="2412" spans="1:18" hidden="1">
      <c r="A2412" t="s">
        <v>1318</v>
      </c>
      <c r="B2412" t="s">
        <v>19</v>
      </c>
      <c r="C2412" t="str">
        <f>SUBSTITUTE(Table1[[#This Row],[Fuel]],", ",",")</f>
        <v>bioenergy: refuse (municipal and industrial wastes)</v>
      </c>
      <c r="D2412" t="s">
        <v>19</v>
      </c>
      <c r="G2412">
        <v>12</v>
      </c>
      <c r="H2412" t="s">
        <v>27</v>
      </c>
      <c r="I2412">
        <v>2021</v>
      </c>
      <c r="J2412" t="s">
        <v>21</v>
      </c>
      <c r="K2412">
        <v>33.878660000000004</v>
      </c>
      <c r="L2412">
        <v>112.991401</v>
      </c>
      <c r="M2412" t="s">
        <v>102</v>
      </c>
      <c r="N2412" s="2">
        <f>Table1[[#This Row],[Capacity (MW)]]*8760*0.72*10^-6</f>
        <v>7.5686399999999987E-2</v>
      </c>
      <c r="O2412" s="2" cm="1">
        <f t="array" ref="O2412">AVERAGE(VLOOKUP(_xlfn.TEXTSPLIT(Table1[[#This Row],[Fuel (no space after comma)]], ","), FuelList_Final_EF!$A$2:$B$32, 2, FALSE))</f>
        <v>105.42962572482868</v>
      </c>
      <c r="P2412" s="2">
        <f>(16112*Table1[[#This Row],[Generation (TWh)]]*10^9)/10^6</f>
        <v>1219459.2767999996</v>
      </c>
      <c r="Q2412" s="2">
        <f>Table1[[#This Row],[Emission Factor (kg CO2/ mmBtu)]]*Table1[[#This Row],[Fuel Consumption (mmBtu)]]*10^3</f>
        <v>128567135139.69423</v>
      </c>
      <c r="R2412" s="2">
        <f>(Table1[[#This Row],[CO2 Emissions (g CO2)]])/(Table1[[#This Row],[Generation (TWh)]]*10^9)</f>
        <v>1698.6821296784397</v>
      </c>
    </row>
    <row r="2413" spans="1:18" hidden="1">
      <c r="A2413" t="s">
        <v>21</v>
      </c>
      <c r="B2413" t="s">
        <v>19</v>
      </c>
      <c r="C2413" t="str">
        <f>SUBSTITUTE(Table1[[#This Row],[Fuel]],", ",",")</f>
        <v>bioenergy: refuse (municipal and industrial wastes)</v>
      </c>
      <c r="D2413" t="s">
        <v>19</v>
      </c>
      <c r="G2413">
        <v>7.5</v>
      </c>
      <c r="H2413" t="s">
        <v>27</v>
      </c>
      <c r="I2413">
        <v>2021</v>
      </c>
      <c r="J2413" t="s">
        <v>21</v>
      </c>
      <c r="K2413">
        <v>35.205193999999999</v>
      </c>
      <c r="L2413">
        <v>114.749731</v>
      </c>
      <c r="M2413" t="s">
        <v>102</v>
      </c>
      <c r="N2413" s="2">
        <f>Table1[[#This Row],[Capacity (MW)]]*8760*0.72*10^-6</f>
        <v>4.7303999999999999E-2</v>
      </c>
      <c r="O2413" s="2" cm="1">
        <f t="array" ref="O2413">AVERAGE(VLOOKUP(_xlfn.TEXTSPLIT(Table1[[#This Row],[Fuel (no space after comma)]], ","), FuelList_Final_EF!$A$2:$B$32, 2, FALSE))</f>
        <v>105.42962572482868</v>
      </c>
      <c r="P2413" s="2">
        <f>(16112*Table1[[#This Row],[Generation (TWh)]]*10^9)/10^6</f>
        <v>762162.04799999995</v>
      </c>
      <c r="Q2413" s="2">
        <f>Table1[[#This Row],[Emission Factor (kg CO2/ mmBtu)]]*Table1[[#This Row],[Fuel Consumption (mmBtu)]]*10^3</f>
        <v>80354459462.308914</v>
      </c>
      <c r="R2413" s="2">
        <f>(Table1[[#This Row],[CO2 Emissions (g CO2)]])/(Table1[[#This Row],[Generation (TWh)]]*10^9)</f>
        <v>1698.6821296784397</v>
      </c>
    </row>
    <row r="2414" spans="1:18" hidden="1">
      <c r="A2414" t="s">
        <v>21</v>
      </c>
      <c r="B2414" t="s">
        <v>19</v>
      </c>
      <c r="C2414" t="str">
        <f>SUBSTITUTE(Table1[[#This Row],[Fuel]],", ",",")</f>
        <v>bioenergy: refuse (municipal and industrial wastes)</v>
      </c>
      <c r="D2414" t="s">
        <v>19</v>
      </c>
      <c r="G2414">
        <v>15</v>
      </c>
      <c r="H2414" t="s">
        <v>27</v>
      </c>
      <c r="I2414">
        <v>2019</v>
      </c>
      <c r="J2414" t="s">
        <v>21</v>
      </c>
      <c r="K2414">
        <v>35.205193999999999</v>
      </c>
      <c r="L2414">
        <v>114.749731</v>
      </c>
      <c r="M2414" t="s">
        <v>102</v>
      </c>
      <c r="N2414" s="2">
        <f>Table1[[#This Row],[Capacity (MW)]]*8760*0.72*10^-6</f>
        <v>9.4607999999999998E-2</v>
      </c>
      <c r="O2414" s="2" cm="1">
        <f t="array" ref="O2414">AVERAGE(VLOOKUP(_xlfn.TEXTSPLIT(Table1[[#This Row],[Fuel (no space after comma)]], ","), FuelList_Final_EF!$A$2:$B$32, 2, FALSE))</f>
        <v>105.42962572482868</v>
      </c>
      <c r="P2414" s="2">
        <f>(16112*Table1[[#This Row],[Generation (TWh)]]*10^9)/10^6</f>
        <v>1524324.0959999999</v>
      </c>
      <c r="Q2414" s="2">
        <f>Table1[[#This Row],[Emission Factor (kg CO2/ mmBtu)]]*Table1[[#This Row],[Fuel Consumption (mmBtu)]]*10^3</f>
        <v>160708918924.61783</v>
      </c>
      <c r="R2414" s="2">
        <f>(Table1[[#This Row],[CO2 Emissions (g CO2)]])/(Table1[[#This Row],[Generation (TWh)]]*10^9)</f>
        <v>1698.6821296784397</v>
      </c>
    </row>
    <row r="2415" spans="1:18" hidden="1">
      <c r="A2415" t="s">
        <v>21</v>
      </c>
      <c r="B2415" t="s">
        <v>19</v>
      </c>
      <c r="C2415" t="str">
        <f>SUBSTITUTE(Table1[[#This Row],[Fuel]],", ",",")</f>
        <v>bioenergy: refuse (municipal and industrial wastes)</v>
      </c>
      <c r="D2415" t="s">
        <v>19</v>
      </c>
      <c r="G2415">
        <v>20</v>
      </c>
      <c r="H2415" t="s">
        <v>27</v>
      </c>
      <c r="I2415">
        <v>2021</v>
      </c>
      <c r="J2415" t="s">
        <v>21</v>
      </c>
      <c r="K2415">
        <v>32.563721000000001</v>
      </c>
      <c r="L2415">
        <v>111.980774</v>
      </c>
      <c r="M2415" t="s">
        <v>102</v>
      </c>
      <c r="N2415" s="2">
        <f>Table1[[#This Row],[Capacity (MW)]]*8760*0.72*10^-6</f>
        <v>0.12614400000000001</v>
      </c>
      <c r="O2415" s="2" cm="1">
        <f t="array" ref="O2415">AVERAGE(VLOOKUP(_xlfn.TEXTSPLIT(Table1[[#This Row],[Fuel (no space after comma)]], ","), FuelList_Final_EF!$A$2:$B$32, 2, FALSE))</f>
        <v>105.42962572482868</v>
      </c>
      <c r="P2415" s="2">
        <f>(16112*Table1[[#This Row],[Generation (TWh)]]*10^9)/10^6</f>
        <v>2032432.1280000003</v>
      </c>
      <c r="Q2415" s="2">
        <f>Table1[[#This Row],[Emission Factor (kg CO2/ mmBtu)]]*Table1[[#This Row],[Fuel Consumption (mmBtu)]]*10^3</f>
        <v>214278558566.15714</v>
      </c>
      <c r="R2415" s="2">
        <f>(Table1[[#This Row],[CO2 Emissions (g CO2)]])/(Table1[[#This Row],[Generation (TWh)]]*10^9)</f>
        <v>1698.6821296784401</v>
      </c>
    </row>
    <row r="2416" spans="1:18" hidden="1">
      <c r="A2416" t="s">
        <v>21</v>
      </c>
      <c r="B2416" t="s">
        <v>19</v>
      </c>
      <c r="C2416" t="str">
        <f>SUBSTITUTE(Table1[[#This Row],[Fuel]],", ",",")</f>
        <v>bioenergy: refuse (municipal and industrial wastes)</v>
      </c>
      <c r="D2416" t="s">
        <v>19</v>
      </c>
      <c r="G2416">
        <v>16</v>
      </c>
      <c r="H2416" t="s">
        <v>27</v>
      </c>
      <c r="I2416">
        <v>2021</v>
      </c>
      <c r="J2416" t="s">
        <v>21</v>
      </c>
      <c r="K2416">
        <v>32.201428999999997</v>
      </c>
      <c r="L2416">
        <v>115.602412</v>
      </c>
      <c r="M2416" t="s">
        <v>102</v>
      </c>
      <c r="N2416" s="2">
        <f>Table1[[#This Row],[Capacity (MW)]]*8760*0.72*10^-6</f>
        <v>0.1009152</v>
      </c>
      <c r="O2416" s="2" cm="1">
        <f t="array" ref="O2416">AVERAGE(VLOOKUP(_xlfn.TEXTSPLIT(Table1[[#This Row],[Fuel (no space after comma)]], ","), FuelList_Final_EF!$A$2:$B$32, 2, FALSE))</f>
        <v>105.42962572482868</v>
      </c>
      <c r="P2416" s="2">
        <f>(16112*Table1[[#This Row],[Generation (TWh)]]*10^9)/10^6</f>
        <v>1625945.7023999998</v>
      </c>
      <c r="Q2416" s="2">
        <f>Table1[[#This Row],[Emission Factor (kg CO2/ mmBtu)]]*Table1[[#This Row],[Fuel Consumption (mmBtu)]]*10^3</f>
        <v>171422846852.92566</v>
      </c>
      <c r="R2416" s="2">
        <f>(Table1[[#This Row],[CO2 Emissions (g CO2)]])/(Table1[[#This Row],[Generation (TWh)]]*10^9)</f>
        <v>1698.6821296784394</v>
      </c>
    </row>
    <row r="2417" spans="1:18" hidden="1">
      <c r="A2417" t="s">
        <v>21</v>
      </c>
      <c r="B2417" t="s">
        <v>19</v>
      </c>
      <c r="C2417" t="str">
        <f>SUBSTITUTE(Table1[[#This Row],[Fuel]],", ",",")</f>
        <v>bioenergy: refuse (municipal and industrial wastes)</v>
      </c>
      <c r="D2417" t="s">
        <v>19</v>
      </c>
      <c r="G2417">
        <v>15</v>
      </c>
      <c r="H2417" t="s">
        <v>27</v>
      </c>
      <c r="I2417">
        <v>2021</v>
      </c>
      <c r="J2417" t="s">
        <v>21</v>
      </c>
      <c r="K2417">
        <v>35.545851999999996</v>
      </c>
      <c r="L2417">
        <v>113.781183</v>
      </c>
      <c r="M2417" t="s">
        <v>102</v>
      </c>
      <c r="N2417" s="2">
        <f>Table1[[#This Row],[Capacity (MW)]]*8760*0.72*10^-6</f>
        <v>9.4607999999999998E-2</v>
      </c>
      <c r="O2417" s="2" cm="1">
        <f t="array" ref="O2417">AVERAGE(VLOOKUP(_xlfn.TEXTSPLIT(Table1[[#This Row],[Fuel (no space after comma)]], ","), FuelList_Final_EF!$A$2:$B$32, 2, FALSE))</f>
        <v>105.42962572482868</v>
      </c>
      <c r="P2417" s="2">
        <f>(16112*Table1[[#This Row],[Generation (TWh)]]*10^9)/10^6</f>
        <v>1524324.0959999999</v>
      </c>
      <c r="Q2417" s="2">
        <f>Table1[[#This Row],[Emission Factor (kg CO2/ mmBtu)]]*Table1[[#This Row],[Fuel Consumption (mmBtu)]]*10^3</f>
        <v>160708918924.61783</v>
      </c>
      <c r="R2417" s="2">
        <f>(Table1[[#This Row],[CO2 Emissions (g CO2)]])/(Table1[[#This Row],[Generation (TWh)]]*10^9)</f>
        <v>1698.6821296784397</v>
      </c>
    </row>
    <row r="2418" spans="1:18" hidden="1">
      <c r="A2418" t="s">
        <v>21</v>
      </c>
      <c r="B2418" t="s">
        <v>19</v>
      </c>
      <c r="C2418" t="str">
        <f>SUBSTITUTE(Table1[[#This Row],[Fuel]],", ",",")</f>
        <v>bioenergy: refuse (municipal and industrial wastes)</v>
      </c>
      <c r="D2418" t="s">
        <v>19</v>
      </c>
      <c r="G2418">
        <v>10</v>
      </c>
      <c r="H2418" t="s">
        <v>27</v>
      </c>
      <c r="I2418">
        <v>2021</v>
      </c>
      <c r="J2418" t="s">
        <v>21</v>
      </c>
      <c r="K2418">
        <v>36.113059</v>
      </c>
      <c r="L2418">
        <v>113.894972</v>
      </c>
      <c r="M2418" t="s">
        <v>102</v>
      </c>
      <c r="N2418" s="2">
        <f>Table1[[#This Row],[Capacity (MW)]]*8760*0.72*10^-6</f>
        <v>6.3072000000000003E-2</v>
      </c>
      <c r="O2418" s="2" cm="1">
        <f t="array" ref="O2418">AVERAGE(VLOOKUP(_xlfn.TEXTSPLIT(Table1[[#This Row],[Fuel (no space after comma)]], ","), FuelList_Final_EF!$A$2:$B$32, 2, FALSE))</f>
        <v>105.42962572482868</v>
      </c>
      <c r="P2418" s="2">
        <f>(16112*Table1[[#This Row],[Generation (TWh)]]*10^9)/10^6</f>
        <v>1016216.0640000001</v>
      </c>
      <c r="Q2418" s="2">
        <f>Table1[[#This Row],[Emission Factor (kg CO2/ mmBtu)]]*Table1[[#This Row],[Fuel Consumption (mmBtu)]]*10^3</f>
        <v>107139279283.07857</v>
      </c>
      <c r="R2418" s="2">
        <f>(Table1[[#This Row],[CO2 Emissions (g CO2)]])/(Table1[[#This Row],[Generation (TWh)]]*10^9)</f>
        <v>1698.6821296784401</v>
      </c>
    </row>
    <row r="2419" spans="1:18" hidden="1">
      <c r="A2419" t="s">
        <v>21</v>
      </c>
      <c r="B2419" t="s">
        <v>19</v>
      </c>
      <c r="C2419" t="str">
        <f>SUBSTITUTE(Table1[[#This Row],[Fuel]],", ",",")</f>
        <v>bioenergy: refuse (municipal and industrial wastes)</v>
      </c>
      <c r="D2419" t="s">
        <v>19</v>
      </c>
      <c r="G2419">
        <v>15</v>
      </c>
      <c r="H2419" t="s">
        <v>27</v>
      </c>
      <c r="I2419">
        <v>2017</v>
      </c>
      <c r="J2419" t="s">
        <v>21</v>
      </c>
      <c r="K2419">
        <v>34.611393999999997</v>
      </c>
      <c r="L2419">
        <v>112.287868</v>
      </c>
      <c r="M2419" t="s">
        <v>102</v>
      </c>
      <c r="N2419" s="2">
        <f>Table1[[#This Row],[Capacity (MW)]]*8760*0.72*10^-6</f>
        <v>9.4607999999999998E-2</v>
      </c>
      <c r="O2419" s="2" cm="1">
        <f t="array" ref="O2419">AVERAGE(VLOOKUP(_xlfn.TEXTSPLIT(Table1[[#This Row],[Fuel (no space after comma)]], ","), FuelList_Final_EF!$A$2:$B$32, 2, FALSE))</f>
        <v>105.42962572482868</v>
      </c>
      <c r="P2419" s="2">
        <f>(16112*Table1[[#This Row],[Generation (TWh)]]*10^9)/10^6</f>
        <v>1524324.0959999999</v>
      </c>
      <c r="Q2419" s="2">
        <f>Table1[[#This Row],[Emission Factor (kg CO2/ mmBtu)]]*Table1[[#This Row],[Fuel Consumption (mmBtu)]]*10^3</f>
        <v>160708918924.61783</v>
      </c>
      <c r="R2419" s="2">
        <f>(Table1[[#This Row],[CO2 Emissions (g CO2)]])/(Table1[[#This Row],[Generation (TWh)]]*10^9)</f>
        <v>1698.6821296784397</v>
      </c>
    </row>
    <row r="2420" spans="1:18" hidden="1">
      <c r="A2420" t="s">
        <v>21</v>
      </c>
      <c r="B2420" t="s">
        <v>19</v>
      </c>
      <c r="C2420" t="str">
        <f>SUBSTITUTE(Table1[[#This Row],[Fuel]],", ",",")</f>
        <v>bioenergy: refuse (municipal and industrial wastes)</v>
      </c>
      <c r="D2420" t="s">
        <v>19</v>
      </c>
      <c r="G2420">
        <v>15</v>
      </c>
      <c r="H2420" t="s">
        <v>27</v>
      </c>
      <c r="I2420">
        <v>2017</v>
      </c>
      <c r="J2420" t="s">
        <v>21</v>
      </c>
      <c r="K2420">
        <v>34.611393999999997</v>
      </c>
      <c r="L2420">
        <v>112.287868</v>
      </c>
      <c r="M2420" t="s">
        <v>102</v>
      </c>
      <c r="N2420" s="2">
        <f>Table1[[#This Row],[Capacity (MW)]]*8760*0.72*10^-6</f>
        <v>9.4607999999999998E-2</v>
      </c>
      <c r="O2420" s="2" cm="1">
        <f t="array" ref="O2420">AVERAGE(VLOOKUP(_xlfn.TEXTSPLIT(Table1[[#This Row],[Fuel (no space after comma)]], ","), FuelList_Final_EF!$A$2:$B$32, 2, FALSE))</f>
        <v>105.42962572482868</v>
      </c>
      <c r="P2420" s="2">
        <f>(16112*Table1[[#This Row],[Generation (TWh)]]*10^9)/10^6</f>
        <v>1524324.0959999999</v>
      </c>
      <c r="Q2420" s="2">
        <f>Table1[[#This Row],[Emission Factor (kg CO2/ mmBtu)]]*Table1[[#This Row],[Fuel Consumption (mmBtu)]]*10^3</f>
        <v>160708918924.61783</v>
      </c>
      <c r="R2420" s="2">
        <f>(Table1[[#This Row],[CO2 Emissions (g CO2)]])/(Table1[[#This Row],[Generation (TWh)]]*10^9)</f>
        <v>1698.6821296784397</v>
      </c>
    </row>
    <row r="2421" spans="1:18" hidden="1">
      <c r="A2421" t="s">
        <v>21</v>
      </c>
      <c r="B2421" t="s">
        <v>19</v>
      </c>
      <c r="C2421" t="str">
        <f>SUBSTITUTE(Table1[[#This Row],[Fuel]],", ",",")</f>
        <v>bioenergy: refuse (municipal and industrial wastes)</v>
      </c>
      <c r="D2421" t="s">
        <v>19</v>
      </c>
      <c r="G2421">
        <v>12</v>
      </c>
      <c r="H2421" t="s">
        <v>27</v>
      </c>
      <c r="I2421">
        <v>2021</v>
      </c>
      <c r="J2421" t="s">
        <v>21</v>
      </c>
      <c r="K2421">
        <v>36.066682</v>
      </c>
      <c r="L2421">
        <v>115.318085</v>
      </c>
      <c r="M2421" t="s">
        <v>102</v>
      </c>
      <c r="N2421" s="2">
        <f>Table1[[#This Row],[Capacity (MW)]]*8760*0.72*10^-6</f>
        <v>7.5686399999999987E-2</v>
      </c>
      <c r="O2421" s="2" cm="1">
        <f t="array" ref="O2421">AVERAGE(VLOOKUP(_xlfn.TEXTSPLIT(Table1[[#This Row],[Fuel (no space after comma)]], ","), FuelList_Final_EF!$A$2:$B$32, 2, FALSE))</f>
        <v>105.42962572482868</v>
      </c>
      <c r="P2421" s="2">
        <f>(16112*Table1[[#This Row],[Generation (TWh)]]*10^9)/10^6</f>
        <v>1219459.2767999996</v>
      </c>
      <c r="Q2421" s="2">
        <f>Table1[[#This Row],[Emission Factor (kg CO2/ mmBtu)]]*Table1[[#This Row],[Fuel Consumption (mmBtu)]]*10^3</f>
        <v>128567135139.69423</v>
      </c>
      <c r="R2421" s="2">
        <f>(Table1[[#This Row],[CO2 Emissions (g CO2)]])/(Table1[[#This Row],[Generation (TWh)]]*10^9)</f>
        <v>1698.6821296784397</v>
      </c>
    </row>
    <row r="2422" spans="1:18" hidden="1">
      <c r="A2422" t="s">
        <v>21</v>
      </c>
      <c r="B2422" t="s">
        <v>19</v>
      </c>
      <c r="C2422" t="str">
        <f>SUBSTITUTE(Table1[[#This Row],[Fuel]],", ",",")</f>
        <v>bioenergy: refuse (municipal and industrial wastes)</v>
      </c>
      <c r="D2422" t="s">
        <v>19</v>
      </c>
      <c r="G2422">
        <v>15</v>
      </c>
      <c r="H2422" t="s">
        <v>27</v>
      </c>
      <c r="I2422">
        <v>2021</v>
      </c>
      <c r="J2422" t="s">
        <v>21</v>
      </c>
      <c r="K2422">
        <v>32.951636000000001</v>
      </c>
      <c r="L2422">
        <v>112.462221</v>
      </c>
      <c r="M2422" t="s">
        <v>102</v>
      </c>
      <c r="N2422" s="2">
        <f>Table1[[#This Row],[Capacity (MW)]]*8760*0.72*10^-6</f>
        <v>9.4607999999999998E-2</v>
      </c>
      <c r="O2422" s="2" cm="1">
        <f t="array" ref="O2422">AVERAGE(VLOOKUP(_xlfn.TEXTSPLIT(Table1[[#This Row],[Fuel (no space after comma)]], ","), FuelList_Final_EF!$A$2:$B$32, 2, FALSE))</f>
        <v>105.42962572482868</v>
      </c>
      <c r="P2422" s="2">
        <f>(16112*Table1[[#This Row],[Generation (TWh)]]*10^9)/10^6</f>
        <v>1524324.0959999999</v>
      </c>
      <c r="Q2422" s="2">
        <f>Table1[[#This Row],[Emission Factor (kg CO2/ mmBtu)]]*Table1[[#This Row],[Fuel Consumption (mmBtu)]]*10^3</f>
        <v>160708918924.61783</v>
      </c>
      <c r="R2422" s="2">
        <f>(Table1[[#This Row],[CO2 Emissions (g CO2)]])/(Table1[[#This Row],[Generation (TWh)]]*10^9)</f>
        <v>1698.6821296784397</v>
      </c>
    </row>
    <row r="2423" spans="1:18" hidden="1">
      <c r="A2423" t="s">
        <v>21</v>
      </c>
      <c r="B2423" t="s">
        <v>19</v>
      </c>
      <c r="C2423" t="str">
        <f>SUBSTITUTE(Table1[[#This Row],[Fuel]],", ",",")</f>
        <v>bioenergy: refuse (municipal and industrial wastes)</v>
      </c>
      <c r="D2423" t="s">
        <v>19</v>
      </c>
      <c r="G2423">
        <v>20</v>
      </c>
      <c r="H2423" t="s">
        <v>27</v>
      </c>
      <c r="I2423">
        <v>2021</v>
      </c>
      <c r="J2423" t="s">
        <v>21</v>
      </c>
      <c r="K2423">
        <v>32.951636000000001</v>
      </c>
      <c r="L2423">
        <v>112.462221</v>
      </c>
      <c r="M2423" t="s">
        <v>102</v>
      </c>
      <c r="N2423" s="2">
        <f>Table1[[#This Row],[Capacity (MW)]]*8760*0.72*10^-6</f>
        <v>0.12614400000000001</v>
      </c>
      <c r="O2423" s="2" cm="1">
        <f t="array" ref="O2423">AVERAGE(VLOOKUP(_xlfn.TEXTSPLIT(Table1[[#This Row],[Fuel (no space after comma)]], ","), FuelList_Final_EF!$A$2:$B$32, 2, FALSE))</f>
        <v>105.42962572482868</v>
      </c>
      <c r="P2423" s="2">
        <f>(16112*Table1[[#This Row],[Generation (TWh)]]*10^9)/10^6</f>
        <v>2032432.1280000003</v>
      </c>
      <c r="Q2423" s="2">
        <f>Table1[[#This Row],[Emission Factor (kg CO2/ mmBtu)]]*Table1[[#This Row],[Fuel Consumption (mmBtu)]]*10^3</f>
        <v>214278558566.15714</v>
      </c>
      <c r="R2423" s="2">
        <f>(Table1[[#This Row],[CO2 Emissions (g CO2)]])/(Table1[[#This Row],[Generation (TWh)]]*10^9)</f>
        <v>1698.6821296784401</v>
      </c>
    </row>
    <row r="2424" spans="1:18" hidden="1">
      <c r="A2424" t="s">
        <v>21</v>
      </c>
      <c r="B2424" t="s">
        <v>19</v>
      </c>
      <c r="C2424" t="str">
        <f>SUBSTITUTE(Table1[[#This Row],[Fuel]],", ",",")</f>
        <v>bioenergy: refuse (municipal and industrial wastes)</v>
      </c>
      <c r="D2424" t="s">
        <v>19</v>
      </c>
      <c r="G2424">
        <v>20</v>
      </c>
      <c r="H2424" t="s">
        <v>27</v>
      </c>
      <c r="I2424">
        <v>2021</v>
      </c>
      <c r="J2424" t="s">
        <v>21</v>
      </c>
      <c r="K2424">
        <v>32.951636000000001</v>
      </c>
      <c r="L2424">
        <v>112.462221</v>
      </c>
      <c r="M2424" t="s">
        <v>102</v>
      </c>
      <c r="N2424" s="2">
        <f>Table1[[#This Row],[Capacity (MW)]]*8760*0.72*10^-6</f>
        <v>0.12614400000000001</v>
      </c>
      <c r="O2424" s="2" cm="1">
        <f t="array" ref="O2424">AVERAGE(VLOOKUP(_xlfn.TEXTSPLIT(Table1[[#This Row],[Fuel (no space after comma)]], ","), FuelList_Final_EF!$A$2:$B$32, 2, FALSE))</f>
        <v>105.42962572482868</v>
      </c>
      <c r="P2424" s="2">
        <f>(16112*Table1[[#This Row],[Generation (TWh)]]*10^9)/10^6</f>
        <v>2032432.1280000003</v>
      </c>
      <c r="Q2424" s="2">
        <f>Table1[[#This Row],[Emission Factor (kg CO2/ mmBtu)]]*Table1[[#This Row],[Fuel Consumption (mmBtu)]]*10^3</f>
        <v>214278558566.15714</v>
      </c>
      <c r="R2424" s="2">
        <f>(Table1[[#This Row],[CO2 Emissions (g CO2)]])/(Table1[[#This Row],[Generation (TWh)]]*10^9)</f>
        <v>1698.6821296784401</v>
      </c>
    </row>
    <row r="2425" spans="1:18" hidden="1">
      <c r="A2425" t="s">
        <v>21</v>
      </c>
      <c r="B2425" t="s">
        <v>19</v>
      </c>
      <c r="C2425" t="str">
        <f>SUBSTITUTE(Table1[[#This Row],[Fuel]],", ",",")</f>
        <v>bioenergy: refuse (municipal and industrial wastes)</v>
      </c>
      <c r="D2425" t="s">
        <v>19</v>
      </c>
      <c r="G2425">
        <v>6</v>
      </c>
      <c r="H2425" t="s">
        <v>27</v>
      </c>
      <c r="I2425">
        <v>2023</v>
      </c>
      <c r="J2425" t="s">
        <v>21</v>
      </c>
      <c r="K2425">
        <v>35.967323</v>
      </c>
      <c r="L2425">
        <v>114.803397</v>
      </c>
      <c r="M2425" t="s">
        <v>102</v>
      </c>
      <c r="N2425" s="2">
        <f>Table1[[#This Row],[Capacity (MW)]]*8760*0.72*10^-6</f>
        <v>3.7843199999999994E-2</v>
      </c>
      <c r="O2425" s="2" cm="1">
        <f t="array" ref="O2425">AVERAGE(VLOOKUP(_xlfn.TEXTSPLIT(Table1[[#This Row],[Fuel (no space after comma)]], ","), FuelList_Final_EF!$A$2:$B$32, 2, FALSE))</f>
        <v>105.42962572482868</v>
      </c>
      <c r="P2425" s="2">
        <f>(16112*Table1[[#This Row],[Generation (TWh)]]*10^9)/10^6</f>
        <v>609729.63839999982</v>
      </c>
      <c r="Q2425" s="2">
        <f>Table1[[#This Row],[Emission Factor (kg CO2/ mmBtu)]]*Table1[[#This Row],[Fuel Consumption (mmBtu)]]*10^3</f>
        <v>64283567569.847115</v>
      </c>
      <c r="R2425" s="2">
        <f>(Table1[[#This Row],[CO2 Emissions (g CO2)]])/(Table1[[#This Row],[Generation (TWh)]]*10^9)</f>
        <v>1698.6821296784397</v>
      </c>
    </row>
    <row r="2426" spans="1:18" hidden="1">
      <c r="A2426" t="s">
        <v>21</v>
      </c>
      <c r="B2426" t="s">
        <v>19</v>
      </c>
      <c r="C2426" t="str">
        <f>SUBSTITUTE(Table1[[#This Row],[Fuel]],", ",",")</f>
        <v>bioenergy: refuse (municipal and industrial wastes)</v>
      </c>
      <c r="D2426" t="s">
        <v>19</v>
      </c>
      <c r="G2426">
        <v>15</v>
      </c>
      <c r="H2426" t="s">
        <v>27</v>
      </c>
      <c r="I2426">
        <v>2021</v>
      </c>
      <c r="J2426" t="s">
        <v>21</v>
      </c>
      <c r="K2426">
        <v>32.887380999999998</v>
      </c>
      <c r="L2426">
        <v>114.68273600000001</v>
      </c>
      <c r="M2426" t="s">
        <v>102</v>
      </c>
      <c r="N2426" s="2">
        <f>Table1[[#This Row],[Capacity (MW)]]*8760*0.72*10^-6</f>
        <v>9.4607999999999998E-2</v>
      </c>
      <c r="O2426" s="2" cm="1">
        <f t="array" ref="O2426">AVERAGE(VLOOKUP(_xlfn.TEXTSPLIT(Table1[[#This Row],[Fuel (no space after comma)]], ","), FuelList_Final_EF!$A$2:$B$32, 2, FALSE))</f>
        <v>105.42962572482868</v>
      </c>
      <c r="P2426" s="2">
        <f>(16112*Table1[[#This Row],[Generation (TWh)]]*10^9)/10^6</f>
        <v>1524324.0959999999</v>
      </c>
      <c r="Q2426" s="2">
        <f>Table1[[#This Row],[Emission Factor (kg CO2/ mmBtu)]]*Table1[[#This Row],[Fuel Consumption (mmBtu)]]*10^3</f>
        <v>160708918924.61783</v>
      </c>
      <c r="R2426" s="2">
        <f>(Table1[[#This Row],[CO2 Emissions (g CO2)]])/(Table1[[#This Row],[Generation (TWh)]]*10^9)</f>
        <v>1698.6821296784397</v>
      </c>
    </row>
    <row r="2427" spans="1:18" hidden="1">
      <c r="A2427" t="s">
        <v>21</v>
      </c>
      <c r="B2427" t="s">
        <v>19</v>
      </c>
      <c r="C2427" t="str">
        <f>SUBSTITUTE(Table1[[#This Row],[Fuel]],", ",",")</f>
        <v>bioenergy: refuse (municipal and industrial wastes)</v>
      </c>
      <c r="D2427" t="s">
        <v>19</v>
      </c>
      <c r="G2427">
        <v>18</v>
      </c>
      <c r="H2427" t="s">
        <v>27</v>
      </c>
      <c r="I2427">
        <v>2020</v>
      </c>
      <c r="J2427" t="s">
        <v>21</v>
      </c>
      <c r="K2427">
        <v>35.854748999999998</v>
      </c>
      <c r="L2427">
        <v>114.96298</v>
      </c>
      <c r="M2427" t="s">
        <v>102</v>
      </c>
      <c r="N2427" s="2">
        <f>Table1[[#This Row],[Capacity (MW)]]*8760*0.72*10^-6</f>
        <v>0.11352959999999998</v>
      </c>
      <c r="O2427" s="2" cm="1">
        <f t="array" ref="O2427">AVERAGE(VLOOKUP(_xlfn.TEXTSPLIT(Table1[[#This Row],[Fuel (no space after comma)]], ","), FuelList_Final_EF!$A$2:$B$32, 2, FALSE))</f>
        <v>105.42962572482868</v>
      </c>
      <c r="P2427" s="2">
        <f>(16112*Table1[[#This Row],[Generation (TWh)]]*10^9)/10^6</f>
        <v>1829188.9151999997</v>
      </c>
      <c r="Q2427" s="2">
        <f>Table1[[#This Row],[Emission Factor (kg CO2/ mmBtu)]]*Table1[[#This Row],[Fuel Consumption (mmBtu)]]*10^3</f>
        <v>192850702709.54135</v>
      </c>
      <c r="R2427" s="2">
        <f>(Table1[[#This Row],[CO2 Emissions (g CO2)]])/(Table1[[#This Row],[Generation (TWh)]]*10^9)</f>
        <v>1698.6821296784397</v>
      </c>
    </row>
    <row r="2428" spans="1:18" hidden="1">
      <c r="A2428" t="s">
        <v>615</v>
      </c>
      <c r="B2428" t="s">
        <v>19</v>
      </c>
      <c r="C2428" t="str">
        <f>SUBSTITUTE(Table1[[#This Row],[Fuel]],", ",",")</f>
        <v>bioenergy: refuse (municipal and industrial wastes)</v>
      </c>
      <c r="D2428" t="s">
        <v>19</v>
      </c>
      <c r="G2428">
        <v>10.8</v>
      </c>
      <c r="H2428" t="s">
        <v>27</v>
      </c>
      <c r="I2428">
        <v>2021</v>
      </c>
      <c r="J2428" t="s">
        <v>21</v>
      </c>
      <c r="K2428">
        <v>34.538200000000003</v>
      </c>
      <c r="L2428">
        <v>114.80410000000001</v>
      </c>
      <c r="M2428" t="s">
        <v>102</v>
      </c>
      <c r="N2428" s="2">
        <f>Table1[[#This Row],[Capacity (MW)]]*8760*0.72*10^-6</f>
        <v>6.8117759999999986E-2</v>
      </c>
      <c r="O2428" s="2" cm="1">
        <f t="array" ref="O2428">AVERAGE(VLOOKUP(_xlfn.TEXTSPLIT(Table1[[#This Row],[Fuel (no space after comma)]], ","), FuelList_Final_EF!$A$2:$B$32, 2, FALSE))</f>
        <v>105.42962572482868</v>
      </c>
      <c r="P2428" s="2">
        <f>(16112*Table1[[#This Row],[Generation (TWh)]]*10^9)/10^6</f>
        <v>1097513.3491199997</v>
      </c>
      <c r="Q2428" s="2">
        <f>Table1[[#This Row],[Emission Factor (kg CO2/ mmBtu)]]*Table1[[#This Row],[Fuel Consumption (mmBtu)]]*10^3</f>
        <v>115710421625.72481</v>
      </c>
      <c r="R2428" s="2">
        <f>(Table1[[#This Row],[CO2 Emissions (g CO2)]])/(Table1[[#This Row],[Generation (TWh)]]*10^9)</f>
        <v>1698.6821296784397</v>
      </c>
    </row>
    <row r="2429" spans="1:18" hidden="1">
      <c r="A2429" t="s">
        <v>625</v>
      </c>
      <c r="B2429" t="s">
        <v>19</v>
      </c>
      <c r="C2429" t="str">
        <f>SUBSTITUTE(Table1[[#This Row],[Fuel]],", ",",")</f>
        <v>bioenergy: refuse (municipal and industrial wastes)</v>
      </c>
      <c r="D2429" t="s">
        <v>19</v>
      </c>
      <c r="G2429">
        <v>1.2</v>
      </c>
      <c r="H2429" t="s">
        <v>27</v>
      </c>
      <c r="I2429">
        <v>2021</v>
      </c>
      <c r="J2429" t="s">
        <v>21</v>
      </c>
      <c r="K2429">
        <v>34.538200000000003</v>
      </c>
      <c r="L2429">
        <v>114.80410000000001</v>
      </c>
      <c r="M2429" t="s">
        <v>102</v>
      </c>
      <c r="N2429" s="2">
        <f>Table1[[#This Row],[Capacity (MW)]]*8760*0.72*10^-6</f>
        <v>7.5686399999999989E-3</v>
      </c>
      <c r="O2429" s="2" cm="1">
        <f t="array" ref="O2429">AVERAGE(VLOOKUP(_xlfn.TEXTSPLIT(Table1[[#This Row],[Fuel (no space after comma)]], ","), FuelList_Final_EF!$A$2:$B$32, 2, FALSE))</f>
        <v>105.42962572482868</v>
      </c>
      <c r="P2429" s="2">
        <f>(16112*Table1[[#This Row],[Generation (TWh)]]*10^9)/10^6</f>
        <v>121945.92767999998</v>
      </c>
      <c r="Q2429" s="2">
        <f>Table1[[#This Row],[Emission Factor (kg CO2/ mmBtu)]]*Table1[[#This Row],[Fuel Consumption (mmBtu)]]*10^3</f>
        <v>12856713513.969423</v>
      </c>
      <c r="R2429" s="2">
        <f>(Table1[[#This Row],[CO2 Emissions (g CO2)]])/(Table1[[#This Row],[Generation (TWh)]]*10^9)</f>
        <v>1698.6821296784397</v>
      </c>
    </row>
    <row r="2430" spans="1:18" hidden="1">
      <c r="A2430" t="s">
        <v>21</v>
      </c>
      <c r="B2430" t="s">
        <v>19</v>
      </c>
      <c r="C2430" t="str">
        <f>SUBSTITUTE(Table1[[#This Row],[Fuel]],", ",",")</f>
        <v>bioenergy: refuse (municipal and industrial wastes)</v>
      </c>
      <c r="D2430" t="s">
        <v>19</v>
      </c>
      <c r="G2430">
        <v>12</v>
      </c>
      <c r="H2430" t="s">
        <v>27</v>
      </c>
      <c r="I2430">
        <v>2020</v>
      </c>
      <c r="J2430" t="s">
        <v>21</v>
      </c>
      <c r="K2430">
        <v>32.968873000000002</v>
      </c>
      <c r="L2430">
        <v>114.32035999999999</v>
      </c>
      <c r="M2430" t="s">
        <v>102</v>
      </c>
      <c r="N2430" s="2">
        <f>Table1[[#This Row],[Capacity (MW)]]*8760*0.72*10^-6</f>
        <v>7.5686399999999987E-2</v>
      </c>
      <c r="O2430" s="2" cm="1">
        <f t="array" ref="O2430">AVERAGE(VLOOKUP(_xlfn.TEXTSPLIT(Table1[[#This Row],[Fuel (no space after comma)]], ","), FuelList_Final_EF!$A$2:$B$32, 2, FALSE))</f>
        <v>105.42962572482868</v>
      </c>
      <c r="P2430" s="2">
        <f>(16112*Table1[[#This Row],[Generation (TWh)]]*10^9)/10^6</f>
        <v>1219459.2767999996</v>
      </c>
      <c r="Q2430" s="2">
        <f>Table1[[#This Row],[Emission Factor (kg CO2/ mmBtu)]]*Table1[[#This Row],[Fuel Consumption (mmBtu)]]*10^3</f>
        <v>128567135139.69423</v>
      </c>
      <c r="R2430" s="2">
        <f>(Table1[[#This Row],[CO2 Emissions (g CO2)]])/(Table1[[#This Row],[Generation (TWh)]]*10^9)</f>
        <v>1698.6821296784397</v>
      </c>
    </row>
    <row r="2431" spans="1:18" hidden="1">
      <c r="A2431" t="s">
        <v>21</v>
      </c>
      <c r="B2431" t="s">
        <v>19</v>
      </c>
      <c r="C2431" t="str">
        <f>SUBSTITUTE(Table1[[#This Row],[Fuel]],", ",",")</f>
        <v>bioenergy: refuse (municipal and industrial wastes)</v>
      </c>
      <c r="D2431" t="s">
        <v>19</v>
      </c>
      <c r="G2431">
        <v>18</v>
      </c>
      <c r="H2431" t="s">
        <v>27</v>
      </c>
      <c r="I2431">
        <v>2022</v>
      </c>
      <c r="J2431" t="s">
        <v>21</v>
      </c>
      <c r="K2431">
        <v>33.210935999999997</v>
      </c>
      <c r="L2431">
        <v>114.33102700000001</v>
      </c>
      <c r="M2431" t="s">
        <v>102</v>
      </c>
      <c r="N2431" s="2">
        <f>Table1[[#This Row],[Capacity (MW)]]*8760*0.72*10^-6</f>
        <v>0.11352959999999998</v>
      </c>
      <c r="O2431" s="2" cm="1">
        <f t="array" ref="O2431">AVERAGE(VLOOKUP(_xlfn.TEXTSPLIT(Table1[[#This Row],[Fuel (no space after comma)]], ","), FuelList_Final_EF!$A$2:$B$32, 2, FALSE))</f>
        <v>105.42962572482868</v>
      </c>
      <c r="P2431" s="2">
        <f>(16112*Table1[[#This Row],[Generation (TWh)]]*10^9)/10^6</f>
        <v>1829188.9151999997</v>
      </c>
      <c r="Q2431" s="2">
        <f>Table1[[#This Row],[Emission Factor (kg CO2/ mmBtu)]]*Table1[[#This Row],[Fuel Consumption (mmBtu)]]*10^3</f>
        <v>192850702709.54135</v>
      </c>
      <c r="R2431" s="2">
        <f>(Table1[[#This Row],[CO2 Emissions (g CO2)]])/(Table1[[#This Row],[Generation (TWh)]]*10^9)</f>
        <v>1698.6821296784397</v>
      </c>
    </row>
    <row r="2432" spans="1:18" hidden="1">
      <c r="A2432" t="s">
        <v>21</v>
      </c>
      <c r="B2432" t="s">
        <v>19</v>
      </c>
      <c r="C2432" t="str">
        <f>SUBSTITUTE(Table1[[#This Row],[Fuel]],", ",",")</f>
        <v>bioenergy: refuse (municipal and industrial wastes)</v>
      </c>
      <c r="D2432" t="s">
        <v>19</v>
      </c>
      <c r="G2432">
        <v>12</v>
      </c>
      <c r="H2432" t="s">
        <v>27</v>
      </c>
      <c r="I2432">
        <v>2022</v>
      </c>
      <c r="J2432" t="s">
        <v>21</v>
      </c>
      <c r="K2432">
        <v>31.793942000000001</v>
      </c>
      <c r="L2432">
        <v>115.47915399999999</v>
      </c>
      <c r="M2432" t="s">
        <v>102</v>
      </c>
      <c r="N2432" s="2">
        <f>Table1[[#This Row],[Capacity (MW)]]*8760*0.72*10^-6</f>
        <v>7.5686399999999987E-2</v>
      </c>
      <c r="O2432" s="2" cm="1">
        <f t="array" ref="O2432">AVERAGE(VLOOKUP(_xlfn.TEXTSPLIT(Table1[[#This Row],[Fuel (no space after comma)]], ","), FuelList_Final_EF!$A$2:$B$32, 2, FALSE))</f>
        <v>105.42962572482868</v>
      </c>
      <c r="P2432" s="2">
        <f>(16112*Table1[[#This Row],[Generation (TWh)]]*10^9)/10^6</f>
        <v>1219459.2767999996</v>
      </c>
      <c r="Q2432" s="2">
        <f>Table1[[#This Row],[Emission Factor (kg CO2/ mmBtu)]]*Table1[[#This Row],[Fuel Consumption (mmBtu)]]*10^3</f>
        <v>128567135139.69423</v>
      </c>
      <c r="R2432" s="2">
        <f>(Table1[[#This Row],[CO2 Emissions (g CO2)]])/(Table1[[#This Row],[Generation (TWh)]]*10^9)</f>
        <v>1698.6821296784397</v>
      </c>
    </row>
    <row r="2433" spans="1:18" hidden="1">
      <c r="A2433" t="s">
        <v>1319</v>
      </c>
      <c r="B2433" t="s">
        <v>19</v>
      </c>
      <c r="C2433" t="str">
        <f>SUBSTITUTE(Table1[[#This Row],[Fuel]],", ",",")</f>
        <v>bioenergy: refuse (municipal and industrial wastes)</v>
      </c>
      <c r="D2433" t="s">
        <v>19</v>
      </c>
      <c r="G2433">
        <v>12</v>
      </c>
      <c r="H2433" t="s">
        <v>27</v>
      </c>
      <c r="I2433">
        <v>2019</v>
      </c>
      <c r="J2433" t="s">
        <v>21</v>
      </c>
      <c r="K2433">
        <v>34.413476000000003</v>
      </c>
      <c r="L2433">
        <v>114.97199999999999</v>
      </c>
      <c r="M2433" t="s">
        <v>102</v>
      </c>
      <c r="N2433" s="2">
        <f>Table1[[#This Row],[Capacity (MW)]]*8760*0.72*10^-6</f>
        <v>7.5686399999999987E-2</v>
      </c>
      <c r="O2433" s="2" cm="1">
        <f t="array" ref="O2433">AVERAGE(VLOOKUP(_xlfn.TEXTSPLIT(Table1[[#This Row],[Fuel (no space after comma)]], ","), FuelList_Final_EF!$A$2:$B$32, 2, FALSE))</f>
        <v>105.42962572482868</v>
      </c>
      <c r="P2433" s="2">
        <f>(16112*Table1[[#This Row],[Generation (TWh)]]*10^9)/10^6</f>
        <v>1219459.2767999996</v>
      </c>
      <c r="Q2433" s="2">
        <f>Table1[[#This Row],[Emission Factor (kg CO2/ mmBtu)]]*Table1[[#This Row],[Fuel Consumption (mmBtu)]]*10^3</f>
        <v>128567135139.69423</v>
      </c>
      <c r="R2433" s="2">
        <f>(Table1[[#This Row],[CO2 Emissions (g CO2)]])/(Table1[[#This Row],[Generation (TWh)]]*10^9)</f>
        <v>1698.6821296784397</v>
      </c>
    </row>
    <row r="2434" spans="1:18" hidden="1">
      <c r="A2434" t="s">
        <v>1320</v>
      </c>
      <c r="B2434" t="s">
        <v>19</v>
      </c>
      <c r="C2434" t="str">
        <f>SUBSTITUTE(Table1[[#This Row],[Fuel]],", ",",")</f>
        <v>bioenergy: refuse (municipal and industrial wastes)</v>
      </c>
      <c r="D2434" t="s">
        <v>19</v>
      </c>
      <c r="G2434">
        <v>22</v>
      </c>
      <c r="H2434" t="s">
        <v>27</v>
      </c>
      <c r="I2434">
        <v>2022</v>
      </c>
      <c r="J2434" t="s">
        <v>21</v>
      </c>
      <c r="K2434">
        <v>33.071292</v>
      </c>
      <c r="L2434">
        <v>113.96268999999999</v>
      </c>
      <c r="M2434" t="s">
        <v>102</v>
      </c>
      <c r="N2434" s="2">
        <f>Table1[[#This Row],[Capacity (MW)]]*8760*0.72*10^-6</f>
        <v>0.13875839999999998</v>
      </c>
      <c r="O2434" s="2" cm="1">
        <f t="array" ref="O2434">AVERAGE(VLOOKUP(_xlfn.TEXTSPLIT(Table1[[#This Row],[Fuel (no space after comma)]], ","), FuelList_Final_EF!$A$2:$B$32, 2, FALSE))</f>
        <v>105.42962572482868</v>
      </c>
      <c r="P2434" s="2">
        <f>(16112*Table1[[#This Row],[Generation (TWh)]]*10^9)/10^6</f>
        <v>2235675.3407999994</v>
      </c>
      <c r="Q2434" s="2">
        <f>Table1[[#This Row],[Emission Factor (kg CO2/ mmBtu)]]*Table1[[#This Row],[Fuel Consumption (mmBtu)]]*10^3</f>
        <v>235706414422.77274</v>
      </c>
      <c r="R2434" s="2">
        <f>(Table1[[#This Row],[CO2 Emissions (g CO2)]])/(Table1[[#This Row],[Generation (TWh)]]*10^9)</f>
        <v>1698.6821296784397</v>
      </c>
    </row>
    <row r="2435" spans="1:18" hidden="1">
      <c r="A2435" t="s">
        <v>1320</v>
      </c>
      <c r="B2435" t="s">
        <v>19</v>
      </c>
      <c r="C2435" t="str">
        <f>SUBSTITUTE(Table1[[#This Row],[Fuel]],", ",",")</f>
        <v>bioenergy: refuse (municipal and industrial wastes)</v>
      </c>
      <c r="D2435" t="s">
        <v>19</v>
      </c>
      <c r="G2435">
        <v>22</v>
      </c>
      <c r="H2435" t="s">
        <v>27</v>
      </c>
      <c r="I2435">
        <v>2022</v>
      </c>
      <c r="J2435" t="s">
        <v>21</v>
      </c>
      <c r="K2435">
        <v>33.071292</v>
      </c>
      <c r="L2435">
        <v>113.96268999999999</v>
      </c>
      <c r="M2435" t="s">
        <v>102</v>
      </c>
      <c r="N2435" s="2">
        <f>Table1[[#This Row],[Capacity (MW)]]*8760*0.72*10^-6</f>
        <v>0.13875839999999998</v>
      </c>
      <c r="O2435" s="2" cm="1">
        <f t="array" ref="O2435">AVERAGE(VLOOKUP(_xlfn.TEXTSPLIT(Table1[[#This Row],[Fuel (no space after comma)]], ","), FuelList_Final_EF!$A$2:$B$32, 2, FALSE))</f>
        <v>105.42962572482868</v>
      </c>
      <c r="P2435" s="2">
        <f>(16112*Table1[[#This Row],[Generation (TWh)]]*10^9)/10^6</f>
        <v>2235675.3407999994</v>
      </c>
      <c r="Q2435" s="2">
        <f>Table1[[#This Row],[Emission Factor (kg CO2/ mmBtu)]]*Table1[[#This Row],[Fuel Consumption (mmBtu)]]*10^3</f>
        <v>235706414422.77274</v>
      </c>
      <c r="R2435" s="2">
        <f>(Table1[[#This Row],[CO2 Emissions (g CO2)]])/(Table1[[#This Row],[Generation (TWh)]]*10^9)</f>
        <v>1698.6821296784397</v>
      </c>
    </row>
    <row r="2436" spans="1:18" hidden="1">
      <c r="A2436" t="s">
        <v>21</v>
      </c>
      <c r="B2436" t="s">
        <v>19</v>
      </c>
      <c r="C2436" t="str">
        <f>SUBSTITUTE(Table1[[#This Row],[Fuel]],", ",",")</f>
        <v>bioenergy: refuse (municipal and industrial wastes)</v>
      </c>
      <c r="D2436" t="s">
        <v>19</v>
      </c>
      <c r="G2436">
        <v>25</v>
      </c>
      <c r="H2436" t="s">
        <v>27</v>
      </c>
      <c r="I2436">
        <v>2022</v>
      </c>
      <c r="J2436" t="s">
        <v>21</v>
      </c>
      <c r="K2436">
        <v>34.316907</v>
      </c>
      <c r="L2436">
        <v>114.025014</v>
      </c>
      <c r="M2436" t="s">
        <v>102</v>
      </c>
      <c r="N2436" s="2">
        <f>Table1[[#This Row],[Capacity (MW)]]*8760*0.72*10^-6</f>
        <v>0.15767999999999999</v>
      </c>
      <c r="O2436" s="2" cm="1">
        <f t="array" ref="O2436">AVERAGE(VLOOKUP(_xlfn.TEXTSPLIT(Table1[[#This Row],[Fuel (no space after comma)]], ","), FuelList_Final_EF!$A$2:$B$32, 2, FALSE))</f>
        <v>105.42962572482868</v>
      </c>
      <c r="P2436" s="2">
        <f>(16112*Table1[[#This Row],[Generation (TWh)]]*10^9)/10^6</f>
        <v>2540540.16</v>
      </c>
      <c r="Q2436" s="2">
        <f>Table1[[#This Row],[Emission Factor (kg CO2/ mmBtu)]]*Table1[[#This Row],[Fuel Consumption (mmBtu)]]*10^3</f>
        <v>267848198207.69638</v>
      </c>
      <c r="R2436" s="2">
        <f>(Table1[[#This Row],[CO2 Emissions (g CO2)]])/(Table1[[#This Row],[Generation (TWh)]]*10^9)</f>
        <v>1698.6821296784397</v>
      </c>
    </row>
    <row r="2437" spans="1:18" hidden="1">
      <c r="A2437" t="s">
        <v>21</v>
      </c>
      <c r="B2437" t="s">
        <v>19</v>
      </c>
      <c r="C2437" t="str">
        <f>SUBSTITUTE(Table1[[#This Row],[Fuel]],", ",",")</f>
        <v>bioenergy: refuse (municipal and industrial wastes)</v>
      </c>
      <c r="D2437" t="s">
        <v>19</v>
      </c>
      <c r="G2437">
        <v>12</v>
      </c>
      <c r="H2437" t="s">
        <v>27</v>
      </c>
      <c r="I2437">
        <v>2023</v>
      </c>
      <c r="J2437" t="s">
        <v>21</v>
      </c>
      <c r="K2437">
        <v>32.379094000000002</v>
      </c>
      <c r="L2437">
        <v>114.802943</v>
      </c>
      <c r="M2437" t="s">
        <v>102</v>
      </c>
      <c r="N2437" s="2">
        <f>Table1[[#This Row],[Capacity (MW)]]*8760*0.72*10^-6</f>
        <v>7.5686399999999987E-2</v>
      </c>
      <c r="O2437" s="2" cm="1">
        <f t="array" ref="O2437">AVERAGE(VLOOKUP(_xlfn.TEXTSPLIT(Table1[[#This Row],[Fuel (no space after comma)]], ","), FuelList_Final_EF!$A$2:$B$32, 2, FALSE))</f>
        <v>105.42962572482868</v>
      </c>
      <c r="P2437" s="2">
        <f>(16112*Table1[[#This Row],[Generation (TWh)]]*10^9)/10^6</f>
        <v>1219459.2767999996</v>
      </c>
      <c r="Q2437" s="2">
        <f>Table1[[#This Row],[Emission Factor (kg CO2/ mmBtu)]]*Table1[[#This Row],[Fuel Consumption (mmBtu)]]*10^3</f>
        <v>128567135139.69423</v>
      </c>
      <c r="R2437" s="2">
        <f>(Table1[[#This Row],[CO2 Emissions (g CO2)]])/(Table1[[#This Row],[Generation (TWh)]]*10^9)</f>
        <v>1698.6821296784397</v>
      </c>
    </row>
    <row r="2438" spans="1:18" hidden="1">
      <c r="A2438" t="s">
        <v>21</v>
      </c>
      <c r="B2438" t="s">
        <v>19</v>
      </c>
      <c r="C2438" t="str">
        <f>SUBSTITUTE(Table1[[#This Row],[Fuel]],", ",",")</f>
        <v>bioenergy: refuse (municipal and industrial wastes)</v>
      </c>
      <c r="D2438" t="s">
        <v>19</v>
      </c>
      <c r="G2438">
        <v>18</v>
      </c>
      <c r="H2438" t="s">
        <v>27</v>
      </c>
      <c r="I2438">
        <v>2023</v>
      </c>
      <c r="J2438" t="s">
        <v>21</v>
      </c>
      <c r="K2438">
        <v>33.372881</v>
      </c>
      <c r="L2438">
        <v>114.99617600000001</v>
      </c>
      <c r="M2438" t="s">
        <v>102</v>
      </c>
      <c r="N2438" s="2">
        <f>Table1[[#This Row],[Capacity (MW)]]*8760*0.72*10^-6</f>
        <v>0.11352959999999998</v>
      </c>
      <c r="O2438" s="2" cm="1">
        <f t="array" ref="O2438">AVERAGE(VLOOKUP(_xlfn.TEXTSPLIT(Table1[[#This Row],[Fuel (no space after comma)]], ","), FuelList_Final_EF!$A$2:$B$32, 2, FALSE))</f>
        <v>105.42962572482868</v>
      </c>
      <c r="P2438" s="2">
        <f>(16112*Table1[[#This Row],[Generation (TWh)]]*10^9)/10^6</f>
        <v>1829188.9151999997</v>
      </c>
      <c r="Q2438" s="2">
        <f>Table1[[#This Row],[Emission Factor (kg CO2/ mmBtu)]]*Table1[[#This Row],[Fuel Consumption (mmBtu)]]*10^3</f>
        <v>192850702709.54135</v>
      </c>
      <c r="R2438" s="2">
        <f>(Table1[[#This Row],[CO2 Emissions (g CO2)]])/(Table1[[#This Row],[Generation (TWh)]]*10^9)</f>
        <v>1698.6821296784397</v>
      </c>
    </row>
    <row r="2439" spans="1:18" hidden="1">
      <c r="A2439" t="s">
        <v>21</v>
      </c>
      <c r="B2439" t="s">
        <v>19</v>
      </c>
      <c r="C2439" t="str">
        <f>SUBSTITUTE(Table1[[#This Row],[Fuel]],", ",",")</f>
        <v>bioenergy: refuse (municipal and industrial wastes)</v>
      </c>
      <c r="D2439" t="s">
        <v>19</v>
      </c>
      <c r="G2439">
        <v>12</v>
      </c>
      <c r="H2439" t="s">
        <v>27</v>
      </c>
      <c r="I2439">
        <v>2020</v>
      </c>
      <c r="J2439" t="s">
        <v>21</v>
      </c>
      <c r="K2439">
        <v>33.791913000000001</v>
      </c>
      <c r="L2439">
        <v>114.479005</v>
      </c>
      <c r="M2439" t="s">
        <v>102</v>
      </c>
      <c r="N2439" s="2">
        <f>Table1[[#This Row],[Capacity (MW)]]*8760*0.72*10^-6</f>
        <v>7.5686399999999987E-2</v>
      </c>
      <c r="O2439" s="2" cm="1">
        <f t="array" ref="O2439">AVERAGE(VLOOKUP(_xlfn.TEXTSPLIT(Table1[[#This Row],[Fuel (no space after comma)]], ","), FuelList_Final_EF!$A$2:$B$32, 2, FALSE))</f>
        <v>105.42962572482868</v>
      </c>
      <c r="P2439" s="2">
        <f>(16112*Table1[[#This Row],[Generation (TWh)]]*10^9)/10^6</f>
        <v>1219459.2767999996</v>
      </c>
      <c r="Q2439" s="2">
        <f>Table1[[#This Row],[Emission Factor (kg CO2/ mmBtu)]]*Table1[[#This Row],[Fuel Consumption (mmBtu)]]*10^3</f>
        <v>128567135139.69423</v>
      </c>
      <c r="R2439" s="2">
        <f>(Table1[[#This Row],[CO2 Emissions (g CO2)]])/(Table1[[#This Row],[Generation (TWh)]]*10^9)</f>
        <v>1698.6821296784397</v>
      </c>
    </row>
    <row r="2440" spans="1:18" hidden="1">
      <c r="A2440" t="s">
        <v>21</v>
      </c>
      <c r="B2440" t="s">
        <v>19</v>
      </c>
      <c r="C2440" t="str">
        <f>SUBSTITUTE(Table1[[#This Row],[Fuel]],", ",",")</f>
        <v>bioenergy: refuse (municipal and industrial wastes)</v>
      </c>
      <c r="D2440" t="s">
        <v>19</v>
      </c>
      <c r="G2440">
        <v>15</v>
      </c>
      <c r="H2440" t="s">
        <v>27</v>
      </c>
      <c r="I2440">
        <v>2021</v>
      </c>
      <c r="J2440" t="s">
        <v>21</v>
      </c>
      <c r="K2440">
        <v>32.800119000000002</v>
      </c>
      <c r="L2440">
        <v>114.873113</v>
      </c>
      <c r="M2440" t="s">
        <v>102</v>
      </c>
      <c r="N2440" s="2">
        <f>Table1[[#This Row],[Capacity (MW)]]*8760*0.72*10^-6</f>
        <v>9.4607999999999998E-2</v>
      </c>
      <c r="O2440" s="2" cm="1">
        <f t="array" ref="O2440">AVERAGE(VLOOKUP(_xlfn.TEXTSPLIT(Table1[[#This Row],[Fuel (no space after comma)]], ","), FuelList_Final_EF!$A$2:$B$32, 2, FALSE))</f>
        <v>105.42962572482868</v>
      </c>
      <c r="P2440" s="2">
        <f>(16112*Table1[[#This Row],[Generation (TWh)]]*10^9)/10^6</f>
        <v>1524324.0959999999</v>
      </c>
      <c r="Q2440" s="2">
        <f>Table1[[#This Row],[Emission Factor (kg CO2/ mmBtu)]]*Table1[[#This Row],[Fuel Consumption (mmBtu)]]*10^3</f>
        <v>160708918924.61783</v>
      </c>
      <c r="R2440" s="2">
        <f>(Table1[[#This Row],[CO2 Emissions (g CO2)]])/(Table1[[#This Row],[Generation (TWh)]]*10^9)</f>
        <v>1698.6821296784397</v>
      </c>
    </row>
    <row r="2441" spans="1:18" hidden="1">
      <c r="A2441" t="s">
        <v>21</v>
      </c>
      <c r="B2441" t="s">
        <v>19</v>
      </c>
      <c r="C2441" t="str">
        <f>SUBSTITUTE(Table1[[#This Row],[Fuel]],", ",",")</f>
        <v>bioenergy: refuse (municipal and industrial wastes)</v>
      </c>
      <c r="D2441" t="s">
        <v>19</v>
      </c>
      <c r="G2441">
        <v>15</v>
      </c>
      <c r="H2441" t="s">
        <v>27</v>
      </c>
      <c r="I2441">
        <v>2019</v>
      </c>
      <c r="J2441" t="s">
        <v>21</v>
      </c>
      <c r="K2441">
        <v>34.036628</v>
      </c>
      <c r="L2441">
        <v>113.751992</v>
      </c>
      <c r="M2441" t="s">
        <v>102</v>
      </c>
      <c r="N2441" s="2">
        <f>Table1[[#This Row],[Capacity (MW)]]*8760*0.72*10^-6</f>
        <v>9.4607999999999998E-2</v>
      </c>
      <c r="O2441" s="2" cm="1">
        <f t="array" ref="O2441">AVERAGE(VLOOKUP(_xlfn.TEXTSPLIT(Table1[[#This Row],[Fuel (no space after comma)]], ","), FuelList_Final_EF!$A$2:$B$32, 2, FALSE))</f>
        <v>105.42962572482868</v>
      </c>
      <c r="P2441" s="2">
        <f>(16112*Table1[[#This Row],[Generation (TWh)]]*10^9)/10^6</f>
        <v>1524324.0959999999</v>
      </c>
      <c r="Q2441" s="2">
        <f>Table1[[#This Row],[Emission Factor (kg CO2/ mmBtu)]]*Table1[[#This Row],[Fuel Consumption (mmBtu)]]*10^3</f>
        <v>160708918924.61783</v>
      </c>
      <c r="R2441" s="2">
        <f>(Table1[[#This Row],[CO2 Emissions (g CO2)]])/(Table1[[#This Row],[Generation (TWh)]]*10^9)</f>
        <v>1698.6821296784397</v>
      </c>
    </row>
    <row r="2442" spans="1:18" hidden="1">
      <c r="A2442" t="s">
        <v>21</v>
      </c>
      <c r="B2442" t="s">
        <v>19</v>
      </c>
      <c r="C2442" t="str">
        <f>SUBSTITUTE(Table1[[#This Row],[Fuel]],", ",",")</f>
        <v>bioenergy: refuse (municipal and industrial wastes)</v>
      </c>
      <c r="D2442" t="s">
        <v>19</v>
      </c>
      <c r="G2442">
        <v>25</v>
      </c>
      <c r="H2442" t="s">
        <v>27</v>
      </c>
      <c r="I2442">
        <v>2019</v>
      </c>
      <c r="J2442" t="s">
        <v>21</v>
      </c>
      <c r="K2442">
        <v>34.036628</v>
      </c>
      <c r="L2442">
        <v>113.751992</v>
      </c>
      <c r="M2442" t="s">
        <v>102</v>
      </c>
      <c r="N2442" s="2">
        <f>Table1[[#This Row],[Capacity (MW)]]*8760*0.72*10^-6</f>
        <v>0.15767999999999999</v>
      </c>
      <c r="O2442" s="2" cm="1">
        <f t="array" ref="O2442">AVERAGE(VLOOKUP(_xlfn.TEXTSPLIT(Table1[[#This Row],[Fuel (no space after comma)]], ","), FuelList_Final_EF!$A$2:$B$32, 2, FALSE))</f>
        <v>105.42962572482868</v>
      </c>
      <c r="P2442" s="2">
        <f>(16112*Table1[[#This Row],[Generation (TWh)]]*10^9)/10^6</f>
        <v>2540540.16</v>
      </c>
      <c r="Q2442" s="2">
        <f>Table1[[#This Row],[Emission Factor (kg CO2/ mmBtu)]]*Table1[[#This Row],[Fuel Consumption (mmBtu)]]*10^3</f>
        <v>267848198207.69638</v>
      </c>
      <c r="R2442" s="2">
        <f>(Table1[[#This Row],[CO2 Emissions (g CO2)]])/(Table1[[#This Row],[Generation (TWh)]]*10^9)</f>
        <v>1698.6821296784397</v>
      </c>
    </row>
    <row r="2443" spans="1:18" hidden="1">
      <c r="A2443" t="s">
        <v>21</v>
      </c>
      <c r="B2443" t="s">
        <v>19</v>
      </c>
      <c r="C2443" t="str">
        <f>SUBSTITUTE(Table1[[#This Row],[Fuel]],", ",",")</f>
        <v>bioenergy: refuse (municipal and industrial wastes)</v>
      </c>
      <c r="D2443" t="s">
        <v>19</v>
      </c>
      <c r="G2443">
        <v>25</v>
      </c>
      <c r="H2443" t="s">
        <v>27</v>
      </c>
      <c r="I2443">
        <v>2019</v>
      </c>
      <c r="J2443" t="s">
        <v>21</v>
      </c>
      <c r="K2443">
        <v>34.036628</v>
      </c>
      <c r="L2443">
        <v>113.751992</v>
      </c>
      <c r="M2443" t="s">
        <v>102</v>
      </c>
      <c r="N2443" s="2">
        <f>Table1[[#This Row],[Capacity (MW)]]*8760*0.72*10^-6</f>
        <v>0.15767999999999999</v>
      </c>
      <c r="O2443" s="2" cm="1">
        <f t="array" ref="O2443">AVERAGE(VLOOKUP(_xlfn.TEXTSPLIT(Table1[[#This Row],[Fuel (no space after comma)]], ","), FuelList_Final_EF!$A$2:$B$32, 2, FALSE))</f>
        <v>105.42962572482868</v>
      </c>
      <c r="P2443" s="2">
        <f>(16112*Table1[[#This Row],[Generation (TWh)]]*10^9)/10^6</f>
        <v>2540540.16</v>
      </c>
      <c r="Q2443" s="2">
        <f>Table1[[#This Row],[Emission Factor (kg CO2/ mmBtu)]]*Table1[[#This Row],[Fuel Consumption (mmBtu)]]*10^3</f>
        <v>267848198207.69638</v>
      </c>
      <c r="R2443" s="2">
        <f>(Table1[[#This Row],[CO2 Emissions (g CO2)]])/(Table1[[#This Row],[Generation (TWh)]]*10^9)</f>
        <v>1698.6821296784397</v>
      </c>
    </row>
    <row r="2444" spans="1:18" hidden="1">
      <c r="A2444" t="s">
        <v>21</v>
      </c>
      <c r="B2444" t="s">
        <v>19</v>
      </c>
      <c r="C2444" t="str">
        <f>SUBSTITUTE(Table1[[#This Row],[Fuel]],", ",",")</f>
        <v>bioenergy: refuse (municipal and industrial wastes)</v>
      </c>
      <c r="D2444" t="s">
        <v>19</v>
      </c>
      <c r="G2444">
        <v>20</v>
      </c>
      <c r="H2444" t="s">
        <v>27</v>
      </c>
      <c r="I2444">
        <v>2022</v>
      </c>
      <c r="J2444" t="s">
        <v>21</v>
      </c>
      <c r="K2444">
        <v>34.406734999999998</v>
      </c>
      <c r="L2444">
        <v>112.471468</v>
      </c>
      <c r="M2444" t="s">
        <v>102</v>
      </c>
      <c r="N2444" s="2">
        <f>Table1[[#This Row],[Capacity (MW)]]*8760*0.72*10^-6</f>
        <v>0.12614400000000001</v>
      </c>
      <c r="O2444" s="2" cm="1">
        <f t="array" ref="O2444">AVERAGE(VLOOKUP(_xlfn.TEXTSPLIT(Table1[[#This Row],[Fuel (no space after comma)]], ","), FuelList_Final_EF!$A$2:$B$32, 2, FALSE))</f>
        <v>105.42962572482868</v>
      </c>
      <c r="P2444" s="2">
        <f>(16112*Table1[[#This Row],[Generation (TWh)]]*10^9)/10^6</f>
        <v>2032432.1280000003</v>
      </c>
      <c r="Q2444" s="2">
        <f>Table1[[#This Row],[Emission Factor (kg CO2/ mmBtu)]]*Table1[[#This Row],[Fuel Consumption (mmBtu)]]*10^3</f>
        <v>214278558566.15714</v>
      </c>
      <c r="R2444" s="2">
        <f>(Table1[[#This Row],[CO2 Emissions (g CO2)]])/(Table1[[#This Row],[Generation (TWh)]]*10^9)</f>
        <v>1698.6821296784401</v>
      </c>
    </row>
    <row r="2445" spans="1:18" hidden="1">
      <c r="A2445" t="s">
        <v>21</v>
      </c>
      <c r="B2445" t="s">
        <v>19</v>
      </c>
      <c r="C2445" t="str">
        <f>SUBSTITUTE(Table1[[#This Row],[Fuel]],", ",",")</f>
        <v>bioenergy: refuse (municipal and industrial wastes)</v>
      </c>
      <c r="D2445" t="s">
        <v>19</v>
      </c>
      <c r="G2445">
        <v>12</v>
      </c>
      <c r="H2445" t="s">
        <v>27</v>
      </c>
      <c r="I2445">
        <v>2021</v>
      </c>
      <c r="J2445" t="s">
        <v>21</v>
      </c>
      <c r="K2445">
        <v>34.525908000000001</v>
      </c>
      <c r="L2445">
        <v>112.02306900000001</v>
      </c>
      <c r="M2445" t="s">
        <v>102</v>
      </c>
      <c r="N2445" s="2">
        <f>Table1[[#This Row],[Capacity (MW)]]*8760*0.72*10^-6</f>
        <v>7.5686399999999987E-2</v>
      </c>
      <c r="O2445" s="2" cm="1">
        <f t="array" ref="O2445">AVERAGE(VLOOKUP(_xlfn.TEXTSPLIT(Table1[[#This Row],[Fuel (no space after comma)]], ","), FuelList_Final_EF!$A$2:$B$32, 2, FALSE))</f>
        <v>105.42962572482868</v>
      </c>
      <c r="P2445" s="2">
        <f>(16112*Table1[[#This Row],[Generation (TWh)]]*10^9)/10^6</f>
        <v>1219459.2767999996</v>
      </c>
      <c r="Q2445" s="2">
        <f>Table1[[#This Row],[Emission Factor (kg CO2/ mmBtu)]]*Table1[[#This Row],[Fuel Consumption (mmBtu)]]*10^3</f>
        <v>128567135139.69423</v>
      </c>
      <c r="R2445" s="2">
        <f>(Table1[[#This Row],[CO2 Emissions (g CO2)]])/(Table1[[#This Row],[Generation (TWh)]]*10^9)</f>
        <v>1698.6821296784397</v>
      </c>
    </row>
    <row r="2446" spans="1:18" hidden="1">
      <c r="A2446" t="s">
        <v>21</v>
      </c>
      <c r="B2446" t="s">
        <v>19</v>
      </c>
      <c r="C2446" t="str">
        <f>SUBSTITUTE(Table1[[#This Row],[Fuel]],", ",",")</f>
        <v>bioenergy: refuse (municipal and industrial wastes)</v>
      </c>
      <c r="D2446" t="s">
        <v>19</v>
      </c>
      <c r="G2446">
        <v>18</v>
      </c>
      <c r="H2446" t="s">
        <v>27</v>
      </c>
      <c r="I2446">
        <v>2019</v>
      </c>
      <c r="J2446" t="s">
        <v>21</v>
      </c>
      <c r="K2446">
        <v>33.932907</v>
      </c>
      <c r="L2446">
        <v>116.279</v>
      </c>
      <c r="M2446" t="s">
        <v>102</v>
      </c>
      <c r="N2446" s="2">
        <f>Table1[[#This Row],[Capacity (MW)]]*8760*0.72*10^-6</f>
        <v>0.11352959999999998</v>
      </c>
      <c r="O2446" s="2" cm="1">
        <f t="array" ref="O2446">AVERAGE(VLOOKUP(_xlfn.TEXTSPLIT(Table1[[#This Row],[Fuel (no space after comma)]], ","), FuelList_Final_EF!$A$2:$B$32, 2, FALSE))</f>
        <v>105.42962572482868</v>
      </c>
      <c r="P2446" s="2">
        <f>(16112*Table1[[#This Row],[Generation (TWh)]]*10^9)/10^6</f>
        <v>1829188.9151999997</v>
      </c>
      <c r="Q2446" s="2">
        <f>Table1[[#This Row],[Emission Factor (kg CO2/ mmBtu)]]*Table1[[#This Row],[Fuel Consumption (mmBtu)]]*10^3</f>
        <v>192850702709.54135</v>
      </c>
      <c r="R2446" s="2">
        <f>(Table1[[#This Row],[CO2 Emissions (g CO2)]])/(Table1[[#This Row],[Generation (TWh)]]*10^9)</f>
        <v>1698.6821296784397</v>
      </c>
    </row>
    <row r="2447" spans="1:18" hidden="1">
      <c r="A2447" t="s">
        <v>21</v>
      </c>
      <c r="B2447" t="s">
        <v>19</v>
      </c>
      <c r="C2447" t="str">
        <f>SUBSTITUTE(Table1[[#This Row],[Fuel]],", ",",")</f>
        <v>bioenergy: refuse (municipal and industrial wastes)</v>
      </c>
      <c r="D2447" t="s">
        <v>19</v>
      </c>
      <c r="G2447">
        <v>15</v>
      </c>
      <c r="H2447" t="s">
        <v>27</v>
      </c>
      <c r="I2447">
        <v>2022</v>
      </c>
      <c r="J2447" t="s">
        <v>21</v>
      </c>
      <c r="K2447">
        <v>35.018968999999998</v>
      </c>
      <c r="L2447">
        <v>114.013475</v>
      </c>
      <c r="M2447" t="s">
        <v>102</v>
      </c>
      <c r="N2447" s="2">
        <f>Table1[[#This Row],[Capacity (MW)]]*8760*0.72*10^-6</f>
        <v>9.4607999999999998E-2</v>
      </c>
      <c r="O2447" s="2" cm="1">
        <f t="array" ref="O2447">AVERAGE(VLOOKUP(_xlfn.TEXTSPLIT(Table1[[#This Row],[Fuel (no space after comma)]], ","), FuelList_Final_EF!$A$2:$B$32, 2, FALSE))</f>
        <v>105.42962572482868</v>
      </c>
      <c r="P2447" s="2">
        <f>(16112*Table1[[#This Row],[Generation (TWh)]]*10^9)/10^6</f>
        <v>1524324.0959999999</v>
      </c>
      <c r="Q2447" s="2">
        <f>Table1[[#This Row],[Emission Factor (kg CO2/ mmBtu)]]*Table1[[#This Row],[Fuel Consumption (mmBtu)]]*10^3</f>
        <v>160708918924.61783</v>
      </c>
      <c r="R2447" s="2">
        <f>(Table1[[#This Row],[CO2 Emissions (g CO2)]])/(Table1[[#This Row],[Generation (TWh)]]*10^9)</f>
        <v>1698.6821296784397</v>
      </c>
    </row>
    <row r="2448" spans="1:18" hidden="1">
      <c r="A2448" t="s">
        <v>21</v>
      </c>
      <c r="B2448" t="s">
        <v>19</v>
      </c>
      <c r="C2448" t="str">
        <f>SUBSTITUTE(Table1[[#This Row],[Fuel]],", ",",")</f>
        <v>bioenergy: refuse (municipal and industrial wastes)</v>
      </c>
      <c r="D2448" t="s">
        <v>19</v>
      </c>
      <c r="G2448">
        <v>7.5</v>
      </c>
      <c r="H2448" t="s">
        <v>27</v>
      </c>
      <c r="I2448">
        <v>2012</v>
      </c>
      <c r="J2448" t="s">
        <v>21</v>
      </c>
      <c r="K2448">
        <v>33.654387999999997</v>
      </c>
      <c r="L2448">
        <v>114.661035</v>
      </c>
      <c r="M2448" t="s">
        <v>102</v>
      </c>
      <c r="N2448" s="2">
        <f>Table1[[#This Row],[Capacity (MW)]]*8760*0.72*10^-6</f>
        <v>4.7303999999999999E-2</v>
      </c>
      <c r="O2448" s="2" cm="1">
        <f t="array" ref="O2448">AVERAGE(VLOOKUP(_xlfn.TEXTSPLIT(Table1[[#This Row],[Fuel (no space after comma)]], ","), FuelList_Final_EF!$A$2:$B$32, 2, FALSE))</f>
        <v>105.42962572482868</v>
      </c>
      <c r="P2448" s="2">
        <f>(16112*Table1[[#This Row],[Generation (TWh)]]*10^9)/10^6</f>
        <v>762162.04799999995</v>
      </c>
      <c r="Q2448" s="2">
        <f>Table1[[#This Row],[Emission Factor (kg CO2/ mmBtu)]]*Table1[[#This Row],[Fuel Consumption (mmBtu)]]*10^3</f>
        <v>80354459462.308914</v>
      </c>
      <c r="R2448" s="2">
        <f>(Table1[[#This Row],[CO2 Emissions (g CO2)]])/(Table1[[#This Row],[Generation (TWh)]]*10^9)</f>
        <v>1698.6821296784397</v>
      </c>
    </row>
    <row r="2449" spans="1:18" hidden="1">
      <c r="A2449" t="s">
        <v>1083</v>
      </c>
      <c r="B2449" t="s">
        <v>19</v>
      </c>
      <c r="C2449" t="str">
        <f>SUBSTITUTE(Table1[[#This Row],[Fuel]],", ",",")</f>
        <v>bioenergy: refuse (municipal and industrial wastes)</v>
      </c>
      <c r="D2449" t="s">
        <v>19</v>
      </c>
      <c r="G2449">
        <v>3</v>
      </c>
      <c r="H2449" t="s">
        <v>27</v>
      </c>
      <c r="I2449">
        <v>2023</v>
      </c>
      <c r="J2449" t="s">
        <v>21</v>
      </c>
      <c r="K2449">
        <v>32.509070999999999</v>
      </c>
      <c r="L2449">
        <v>111.533568</v>
      </c>
      <c r="M2449" t="s">
        <v>102</v>
      </c>
      <c r="N2449" s="2">
        <f>Table1[[#This Row],[Capacity (MW)]]*8760*0.72*10^-6</f>
        <v>1.8921599999999997E-2</v>
      </c>
      <c r="O2449" s="2" cm="1">
        <f t="array" ref="O2449">AVERAGE(VLOOKUP(_xlfn.TEXTSPLIT(Table1[[#This Row],[Fuel (no space after comma)]], ","), FuelList_Final_EF!$A$2:$B$32, 2, FALSE))</f>
        <v>105.42962572482868</v>
      </c>
      <c r="P2449" s="2">
        <f>(16112*Table1[[#This Row],[Generation (TWh)]]*10^9)/10^6</f>
        <v>304864.81919999991</v>
      </c>
      <c r="Q2449" s="2">
        <f>Table1[[#This Row],[Emission Factor (kg CO2/ mmBtu)]]*Table1[[#This Row],[Fuel Consumption (mmBtu)]]*10^3</f>
        <v>32141783784.923557</v>
      </c>
      <c r="R2449" s="2">
        <f>(Table1[[#This Row],[CO2 Emissions (g CO2)]])/(Table1[[#This Row],[Generation (TWh)]]*10^9)</f>
        <v>1698.6821296784397</v>
      </c>
    </row>
    <row r="2450" spans="1:18" hidden="1">
      <c r="A2450" t="s">
        <v>1321</v>
      </c>
      <c r="B2450" t="s">
        <v>19</v>
      </c>
      <c r="C2450" t="str">
        <f>SUBSTITUTE(Table1[[#This Row],[Fuel]],", ",",")</f>
        <v>bioenergy: refuse (municipal and industrial wastes)</v>
      </c>
      <c r="D2450" t="s">
        <v>19</v>
      </c>
      <c r="G2450">
        <v>3</v>
      </c>
      <c r="H2450" t="s">
        <v>27</v>
      </c>
      <c r="I2450">
        <v>2023</v>
      </c>
      <c r="J2450" t="s">
        <v>21</v>
      </c>
      <c r="K2450">
        <v>32.509070999999999</v>
      </c>
      <c r="L2450">
        <v>111.533568</v>
      </c>
      <c r="M2450" t="s">
        <v>102</v>
      </c>
      <c r="N2450" s="2">
        <f>Table1[[#This Row],[Capacity (MW)]]*8760*0.72*10^-6</f>
        <v>1.8921599999999997E-2</v>
      </c>
      <c r="O2450" s="2" cm="1">
        <f t="array" ref="O2450">AVERAGE(VLOOKUP(_xlfn.TEXTSPLIT(Table1[[#This Row],[Fuel (no space after comma)]], ","), FuelList_Final_EF!$A$2:$B$32, 2, FALSE))</f>
        <v>105.42962572482868</v>
      </c>
      <c r="P2450" s="2">
        <f>(16112*Table1[[#This Row],[Generation (TWh)]]*10^9)/10^6</f>
        <v>304864.81919999991</v>
      </c>
      <c r="Q2450" s="2">
        <f>Table1[[#This Row],[Emission Factor (kg CO2/ mmBtu)]]*Table1[[#This Row],[Fuel Consumption (mmBtu)]]*10^3</f>
        <v>32141783784.923557</v>
      </c>
      <c r="R2450" s="2">
        <f>(Table1[[#This Row],[CO2 Emissions (g CO2)]])/(Table1[[#This Row],[Generation (TWh)]]*10^9)</f>
        <v>1698.6821296784397</v>
      </c>
    </row>
    <row r="2451" spans="1:18" hidden="1">
      <c r="A2451" t="s">
        <v>21</v>
      </c>
      <c r="B2451" t="s">
        <v>41</v>
      </c>
      <c r="C2451" t="str">
        <f>SUBSTITUTE(Table1[[#This Row],[Fuel]],", ",",")</f>
        <v>bioenergy: refuse (municipal and industrial wastes),bioenergy: wastewater and sewage sludge (solids or biogas)</v>
      </c>
      <c r="D2451" t="s">
        <v>19</v>
      </c>
      <c r="E2451" t="s">
        <v>42</v>
      </c>
      <c r="G2451">
        <v>25</v>
      </c>
      <c r="H2451" t="s">
        <v>27</v>
      </c>
      <c r="I2451">
        <v>2022</v>
      </c>
      <c r="J2451" t="s">
        <v>21</v>
      </c>
      <c r="K2451">
        <v>30.570837999999998</v>
      </c>
      <c r="L2451">
        <v>115.016611</v>
      </c>
      <c r="M2451" t="s">
        <v>102</v>
      </c>
      <c r="N2451" s="2">
        <f>Table1[[#This Row],[Capacity (MW)]]*8760*0.72*10^-6</f>
        <v>0.15767999999999999</v>
      </c>
      <c r="O2451" s="2" cm="1">
        <f t="array" ref="O2451">AVERAGE(VLOOKUP(_xlfn.TEXTSPLIT(Table1[[#This Row],[Fuel (no space after comma)]], ","), FuelList_Final_EF!$A$2:$B$32, 2, FALSE))</f>
        <v>81.497100685292565</v>
      </c>
      <c r="P2451" s="2">
        <f>(16112*Table1[[#This Row],[Generation (TWh)]]*10^9)/10^6</f>
        <v>2540540.16</v>
      </c>
      <c r="Q2451" s="2">
        <f>Table1[[#This Row],[Emission Factor (kg CO2/ mmBtu)]]*Table1[[#This Row],[Fuel Consumption (mmBtu)]]*10^3</f>
        <v>207046657214.54932</v>
      </c>
      <c r="R2451" s="2">
        <f>(Table1[[#This Row],[CO2 Emissions (g CO2)]])/(Table1[[#This Row],[Generation (TWh)]]*10^9)</f>
        <v>1313.0812862414341</v>
      </c>
    </row>
    <row r="2452" spans="1:18" hidden="1">
      <c r="A2452" t="s">
        <v>21</v>
      </c>
      <c r="B2452" t="s">
        <v>19</v>
      </c>
      <c r="C2452" t="str">
        <f>SUBSTITUTE(Table1[[#This Row],[Fuel]],", ",",")</f>
        <v>bioenergy: refuse (municipal and industrial wastes)</v>
      </c>
      <c r="D2452" t="s">
        <v>19</v>
      </c>
      <c r="G2452">
        <v>20</v>
      </c>
      <c r="H2452" t="s">
        <v>27</v>
      </c>
      <c r="I2452">
        <v>2023</v>
      </c>
      <c r="J2452" t="s">
        <v>21</v>
      </c>
      <c r="K2452">
        <v>30.017783999999999</v>
      </c>
      <c r="L2452">
        <v>115.900884</v>
      </c>
      <c r="M2452" t="s">
        <v>102</v>
      </c>
      <c r="N2452" s="2">
        <f>Table1[[#This Row],[Capacity (MW)]]*8760*0.72*10^-6</f>
        <v>0.12614400000000001</v>
      </c>
      <c r="O2452" s="2" cm="1">
        <f t="array" ref="O2452">AVERAGE(VLOOKUP(_xlfn.TEXTSPLIT(Table1[[#This Row],[Fuel (no space after comma)]], ","), FuelList_Final_EF!$A$2:$B$32, 2, FALSE))</f>
        <v>105.42962572482868</v>
      </c>
      <c r="P2452" s="2">
        <f>(16112*Table1[[#This Row],[Generation (TWh)]]*10^9)/10^6</f>
        <v>2032432.1280000003</v>
      </c>
      <c r="Q2452" s="2">
        <f>Table1[[#This Row],[Emission Factor (kg CO2/ mmBtu)]]*Table1[[#This Row],[Fuel Consumption (mmBtu)]]*10^3</f>
        <v>214278558566.15714</v>
      </c>
      <c r="R2452" s="2">
        <f>(Table1[[#This Row],[CO2 Emissions (g CO2)]])/(Table1[[#This Row],[Generation (TWh)]]*10^9)</f>
        <v>1698.6821296784401</v>
      </c>
    </row>
    <row r="2453" spans="1:18" hidden="1">
      <c r="A2453" t="s">
        <v>21</v>
      </c>
      <c r="B2453" t="s">
        <v>19</v>
      </c>
      <c r="C2453" t="str">
        <f>SUBSTITUTE(Table1[[#This Row],[Fuel]],", ",",")</f>
        <v>bioenergy: refuse (municipal and industrial wastes)</v>
      </c>
      <c r="D2453" t="s">
        <v>19</v>
      </c>
      <c r="G2453">
        <v>12</v>
      </c>
      <c r="H2453" t="s">
        <v>27</v>
      </c>
      <c r="I2453">
        <v>2011</v>
      </c>
      <c r="J2453" t="s">
        <v>21</v>
      </c>
      <c r="K2453">
        <v>30.166543999999998</v>
      </c>
      <c r="L2453">
        <v>114.97642500000001</v>
      </c>
      <c r="M2453" t="s">
        <v>102</v>
      </c>
      <c r="N2453" s="2">
        <f>Table1[[#This Row],[Capacity (MW)]]*8760*0.72*10^-6</f>
        <v>7.5686399999999987E-2</v>
      </c>
      <c r="O2453" s="2" cm="1">
        <f t="array" ref="O2453">AVERAGE(VLOOKUP(_xlfn.TEXTSPLIT(Table1[[#This Row],[Fuel (no space after comma)]], ","), FuelList_Final_EF!$A$2:$B$32, 2, FALSE))</f>
        <v>105.42962572482868</v>
      </c>
      <c r="P2453" s="2">
        <f>(16112*Table1[[#This Row],[Generation (TWh)]]*10^9)/10^6</f>
        <v>1219459.2767999996</v>
      </c>
      <c r="Q2453" s="2">
        <f>Table1[[#This Row],[Emission Factor (kg CO2/ mmBtu)]]*Table1[[#This Row],[Fuel Consumption (mmBtu)]]*10^3</f>
        <v>128567135139.69423</v>
      </c>
      <c r="R2453" s="2">
        <f>(Table1[[#This Row],[CO2 Emissions (g CO2)]])/(Table1[[#This Row],[Generation (TWh)]]*10^9)</f>
        <v>1698.6821296784397</v>
      </c>
    </row>
    <row r="2454" spans="1:18" hidden="1">
      <c r="A2454" t="s">
        <v>21</v>
      </c>
      <c r="B2454" t="s">
        <v>19</v>
      </c>
      <c r="C2454" t="str">
        <f>SUBSTITUTE(Table1[[#This Row],[Fuel]],", ",",")</f>
        <v>bioenergy: refuse (municipal and industrial wastes)</v>
      </c>
      <c r="D2454" t="s">
        <v>19</v>
      </c>
      <c r="G2454">
        <v>12</v>
      </c>
      <c r="H2454" t="s">
        <v>27</v>
      </c>
      <c r="I2454">
        <v>2016</v>
      </c>
      <c r="J2454" t="s">
        <v>21</v>
      </c>
      <c r="K2454">
        <v>30.166543999999998</v>
      </c>
      <c r="L2454">
        <v>114.97642500000001</v>
      </c>
      <c r="M2454" t="s">
        <v>102</v>
      </c>
      <c r="N2454" s="2">
        <f>Table1[[#This Row],[Capacity (MW)]]*8760*0.72*10^-6</f>
        <v>7.5686399999999987E-2</v>
      </c>
      <c r="O2454" s="2" cm="1">
        <f t="array" ref="O2454">AVERAGE(VLOOKUP(_xlfn.TEXTSPLIT(Table1[[#This Row],[Fuel (no space after comma)]], ","), FuelList_Final_EF!$A$2:$B$32, 2, FALSE))</f>
        <v>105.42962572482868</v>
      </c>
      <c r="P2454" s="2">
        <f>(16112*Table1[[#This Row],[Generation (TWh)]]*10^9)/10^6</f>
        <v>1219459.2767999996</v>
      </c>
      <c r="Q2454" s="2">
        <f>Table1[[#This Row],[Emission Factor (kg CO2/ mmBtu)]]*Table1[[#This Row],[Fuel Consumption (mmBtu)]]*10^3</f>
        <v>128567135139.69423</v>
      </c>
      <c r="R2454" s="2">
        <f>(Table1[[#This Row],[CO2 Emissions (g CO2)]])/(Table1[[#This Row],[Generation (TWh)]]*10^9)</f>
        <v>1698.6821296784397</v>
      </c>
    </row>
    <row r="2455" spans="1:18" hidden="1">
      <c r="A2455" t="s">
        <v>1322</v>
      </c>
      <c r="B2455" t="s">
        <v>19</v>
      </c>
      <c r="C2455" t="str">
        <f>SUBSTITUTE(Table1[[#This Row],[Fuel]],", ",",")</f>
        <v>bioenergy: refuse (municipal and industrial wastes)</v>
      </c>
      <c r="D2455" t="s">
        <v>19</v>
      </c>
      <c r="G2455">
        <v>15</v>
      </c>
      <c r="H2455" t="s">
        <v>27</v>
      </c>
      <c r="I2455">
        <v>2020</v>
      </c>
      <c r="J2455" t="s">
        <v>21</v>
      </c>
      <c r="K2455">
        <v>30.940598000000001</v>
      </c>
      <c r="L2455">
        <v>112.241839</v>
      </c>
      <c r="M2455" t="s">
        <v>102</v>
      </c>
      <c r="N2455" s="2">
        <f>Table1[[#This Row],[Capacity (MW)]]*8760*0.72*10^-6</f>
        <v>9.4607999999999998E-2</v>
      </c>
      <c r="O2455" s="2" cm="1">
        <f t="array" ref="O2455">AVERAGE(VLOOKUP(_xlfn.TEXTSPLIT(Table1[[#This Row],[Fuel (no space after comma)]], ","), FuelList_Final_EF!$A$2:$B$32, 2, FALSE))</f>
        <v>105.42962572482868</v>
      </c>
      <c r="P2455" s="2">
        <f>(16112*Table1[[#This Row],[Generation (TWh)]]*10^9)/10^6</f>
        <v>1524324.0959999999</v>
      </c>
      <c r="Q2455" s="2">
        <f>Table1[[#This Row],[Emission Factor (kg CO2/ mmBtu)]]*Table1[[#This Row],[Fuel Consumption (mmBtu)]]*10^3</f>
        <v>160708918924.61783</v>
      </c>
      <c r="R2455" s="2">
        <f>(Table1[[#This Row],[CO2 Emissions (g CO2)]])/(Table1[[#This Row],[Generation (TWh)]]*10^9)</f>
        <v>1698.6821296784397</v>
      </c>
    </row>
    <row r="2456" spans="1:18" hidden="1">
      <c r="A2456" t="s">
        <v>752</v>
      </c>
      <c r="B2456" t="s">
        <v>19</v>
      </c>
      <c r="C2456" t="str">
        <f>SUBSTITUTE(Table1[[#This Row],[Fuel]],", ",",")</f>
        <v>bioenergy: refuse (municipal and industrial wastes)</v>
      </c>
      <c r="D2456" t="s">
        <v>19</v>
      </c>
      <c r="G2456">
        <v>18</v>
      </c>
      <c r="H2456" t="s">
        <v>27</v>
      </c>
      <c r="I2456">
        <v>2011</v>
      </c>
      <c r="J2456" t="s">
        <v>21</v>
      </c>
      <c r="K2456">
        <v>30.392246</v>
      </c>
      <c r="L2456">
        <v>112.163085</v>
      </c>
      <c r="M2456" t="s">
        <v>102</v>
      </c>
      <c r="N2456" s="2">
        <f>Table1[[#This Row],[Capacity (MW)]]*8760*0.72*10^-6</f>
        <v>0.11352959999999998</v>
      </c>
      <c r="O2456" s="2" cm="1">
        <f t="array" ref="O2456">AVERAGE(VLOOKUP(_xlfn.TEXTSPLIT(Table1[[#This Row],[Fuel (no space after comma)]], ","), FuelList_Final_EF!$A$2:$B$32, 2, FALSE))</f>
        <v>105.42962572482868</v>
      </c>
      <c r="P2456" s="2">
        <f>(16112*Table1[[#This Row],[Generation (TWh)]]*10^9)/10^6</f>
        <v>1829188.9151999997</v>
      </c>
      <c r="Q2456" s="2">
        <f>Table1[[#This Row],[Emission Factor (kg CO2/ mmBtu)]]*Table1[[#This Row],[Fuel Consumption (mmBtu)]]*10^3</f>
        <v>192850702709.54135</v>
      </c>
      <c r="R2456" s="2">
        <f>(Table1[[#This Row],[CO2 Emissions (g CO2)]])/(Table1[[#This Row],[Generation (TWh)]]*10^9)</f>
        <v>1698.6821296784397</v>
      </c>
    </row>
    <row r="2457" spans="1:18" hidden="1">
      <c r="A2457" t="s">
        <v>752</v>
      </c>
      <c r="B2457" t="s">
        <v>19</v>
      </c>
      <c r="C2457" t="str">
        <f>SUBSTITUTE(Table1[[#This Row],[Fuel]],", ",",")</f>
        <v>bioenergy: refuse (municipal and industrial wastes)</v>
      </c>
      <c r="D2457" t="s">
        <v>19</v>
      </c>
      <c r="G2457">
        <v>25</v>
      </c>
      <c r="H2457" t="s">
        <v>27</v>
      </c>
      <c r="I2457">
        <v>2023</v>
      </c>
      <c r="J2457" t="s">
        <v>21</v>
      </c>
      <c r="K2457">
        <v>30.217987999999998</v>
      </c>
      <c r="L2457">
        <v>112.39802899999999</v>
      </c>
      <c r="M2457" t="s">
        <v>102</v>
      </c>
      <c r="N2457" s="2">
        <f>Table1[[#This Row],[Capacity (MW)]]*8760*0.72*10^-6</f>
        <v>0.15767999999999999</v>
      </c>
      <c r="O2457" s="2" cm="1">
        <f t="array" ref="O2457">AVERAGE(VLOOKUP(_xlfn.TEXTSPLIT(Table1[[#This Row],[Fuel (no space after comma)]], ","), FuelList_Final_EF!$A$2:$B$32, 2, FALSE))</f>
        <v>105.42962572482868</v>
      </c>
      <c r="P2457" s="2">
        <f>(16112*Table1[[#This Row],[Generation (TWh)]]*10^9)/10^6</f>
        <v>2540540.16</v>
      </c>
      <c r="Q2457" s="2">
        <f>Table1[[#This Row],[Emission Factor (kg CO2/ mmBtu)]]*Table1[[#This Row],[Fuel Consumption (mmBtu)]]*10^3</f>
        <v>267848198207.69638</v>
      </c>
      <c r="R2457" s="2">
        <f>(Table1[[#This Row],[CO2 Emissions (g CO2)]])/(Table1[[#This Row],[Generation (TWh)]]*10^9)</f>
        <v>1698.6821296784397</v>
      </c>
    </row>
    <row r="2458" spans="1:18" hidden="1">
      <c r="A2458" t="s">
        <v>21</v>
      </c>
      <c r="B2458" t="s">
        <v>19</v>
      </c>
      <c r="C2458" t="str">
        <f>SUBSTITUTE(Table1[[#This Row],[Fuel]],", ",",")</f>
        <v>bioenergy: refuse (municipal and industrial wastes)</v>
      </c>
      <c r="D2458" t="s">
        <v>19</v>
      </c>
      <c r="G2458">
        <v>12</v>
      </c>
      <c r="H2458" t="s">
        <v>27</v>
      </c>
      <c r="I2458">
        <v>2023</v>
      </c>
      <c r="J2458" t="s">
        <v>21</v>
      </c>
      <c r="K2458">
        <v>30.768350999999999</v>
      </c>
      <c r="L2458">
        <v>115.60732299999999</v>
      </c>
      <c r="M2458" t="s">
        <v>102</v>
      </c>
      <c r="N2458" s="2">
        <f>Table1[[#This Row],[Capacity (MW)]]*8760*0.72*10^-6</f>
        <v>7.5686399999999987E-2</v>
      </c>
      <c r="O2458" s="2" cm="1">
        <f t="array" ref="O2458">AVERAGE(VLOOKUP(_xlfn.TEXTSPLIT(Table1[[#This Row],[Fuel (no space after comma)]], ","), FuelList_Final_EF!$A$2:$B$32, 2, FALSE))</f>
        <v>105.42962572482868</v>
      </c>
      <c r="P2458" s="2">
        <f>(16112*Table1[[#This Row],[Generation (TWh)]]*10^9)/10^6</f>
        <v>1219459.2767999996</v>
      </c>
      <c r="Q2458" s="2">
        <f>Table1[[#This Row],[Emission Factor (kg CO2/ mmBtu)]]*Table1[[#This Row],[Fuel Consumption (mmBtu)]]*10^3</f>
        <v>128567135139.69423</v>
      </c>
      <c r="R2458" s="2">
        <f>(Table1[[#This Row],[CO2 Emissions (g CO2)]])/(Table1[[#This Row],[Generation (TWh)]]*10^9)</f>
        <v>1698.6821296784397</v>
      </c>
    </row>
    <row r="2459" spans="1:18" hidden="1">
      <c r="A2459" t="s">
        <v>21</v>
      </c>
      <c r="B2459" t="s">
        <v>19</v>
      </c>
      <c r="C2459" t="str">
        <f>SUBSTITUTE(Table1[[#This Row],[Fuel]],", ",",")</f>
        <v>bioenergy: refuse (municipal and industrial wastes)</v>
      </c>
      <c r="D2459" t="s">
        <v>19</v>
      </c>
      <c r="G2459">
        <v>12</v>
      </c>
      <c r="H2459" t="s">
        <v>27</v>
      </c>
      <c r="I2459">
        <v>2021</v>
      </c>
      <c r="J2459" t="s">
        <v>21</v>
      </c>
      <c r="K2459">
        <v>30.312882999999999</v>
      </c>
      <c r="L2459">
        <v>112.93994499999999</v>
      </c>
      <c r="M2459" t="s">
        <v>102</v>
      </c>
      <c r="N2459" s="2">
        <f>Table1[[#This Row],[Capacity (MW)]]*8760*0.72*10^-6</f>
        <v>7.5686399999999987E-2</v>
      </c>
      <c r="O2459" s="2" cm="1">
        <f t="array" ref="O2459">AVERAGE(VLOOKUP(_xlfn.TEXTSPLIT(Table1[[#This Row],[Fuel (no space after comma)]], ","), FuelList_Final_EF!$A$2:$B$32, 2, FALSE))</f>
        <v>105.42962572482868</v>
      </c>
      <c r="P2459" s="2">
        <f>(16112*Table1[[#This Row],[Generation (TWh)]]*10^9)/10^6</f>
        <v>1219459.2767999996</v>
      </c>
      <c r="Q2459" s="2">
        <f>Table1[[#This Row],[Emission Factor (kg CO2/ mmBtu)]]*Table1[[#This Row],[Fuel Consumption (mmBtu)]]*10^3</f>
        <v>128567135139.69423</v>
      </c>
      <c r="R2459" s="2">
        <f>(Table1[[#This Row],[CO2 Emissions (g CO2)]])/(Table1[[#This Row],[Generation (TWh)]]*10^9)</f>
        <v>1698.6821296784397</v>
      </c>
    </row>
    <row r="2460" spans="1:18" hidden="1">
      <c r="A2460" t="s">
        <v>21</v>
      </c>
      <c r="B2460" t="s">
        <v>19</v>
      </c>
      <c r="C2460" t="str">
        <f>SUBSTITUTE(Table1[[#This Row],[Fuel]],", ",",")</f>
        <v>bioenergy: refuse (municipal and industrial wastes)</v>
      </c>
      <c r="D2460" t="s">
        <v>19</v>
      </c>
      <c r="G2460">
        <v>7.5</v>
      </c>
      <c r="H2460" t="s">
        <v>27</v>
      </c>
      <c r="I2460">
        <v>2021</v>
      </c>
      <c r="J2460" t="s">
        <v>21</v>
      </c>
      <c r="K2460">
        <v>30.778075999999999</v>
      </c>
      <c r="L2460">
        <v>112.48987200000001</v>
      </c>
      <c r="M2460" t="s">
        <v>102</v>
      </c>
      <c r="N2460" s="2">
        <f>Table1[[#This Row],[Capacity (MW)]]*8760*0.72*10^-6</f>
        <v>4.7303999999999999E-2</v>
      </c>
      <c r="O2460" s="2" cm="1">
        <f t="array" ref="O2460">AVERAGE(VLOOKUP(_xlfn.TEXTSPLIT(Table1[[#This Row],[Fuel (no space after comma)]], ","), FuelList_Final_EF!$A$2:$B$32, 2, FALSE))</f>
        <v>105.42962572482868</v>
      </c>
      <c r="P2460" s="2">
        <f>(16112*Table1[[#This Row],[Generation (TWh)]]*10^9)/10^6</f>
        <v>762162.04799999995</v>
      </c>
      <c r="Q2460" s="2">
        <f>Table1[[#This Row],[Emission Factor (kg CO2/ mmBtu)]]*Table1[[#This Row],[Fuel Consumption (mmBtu)]]*10^3</f>
        <v>80354459462.308914</v>
      </c>
      <c r="R2460" s="2">
        <f>(Table1[[#This Row],[CO2 Emissions (g CO2)]])/(Table1[[#This Row],[Generation (TWh)]]*10^9)</f>
        <v>1698.6821296784397</v>
      </c>
    </row>
    <row r="2461" spans="1:18">
      <c r="A2461" t="s">
        <v>539</v>
      </c>
      <c r="B2461" t="s">
        <v>41</v>
      </c>
      <c r="C2461" t="str">
        <f>SUBSTITUTE(Table1[[#This Row],[Fuel]],", ",",")</f>
        <v>bioenergy: refuse (municipal and industrial wastes),bioenergy: wastewater and sewage sludge (solids or biogas)</v>
      </c>
      <c r="D2461" t="s">
        <v>19</v>
      </c>
      <c r="E2461" t="s">
        <v>42</v>
      </c>
      <c r="G2461">
        <v>15</v>
      </c>
      <c r="H2461" t="s">
        <v>53</v>
      </c>
      <c r="I2461" t="s">
        <v>21</v>
      </c>
      <c r="J2461" t="s">
        <v>21</v>
      </c>
      <c r="K2461">
        <v>30.3582</v>
      </c>
      <c r="L2461">
        <v>114.22020000000001</v>
      </c>
      <c r="M2461" t="s">
        <v>102</v>
      </c>
      <c r="N2461" s="2">
        <f>Table1[[#This Row],[Capacity (MW)]]*8760*0.72*10^-6</f>
        <v>9.4607999999999998E-2</v>
      </c>
      <c r="O2461" s="2" cm="1">
        <f t="array" ref="O2461">AVERAGE(VLOOKUP(_xlfn.TEXTSPLIT(Table1[[#This Row],[Fuel (no space after comma)]], ","), FuelList_Final_EF!$A$2:$B$32, 2, FALSE))</f>
        <v>81.497100685292565</v>
      </c>
      <c r="P2461" s="2">
        <f>(16112*Table1[[#This Row],[Generation (TWh)]]*10^9)/10^6</f>
        <v>1524324.0959999999</v>
      </c>
      <c r="Q2461" s="2">
        <f>Table1[[#This Row],[Emission Factor (kg CO2/ mmBtu)]]*Table1[[#This Row],[Fuel Consumption (mmBtu)]]*10^3</f>
        <v>124227994328.72955</v>
      </c>
      <c r="R2461" s="2">
        <f>(Table1[[#This Row],[CO2 Emissions (g CO2)]])/(Table1[[#This Row],[Generation (TWh)]]*10^9)</f>
        <v>1313.0812862414336</v>
      </c>
    </row>
    <row r="2462" spans="1:18" hidden="1">
      <c r="A2462" t="s">
        <v>127</v>
      </c>
      <c r="B2462" t="s">
        <v>19</v>
      </c>
      <c r="C2462" t="str">
        <f>SUBSTITUTE(Table1[[#This Row],[Fuel]],", ",",")</f>
        <v>bioenergy: refuse (municipal and industrial wastes)</v>
      </c>
      <c r="D2462" t="s">
        <v>19</v>
      </c>
      <c r="G2462">
        <v>22</v>
      </c>
      <c r="H2462" t="s">
        <v>27</v>
      </c>
      <c r="I2462">
        <v>2013</v>
      </c>
      <c r="J2462" t="s">
        <v>21</v>
      </c>
      <c r="K2462">
        <v>30.679600000000001</v>
      </c>
      <c r="L2462">
        <v>113.9796</v>
      </c>
      <c r="M2462" t="s">
        <v>102</v>
      </c>
      <c r="N2462" s="2">
        <f>Table1[[#This Row],[Capacity (MW)]]*8760*0.72*10^-6</f>
        <v>0.13875839999999998</v>
      </c>
      <c r="O2462" s="2" cm="1">
        <f t="array" ref="O2462">AVERAGE(VLOOKUP(_xlfn.TEXTSPLIT(Table1[[#This Row],[Fuel (no space after comma)]], ","), FuelList_Final_EF!$A$2:$B$32, 2, FALSE))</f>
        <v>105.42962572482868</v>
      </c>
      <c r="P2462" s="2">
        <f>(16112*Table1[[#This Row],[Generation (TWh)]]*10^9)/10^6</f>
        <v>2235675.3407999994</v>
      </c>
      <c r="Q2462" s="2">
        <f>Table1[[#This Row],[Emission Factor (kg CO2/ mmBtu)]]*Table1[[#This Row],[Fuel Consumption (mmBtu)]]*10^3</f>
        <v>235706414422.77274</v>
      </c>
      <c r="R2462" s="2">
        <f>(Table1[[#This Row],[CO2 Emissions (g CO2)]])/(Table1[[#This Row],[Generation (TWh)]]*10^9)</f>
        <v>1698.6821296784397</v>
      </c>
    </row>
    <row r="2463" spans="1:18" hidden="1">
      <c r="A2463" t="s">
        <v>21</v>
      </c>
      <c r="B2463" t="s">
        <v>19</v>
      </c>
      <c r="C2463" t="str">
        <f>SUBSTITUTE(Table1[[#This Row],[Fuel]],", ",",")</f>
        <v>bioenergy: refuse (municipal and industrial wastes)</v>
      </c>
      <c r="D2463" t="s">
        <v>19</v>
      </c>
      <c r="G2463">
        <v>12</v>
      </c>
      <c r="H2463" t="s">
        <v>27</v>
      </c>
      <c r="I2463">
        <v>2020</v>
      </c>
      <c r="J2463" t="s">
        <v>21</v>
      </c>
      <c r="K2463">
        <v>31.260567999999999</v>
      </c>
      <c r="L2463">
        <v>113.883594</v>
      </c>
      <c r="M2463" t="s">
        <v>102</v>
      </c>
      <c r="N2463" s="2">
        <f>Table1[[#This Row],[Capacity (MW)]]*8760*0.72*10^-6</f>
        <v>7.5686399999999987E-2</v>
      </c>
      <c r="O2463" s="2" cm="1">
        <f t="array" ref="O2463">AVERAGE(VLOOKUP(_xlfn.TEXTSPLIT(Table1[[#This Row],[Fuel (no space after comma)]], ","), FuelList_Final_EF!$A$2:$B$32, 2, FALSE))</f>
        <v>105.42962572482868</v>
      </c>
      <c r="P2463" s="2">
        <f>(16112*Table1[[#This Row],[Generation (TWh)]]*10^9)/10^6</f>
        <v>1219459.2767999996</v>
      </c>
      <c r="Q2463" s="2">
        <f>Table1[[#This Row],[Emission Factor (kg CO2/ mmBtu)]]*Table1[[#This Row],[Fuel Consumption (mmBtu)]]*10^3</f>
        <v>128567135139.69423</v>
      </c>
      <c r="R2463" s="2">
        <f>(Table1[[#This Row],[CO2 Emissions (g CO2)]])/(Table1[[#This Row],[Generation (TWh)]]*10^9)</f>
        <v>1698.6821296784397</v>
      </c>
    </row>
    <row r="2464" spans="1:18" hidden="1">
      <c r="A2464" t="s">
        <v>21</v>
      </c>
      <c r="B2464" t="s">
        <v>41</v>
      </c>
      <c r="C2464" t="str">
        <f>SUBSTITUTE(Table1[[#This Row],[Fuel]],", ",",")</f>
        <v>bioenergy: refuse (municipal and industrial wastes),bioenergy: wastewater and sewage sludge (solids or biogas)</v>
      </c>
      <c r="D2464" t="s">
        <v>19</v>
      </c>
      <c r="E2464" t="s">
        <v>42</v>
      </c>
      <c r="G2464">
        <v>15</v>
      </c>
      <c r="H2464" t="s">
        <v>27</v>
      </c>
      <c r="I2464">
        <v>2023</v>
      </c>
      <c r="J2464" t="s">
        <v>21</v>
      </c>
      <c r="K2464">
        <v>29.898579999999999</v>
      </c>
      <c r="L2464">
        <v>115.370561</v>
      </c>
      <c r="M2464" t="s">
        <v>102</v>
      </c>
      <c r="N2464" s="2">
        <f>Table1[[#This Row],[Capacity (MW)]]*8760*0.72*10^-6</f>
        <v>9.4607999999999998E-2</v>
      </c>
      <c r="O2464" s="2" cm="1">
        <f t="array" ref="O2464">AVERAGE(VLOOKUP(_xlfn.TEXTSPLIT(Table1[[#This Row],[Fuel (no space after comma)]], ","), FuelList_Final_EF!$A$2:$B$32, 2, FALSE))</f>
        <v>81.497100685292565</v>
      </c>
      <c r="P2464" s="2">
        <f>(16112*Table1[[#This Row],[Generation (TWh)]]*10^9)/10^6</f>
        <v>1524324.0959999999</v>
      </c>
      <c r="Q2464" s="2">
        <f>Table1[[#This Row],[Emission Factor (kg CO2/ mmBtu)]]*Table1[[#This Row],[Fuel Consumption (mmBtu)]]*10^3</f>
        <v>124227994328.72955</v>
      </c>
      <c r="R2464" s="2">
        <f>(Table1[[#This Row],[CO2 Emissions (g CO2)]])/(Table1[[#This Row],[Generation (TWh)]]*10^9)</f>
        <v>1313.0812862414336</v>
      </c>
    </row>
    <row r="2465" spans="1:18" hidden="1">
      <c r="A2465" t="s">
        <v>654</v>
      </c>
      <c r="B2465" t="s">
        <v>19</v>
      </c>
      <c r="C2465" t="str">
        <f>SUBSTITUTE(Table1[[#This Row],[Fuel]],", ",",")</f>
        <v>bioenergy: refuse (municipal and industrial wastes)</v>
      </c>
      <c r="D2465" t="s">
        <v>19</v>
      </c>
      <c r="G2465">
        <v>7.5</v>
      </c>
      <c r="H2465" t="s">
        <v>27</v>
      </c>
      <c r="I2465">
        <v>2020</v>
      </c>
      <c r="J2465" t="s">
        <v>21</v>
      </c>
      <c r="K2465">
        <v>31.029199999999999</v>
      </c>
      <c r="L2465">
        <v>112.6662</v>
      </c>
      <c r="M2465" t="s">
        <v>102</v>
      </c>
      <c r="N2465" s="2">
        <f>Table1[[#This Row],[Capacity (MW)]]*8760*0.72*10^-6</f>
        <v>4.7303999999999999E-2</v>
      </c>
      <c r="O2465" s="2" cm="1">
        <f t="array" ref="O2465">AVERAGE(VLOOKUP(_xlfn.TEXTSPLIT(Table1[[#This Row],[Fuel (no space after comma)]], ","), FuelList_Final_EF!$A$2:$B$32, 2, FALSE))</f>
        <v>105.42962572482868</v>
      </c>
      <c r="P2465" s="2">
        <f>(16112*Table1[[#This Row],[Generation (TWh)]]*10^9)/10^6</f>
        <v>762162.04799999995</v>
      </c>
      <c r="Q2465" s="2">
        <f>Table1[[#This Row],[Emission Factor (kg CO2/ mmBtu)]]*Table1[[#This Row],[Fuel Consumption (mmBtu)]]*10^3</f>
        <v>80354459462.308914</v>
      </c>
      <c r="R2465" s="2">
        <f>(Table1[[#This Row],[CO2 Emissions (g CO2)]])/(Table1[[#This Row],[Generation (TWh)]]*10^9)</f>
        <v>1698.6821296784397</v>
      </c>
    </row>
    <row r="2466" spans="1:18" hidden="1">
      <c r="A2466" t="s">
        <v>21</v>
      </c>
      <c r="B2466" t="s">
        <v>19</v>
      </c>
      <c r="C2466" t="str">
        <f>SUBSTITUTE(Table1[[#This Row],[Fuel]],", ",",")</f>
        <v>bioenergy: refuse (municipal and industrial wastes)</v>
      </c>
      <c r="D2466" t="s">
        <v>19</v>
      </c>
      <c r="G2466">
        <v>12</v>
      </c>
      <c r="H2466" t="s">
        <v>27</v>
      </c>
      <c r="I2466">
        <v>2012</v>
      </c>
      <c r="J2466" t="s">
        <v>21</v>
      </c>
      <c r="K2466">
        <v>28.913637999999999</v>
      </c>
      <c r="L2466">
        <v>111.71392400000001</v>
      </c>
      <c r="M2466" t="s">
        <v>102</v>
      </c>
      <c r="N2466" s="2">
        <f>Table1[[#This Row],[Capacity (MW)]]*8760*0.72*10^-6</f>
        <v>7.5686399999999987E-2</v>
      </c>
      <c r="O2466" s="2" cm="1">
        <f t="array" ref="O2466">AVERAGE(VLOOKUP(_xlfn.TEXTSPLIT(Table1[[#This Row],[Fuel (no space after comma)]], ","), FuelList_Final_EF!$A$2:$B$32, 2, FALSE))</f>
        <v>105.42962572482868</v>
      </c>
      <c r="P2466" s="2">
        <f>(16112*Table1[[#This Row],[Generation (TWh)]]*10^9)/10^6</f>
        <v>1219459.2767999996</v>
      </c>
      <c r="Q2466" s="2">
        <f>Table1[[#This Row],[Emission Factor (kg CO2/ mmBtu)]]*Table1[[#This Row],[Fuel Consumption (mmBtu)]]*10^3</f>
        <v>128567135139.69423</v>
      </c>
      <c r="R2466" s="2">
        <f>(Table1[[#This Row],[CO2 Emissions (g CO2)]])/(Table1[[#This Row],[Generation (TWh)]]*10^9)</f>
        <v>1698.6821296784397</v>
      </c>
    </row>
    <row r="2467" spans="1:18" hidden="1">
      <c r="A2467" t="s">
        <v>21</v>
      </c>
      <c r="B2467" t="s">
        <v>19</v>
      </c>
      <c r="C2467" t="str">
        <f>SUBSTITUTE(Table1[[#This Row],[Fuel]],", ",",")</f>
        <v>bioenergy: refuse (municipal and industrial wastes)</v>
      </c>
      <c r="D2467" t="s">
        <v>19</v>
      </c>
      <c r="G2467">
        <v>12</v>
      </c>
      <c r="H2467" t="s">
        <v>27</v>
      </c>
      <c r="I2467">
        <v>2012</v>
      </c>
      <c r="J2467" t="s">
        <v>21</v>
      </c>
      <c r="K2467">
        <v>28.913637999999999</v>
      </c>
      <c r="L2467">
        <v>111.71392400000001</v>
      </c>
      <c r="M2467" t="s">
        <v>102</v>
      </c>
      <c r="N2467" s="2">
        <f>Table1[[#This Row],[Capacity (MW)]]*8760*0.72*10^-6</f>
        <v>7.5686399999999987E-2</v>
      </c>
      <c r="O2467" s="2" cm="1">
        <f t="array" ref="O2467">AVERAGE(VLOOKUP(_xlfn.TEXTSPLIT(Table1[[#This Row],[Fuel (no space after comma)]], ","), FuelList_Final_EF!$A$2:$B$32, 2, FALSE))</f>
        <v>105.42962572482868</v>
      </c>
      <c r="P2467" s="2">
        <f>(16112*Table1[[#This Row],[Generation (TWh)]]*10^9)/10^6</f>
        <v>1219459.2767999996</v>
      </c>
      <c r="Q2467" s="2">
        <f>Table1[[#This Row],[Emission Factor (kg CO2/ mmBtu)]]*Table1[[#This Row],[Fuel Consumption (mmBtu)]]*10^3</f>
        <v>128567135139.69423</v>
      </c>
      <c r="R2467" s="2">
        <f>(Table1[[#This Row],[CO2 Emissions (g CO2)]])/(Table1[[#This Row],[Generation (TWh)]]*10^9)</f>
        <v>1698.6821296784397</v>
      </c>
    </row>
    <row r="2468" spans="1:18" hidden="1">
      <c r="A2468" t="s">
        <v>541</v>
      </c>
      <c r="B2468" t="s">
        <v>19</v>
      </c>
      <c r="C2468" t="str">
        <f>SUBSTITUTE(Table1[[#This Row],[Fuel]],", ",",")</f>
        <v>bioenergy: refuse (municipal and industrial wastes)</v>
      </c>
      <c r="D2468" t="s">
        <v>19</v>
      </c>
      <c r="G2468">
        <v>12</v>
      </c>
      <c r="H2468" t="s">
        <v>27</v>
      </c>
      <c r="I2468">
        <v>2021</v>
      </c>
      <c r="J2468" t="s">
        <v>21</v>
      </c>
      <c r="K2468">
        <v>26.77338</v>
      </c>
      <c r="L2468">
        <v>112.70580699999999</v>
      </c>
      <c r="M2468" t="s">
        <v>102</v>
      </c>
      <c r="N2468" s="2">
        <f>Table1[[#This Row],[Capacity (MW)]]*8760*0.72*10^-6</f>
        <v>7.5686399999999987E-2</v>
      </c>
      <c r="O2468" s="2" cm="1">
        <f t="array" ref="O2468">AVERAGE(VLOOKUP(_xlfn.TEXTSPLIT(Table1[[#This Row],[Fuel (no space after comma)]], ","), FuelList_Final_EF!$A$2:$B$32, 2, FALSE))</f>
        <v>105.42962572482868</v>
      </c>
      <c r="P2468" s="2">
        <f>(16112*Table1[[#This Row],[Generation (TWh)]]*10^9)/10^6</f>
        <v>1219459.2767999996</v>
      </c>
      <c r="Q2468" s="2">
        <f>Table1[[#This Row],[Emission Factor (kg CO2/ mmBtu)]]*Table1[[#This Row],[Fuel Consumption (mmBtu)]]*10^3</f>
        <v>128567135139.69423</v>
      </c>
      <c r="R2468" s="2">
        <f>(Table1[[#This Row],[CO2 Emissions (g CO2)]])/(Table1[[#This Row],[Generation (TWh)]]*10^9)</f>
        <v>1698.6821296784397</v>
      </c>
    </row>
    <row r="2469" spans="1:18" hidden="1">
      <c r="A2469" t="s">
        <v>21</v>
      </c>
      <c r="B2469" t="s">
        <v>19</v>
      </c>
      <c r="C2469" t="str">
        <f>SUBSTITUTE(Table1[[#This Row],[Fuel]],", ",",")</f>
        <v>bioenergy: refuse (municipal and industrial wastes)</v>
      </c>
      <c r="D2469" t="s">
        <v>19</v>
      </c>
      <c r="G2469">
        <v>18</v>
      </c>
      <c r="H2469" t="s">
        <v>27</v>
      </c>
      <c r="I2469">
        <v>2016</v>
      </c>
      <c r="J2469" t="s">
        <v>21</v>
      </c>
      <c r="K2469">
        <v>27.026762000000002</v>
      </c>
      <c r="L2469">
        <v>112.619691</v>
      </c>
      <c r="M2469" t="s">
        <v>102</v>
      </c>
      <c r="N2469" s="2">
        <f>Table1[[#This Row],[Capacity (MW)]]*8760*0.72*10^-6</f>
        <v>0.11352959999999998</v>
      </c>
      <c r="O2469" s="2" cm="1">
        <f t="array" ref="O2469">AVERAGE(VLOOKUP(_xlfn.TEXTSPLIT(Table1[[#This Row],[Fuel (no space after comma)]], ","), FuelList_Final_EF!$A$2:$B$32, 2, FALSE))</f>
        <v>105.42962572482868</v>
      </c>
      <c r="P2469" s="2">
        <f>(16112*Table1[[#This Row],[Generation (TWh)]]*10^9)/10^6</f>
        <v>1829188.9151999997</v>
      </c>
      <c r="Q2469" s="2">
        <f>Table1[[#This Row],[Emission Factor (kg CO2/ mmBtu)]]*Table1[[#This Row],[Fuel Consumption (mmBtu)]]*10^3</f>
        <v>192850702709.54135</v>
      </c>
      <c r="R2469" s="2">
        <f>(Table1[[#This Row],[CO2 Emissions (g CO2)]])/(Table1[[#This Row],[Generation (TWh)]]*10^9)</f>
        <v>1698.6821296784397</v>
      </c>
    </row>
    <row r="2470" spans="1:18" hidden="1">
      <c r="A2470" t="s">
        <v>21</v>
      </c>
      <c r="B2470" t="s">
        <v>19</v>
      </c>
      <c r="C2470" t="str">
        <f>SUBSTITUTE(Table1[[#This Row],[Fuel]],", ",",")</f>
        <v>bioenergy: refuse (municipal and industrial wastes)</v>
      </c>
      <c r="D2470" t="s">
        <v>19</v>
      </c>
      <c r="G2470">
        <v>18</v>
      </c>
      <c r="H2470" t="s">
        <v>27</v>
      </c>
      <c r="I2470">
        <v>2020</v>
      </c>
      <c r="J2470" t="s">
        <v>21</v>
      </c>
      <c r="K2470">
        <v>27.026762000000002</v>
      </c>
      <c r="L2470">
        <v>112.619691</v>
      </c>
      <c r="M2470" t="s">
        <v>102</v>
      </c>
      <c r="N2470" s="2">
        <f>Table1[[#This Row],[Capacity (MW)]]*8760*0.72*10^-6</f>
        <v>0.11352959999999998</v>
      </c>
      <c r="O2470" s="2" cm="1">
        <f t="array" ref="O2470">AVERAGE(VLOOKUP(_xlfn.TEXTSPLIT(Table1[[#This Row],[Fuel (no space after comma)]], ","), FuelList_Final_EF!$A$2:$B$32, 2, FALSE))</f>
        <v>105.42962572482868</v>
      </c>
      <c r="P2470" s="2">
        <f>(16112*Table1[[#This Row],[Generation (TWh)]]*10^9)/10^6</f>
        <v>1829188.9151999997</v>
      </c>
      <c r="Q2470" s="2">
        <f>Table1[[#This Row],[Emission Factor (kg CO2/ mmBtu)]]*Table1[[#This Row],[Fuel Consumption (mmBtu)]]*10^3</f>
        <v>192850702709.54135</v>
      </c>
      <c r="R2470" s="2">
        <f>(Table1[[#This Row],[CO2 Emissions (g CO2)]])/(Table1[[#This Row],[Generation (TWh)]]*10^9)</f>
        <v>1698.6821296784397</v>
      </c>
    </row>
    <row r="2471" spans="1:18" hidden="1">
      <c r="A2471" t="s">
        <v>21</v>
      </c>
      <c r="B2471" t="s">
        <v>19</v>
      </c>
      <c r="C2471" t="str">
        <f>SUBSTITUTE(Table1[[#This Row],[Fuel]],", ",",")</f>
        <v>bioenergy: refuse (municipal and industrial wastes)</v>
      </c>
      <c r="D2471" t="s">
        <v>19</v>
      </c>
      <c r="G2471">
        <v>15</v>
      </c>
      <c r="H2471" t="s">
        <v>27</v>
      </c>
      <c r="I2471">
        <v>2019</v>
      </c>
      <c r="J2471" t="s">
        <v>21</v>
      </c>
      <c r="K2471">
        <v>28.753730000000001</v>
      </c>
      <c r="L2471">
        <v>113.17458999999999</v>
      </c>
      <c r="M2471" t="s">
        <v>102</v>
      </c>
      <c r="N2471" s="2">
        <f>Table1[[#This Row],[Capacity (MW)]]*8760*0.72*10^-6</f>
        <v>9.4607999999999998E-2</v>
      </c>
      <c r="O2471" s="2" cm="1">
        <f t="array" ref="O2471">AVERAGE(VLOOKUP(_xlfn.TEXTSPLIT(Table1[[#This Row],[Fuel (no space after comma)]], ","), FuelList_Final_EF!$A$2:$B$32, 2, FALSE))</f>
        <v>105.42962572482868</v>
      </c>
      <c r="P2471" s="2">
        <f>(16112*Table1[[#This Row],[Generation (TWh)]]*10^9)/10^6</f>
        <v>1524324.0959999999</v>
      </c>
      <c r="Q2471" s="2">
        <f>Table1[[#This Row],[Emission Factor (kg CO2/ mmBtu)]]*Table1[[#This Row],[Fuel Consumption (mmBtu)]]*10^3</f>
        <v>160708918924.61783</v>
      </c>
      <c r="R2471" s="2">
        <f>(Table1[[#This Row],[CO2 Emissions (g CO2)]])/(Table1[[#This Row],[Generation (TWh)]]*10^9)</f>
        <v>1698.6821296784397</v>
      </c>
    </row>
    <row r="2472" spans="1:18" hidden="1">
      <c r="A2472" t="s">
        <v>21</v>
      </c>
      <c r="B2472" t="s">
        <v>19</v>
      </c>
      <c r="C2472" t="str">
        <f>SUBSTITUTE(Table1[[#This Row],[Fuel]],", ",",")</f>
        <v>bioenergy: refuse (municipal and industrial wastes)</v>
      </c>
      <c r="D2472" t="s">
        <v>19</v>
      </c>
      <c r="G2472">
        <v>25</v>
      </c>
      <c r="H2472" t="s">
        <v>27</v>
      </c>
      <c r="I2472">
        <v>2024</v>
      </c>
      <c r="J2472" t="s">
        <v>21</v>
      </c>
      <c r="K2472">
        <v>28.211438999999999</v>
      </c>
      <c r="L2472">
        <v>112.559899</v>
      </c>
      <c r="M2472" t="s">
        <v>102</v>
      </c>
      <c r="N2472" s="2">
        <f>Table1[[#This Row],[Capacity (MW)]]*8760*0.72*10^-6</f>
        <v>0.15767999999999999</v>
      </c>
      <c r="O2472" s="2" cm="1">
        <f t="array" ref="O2472">AVERAGE(VLOOKUP(_xlfn.TEXTSPLIT(Table1[[#This Row],[Fuel (no space after comma)]], ","), FuelList_Final_EF!$A$2:$B$32, 2, FALSE))</f>
        <v>105.42962572482868</v>
      </c>
      <c r="P2472" s="2">
        <f>(16112*Table1[[#This Row],[Generation (TWh)]]*10^9)/10^6</f>
        <v>2540540.16</v>
      </c>
      <c r="Q2472" s="2">
        <f>Table1[[#This Row],[Emission Factor (kg CO2/ mmBtu)]]*Table1[[#This Row],[Fuel Consumption (mmBtu)]]*10^3</f>
        <v>267848198207.69638</v>
      </c>
      <c r="R2472" s="2">
        <f>(Table1[[#This Row],[CO2 Emissions (g CO2)]])/(Table1[[#This Row],[Generation (TWh)]]*10^9)</f>
        <v>1698.6821296784397</v>
      </c>
    </row>
    <row r="2473" spans="1:18" hidden="1">
      <c r="A2473" t="s">
        <v>21</v>
      </c>
      <c r="B2473" t="s">
        <v>19</v>
      </c>
      <c r="C2473" t="str">
        <f>SUBSTITUTE(Table1[[#This Row],[Fuel]],", ",",")</f>
        <v>bioenergy: refuse (municipal and industrial wastes)</v>
      </c>
      <c r="D2473" t="s">
        <v>19</v>
      </c>
      <c r="G2473">
        <v>20</v>
      </c>
      <c r="H2473" t="s">
        <v>27</v>
      </c>
      <c r="I2473">
        <v>2022</v>
      </c>
      <c r="J2473" t="s">
        <v>21</v>
      </c>
      <c r="K2473">
        <v>27.183548999999999</v>
      </c>
      <c r="L2473">
        <v>111.80483700000001</v>
      </c>
      <c r="M2473" t="s">
        <v>102</v>
      </c>
      <c r="N2473" s="2">
        <f>Table1[[#This Row],[Capacity (MW)]]*8760*0.72*10^-6</f>
        <v>0.12614400000000001</v>
      </c>
      <c r="O2473" s="2" cm="1">
        <f t="array" ref="O2473">AVERAGE(VLOOKUP(_xlfn.TEXTSPLIT(Table1[[#This Row],[Fuel (no space after comma)]], ","), FuelList_Final_EF!$A$2:$B$32, 2, FALSE))</f>
        <v>105.42962572482868</v>
      </c>
      <c r="P2473" s="2">
        <f>(16112*Table1[[#This Row],[Generation (TWh)]]*10^9)/10^6</f>
        <v>2032432.1280000003</v>
      </c>
      <c r="Q2473" s="2">
        <f>Table1[[#This Row],[Emission Factor (kg CO2/ mmBtu)]]*Table1[[#This Row],[Fuel Consumption (mmBtu)]]*10^3</f>
        <v>214278558566.15714</v>
      </c>
      <c r="R2473" s="2">
        <f>(Table1[[#This Row],[CO2 Emissions (g CO2)]])/(Table1[[#This Row],[Generation (TWh)]]*10^9)</f>
        <v>1698.6821296784401</v>
      </c>
    </row>
    <row r="2474" spans="1:18" hidden="1">
      <c r="A2474" t="s">
        <v>21</v>
      </c>
      <c r="B2474" t="s">
        <v>19</v>
      </c>
      <c r="C2474" t="str">
        <f>SUBSTITUTE(Table1[[#This Row],[Fuel]],", ",",")</f>
        <v>bioenergy: refuse (municipal and industrial wastes)</v>
      </c>
      <c r="D2474" t="s">
        <v>19</v>
      </c>
      <c r="G2474">
        <v>12</v>
      </c>
      <c r="H2474" t="s">
        <v>27</v>
      </c>
      <c r="I2474">
        <v>2019</v>
      </c>
      <c r="J2474" t="s">
        <v>21</v>
      </c>
      <c r="K2474">
        <v>27.793247000000001</v>
      </c>
      <c r="L2474">
        <v>112.50485500000001</v>
      </c>
      <c r="M2474" t="s">
        <v>102</v>
      </c>
      <c r="N2474" s="2">
        <f>Table1[[#This Row],[Capacity (MW)]]*8760*0.72*10^-6</f>
        <v>7.5686399999999987E-2</v>
      </c>
      <c r="O2474" s="2" cm="1">
        <f t="array" ref="O2474">AVERAGE(VLOOKUP(_xlfn.TEXTSPLIT(Table1[[#This Row],[Fuel (no space after comma)]], ","), FuelList_Final_EF!$A$2:$B$32, 2, FALSE))</f>
        <v>105.42962572482868</v>
      </c>
      <c r="P2474" s="2">
        <f>(16112*Table1[[#This Row],[Generation (TWh)]]*10^9)/10^6</f>
        <v>1219459.2767999996</v>
      </c>
      <c r="Q2474" s="2">
        <f>Table1[[#This Row],[Emission Factor (kg CO2/ mmBtu)]]*Table1[[#This Row],[Fuel Consumption (mmBtu)]]*10^3</f>
        <v>128567135139.69423</v>
      </c>
      <c r="R2474" s="2">
        <f>(Table1[[#This Row],[CO2 Emissions (g CO2)]])/(Table1[[#This Row],[Generation (TWh)]]*10^9)</f>
        <v>1698.6821296784397</v>
      </c>
    </row>
    <row r="2475" spans="1:18" hidden="1">
      <c r="A2475" t="s">
        <v>21</v>
      </c>
      <c r="B2475" t="s">
        <v>19</v>
      </c>
      <c r="C2475" t="str">
        <f>SUBSTITUTE(Table1[[#This Row],[Fuel]],", ",",")</f>
        <v>bioenergy: refuse (municipal and industrial wastes)</v>
      </c>
      <c r="D2475" t="s">
        <v>19</v>
      </c>
      <c r="G2475">
        <v>15</v>
      </c>
      <c r="H2475" t="s">
        <v>27</v>
      </c>
      <c r="I2475">
        <v>2016</v>
      </c>
      <c r="J2475" t="s">
        <v>21</v>
      </c>
      <c r="K2475">
        <v>28.563029</v>
      </c>
      <c r="L2475">
        <v>112.267222</v>
      </c>
      <c r="M2475" t="s">
        <v>102</v>
      </c>
      <c r="N2475" s="2">
        <f>Table1[[#This Row],[Capacity (MW)]]*8760*0.72*10^-6</f>
        <v>9.4607999999999998E-2</v>
      </c>
      <c r="O2475" s="2" cm="1">
        <f t="array" ref="O2475">AVERAGE(VLOOKUP(_xlfn.TEXTSPLIT(Table1[[#This Row],[Fuel (no space after comma)]], ","), FuelList_Final_EF!$A$2:$B$32, 2, FALSE))</f>
        <v>105.42962572482868</v>
      </c>
      <c r="P2475" s="2">
        <f>(16112*Table1[[#This Row],[Generation (TWh)]]*10^9)/10^6</f>
        <v>1524324.0959999999</v>
      </c>
      <c r="Q2475" s="2">
        <f>Table1[[#This Row],[Emission Factor (kg CO2/ mmBtu)]]*Table1[[#This Row],[Fuel Consumption (mmBtu)]]*10^3</f>
        <v>160708918924.61783</v>
      </c>
      <c r="R2475" s="2">
        <f>(Table1[[#This Row],[CO2 Emissions (g CO2)]])/(Table1[[#This Row],[Generation (TWh)]]*10^9)</f>
        <v>1698.6821296784397</v>
      </c>
    </row>
    <row r="2476" spans="1:18" hidden="1">
      <c r="A2476" t="s">
        <v>21</v>
      </c>
      <c r="B2476" t="s">
        <v>19</v>
      </c>
      <c r="C2476" t="str">
        <f>SUBSTITUTE(Table1[[#This Row],[Fuel]],", ",",")</f>
        <v>bioenergy: refuse (municipal and industrial wastes)</v>
      </c>
      <c r="D2476" t="s">
        <v>19</v>
      </c>
      <c r="G2476">
        <v>15</v>
      </c>
      <c r="H2476" t="s">
        <v>27</v>
      </c>
      <c r="I2476">
        <v>2021</v>
      </c>
      <c r="J2476" t="s">
        <v>21</v>
      </c>
      <c r="K2476">
        <v>28.563029</v>
      </c>
      <c r="L2476">
        <v>112.267222</v>
      </c>
      <c r="M2476" t="s">
        <v>102</v>
      </c>
      <c r="N2476" s="2">
        <f>Table1[[#This Row],[Capacity (MW)]]*8760*0.72*10^-6</f>
        <v>9.4607999999999998E-2</v>
      </c>
      <c r="O2476" s="2" cm="1">
        <f t="array" ref="O2476">AVERAGE(VLOOKUP(_xlfn.TEXTSPLIT(Table1[[#This Row],[Fuel (no space after comma)]], ","), FuelList_Final_EF!$A$2:$B$32, 2, FALSE))</f>
        <v>105.42962572482868</v>
      </c>
      <c r="P2476" s="2">
        <f>(16112*Table1[[#This Row],[Generation (TWh)]]*10^9)/10^6</f>
        <v>1524324.0959999999</v>
      </c>
      <c r="Q2476" s="2">
        <f>Table1[[#This Row],[Emission Factor (kg CO2/ mmBtu)]]*Table1[[#This Row],[Fuel Consumption (mmBtu)]]*10^3</f>
        <v>160708918924.61783</v>
      </c>
      <c r="R2476" s="2">
        <f>(Table1[[#This Row],[CO2 Emissions (g CO2)]])/(Table1[[#This Row],[Generation (TWh)]]*10^9)</f>
        <v>1698.6821296784397</v>
      </c>
    </row>
    <row r="2477" spans="1:18" hidden="1">
      <c r="A2477" t="s">
        <v>21</v>
      </c>
      <c r="B2477" t="s">
        <v>19</v>
      </c>
      <c r="C2477" t="str">
        <f>SUBSTITUTE(Table1[[#This Row],[Fuel]],", ",",")</f>
        <v>bioenergy: refuse (municipal and industrial wastes)</v>
      </c>
      <c r="D2477" t="s">
        <v>19</v>
      </c>
      <c r="G2477">
        <v>18</v>
      </c>
      <c r="H2477" t="s">
        <v>27</v>
      </c>
      <c r="I2477">
        <v>2022</v>
      </c>
      <c r="J2477" t="s">
        <v>21</v>
      </c>
      <c r="K2477">
        <v>29.149545</v>
      </c>
      <c r="L2477">
        <v>110.549685</v>
      </c>
      <c r="M2477" t="s">
        <v>102</v>
      </c>
      <c r="N2477" s="2">
        <f>Table1[[#This Row],[Capacity (MW)]]*8760*0.72*10^-6</f>
        <v>0.11352959999999998</v>
      </c>
      <c r="O2477" s="2" cm="1">
        <f t="array" ref="O2477">AVERAGE(VLOOKUP(_xlfn.TEXTSPLIT(Table1[[#This Row],[Fuel (no space after comma)]], ","), FuelList_Final_EF!$A$2:$B$32, 2, FALSE))</f>
        <v>105.42962572482868</v>
      </c>
      <c r="P2477" s="2">
        <f>(16112*Table1[[#This Row],[Generation (TWh)]]*10^9)/10^6</f>
        <v>1829188.9151999997</v>
      </c>
      <c r="Q2477" s="2">
        <f>Table1[[#This Row],[Emission Factor (kg CO2/ mmBtu)]]*Table1[[#This Row],[Fuel Consumption (mmBtu)]]*10^3</f>
        <v>192850702709.54135</v>
      </c>
      <c r="R2477" s="2">
        <f>(Table1[[#This Row],[CO2 Emissions (g CO2)]])/(Table1[[#This Row],[Generation (TWh)]]*10^9)</f>
        <v>1698.6821296784397</v>
      </c>
    </row>
    <row r="2478" spans="1:18" hidden="1">
      <c r="A2478" t="s">
        <v>21</v>
      </c>
      <c r="B2478" t="s">
        <v>46</v>
      </c>
      <c r="C2478" t="str">
        <f>SUBSTITUTE(Table1[[#This Row],[Fuel]],", ",",")</f>
        <v>bioenergy: agricultural waste (solids)</v>
      </c>
      <c r="D2478" t="s">
        <v>46</v>
      </c>
      <c r="G2478">
        <v>17.5</v>
      </c>
      <c r="H2478" t="s">
        <v>97</v>
      </c>
      <c r="I2478">
        <v>2027</v>
      </c>
      <c r="J2478" t="s">
        <v>21</v>
      </c>
      <c r="K2478">
        <v>10.93242485</v>
      </c>
      <c r="L2478">
        <v>122.58092190000001</v>
      </c>
      <c r="M2478" t="s">
        <v>72</v>
      </c>
      <c r="N2478" s="2">
        <f>Table1[[#This Row],[Capacity (MW)]]*8760*0.72*10^-6</f>
        <v>0.110376</v>
      </c>
      <c r="O2478" s="2" cm="1">
        <f t="array" ref="O2478">AVERAGE(VLOOKUP(_xlfn.TEXTSPLIT(Table1[[#This Row],[Fuel (no space after comma)]], ","), FuelList_Final_EF!$A$2:$B$32, 2, FALSE))</f>
        <v>118.17</v>
      </c>
      <c r="P2478" s="2">
        <f>(16112*Table1[[#This Row],[Generation (TWh)]]*10^9)/10^6</f>
        <v>1778378.112</v>
      </c>
      <c r="Q2478" s="2">
        <f>Table1[[#This Row],[Emission Factor (kg CO2/ mmBtu)]]*Table1[[#This Row],[Fuel Consumption (mmBtu)]]*10^3</f>
        <v>210150941495.04001</v>
      </c>
      <c r="R2478" s="2">
        <f>(Table1[[#This Row],[CO2 Emissions (g CO2)]])/(Table1[[#This Row],[Generation (TWh)]]*10^9)</f>
        <v>1903.9550400000001</v>
      </c>
    </row>
    <row r="2479" spans="1:18" hidden="1">
      <c r="A2479" t="s">
        <v>21</v>
      </c>
      <c r="B2479" t="s">
        <v>46</v>
      </c>
      <c r="C2479" t="str">
        <f>SUBSTITUTE(Table1[[#This Row],[Fuel]],", ",",")</f>
        <v>bioenergy: agricultural waste (solids)</v>
      </c>
      <c r="D2479" t="s">
        <v>46</v>
      </c>
      <c r="G2479">
        <v>17.5</v>
      </c>
      <c r="H2479" t="s">
        <v>97</v>
      </c>
      <c r="I2479">
        <v>2027</v>
      </c>
      <c r="J2479" t="s">
        <v>21</v>
      </c>
      <c r="K2479">
        <v>10.93242485</v>
      </c>
      <c r="L2479">
        <v>122.58092190000001</v>
      </c>
      <c r="M2479" t="s">
        <v>72</v>
      </c>
      <c r="N2479" s="2">
        <f>Table1[[#This Row],[Capacity (MW)]]*8760*0.72*10^-6</f>
        <v>0.110376</v>
      </c>
      <c r="O2479" s="2" cm="1">
        <f t="array" ref="O2479">AVERAGE(VLOOKUP(_xlfn.TEXTSPLIT(Table1[[#This Row],[Fuel (no space after comma)]], ","), FuelList_Final_EF!$A$2:$B$32, 2, FALSE))</f>
        <v>118.17</v>
      </c>
      <c r="P2479" s="2">
        <f>(16112*Table1[[#This Row],[Generation (TWh)]]*10^9)/10^6</f>
        <v>1778378.112</v>
      </c>
      <c r="Q2479" s="2">
        <f>Table1[[#This Row],[Emission Factor (kg CO2/ mmBtu)]]*Table1[[#This Row],[Fuel Consumption (mmBtu)]]*10^3</f>
        <v>210150941495.04001</v>
      </c>
      <c r="R2479" s="2">
        <f>(Table1[[#This Row],[CO2 Emissions (g CO2)]])/(Table1[[#This Row],[Generation (TWh)]]*10^9)</f>
        <v>1903.9550400000001</v>
      </c>
    </row>
    <row r="2480" spans="1:18" hidden="1">
      <c r="A2480" t="s">
        <v>1323</v>
      </c>
      <c r="B2480" t="s">
        <v>46</v>
      </c>
      <c r="C2480" t="str">
        <f>SUBSTITUTE(Table1[[#This Row],[Fuel]],", ",",")</f>
        <v>bioenergy: agricultural waste (solids)</v>
      </c>
      <c r="D2480" t="s">
        <v>46</v>
      </c>
      <c r="G2480">
        <v>7</v>
      </c>
      <c r="H2480" t="s">
        <v>27</v>
      </c>
      <c r="I2480">
        <v>2022</v>
      </c>
      <c r="J2480" t="s">
        <v>21</v>
      </c>
      <c r="K2480">
        <v>18.220207370000001</v>
      </c>
      <c r="L2480">
        <v>-71.086444090000001</v>
      </c>
      <c r="M2480" t="s">
        <v>1046</v>
      </c>
      <c r="N2480" s="2">
        <f>Table1[[#This Row],[Capacity (MW)]]*8760*0.72*10^-6</f>
        <v>4.4150399999999999E-2</v>
      </c>
      <c r="O2480" s="2" cm="1">
        <f t="array" ref="O2480">AVERAGE(VLOOKUP(_xlfn.TEXTSPLIT(Table1[[#This Row],[Fuel (no space after comma)]], ","), FuelList_Final_EF!$A$2:$B$32, 2, FALSE))</f>
        <v>118.17</v>
      </c>
      <c r="P2480" s="2">
        <f>(16112*Table1[[#This Row],[Generation (TWh)]]*10^9)/10^6</f>
        <v>711351.24479999999</v>
      </c>
      <c r="Q2480" s="2">
        <f>Table1[[#This Row],[Emission Factor (kg CO2/ mmBtu)]]*Table1[[#This Row],[Fuel Consumption (mmBtu)]]*10^3</f>
        <v>84060376598.015991</v>
      </c>
      <c r="R2480" s="2">
        <f>(Table1[[#This Row],[CO2 Emissions (g CO2)]])/(Table1[[#This Row],[Generation (TWh)]]*10^9)</f>
        <v>1903.9550399999998</v>
      </c>
    </row>
    <row r="2481" spans="1:18" hidden="1">
      <c r="A2481" t="s">
        <v>21</v>
      </c>
      <c r="B2481" t="s">
        <v>19</v>
      </c>
      <c r="C2481" t="str">
        <f>SUBSTITUTE(Table1[[#This Row],[Fuel]],", ",",")</f>
        <v>bioenergy: refuse (municipal and industrial wastes)</v>
      </c>
      <c r="D2481" t="s">
        <v>19</v>
      </c>
      <c r="G2481">
        <v>12</v>
      </c>
      <c r="H2481" t="s">
        <v>27</v>
      </c>
      <c r="I2481">
        <v>2012</v>
      </c>
      <c r="J2481" t="s">
        <v>21</v>
      </c>
      <c r="K2481">
        <v>40.566169000000002</v>
      </c>
      <c r="L2481">
        <v>109.852239</v>
      </c>
      <c r="M2481" t="s">
        <v>102</v>
      </c>
      <c r="N2481" s="2">
        <f>Table1[[#This Row],[Capacity (MW)]]*8760*0.72*10^-6</f>
        <v>7.5686399999999987E-2</v>
      </c>
      <c r="O2481" s="2" cm="1">
        <f t="array" ref="O2481">AVERAGE(VLOOKUP(_xlfn.TEXTSPLIT(Table1[[#This Row],[Fuel (no space after comma)]], ","), FuelList_Final_EF!$A$2:$B$32, 2, FALSE))</f>
        <v>105.42962572482868</v>
      </c>
      <c r="P2481" s="2">
        <f>(16112*Table1[[#This Row],[Generation (TWh)]]*10^9)/10^6</f>
        <v>1219459.2767999996</v>
      </c>
      <c r="Q2481" s="2">
        <f>Table1[[#This Row],[Emission Factor (kg CO2/ mmBtu)]]*Table1[[#This Row],[Fuel Consumption (mmBtu)]]*10^3</f>
        <v>128567135139.69423</v>
      </c>
      <c r="R2481" s="2">
        <f>(Table1[[#This Row],[CO2 Emissions (g CO2)]])/(Table1[[#This Row],[Generation (TWh)]]*10^9)</f>
        <v>1698.6821296784397</v>
      </c>
    </row>
    <row r="2482" spans="1:18" hidden="1">
      <c r="A2482" t="s">
        <v>21</v>
      </c>
      <c r="B2482" t="s">
        <v>19</v>
      </c>
      <c r="C2482" t="str">
        <f>SUBSTITUTE(Table1[[#This Row],[Fuel]],", ",",")</f>
        <v>bioenergy: refuse (municipal and industrial wastes)</v>
      </c>
      <c r="D2482" t="s">
        <v>19</v>
      </c>
      <c r="G2482">
        <v>12</v>
      </c>
      <c r="H2482" t="s">
        <v>27</v>
      </c>
      <c r="I2482">
        <v>2012</v>
      </c>
      <c r="J2482" t="s">
        <v>21</v>
      </c>
      <c r="K2482">
        <v>40.566169000000002</v>
      </c>
      <c r="L2482">
        <v>109.852239</v>
      </c>
      <c r="M2482" t="s">
        <v>102</v>
      </c>
      <c r="N2482" s="2">
        <f>Table1[[#This Row],[Capacity (MW)]]*8760*0.72*10^-6</f>
        <v>7.5686399999999987E-2</v>
      </c>
      <c r="O2482" s="2" cm="1">
        <f t="array" ref="O2482">AVERAGE(VLOOKUP(_xlfn.TEXTSPLIT(Table1[[#This Row],[Fuel (no space after comma)]], ","), FuelList_Final_EF!$A$2:$B$32, 2, FALSE))</f>
        <v>105.42962572482868</v>
      </c>
      <c r="P2482" s="2">
        <f>(16112*Table1[[#This Row],[Generation (TWh)]]*10^9)/10^6</f>
        <v>1219459.2767999996</v>
      </c>
      <c r="Q2482" s="2">
        <f>Table1[[#This Row],[Emission Factor (kg CO2/ mmBtu)]]*Table1[[#This Row],[Fuel Consumption (mmBtu)]]*10^3</f>
        <v>128567135139.69423</v>
      </c>
      <c r="R2482" s="2">
        <f>(Table1[[#This Row],[CO2 Emissions (g CO2)]])/(Table1[[#This Row],[Generation (TWh)]]*10^9)</f>
        <v>1698.6821296784397</v>
      </c>
    </row>
    <row r="2483" spans="1:18">
      <c r="A2483" t="s">
        <v>21</v>
      </c>
      <c r="B2483" t="s">
        <v>19</v>
      </c>
      <c r="C2483" t="str">
        <f>SUBSTITUTE(Table1[[#This Row],[Fuel]],", ",",")</f>
        <v>bioenergy: refuse (municipal and industrial wastes)</v>
      </c>
      <c r="D2483" t="s">
        <v>19</v>
      </c>
      <c r="G2483">
        <v>12</v>
      </c>
      <c r="H2483" t="s">
        <v>97</v>
      </c>
      <c r="I2483" t="s">
        <v>21</v>
      </c>
      <c r="J2483" t="s">
        <v>21</v>
      </c>
      <c r="K2483">
        <v>40.566169000000002</v>
      </c>
      <c r="L2483">
        <v>109.852239</v>
      </c>
      <c r="M2483" t="s">
        <v>102</v>
      </c>
      <c r="N2483" s="2">
        <f>Table1[[#This Row],[Capacity (MW)]]*8760*0.72*10^-6</f>
        <v>7.5686399999999987E-2</v>
      </c>
      <c r="O2483" s="2" cm="1">
        <f t="array" ref="O2483">AVERAGE(VLOOKUP(_xlfn.TEXTSPLIT(Table1[[#This Row],[Fuel (no space after comma)]], ","), FuelList_Final_EF!$A$2:$B$32, 2, FALSE))</f>
        <v>105.42962572482868</v>
      </c>
      <c r="P2483" s="2">
        <f>(16112*Table1[[#This Row],[Generation (TWh)]]*10^9)/10^6</f>
        <v>1219459.2767999996</v>
      </c>
      <c r="Q2483" s="2">
        <f>Table1[[#This Row],[Emission Factor (kg CO2/ mmBtu)]]*Table1[[#This Row],[Fuel Consumption (mmBtu)]]*10^3</f>
        <v>128567135139.69423</v>
      </c>
      <c r="R2483" s="2">
        <f>(Table1[[#This Row],[CO2 Emissions (g CO2)]])/(Table1[[#This Row],[Generation (TWh)]]*10^9)</f>
        <v>1698.6821296784397</v>
      </c>
    </row>
    <row r="2484" spans="1:18" hidden="1">
      <c r="A2484" t="s">
        <v>21</v>
      </c>
      <c r="B2484" t="s">
        <v>41</v>
      </c>
      <c r="C2484" t="str">
        <f>SUBSTITUTE(Table1[[#This Row],[Fuel]],", ",",")</f>
        <v>bioenergy: refuse (municipal and industrial wastes),bioenergy: wastewater and sewage sludge (solids or biogas)</v>
      </c>
      <c r="D2484" t="s">
        <v>19</v>
      </c>
      <c r="E2484" t="s">
        <v>42</v>
      </c>
      <c r="G2484">
        <v>9</v>
      </c>
      <c r="H2484" t="s">
        <v>27</v>
      </c>
      <c r="I2484">
        <v>2014</v>
      </c>
      <c r="J2484" t="s">
        <v>21</v>
      </c>
      <c r="K2484">
        <v>40.677388999999998</v>
      </c>
      <c r="L2484">
        <v>111.72534</v>
      </c>
      <c r="M2484" t="s">
        <v>102</v>
      </c>
      <c r="N2484" s="2">
        <f>Table1[[#This Row],[Capacity (MW)]]*8760*0.72*10^-6</f>
        <v>5.676479999999999E-2</v>
      </c>
      <c r="O2484" s="2" cm="1">
        <f t="array" ref="O2484">AVERAGE(VLOOKUP(_xlfn.TEXTSPLIT(Table1[[#This Row],[Fuel (no space after comma)]], ","), FuelList_Final_EF!$A$2:$B$32, 2, FALSE))</f>
        <v>81.497100685292565</v>
      </c>
      <c r="P2484" s="2">
        <f>(16112*Table1[[#This Row],[Generation (TWh)]]*10^9)/10^6</f>
        <v>914594.45759999985</v>
      </c>
      <c r="Q2484" s="2">
        <f>Table1[[#This Row],[Emission Factor (kg CO2/ mmBtu)]]*Table1[[#This Row],[Fuel Consumption (mmBtu)]]*10^3</f>
        <v>74536796597.237732</v>
      </c>
      <c r="R2484" s="2">
        <f>(Table1[[#This Row],[CO2 Emissions (g CO2)]])/(Table1[[#This Row],[Generation (TWh)]]*10^9)</f>
        <v>1313.0812862414339</v>
      </c>
    </row>
    <row r="2485" spans="1:18">
      <c r="A2485" t="s">
        <v>21</v>
      </c>
      <c r="B2485" t="s">
        <v>19</v>
      </c>
      <c r="C2485" t="str">
        <f>SUBSTITUTE(Table1[[#This Row],[Fuel]],", ",",")</f>
        <v>bioenergy: refuse (municipal and industrial wastes)</v>
      </c>
      <c r="D2485" t="s">
        <v>19</v>
      </c>
      <c r="G2485">
        <v>9</v>
      </c>
      <c r="H2485" t="s">
        <v>20</v>
      </c>
      <c r="I2485" t="s">
        <v>21</v>
      </c>
      <c r="J2485" t="s">
        <v>21</v>
      </c>
      <c r="K2485">
        <v>40.677388999999998</v>
      </c>
      <c r="L2485">
        <v>111.72534</v>
      </c>
      <c r="M2485" t="s">
        <v>102</v>
      </c>
      <c r="N2485" s="2">
        <f>Table1[[#This Row],[Capacity (MW)]]*8760*0.72*10^-6</f>
        <v>5.676479999999999E-2</v>
      </c>
      <c r="O2485" s="2" cm="1">
        <f t="array" ref="O2485">AVERAGE(VLOOKUP(_xlfn.TEXTSPLIT(Table1[[#This Row],[Fuel (no space after comma)]], ","), FuelList_Final_EF!$A$2:$B$32, 2, FALSE))</f>
        <v>105.42962572482868</v>
      </c>
      <c r="P2485" s="2">
        <f>(16112*Table1[[#This Row],[Generation (TWh)]]*10^9)/10^6</f>
        <v>914594.45759999985</v>
      </c>
      <c r="Q2485" s="2">
        <f>Table1[[#This Row],[Emission Factor (kg CO2/ mmBtu)]]*Table1[[#This Row],[Fuel Consumption (mmBtu)]]*10^3</f>
        <v>96425351354.770676</v>
      </c>
      <c r="R2485" s="2">
        <f>(Table1[[#This Row],[CO2 Emissions (g CO2)]])/(Table1[[#This Row],[Generation (TWh)]]*10^9)</f>
        <v>1698.6821296784397</v>
      </c>
    </row>
    <row r="2486" spans="1:18">
      <c r="A2486" t="s">
        <v>21</v>
      </c>
      <c r="B2486" t="s">
        <v>105</v>
      </c>
      <c r="C2486" t="str">
        <f>SUBSTITUTE(Table1[[#This Row],[Fuel]],", ",",")</f>
        <v>bioenergy: agricultural waste (solids),bioenergy: wood &amp; other biomass (solids)</v>
      </c>
      <c r="D2486" t="s">
        <v>46</v>
      </c>
      <c r="E2486" t="s">
        <v>25</v>
      </c>
      <c r="G2486">
        <v>25</v>
      </c>
      <c r="H2486" t="s">
        <v>138</v>
      </c>
      <c r="I2486" t="s">
        <v>21</v>
      </c>
      <c r="J2486" t="s">
        <v>21</v>
      </c>
      <c r="K2486">
        <v>42.7333</v>
      </c>
      <c r="L2486">
        <v>119.6597</v>
      </c>
      <c r="M2486" t="s">
        <v>102</v>
      </c>
      <c r="N2486" s="2">
        <f>Table1[[#This Row],[Capacity (MW)]]*8760*0.72*10^-6</f>
        <v>0.15767999999999999</v>
      </c>
      <c r="O2486" s="2" cm="1">
        <f t="array" ref="O2486">AVERAGE(VLOOKUP(_xlfn.TEXTSPLIT(Table1[[#This Row],[Fuel (no space after comma)]], ","), FuelList_Final_EF!$A$2:$B$32, 2, FALSE))</f>
        <v>105.985</v>
      </c>
      <c r="P2486" s="2">
        <f>(16112*Table1[[#This Row],[Generation (TWh)]]*10^9)/10^6</f>
        <v>2540540.16</v>
      </c>
      <c r="Q2486" s="2">
        <f>Table1[[#This Row],[Emission Factor (kg CO2/ mmBtu)]]*Table1[[#This Row],[Fuel Consumption (mmBtu)]]*10^3</f>
        <v>269259148857.60004</v>
      </c>
      <c r="R2486" s="2">
        <f>(Table1[[#This Row],[CO2 Emissions (g CO2)]])/(Table1[[#This Row],[Generation (TWh)]]*10^9)</f>
        <v>1707.6303200000002</v>
      </c>
    </row>
    <row r="2487" spans="1:18">
      <c r="A2487" t="s">
        <v>21</v>
      </c>
      <c r="B2487" t="s">
        <v>105</v>
      </c>
      <c r="C2487" t="str">
        <f>SUBSTITUTE(Table1[[#This Row],[Fuel]],", ",",")</f>
        <v>bioenergy: agricultural waste (solids),bioenergy: wood &amp; other biomass (solids)</v>
      </c>
      <c r="D2487" t="s">
        <v>46</v>
      </c>
      <c r="E2487" t="s">
        <v>25</v>
      </c>
      <c r="G2487">
        <v>25</v>
      </c>
      <c r="H2487" t="s">
        <v>138</v>
      </c>
      <c r="I2487" t="s">
        <v>21</v>
      </c>
      <c r="J2487" t="s">
        <v>21</v>
      </c>
      <c r="K2487">
        <v>42.7333</v>
      </c>
      <c r="L2487">
        <v>119.6597</v>
      </c>
      <c r="M2487" t="s">
        <v>102</v>
      </c>
      <c r="N2487" s="2">
        <f>Table1[[#This Row],[Capacity (MW)]]*8760*0.72*10^-6</f>
        <v>0.15767999999999999</v>
      </c>
      <c r="O2487" s="2" cm="1">
        <f t="array" ref="O2487">AVERAGE(VLOOKUP(_xlfn.TEXTSPLIT(Table1[[#This Row],[Fuel (no space after comma)]], ","), FuelList_Final_EF!$A$2:$B$32, 2, FALSE))</f>
        <v>105.985</v>
      </c>
      <c r="P2487" s="2">
        <f>(16112*Table1[[#This Row],[Generation (TWh)]]*10^9)/10^6</f>
        <v>2540540.16</v>
      </c>
      <c r="Q2487" s="2">
        <f>Table1[[#This Row],[Emission Factor (kg CO2/ mmBtu)]]*Table1[[#This Row],[Fuel Consumption (mmBtu)]]*10^3</f>
        <v>269259148857.60004</v>
      </c>
      <c r="R2487" s="2">
        <f>(Table1[[#This Row],[CO2 Emissions (g CO2)]])/(Table1[[#This Row],[Generation (TWh)]]*10^9)</f>
        <v>1707.6303200000002</v>
      </c>
    </row>
    <row r="2488" spans="1:18" hidden="1">
      <c r="A2488" t="s">
        <v>21</v>
      </c>
      <c r="B2488" t="s">
        <v>19</v>
      </c>
      <c r="C2488" t="str">
        <f>SUBSTITUTE(Table1[[#This Row],[Fuel]],", ",",")</f>
        <v>bioenergy: refuse (municipal and industrial wastes)</v>
      </c>
      <c r="D2488" t="s">
        <v>19</v>
      </c>
      <c r="G2488">
        <v>10</v>
      </c>
      <c r="H2488" t="s">
        <v>27</v>
      </c>
      <c r="I2488">
        <v>2023</v>
      </c>
      <c r="J2488" t="s">
        <v>21</v>
      </c>
      <c r="K2488">
        <v>46.072698000000003</v>
      </c>
      <c r="L2488">
        <v>122.177018</v>
      </c>
      <c r="M2488" t="s">
        <v>102</v>
      </c>
      <c r="N2488" s="2">
        <f>Table1[[#This Row],[Capacity (MW)]]*8760*0.72*10^-6</f>
        <v>6.3072000000000003E-2</v>
      </c>
      <c r="O2488" s="2" cm="1">
        <f t="array" ref="O2488">AVERAGE(VLOOKUP(_xlfn.TEXTSPLIT(Table1[[#This Row],[Fuel (no space after comma)]], ","), FuelList_Final_EF!$A$2:$B$32, 2, FALSE))</f>
        <v>105.42962572482868</v>
      </c>
      <c r="P2488" s="2">
        <f>(16112*Table1[[#This Row],[Generation (TWh)]]*10^9)/10^6</f>
        <v>1016216.0640000001</v>
      </c>
      <c r="Q2488" s="2">
        <f>Table1[[#This Row],[Emission Factor (kg CO2/ mmBtu)]]*Table1[[#This Row],[Fuel Consumption (mmBtu)]]*10^3</f>
        <v>107139279283.07857</v>
      </c>
      <c r="R2488" s="2">
        <f>(Table1[[#This Row],[CO2 Emissions (g CO2)]])/(Table1[[#This Row],[Generation (TWh)]]*10^9)</f>
        <v>1698.6821296784401</v>
      </c>
    </row>
    <row r="2489" spans="1:18" hidden="1">
      <c r="A2489" t="s">
        <v>21</v>
      </c>
      <c r="B2489" t="s">
        <v>19</v>
      </c>
      <c r="C2489" t="str">
        <f>SUBSTITUTE(Table1[[#This Row],[Fuel]],", ",",")</f>
        <v>bioenergy: refuse (municipal and industrial wastes)</v>
      </c>
      <c r="D2489" t="s">
        <v>19</v>
      </c>
      <c r="G2489">
        <v>15</v>
      </c>
      <c r="H2489" t="s">
        <v>27</v>
      </c>
      <c r="I2489">
        <v>2021</v>
      </c>
      <c r="J2489" t="s">
        <v>21</v>
      </c>
      <c r="K2489">
        <v>40.974894999999997</v>
      </c>
      <c r="L2489">
        <v>113.262286</v>
      </c>
      <c r="M2489" t="s">
        <v>102</v>
      </c>
      <c r="N2489" s="2">
        <f>Table1[[#This Row],[Capacity (MW)]]*8760*0.72*10^-6</f>
        <v>9.4607999999999998E-2</v>
      </c>
      <c r="O2489" s="2" cm="1">
        <f t="array" ref="O2489">AVERAGE(VLOOKUP(_xlfn.TEXTSPLIT(Table1[[#This Row],[Fuel (no space after comma)]], ","), FuelList_Final_EF!$A$2:$B$32, 2, FALSE))</f>
        <v>105.42962572482868</v>
      </c>
      <c r="P2489" s="2">
        <f>(16112*Table1[[#This Row],[Generation (TWh)]]*10^9)/10^6</f>
        <v>1524324.0959999999</v>
      </c>
      <c r="Q2489" s="2">
        <f>Table1[[#This Row],[Emission Factor (kg CO2/ mmBtu)]]*Table1[[#This Row],[Fuel Consumption (mmBtu)]]*10^3</f>
        <v>160708918924.61783</v>
      </c>
      <c r="R2489" s="2">
        <f>(Table1[[#This Row],[CO2 Emissions (g CO2)]])/(Table1[[#This Row],[Generation (TWh)]]*10^9)</f>
        <v>1698.6821296784397</v>
      </c>
    </row>
    <row r="2490" spans="1:18">
      <c r="A2490" t="s">
        <v>21</v>
      </c>
      <c r="B2490" t="s">
        <v>46</v>
      </c>
      <c r="C2490" t="str">
        <f>SUBSTITUTE(Table1[[#This Row],[Fuel]],", ",",")</f>
        <v>bioenergy: agricultural waste (solids)</v>
      </c>
      <c r="D2490" t="s">
        <v>46</v>
      </c>
      <c r="G2490">
        <v>20</v>
      </c>
      <c r="H2490" t="s">
        <v>27</v>
      </c>
      <c r="I2490" t="s">
        <v>21</v>
      </c>
      <c r="J2490" t="s">
        <v>21</v>
      </c>
      <c r="K2490">
        <v>16.82967215</v>
      </c>
      <c r="L2490">
        <v>121.73594730000001</v>
      </c>
      <c r="M2490" t="s">
        <v>72</v>
      </c>
      <c r="N2490" s="2">
        <f>Table1[[#This Row],[Capacity (MW)]]*8760*0.72*10^-6</f>
        <v>0.12614400000000001</v>
      </c>
      <c r="O2490" s="2" cm="1">
        <f t="array" ref="O2490">AVERAGE(VLOOKUP(_xlfn.TEXTSPLIT(Table1[[#This Row],[Fuel (no space after comma)]], ","), FuelList_Final_EF!$A$2:$B$32, 2, FALSE))</f>
        <v>118.17</v>
      </c>
      <c r="P2490" s="2">
        <f>(16112*Table1[[#This Row],[Generation (TWh)]]*10^9)/10^6</f>
        <v>2032432.1280000003</v>
      </c>
      <c r="Q2490" s="2">
        <f>Table1[[#This Row],[Emission Factor (kg CO2/ mmBtu)]]*Table1[[#This Row],[Fuel Consumption (mmBtu)]]*10^3</f>
        <v>240172504565.76004</v>
      </c>
      <c r="R2490" s="2">
        <f>(Table1[[#This Row],[CO2 Emissions (g CO2)]])/(Table1[[#This Row],[Generation (TWh)]]*10^9)</f>
        <v>1903.9550400000003</v>
      </c>
    </row>
    <row r="2491" spans="1:18" hidden="1">
      <c r="A2491" t="s">
        <v>21</v>
      </c>
      <c r="B2491" t="s">
        <v>25</v>
      </c>
      <c r="C2491" t="str">
        <f>SUBSTITUTE(Table1[[#This Row],[Fuel]],", ",",")</f>
        <v>bioenergy: wood &amp; other biomass (solids)</v>
      </c>
      <c r="D2491" t="s">
        <v>25</v>
      </c>
      <c r="G2491">
        <v>5</v>
      </c>
      <c r="H2491" t="s">
        <v>27</v>
      </c>
      <c r="I2491">
        <v>2016</v>
      </c>
      <c r="J2491" t="s">
        <v>21</v>
      </c>
      <c r="K2491">
        <v>36.560400000000001</v>
      </c>
      <c r="L2491">
        <v>127.2587</v>
      </c>
      <c r="M2491" t="s">
        <v>333</v>
      </c>
      <c r="N2491" s="2">
        <f>Table1[[#This Row],[Capacity (MW)]]*8760*0.72*10^-6</f>
        <v>3.1536000000000002E-2</v>
      </c>
      <c r="O2491" s="2" cm="1">
        <f t="array" ref="O2491">AVERAGE(VLOOKUP(_xlfn.TEXTSPLIT(Table1[[#This Row],[Fuel (no space after comma)]], ","), FuelList_Final_EF!$A$2:$B$32, 2, FALSE))</f>
        <v>93.8</v>
      </c>
      <c r="P2491" s="2">
        <f>(16112*Table1[[#This Row],[Generation (TWh)]]*10^9)/10^6</f>
        <v>508108.03200000006</v>
      </c>
      <c r="Q2491" s="2">
        <f>Table1[[#This Row],[Emission Factor (kg CO2/ mmBtu)]]*Table1[[#This Row],[Fuel Consumption (mmBtu)]]*10^3</f>
        <v>47660533401.600006</v>
      </c>
      <c r="R2491" s="2">
        <f>(Table1[[#This Row],[CO2 Emissions (g CO2)]])/(Table1[[#This Row],[Generation (TWh)]]*10^9)</f>
        <v>1511.3056000000001</v>
      </c>
    </row>
    <row r="2492" spans="1:18">
      <c r="A2492" t="s">
        <v>1324</v>
      </c>
      <c r="B2492" t="s">
        <v>25</v>
      </c>
      <c r="C2492" t="str">
        <f>SUBSTITUTE(Table1[[#This Row],[Fuel]],", ",",")</f>
        <v>bioenergy: wood &amp; other biomass (solids)</v>
      </c>
      <c r="D2492" t="s">
        <v>25</v>
      </c>
      <c r="G2492">
        <v>10</v>
      </c>
      <c r="H2492" t="s">
        <v>97</v>
      </c>
      <c r="I2492" t="s">
        <v>21</v>
      </c>
      <c r="J2492" t="s">
        <v>21</v>
      </c>
      <c r="K2492">
        <v>35.290799999999997</v>
      </c>
      <c r="L2492">
        <v>128.4308</v>
      </c>
      <c r="M2492" t="s">
        <v>333</v>
      </c>
      <c r="N2492" s="2">
        <f>Table1[[#This Row],[Capacity (MW)]]*8760*0.72*10^-6</f>
        <v>6.3072000000000003E-2</v>
      </c>
      <c r="O2492" s="2" cm="1">
        <f t="array" ref="O2492">AVERAGE(VLOOKUP(_xlfn.TEXTSPLIT(Table1[[#This Row],[Fuel (no space after comma)]], ","), FuelList_Final_EF!$A$2:$B$32, 2, FALSE))</f>
        <v>93.8</v>
      </c>
      <c r="P2492" s="2">
        <f>(16112*Table1[[#This Row],[Generation (TWh)]]*10^9)/10^6</f>
        <v>1016216.0640000001</v>
      </c>
      <c r="Q2492" s="2">
        <f>Table1[[#This Row],[Emission Factor (kg CO2/ mmBtu)]]*Table1[[#This Row],[Fuel Consumption (mmBtu)]]*10^3</f>
        <v>95321066803.200012</v>
      </c>
      <c r="R2492" s="2">
        <f>(Table1[[#This Row],[CO2 Emissions (g CO2)]])/(Table1[[#This Row],[Generation (TWh)]]*10^9)</f>
        <v>1511.3056000000001</v>
      </c>
    </row>
    <row r="2493" spans="1:18" hidden="1">
      <c r="A2493" t="s">
        <v>1325</v>
      </c>
      <c r="B2493" t="s">
        <v>46</v>
      </c>
      <c r="C2493" t="str">
        <f>SUBSTITUTE(Table1[[#This Row],[Fuel]],", ",",")</f>
        <v>bioenergy: agricultural waste (solids)</v>
      </c>
      <c r="D2493" t="s">
        <v>46</v>
      </c>
      <c r="G2493">
        <v>26.6</v>
      </c>
      <c r="H2493" t="s">
        <v>27</v>
      </c>
      <c r="I2493">
        <v>2014</v>
      </c>
      <c r="J2493" t="s">
        <v>21</v>
      </c>
      <c r="K2493">
        <v>28.047581699999999</v>
      </c>
      <c r="L2493">
        <v>69.321281499999998</v>
      </c>
      <c r="M2493" t="s">
        <v>160</v>
      </c>
      <c r="N2493" s="2">
        <f>Table1[[#This Row],[Capacity (MW)]]*8760*0.72*10^-6</f>
        <v>0.16777151999999998</v>
      </c>
      <c r="O2493" s="2" cm="1">
        <f t="array" ref="O2493">AVERAGE(VLOOKUP(_xlfn.TEXTSPLIT(Table1[[#This Row],[Fuel (no space after comma)]], ","), FuelList_Final_EF!$A$2:$B$32, 2, FALSE))</f>
        <v>118.17</v>
      </c>
      <c r="P2493" s="2">
        <f>(16112*Table1[[#This Row],[Generation (TWh)]]*10^9)/10^6</f>
        <v>2703134.7302399995</v>
      </c>
      <c r="Q2493" s="2">
        <f>Table1[[#This Row],[Emission Factor (kg CO2/ mmBtu)]]*Table1[[#This Row],[Fuel Consumption (mmBtu)]]*10^3</f>
        <v>319429431072.46075</v>
      </c>
      <c r="R2493" s="2">
        <f>(Table1[[#This Row],[CO2 Emissions (g CO2)]])/(Table1[[#This Row],[Generation (TWh)]]*10^9)</f>
        <v>1903.9550400000001</v>
      </c>
    </row>
    <row r="2494" spans="1:18" hidden="1">
      <c r="A2494" t="s">
        <v>1325</v>
      </c>
      <c r="B2494" t="s">
        <v>46</v>
      </c>
      <c r="C2494" t="str">
        <f>SUBSTITUTE(Table1[[#This Row],[Fuel]],", ",",")</f>
        <v>bioenergy: agricultural waste (solids)</v>
      </c>
      <c r="D2494" t="s">
        <v>46</v>
      </c>
      <c r="G2494">
        <v>26.6</v>
      </c>
      <c r="H2494" t="s">
        <v>27</v>
      </c>
      <c r="I2494">
        <v>2014</v>
      </c>
      <c r="J2494" t="s">
        <v>21</v>
      </c>
      <c r="K2494">
        <v>28.047581699999999</v>
      </c>
      <c r="L2494">
        <v>69.321281499999998</v>
      </c>
      <c r="M2494" t="s">
        <v>160</v>
      </c>
      <c r="N2494" s="2">
        <f>Table1[[#This Row],[Capacity (MW)]]*8760*0.72*10^-6</f>
        <v>0.16777151999999998</v>
      </c>
      <c r="O2494" s="2" cm="1">
        <f t="array" ref="O2494">AVERAGE(VLOOKUP(_xlfn.TEXTSPLIT(Table1[[#This Row],[Fuel (no space after comma)]], ","), FuelList_Final_EF!$A$2:$B$32, 2, FALSE))</f>
        <v>118.17</v>
      </c>
      <c r="P2494" s="2">
        <f>(16112*Table1[[#This Row],[Generation (TWh)]]*10^9)/10^6</f>
        <v>2703134.7302399995</v>
      </c>
      <c r="Q2494" s="2">
        <f>Table1[[#This Row],[Emission Factor (kg CO2/ mmBtu)]]*Table1[[#This Row],[Fuel Consumption (mmBtu)]]*10^3</f>
        <v>319429431072.46075</v>
      </c>
      <c r="R2494" s="2">
        <f>(Table1[[#This Row],[CO2 Emissions (g CO2)]])/(Table1[[#This Row],[Generation (TWh)]]*10^9)</f>
        <v>1903.9550400000001</v>
      </c>
    </row>
    <row r="2495" spans="1:18" hidden="1">
      <c r="A2495" t="s">
        <v>1326</v>
      </c>
      <c r="B2495" t="s">
        <v>25</v>
      </c>
      <c r="C2495" t="str">
        <f>SUBSTITUTE(Table1[[#This Row],[Fuel]],", ",",")</f>
        <v>bioenergy: wood &amp; other biomass (solids)</v>
      </c>
      <c r="D2495" t="s">
        <v>25</v>
      </c>
      <c r="G2495">
        <v>22</v>
      </c>
      <c r="H2495" t="s">
        <v>97</v>
      </c>
      <c r="I2495">
        <v>2025</v>
      </c>
      <c r="J2495" t="s">
        <v>21</v>
      </c>
      <c r="K2495">
        <v>35.6023</v>
      </c>
      <c r="L2495">
        <v>126.9059</v>
      </c>
      <c r="M2495" t="s">
        <v>333</v>
      </c>
      <c r="N2495" s="2">
        <f>Table1[[#This Row],[Capacity (MW)]]*8760*0.72*10^-6</f>
        <v>0.13875839999999998</v>
      </c>
      <c r="O2495" s="2" cm="1">
        <f t="array" ref="O2495">AVERAGE(VLOOKUP(_xlfn.TEXTSPLIT(Table1[[#This Row],[Fuel (no space after comma)]], ","), FuelList_Final_EF!$A$2:$B$32, 2, FALSE))</f>
        <v>93.8</v>
      </c>
      <c r="P2495" s="2">
        <f>(16112*Table1[[#This Row],[Generation (TWh)]]*10^9)/10^6</f>
        <v>2235675.3407999994</v>
      </c>
      <c r="Q2495" s="2">
        <f>Table1[[#This Row],[Emission Factor (kg CO2/ mmBtu)]]*Table1[[#This Row],[Fuel Consumption (mmBtu)]]*10^3</f>
        <v>209706346967.03995</v>
      </c>
      <c r="R2495" s="2">
        <f>(Table1[[#This Row],[CO2 Emissions (g CO2)]])/(Table1[[#This Row],[Generation (TWh)]]*10^9)</f>
        <v>1511.3055999999999</v>
      </c>
    </row>
    <row r="2496" spans="1:18" hidden="1">
      <c r="A2496" t="s">
        <v>1313</v>
      </c>
      <c r="B2496" t="s">
        <v>19</v>
      </c>
      <c r="C2496" t="str">
        <f>SUBSTITUTE(Table1[[#This Row],[Fuel]],", ",",")</f>
        <v>bioenergy: refuse (municipal and industrial wastes)</v>
      </c>
      <c r="D2496" t="s">
        <v>19</v>
      </c>
      <c r="G2496">
        <v>12</v>
      </c>
      <c r="H2496" t="s">
        <v>27</v>
      </c>
      <c r="I2496">
        <v>2019</v>
      </c>
      <c r="J2496" t="s">
        <v>21</v>
      </c>
      <c r="K2496">
        <v>33.263106999999998</v>
      </c>
      <c r="L2496">
        <v>119.4542</v>
      </c>
      <c r="M2496" t="s">
        <v>102</v>
      </c>
      <c r="N2496" s="2">
        <f>Table1[[#This Row],[Capacity (MW)]]*8760*0.72*10^-6</f>
        <v>7.5686399999999987E-2</v>
      </c>
      <c r="O2496" s="2" cm="1">
        <f t="array" ref="O2496">AVERAGE(VLOOKUP(_xlfn.TEXTSPLIT(Table1[[#This Row],[Fuel (no space after comma)]], ","), FuelList_Final_EF!$A$2:$B$32, 2, FALSE))</f>
        <v>105.42962572482868</v>
      </c>
      <c r="P2496" s="2">
        <f>(16112*Table1[[#This Row],[Generation (TWh)]]*10^9)/10^6</f>
        <v>1219459.2767999996</v>
      </c>
      <c r="Q2496" s="2">
        <f>Table1[[#This Row],[Emission Factor (kg CO2/ mmBtu)]]*Table1[[#This Row],[Fuel Consumption (mmBtu)]]*10^3</f>
        <v>128567135139.69423</v>
      </c>
      <c r="R2496" s="2">
        <f>(Table1[[#This Row],[CO2 Emissions (g CO2)]])/(Table1[[#This Row],[Generation (TWh)]]*10^9)</f>
        <v>1698.6821296784397</v>
      </c>
    </row>
    <row r="2497" spans="1:18" hidden="1">
      <c r="A2497" t="s">
        <v>21</v>
      </c>
      <c r="B2497" t="s">
        <v>19</v>
      </c>
      <c r="C2497" t="str">
        <f>SUBSTITUTE(Table1[[#This Row],[Fuel]],", ",",")</f>
        <v>bioenergy: refuse (municipal and industrial wastes)</v>
      </c>
      <c r="D2497" t="s">
        <v>19</v>
      </c>
      <c r="G2497">
        <v>15</v>
      </c>
      <c r="H2497" t="s">
        <v>27</v>
      </c>
      <c r="I2497">
        <v>2017</v>
      </c>
      <c r="J2497" t="s">
        <v>21</v>
      </c>
      <c r="K2497">
        <v>33.961289000000001</v>
      </c>
      <c r="L2497">
        <v>119.682609</v>
      </c>
      <c r="M2497" t="s">
        <v>102</v>
      </c>
      <c r="N2497" s="2">
        <f>Table1[[#This Row],[Capacity (MW)]]*8760*0.72*10^-6</f>
        <v>9.4607999999999998E-2</v>
      </c>
      <c r="O2497" s="2" cm="1">
        <f t="array" ref="O2497">AVERAGE(VLOOKUP(_xlfn.TEXTSPLIT(Table1[[#This Row],[Fuel (no space after comma)]], ","), FuelList_Final_EF!$A$2:$B$32, 2, FALSE))</f>
        <v>105.42962572482868</v>
      </c>
      <c r="P2497" s="2">
        <f>(16112*Table1[[#This Row],[Generation (TWh)]]*10^9)/10^6</f>
        <v>1524324.0959999999</v>
      </c>
      <c r="Q2497" s="2">
        <f>Table1[[#This Row],[Emission Factor (kg CO2/ mmBtu)]]*Table1[[#This Row],[Fuel Consumption (mmBtu)]]*10^3</f>
        <v>160708918924.61783</v>
      </c>
      <c r="R2497" s="2">
        <f>(Table1[[#This Row],[CO2 Emissions (g CO2)]])/(Table1[[#This Row],[Generation (TWh)]]*10^9)</f>
        <v>1698.6821296784397</v>
      </c>
    </row>
    <row r="2498" spans="1:18" hidden="1">
      <c r="A2498" t="s">
        <v>21</v>
      </c>
      <c r="B2498" t="s">
        <v>19</v>
      </c>
      <c r="C2498" t="str">
        <f>SUBSTITUTE(Table1[[#This Row],[Fuel]],", ",",")</f>
        <v>bioenergy: refuse (municipal and industrial wastes)</v>
      </c>
      <c r="D2498" t="s">
        <v>19</v>
      </c>
      <c r="G2498">
        <v>20</v>
      </c>
      <c r="H2498" t="s">
        <v>27</v>
      </c>
      <c r="I2498">
        <v>2024</v>
      </c>
      <c r="J2498" t="s">
        <v>21</v>
      </c>
      <c r="K2498">
        <v>33.961289000000001</v>
      </c>
      <c r="L2498">
        <v>119.682609</v>
      </c>
      <c r="M2498" t="s">
        <v>102</v>
      </c>
      <c r="N2498" s="2">
        <f>Table1[[#This Row],[Capacity (MW)]]*8760*0.72*10^-6</f>
        <v>0.12614400000000001</v>
      </c>
      <c r="O2498" s="2" cm="1">
        <f t="array" ref="O2498">AVERAGE(VLOOKUP(_xlfn.TEXTSPLIT(Table1[[#This Row],[Fuel (no space after comma)]], ","), FuelList_Final_EF!$A$2:$B$32, 2, FALSE))</f>
        <v>105.42962572482868</v>
      </c>
      <c r="P2498" s="2">
        <f>(16112*Table1[[#This Row],[Generation (TWh)]]*10^9)/10^6</f>
        <v>2032432.1280000003</v>
      </c>
      <c r="Q2498" s="2">
        <f>Table1[[#This Row],[Emission Factor (kg CO2/ mmBtu)]]*Table1[[#This Row],[Fuel Consumption (mmBtu)]]*10^3</f>
        <v>214278558566.15714</v>
      </c>
      <c r="R2498" s="2">
        <f>(Table1[[#This Row],[CO2 Emissions (g CO2)]])/(Table1[[#This Row],[Generation (TWh)]]*10^9)</f>
        <v>1698.6821296784401</v>
      </c>
    </row>
    <row r="2499" spans="1:18" hidden="1">
      <c r="A2499" t="s">
        <v>21</v>
      </c>
      <c r="B2499" t="s">
        <v>19</v>
      </c>
      <c r="C2499" t="str">
        <f>SUBSTITUTE(Table1[[#This Row],[Fuel]],", ",",")</f>
        <v>bioenergy: refuse (municipal and industrial wastes)</v>
      </c>
      <c r="D2499" t="s">
        <v>19</v>
      </c>
      <c r="G2499">
        <v>12</v>
      </c>
      <c r="H2499" t="s">
        <v>27</v>
      </c>
      <c r="I2499">
        <v>2018</v>
      </c>
      <c r="J2499" t="s">
        <v>21</v>
      </c>
      <c r="K2499">
        <v>33.819628000000002</v>
      </c>
      <c r="L2499">
        <v>119.67016099999999</v>
      </c>
      <c r="M2499" t="s">
        <v>102</v>
      </c>
      <c r="N2499" s="2">
        <f>Table1[[#This Row],[Capacity (MW)]]*8760*0.72*10^-6</f>
        <v>7.5686399999999987E-2</v>
      </c>
      <c r="O2499" s="2" cm="1">
        <f t="array" ref="O2499">AVERAGE(VLOOKUP(_xlfn.TEXTSPLIT(Table1[[#This Row],[Fuel (no space after comma)]], ","), FuelList_Final_EF!$A$2:$B$32, 2, FALSE))</f>
        <v>105.42962572482868</v>
      </c>
      <c r="P2499" s="2">
        <f>(16112*Table1[[#This Row],[Generation (TWh)]]*10^9)/10^6</f>
        <v>1219459.2767999996</v>
      </c>
      <c r="Q2499" s="2">
        <f>Table1[[#This Row],[Emission Factor (kg CO2/ mmBtu)]]*Table1[[#This Row],[Fuel Consumption (mmBtu)]]*10^3</f>
        <v>128567135139.69423</v>
      </c>
      <c r="R2499" s="2">
        <f>(Table1[[#This Row],[CO2 Emissions (g CO2)]])/(Table1[[#This Row],[Generation (TWh)]]*10^9)</f>
        <v>1698.6821296784397</v>
      </c>
    </row>
    <row r="2500" spans="1:18" hidden="1">
      <c r="A2500" t="s">
        <v>21</v>
      </c>
      <c r="B2500" t="s">
        <v>19</v>
      </c>
      <c r="C2500" t="str">
        <f>SUBSTITUTE(Table1[[#This Row],[Fuel]],", ",",")</f>
        <v>bioenergy: refuse (municipal and industrial wastes)</v>
      </c>
      <c r="D2500" t="s">
        <v>19</v>
      </c>
      <c r="G2500">
        <v>15</v>
      </c>
      <c r="H2500" t="s">
        <v>27</v>
      </c>
      <c r="I2500">
        <v>2018</v>
      </c>
      <c r="J2500" t="s">
        <v>21</v>
      </c>
      <c r="K2500">
        <v>32.859594000000001</v>
      </c>
      <c r="L2500">
        <v>119.523391</v>
      </c>
      <c r="M2500" t="s">
        <v>102</v>
      </c>
      <c r="N2500" s="2">
        <f>Table1[[#This Row],[Capacity (MW)]]*8760*0.72*10^-6</f>
        <v>9.4607999999999998E-2</v>
      </c>
      <c r="O2500" s="2" cm="1">
        <f t="array" ref="O2500">AVERAGE(VLOOKUP(_xlfn.TEXTSPLIT(Table1[[#This Row],[Fuel (no space after comma)]], ","), FuelList_Final_EF!$A$2:$B$32, 2, FALSE))</f>
        <v>105.42962572482868</v>
      </c>
      <c r="P2500" s="2">
        <f>(16112*Table1[[#This Row],[Generation (TWh)]]*10^9)/10^6</f>
        <v>1524324.0959999999</v>
      </c>
      <c r="Q2500" s="2">
        <f>Table1[[#This Row],[Emission Factor (kg CO2/ mmBtu)]]*Table1[[#This Row],[Fuel Consumption (mmBtu)]]*10^3</f>
        <v>160708918924.61783</v>
      </c>
      <c r="R2500" s="2">
        <f>(Table1[[#This Row],[CO2 Emissions (g CO2)]])/(Table1[[#This Row],[Generation (TWh)]]*10^9)</f>
        <v>1698.6821296784397</v>
      </c>
    </row>
    <row r="2501" spans="1:18" hidden="1">
      <c r="A2501" t="s">
        <v>21</v>
      </c>
      <c r="B2501" t="s">
        <v>19</v>
      </c>
      <c r="C2501" t="str">
        <f>SUBSTITUTE(Table1[[#This Row],[Fuel]],", ",",")</f>
        <v>bioenergy: refuse (municipal and industrial wastes)</v>
      </c>
      <c r="D2501" t="s">
        <v>19</v>
      </c>
      <c r="G2501">
        <v>15</v>
      </c>
      <c r="H2501" t="s">
        <v>27</v>
      </c>
      <c r="I2501">
        <v>2019</v>
      </c>
      <c r="J2501" t="s">
        <v>21</v>
      </c>
      <c r="K2501">
        <v>34.10971</v>
      </c>
      <c r="L2501">
        <v>119.46319</v>
      </c>
      <c r="M2501" t="s">
        <v>102</v>
      </c>
      <c r="N2501" s="2">
        <f>Table1[[#This Row],[Capacity (MW)]]*8760*0.72*10^-6</f>
        <v>9.4607999999999998E-2</v>
      </c>
      <c r="O2501" s="2" cm="1">
        <f t="array" ref="O2501">AVERAGE(VLOOKUP(_xlfn.TEXTSPLIT(Table1[[#This Row],[Fuel (no space after comma)]], ","), FuelList_Final_EF!$A$2:$B$32, 2, FALSE))</f>
        <v>105.42962572482868</v>
      </c>
      <c r="P2501" s="2">
        <f>(16112*Table1[[#This Row],[Generation (TWh)]]*10^9)/10^6</f>
        <v>1524324.0959999999</v>
      </c>
      <c r="Q2501" s="2">
        <f>Table1[[#This Row],[Emission Factor (kg CO2/ mmBtu)]]*Table1[[#This Row],[Fuel Consumption (mmBtu)]]*10^3</f>
        <v>160708918924.61783</v>
      </c>
      <c r="R2501" s="2">
        <f>(Table1[[#This Row],[CO2 Emissions (g CO2)]])/(Table1[[#This Row],[Generation (TWh)]]*10^9)</f>
        <v>1698.6821296784397</v>
      </c>
    </row>
    <row r="2502" spans="1:18" hidden="1">
      <c r="A2502" t="s">
        <v>21</v>
      </c>
      <c r="B2502" t="s">
        <v>19</v>
      </c>
      <c r="C2502" t="str">
        <f>SUBSTITUTE(Table1[[#This Row],[Fuel]],", ",",")</f>
        <v>bioenergy: refuse (municipal and industrial wastes)</v>
      </c>
      <c r="D2502" t="s">
        <v>19</v>
      </c>
      <c r="G2502">
        <v>12</v>
      </c>
      <c r="H2502" t="s">
        <v>27</v>
      </c>
      <c r="I2502">
        <v>2023</v>
      </c>
      <c r="J2502" t="s">
        <v>21</v>
      </c>
      <c r="K2502">
        <v>33.661966999999997</v>
      </c>
      <c r="L2502">
        <v>119.13322700000001</v>
      </c>
      <c r="M2502" t="s">
        <v>102</v>
      </c>
      <c r="N2502" s="2">
        <f>Table1[[#This Row],[Capacity (MW)]]*8760*0.72*10^-6</f>
        <v>7.5686399999999987E-2</v>
      </c>
      <c r="O2502" s="2" cm="1">
        <f t="array" ref="O2502">AVERAGE(VLOOKUP(_xlfn.TEXTSPLIT(Table1[[#This Row],[Fuel (no space after comma)]], ","), FuelList_Final_EF!$A$2:$B$32, 2, FALSE))</f>
        <v>105.42962572482868</v>
      </c>
      <c r="P2502" s="2">
        <f>(16112*Table1[[#This Row],[Generation (TWh)]]*10^9)/10^6</f>
        <v>1219459.2767999996</v>
      </c>
      <c r="Q2502" s="2">
        <f>Table1[[#This Row],[Emission Factor (kg CO2/ mmBtu)]]*Table1[[#This Row],[Fuel Consumption (mmBtu)]]*10^3</f>
        <v>128567135139.69423</v>
      </c>
      <c r="R2502" s="2">
        <f>(Table1[[#This Row],[CO2 Emissions (g CO2)]])/(Table1[[#This Row],[Generation (TWh)]]*10^9)</f>
        <v>1698.6821296784397</v>
      </c>
    </row>
    <row r="2503" spans="1:18" hidden="1">
      <c r="A2503" t="s">
        <v>21</v>
      </c>
      <c r="B2503" t="s">
        <v>46</v>
      </c>
      <c r="C2503" t="str">
        <f>SUBSTITUTE(Table1[[#This Row],[Fuel]],", ",",")</f>
        <v>bioenergy: agricultural waste (solids)</v>
      </c>
      <c r="D2503" t="s">
        <v>46</v>
      </c>
      <c r="G2503">
        <v>15</v>
      </c>
      <c r="H2503" t="s">
        <v>27</v>
      </c>
      <c r="I2503">
        <v>2019</v>
      </c>
      <c r="J2503" t="s">
        <v>21</v>
      </c>
      <c r="K2503">
        <v>33.661966999999997</v>
      </c>
      <c r="L2503">
        <v>119.13322700000001</v>
      </c>
      <c r="M2503" t="s">
        <v>102</v>
      </c>
      <c r="N2503" s="2">
        <f>Table1[[#This Row],[Capacity (MW)]]*8760*0.72*10^-6</f>
        <v>9.4607999999999998E-2</v>
      </c>
      <c r="O2503" s="2" cm="1">
        <f t="array" ref="O2503">AVERAGE(VLOOKUP(_xlfn.TEXTSPLIT(Table1[[#This Row],[Fuel (no space after comma)]], ","), FuelList_Final_EF!$A$2:$B$32, 2, FALSE))</f>
        <v>118.17</v>
      </c>
      <c r="P2503" s="2">
        <f>(16112*Table1[[#This Row],[Generation (TWh)]]*10^9)/10^6</f>
        <v>1524324.0959999999</v>
      </c>
      <c r="Q2503" s="2">
        <f>Table1[[#This Row],[Emission Factor (kg CO2/ mmBtu)]]*Table1[[#This Row],[Fuel Consumption (mmBtu)]]*10^3</f>
        <v>180129378424.31998</v>
      </c>
      <c r="R2503" s="2">
        <f>(Table1[[#This Row],[CO2 Emissions (g CO2)]])/(Table1[[#This Row],[Generation (TWh)]]*10^9)</f>
        <v>1903.9550399999998</v>
      </c>
    </row>
    <row r="2504" spans="1:18" hidden="1">
      <c r="A2504" t="s">
        <v>21</v>
      </c>
      <c r="B2504" t="s">
        <v>19</v>
      </c>
      <c r="C2504" t="str">
        <f>SUBSTITUTE(Table1[[#This Row],[Fuel]],", ",",")</f>
        <v>bioenergy: refuse (municipal and industrial wastes)</v>
      </c>
      <c r="D2504" t="s">
        <v>19</v>
      </c>
      <c r="G2504">
        <v>25</v>
      </c>
      <c r="H2504" t="s">
        <v>27</v>
      </c>
      <c r="I2504">
        <v>2019</v>
      </c>
      <c r="J2504" t="s">
        <v>21</v>
      </c>
      <c r="K2504">
        <v>33.661966999999997</v>
      </c>
      <c r="L2504">
        <v>119.13322700000001</v>
      </c>
      <c r="M2504" t="s">
        <v>102</v>
      </c>
      <c r="N2504" s="2">
        <f>Table1[[#This Row],[Capacity (MW)]]*8760*0.72*10^-6</f>
        <v>0.15767999999999999</v>
      </c>
      <c r="O2504" s="2" cm="1">
        <f t="array" ref="O2504">AVERAGE(VLOOKUP(_xlfn.TEXTSPLIT(Table1[[#This Row],[Fuel (no space after comma)]], ","), FuelList_Final_EF!$A$2:$B$32, 2, FALSE))</f>
        <v>105.42962572482868</v>
      </c>
      <c r="P2504" s="2">
        <f>(16112*Table1[[#This Row],[Generation (TWh)]]*10^9)/10^6</f>
        <v>2540540.16</v>
      </c>
      <c r="Q2504" s="2">
        <f>Table1[[#This Row],[Emission Factor (kg CO2/ mmBtu)]]*Table1[[#This Row],[Fuel Consumption (mmBtu)]]*10^3</f>
        <v>267848198207.69638</v>
      </c>
      <c r="R2504" s="2">
        <f>(Table1[[#This Row],[CO2 Emissions (g CO2)]])/(Table1[[#This Row],[Generation (TWh)]]*10^9)</f>
        <v>1698.6821296784397</v>
      </c>
    </row>
    <row r="2505" spans="1:18" hidden="1">
      <c r="A2505" t="s">
        <v>21</v>
      </c>
      <c r="B2505" t="s">
        <v>19</v>
      </c>
      <c r="C2505" t="str">
        <f>SUBSTITUTE(Table1[[#This Row],[Fuel]],", ",",")</f>
        <v>bioenergy: refuse (municipal and industrial wastes)</v>
      </c>
      <c r="D2505" t="s">
        <v>19</v>
      </c>
      <c r="G2505">
        <v>15</v>
      </c>
      <c r="H2505" t="s">
        <v>27</v>
      </c>
      <c r="I2505">
        <v>2021</v>
      </c>
      <c r="J2505" t="s">
        <v>21</v>
      </c>
      <c r="K2505">
        <v>32.085349999999998</v>
      </c>
      <c r="L2505">
        <v>120.512124</v>
      </c>
      <c r="M2505" t="s">
        <v>102</v>
      </c>
      <c r="N2505" s="2">
        <f>Table1[[#This Row],[Capacity (MW)]]*8760*0.72*10^-6</f>
        <v>9.4607999999999998E-2</v>
      </c>
      <c r="O2505" s="2" cm="1">
        <f t="array" ref="O2505">AVERAGE(VLOOKUP(_xlfn.TEXTSPLIT(Table1[[#This Row],[Fuel (no space after comma)]], ","), FuelList_Final_EF!$A$2:$B$32, 2, FALSE))</f>
        <v>105.42962572482868</v>
      </c>
      <c r="P2505" s="2">
        <f>(16112*Table1[[#This Row],[Generation (TWh)]]*10^9)/10^6</f>
        <v>1524324.0959999999</v>
      </c>
      <c r="Q2505" s="2">
        <f>Table1[[#This Row],[Emission Factor (kg CO2/ mmBtu)]]*Table1[[#This Row],[Fuel Consumption (mmBtu)]]*10^3</f>
        <v>160708918924.61783</v>
      </c>
      <c r="R2505" s="2">
        <f>(Table1[[#This Row],[CO2 Emissions (g CO2)]])/(Table1[[#This Row],[Generation (TWh)]]*10^9)</f>
        <v>1698.6821296784397</v>
      </c>
    </row>
    <row r="2506" spans="1:18" hidden="1">
      <c r="A2506" t="s">
        <v>482</v>
      </c>
      <c r="B2506" t="s">
        <v>19</v>
      </c>
      <c r="C2506" t="str">
        <f>SUBSTITUTE(Table1[[#This Row],[Fuel]],", ",",")</f>
        <v>bioenergy: refuse (municipal and industrial wastes)</v>
      </c>
      <c r="D2506" t="s">
        <v>19</v>
      </c>
      <c r="G2506">
        <v>15</v>
      </c>
      <c r="H2506" t="s">
        <v>27</v>
      </c>
      <c r="I2506">
        <v>2021</v>
      </c>
      <c r="J2506" t="s">
        <v>21</v>
      </c>
      <c r="K2506">
        <v>34.896718999999997</v>
      </c>
      <c r="L2506">
        <v>119.181918</v>
      </c>
      <c r="M2506" t="s">
        <v>102</v>
      </c>
      <c r="N2506" s="2">
        <f>Table1[[#This Row],[Capacity (MW)]]*8760*0.72*10^-6</f>
        <v>9.4607999999999998E-2</v>
      </c>
      <c r="O2506" s="2" cm="1">
        <f t="array" ref="O2506">AVERAGE(VLOOKUP(_xlfn.TEXTSPLIT(Table1[[#This Row],[Fuel (no space after comma)]], ","), FuelList_Final_EF!$A$2:$B$32, 2, FALSE))</f>
        <v>105.42962572482868</v>
      </c>
      <c r="P2506" s="2">
        <f>(16112*Table1[[#This Row],[Generation (TWh)]]*10^9)/10^6</f>
        <v>1524324.0959999999</v>
      </c>
      <c r="Q2506" s="2">
        <f>Table1[[#This Row],[Emission Factor (kg CO2/ mmBtu)]]*Table1[[#This Row],[Fuel Consumption (mmBtu)]]*10^3</f>
        <v>160708918924.61783</v>
      </c>
      <c r="R2506" s="2">
        <f>(Table1[[#This Row],[CO2 Emissions (g CO2)]])/(Table1[[#This Row],[Generation (TWh)]]*10^9)</f>
        <v>1698.6821296784397</v>
      </c>
    </row>
    <row r="2507" spans="1:18" hidden="1">
      <c r="A2507" t="s">
        <v>21</v>
      </c>
      <c r="B2507" t="s">
        <v>19</v>
      </c>
      <c r="C2507" t="str">
        <f>SUBSTITUTE(Table1[[#This Row],[Fuel]],", ",",")</f>
        <v>bioenergy: refuse (municipal and industrial wastes)</v>
      </c>
      <c r="D2507" t="s">
        <v>19</v>
      </c>
      <c r="G2507">
        <v>12</v>
      </c>
      <c r="H2507" t="s">
        <v>27</v>
      </c>
      <c r="I2507">
        <v>2017</v>
      </c>
      <c r="J2507" t="s">
        <v>21</v>
      </c>
      <c r="K2507">
        <v>31.303432999999998</v>
      </c>
      <c r="L2507">
        <v>119.071702</v>
      </c>
      <c r="M2507" t="s">
        <v>102</v>
      </c>
      <c r="N2507" s="2">
        <f>Table1[[#This Row],[Capacity (MW)]]*8760*0.72*10^-6</f>
        <v>7.5686399999999987E-2</v>
      </c>
      <c r="O2507" s="2" cm="1">
        <f t="array" ref="O2507">AVERAGE(VLOOKUP(_xlfn.TEXTSPLIT(Table1[[#This Row],[Fuel (no space after comma)]], ","), FuelList_Final_EF!$A$2:$B$32, 2, FALSE))</f>
        <v>105.42962572482868</v>
      </c>
      <c r="P2507" s="2">
        <f>(16112*Table1[[#This Row],[Generation (TWh)]]*10^9)/10^6</f>
        <v>1219459.2767999996</v>
      </c>
      <c r="Q2507" s="2">
        <f>Table1[[#This Row],[Emission Factor (kg CO2/ mmBtu)]]*Table1[[#This Row],[Fuel Consumption (mmBtu)]]*10^3</f>
        <v>128567135139.69423</v>
      </c>
      <c r="R2507" s="2">
        <f>(Table1[[#This Row],[CO2 Emissions (g CO2)]])/(Table1[[#This Row],[Generation (TWh)]]*10^9)</f>
        <v>1698.6821296784397</v>
      </c>
    </row>
    <row r="2508" spans="1:18" hidden="1">
      <c r="A2508" t="s">
        <v>1313</v>
      </c>
      <c r="B2508" t="s">
        <v>19</v>
      </c>
      <c r="C2508" t="str">
        <f>SUBSTITUTE(Table1[[#This Row],[Fuel]],", ",",")</f>
        <v>bioenergy: refuse (municipal and industrial wastes)</v>
      </c>
      <c r="D2508" t="s">
        <v>19</v>
      </c>
      <c r="G2508">
        <v>20</v>
      </c>
      <c r="H2508" t="s">
        <v>27</v>
      </c>
      <c r="I2508">
        <v>2014</v>
      </c>
      <c r="J2508" t="s">
        <v>21</v>
      </c>
      <c r="K2508">
        <v>31.765979000000002</v>
      </c>
      <c r="L2508">
        <v>118.563311</v>
      </c>
      <c r="M2508" t="s">
        <v>102</v>
      </c>
      <c r="N2508" s="2">
        <f>Table1[[#This Row],[Capacity (MW)]]*8760*0.72*10^-6</f>
        <v>0.12614400000000001</v>
      </c>
      <c r="O2508" s="2" cm="1">
        <f t="array" ref="O2508">AVERAGE(VLOOKUP(_xlfn.TEXTSPLIT(Table1[[#This Row],[Fuel (no space after comma)]], ","), FuelList_Final_EF!$A$2:$B$32, 2, FALSE))</f>
        <v>105.42962572482868</v>
      </c>
      <c r="P2508" s="2">
        <f>(16112*Table1[[#This Row],[Generation (TWh)]]*10^9)/10^6</f>
        <v>2032432.1280000003</v>
      </c>
      <c r="Q2508" s="2">
        <f>Table1[[#This Row],[Emission Factor (kg CO2/ mmBtu)]]*Table1[[#This Row],[Fuel Consumption (mmBtu)]]*10^3</f>
        <v>214278558566.15714</v>
      </c>
      <c r="R2508" s="2">
        <f>(Table1[[#This Row],[CO2 Emissions (g CO2)]])/(Table1[[#This Row],[Generation (TWh)]]*10^9)</f>
        <v>1698.6821296784401</v>
      </c>
    </row>
    <row r="2509" spans="1:18" hidden="1">
      <c r="A2509" t="s">
        <v>1313</v>
      </c>
      <c r="B2509" t="s">
        <v>19</v>
      </c>
      <c r="C2509" t="str">
        <f>SUBSTITUTE(Table1[[#This Row],[Fuel]],", ",",")</f>
        <v>bioenergy: refuse (municipal and industrial wastes)</v>
      </c>
      <c r="D2509" t="s">
        <v>19</v>
      </c>
      <c r="G2509">
        <v>20</v>
      </c>
      <c r="H2509" t="s">
        <v>27</v>
      </c>
      <c r="I2509">
        <v>2014</v>
      </c>
      <c r="J2509" t="s">
        <v>21</v>
      </c>
      <c r="K2509">
        <v>31.765979000000002</v>
      </c>
      <c r="L2509">
        <v>118.563311</v>
      </c>
      <c r="M2509" t="s">
        <v>102</v>
      </c>
      <c r="N2509" s="2">
        <f>Table1[[#This Row],[Capacity (MW)]]*8760*0.72*10^-6</f>
        <v>0.12614400000000001</v>
      </c>
      <c r="O2509" s="2" cm="1">
        <f t="array" ref="O2509">AVERAGE(VLOOKUP(_xlfn.TEXTSPLIT(Table1[[#This Row],[Fuel (no space after comma)]], ","), FuelList_Final_EF!$A$2:$B$32, 2, FALSE))</f>
        <v>105.42962572482868</v>
      </c>
      <c r="P2509" s="2">
        <f>(16112*Table1[[#This Row],[Generation (TWh)]]*10^9)/10^6</f>
        <v>2032432.1280000003</v>
      </c>
      <c r="Q2509" s="2">
        <f>Table1[[#This Row],[Emission Factor (kg CO2/ mmBtu)]]*Table1[[#This Row],[Fuel Consumption (mmBtu)]]*10^3</f>
        <v>214278558566.15714</v>
      </c>
      <c r="R2509" s="2">
        <f>(Table1[[#This Row],[CO2 Emissions (g CO2)]])/(Table1[[#This Row],[Generation (TWh)]]*10^9)</f>
        <v>1698.6821296784401</v>
      </c>
    </row>
    <row r="2510" spans="1:18" hidden="1">
      <c r="A2510" t="s">
        <v>1313</v>
      </c>
      <c r="B2510" t="s">
        <v>19</v>
      </c>
      <c r="C2510" t="str">
        <f>SUBSTITUTE(Table1[[#This Row],[Fuel]],", ",",")</f>
        <v>bioenergy: refuse (municipal and industrial wastes)</v>
      </c>
      <c r="D2510" t="s">
        <v>19</v>
      </c>
      <c r="G2510">
        <v>25</v>
      </c>
      <c r="H2510" t="s">
        <v>27</v>
      </c>
      <c r="I2510">
        <v>2017</v>
      </c>
      <c r="J2510" t="s">
        <v>21</v>
      </c>
      <c r="K2510">
        <v>31.765979000000002</v>
      </c>
      <c r="L2510">
        <v>118.563311</v>
      </c>
      <c r="M2510" t="s">
        <v>102</v>
      </c>
      <c r="N2510" s="2">
        <f>Table1[[#This Row],[Capacity (MW)]]*8760*0.72*10^-6</f>
        <v>0.15767999999999999</v>
      </c>
      <c r="O2510" s="2" cm="1">
        <f t="array" ref="O2510">AVERAGE(VLOOKUP(_xlfn.TEXTSPLIT(Table1[[#This Row],[Fuel (no space after comma)]], ","), FuelList_Final_EF!$A$2:$B$32, 2, FALSE))</f>
        <v>105.42962572482868</v>
      </c>
      <c r="P2510" s="2">
        <f>(16112*Table1[[#This Row],[Generation (TWh)]]*10^9)/10^6</f>
        <v>2540540.16</v>
      </c>
      <c r="Q2510" s="2">
        <f>Table1[[#This Row],[Emission Factor (kg CO2/ mmBtu)]]*Table1[[#This Row],[Fuel Consumption (mmBtu)]]*10^3</f>
        <v>267848198207.69638</v>
      </c>
      <c r="R2510" s="2">
        <f>(Table1[[#This Row],[CO2 Emissions (g CO2)]])/(Table1[[#This Row],[Generation (TWh)]]*10^9)</f>
        <v>1698.6821296784397</v>
      </c>
    </row>
    <row r="2511" spans="1:18" hidden="1">
      <c r="A2511" t="s">
        <v>1313</v>
      </c>
      <c r="B2511" t="s">
        <v>19</v>
      </c>
      <c r="C2511" t="str">
        <f>SUBSTITUTE(Table1[[#This Row],[Fuel]],", ",",")</f>
        <v>bioenergy: refuse (municipal and industrial wastes)</v>
      </c>
      <c r="D2511" t="s">
        <v>19</v>
      </c>
      <c r="G2511">
        <v>25</v>
      </c>
      <c r="H2511" t="s">
        <v>27</v>
      </c>
      <c r="I2511">
        <v>2017</v>
      </c>
      <c r="J2511" t="s">
        <v>21</v>
      </c>
      <c r="K2511">
        <v>31.765979000000002</v>
      </c>
      <c r="L2511">
        <v>118.563311</v>
      </c>
      <c r="M2511" t="s">
        <v>102</v>
      </c>
      <c r="N2511" s="2">
        <f>Table1[[#This Row],[Capacity (MW)]]*8760*0.72*10^-6</f>
        <v>0.15767999999999999</v>
      </c>
      <c r="O2511" s="2" cm="1">
        <f t="array" ref="O2511">AVERAGE(VLOOKUP(_xlfn.TEXTSPLIT(Table1[[#This Row],[Fuel (no space after comma)]], ","), FuelList_Final_EF!$A$2:$B$32, 2, FALSE))</f>
        <v>105.42962572482868</v>
      </c>
      <c r="P2511" s="2">
        <f>(16112*Table1[[#This Row],[Generation (TWh)]]*10^9)/10^6</f>
        <v>2540540.16</v>
      </c>
      <c r="Q2511" s="2">
        <f>Table1[[#This Row],[Emission Factor (kg CO2/ mmBtu)]]*Table1[[#This Row],[Fuel Consumption (mmBtu)]]*10^3</f>
        <v>267848198207.69638</v>
      </c>
      <c r="R2511" s="2">
        <f>(Table1[[#This Row],[CO2 Emissions (g CO2)]])/(Table1[[#This Row],[Generation (TWh)]]*10^9)</f>
        <v>1698.6821296784397</v>
      </c>
    </row>
    <row r="2512" spans="1:18" hidden="1">
      <c r="A2512" t="s">
        <v>21</v>
      </c>
      <c r="B2512" t="s">
        <v>19</v>
      </c>
      <c r="C2512" t="str">
        <f>SUBSTITUTE(Table1[[#This Row],[Fuel]],", ",",")</f>
        <v>bioenergy: refuse (municipal and industrial wastes)</v>
      </c>
      <c r="D2512" t="s">
        <v>19</v>
      </c>
      <c r="G2512">
        <v>18</v>
      </c>
      <c r="H2512" t="s">
        <v>27</v>
      </c>
      <c r="I2512">
        <v>2014</v>
      </c>
      <c r="J2512" t="s">
        <v>21</v>
      </c>
      <c r="K2512">
        <v>32.062299000000003</v>
      </c>
      <c r="L2512">
        <v>118.437307</v>
      </c>
      <c r="M2512" t="s">
        <v>102</v>
      </c>
      <c r="N2512" s="2">
        <f>Table1[[#This Row],[Capacity (MW)]]*8760*0.72*10^-6</f>
        <v>0.11352959999999998</v>
      </c>
      <c r="O2512" s="2" cm="1">
        <f t="array" ref="O2512">AVERAGE(VLOOKUP(_xlfn.TEXTSPLIT(Table1[[#This Row],[Fuel (no space after comma)]], ","), FuelList_Final_EF!$A$2:$B$32, 2, FALSE))</f>
        <v>105.42962572482868</v>
      </c>
      <c r="P2512" s="2">
        <f>(16112*Table1[[#This Row],[Generation (TWh)]]*10^9)/10^6</f>
        <v>1829188.9151999997</v>
      </c>
      <c r="Q2512" s="2">
        <f>Table1[[#This Row],[Emission Factor (kg CO2/ mmBtu)]]*Table1[[#This Row],[Fuel Consumption (mmBtu)]]*10^3</f>
        <v>192850702709.54135</v>
      </c>
      <c r="R2512" s="2">
        <f>(Table1[[#This Row],[CO2 Emissions (g CO2)]])/(Table1[[#This Row],[Generation (TWh)]]*10^9)</f>
        <v>1698.6821296784397</v>
      </c>
    </row>
    <row r="2513" spans="1:18" hidden="1">
      <c r="A2513" t="s">
        <v>21</v>
      </c>
      <c r="B2513" t="s">
        <v>19</v>
      </c>
      <c r="C2513" t="str">
        <f>SUBSTITUTE(Table1[[#This Row],[Fuel]],", ",",")</f>
        <v>bioenergy: refuse (municipal and industrial wastes)</v>
      </c>
      <c r="D2513" t="s">
        <v>19</v>
      </c>
      <c r="G2513">
        <v>18</v>
      </c>
      <c r="H2513" t="s">
        <v>27</v>
      </c>
      <c r="I2513">
        <v>2014</v>
      </c>
      <c r="J2513" t="s">
        <v>21</v>
      </c>
      <c r="K2513">
        <v>32.062299000000003</v>
      </c>
      <c r="L2513">
        <v>118.437307</v>
      </c>
      <c r="M2513" t="s">
        <v>102</v>
      </c>
      <c r="N2513" s="2">
        <f>Table1[[#This Row],[Capacity (MW)]]*8760*0.72*10^-6</f>
        <v>0.11352959999999998</v>
      </c>
      <c r="O2513" s="2" cm="1">
        <f t="array" ref="O2513">AVERAGE(VLOOKUP(_xlfn.TEXTSPLIT(Table1[[#This Row],[Fuel (no space after comma)]], ","), FuelList_Final_EF!$A$2:$B$32, 2, FALSE))</f>
        <v>105.42962572482868</v>
      </c>
      <c r="P2513" s="2">
        <f>(16112*Table1[[#This Row],[Generation (TWh)]]*10^9)/10^6</f>
        <v>1829188.9151999997</v>
      </c>
      <c r="Q2513" s="2">
        <f>Table1[[#This Row],[Emission Factor (kg CO2/ mmBtu)]]*Table1[[#This Row],[Fuel Consumption (mmBtu)]]*10^3</f>
        <v>192850702709.54135</v>
      </c>
      <c r="R2513" s="2">
        <f>(Table1[[#This Row],[CO2 Emissions (g CO2)]])/(Table1[[#This Row],[Generation (TWh)]]*10^9)</f>
        <v>1698.6821296784397</v>
      </c>
    </row>
    <row r="2514" spans="1:18" hidden="1">
      <c r="A2514" t="s">
        <v>21</v>
      </c>
      <c r="B2514" t="s">
        <v>19</v>
      </c>
      <c r="C2514" t="str">
        <f>SUBSTITUTE(Table1[[#This Row],[Fuel]],", ",",")</f>
        <v>bioenergy: refuse (municipal and industrial wastes)</v>
      </c>
      <c r="D2514" t="s">
        <v>19</v>
      </c>
      <c r="G2514">
        <v>25</v>
      </c>
      <c r="H2514" t="s">
        <v>27</v>
      </c>
      <c r="I2514">
        <v>2023</v>
      </c>
      <c r="J2514" t="s">
        <v>21</v>
      </c>
      <c r="K2514">
        <v>32.062299000000003</v>
      </c>
      <c r="L2514">
        <v>118.437307</v>
      </c>
      <c r="M2514" t="s">
        <v>102</v>
      </c>
      <c r="N2514" s="2">
        <f>Table1[[#This Row],[Capacity (MW)]]*8760*0.72*10^-6</f>
        <v>0.15767999999999999</v>
      </c>
      <c r="O2514" s="2" cm="1">
        <f t="array" ref="O2514">AVERAGE(VLOOKUP(_xlfn.TEXTSPLIT(Table1[[#This Row],[Fuel (no space after comma)]], ","), FuelList_Final_EF!$A$2:$B$32, 2, FALSE))</f>
        <v>105.42962572482868</v>
      </c>
      <c r="P2514" s="2">
        <f>(16112*Table1[[#This Row],[Generation (TWh)]]*10^9)/10^6</f>
        <v>2540540.16</v>
      </c>
      <c r="Q2514" s="2">
        <f>Table1[[#This Row],[Emission Factor (kg CO2/ mmBtu)]]*Table1[[#This Row],[Fuel Consumption (mmBtu)]]*10^3</f>
        <v>267848198207.69638</v>
      </c>
      <c r="R2514" s="2">
        <f>(Table1[[#This Row],[CO2 Emissions (g CO2)]])/(Table1[[#This Row],[Generation (TWh)]]*10^9)</f>
        <v>1698.6821296784397</v>
      </c>
    </row>
    <row r="2515" spans="1:18" hidden="1">
      <c r="A2515" t="s">
        <v>21</v>
      </c>
      <c r="B2515" t="s">
        <v>19</v>
      </c>
      <c r="C2515" t="str">
        <f>SUBSTITUTE(Table1[[#This Row],[Fuel]],", ",",")</f>
        <v>bioenergy: refuse (municipal and industrial wastes)</v>
      </c>
      <c r="D2515" t="s">
        <v>19</v>
      </c>
      <c r="G2515">
        <v>25</v>
      </c>
      <c r="H2515" t="s">
        <v>27</v>
      </c>
      <c r="I2515">
        <v>2023</v>
      </c>
      <c r="J2515" t="s">
        <v>21</v>
      </c>
      <c r="K2515">
        <v>32.062299000000003</v>
      </c>
      <c r="L2515">
        <v>118.437307</v>
      </c>
      <c r="M2515" t="s">
        <v>102</v>
      </c>
      <c r="N2515" s="2">
        <f>Table1[[#This Row],[Capacity (MW)]]*8760*0.72*10^-6</f>
        <v>0.15767999999999999</v>
      </c>
      <c r="O2515" s="2" cm="1">
        <f t="array" ref="O2515">AVERAGE(VLOOKUP(_xlfn.TEXTSPLIT(Table1[[#This Row],[Fuel (no space after comma)]], ","), FuelList_Final_EF!$A$2:$B$32, 2, FALSE))</f>
        <v>105.42962572482868</v>
      </c>
      <c r="P2515" s="2">
        <f>(16112*Table1[[#This Row],[Generation (TWh)]]*10^9)/10^6</f>
        <v>2540540.16</v>
      </c>
      <c r="Q2515" s="2">
        <f>Table1[[#This Row],[Emission Factor (kg CO2/ mmBtu)]]*Table1[[#This Row],[Fuel Consumption (mmBtu)]]*10^3</f>
        <v>267848198207.69638</v>
      </c>
      <c r="R2515" s="2">
        <f>(Table1[[#This Row],[CO2 Emissions (g CO2)]])/(Table1[[#This Row],[Generation (TWh)]]*10^9)</f>
        <v>1698.6821296784397</v>
      </c>
    </row>
    <row r="2516" spans="1:18" hidden="1">
      <c r="A2516" t="s">
        <v>1313</v>
      </c>
      <c r="B2516" t="s">
        <v>19</v>
      </c>
      <c r="C2516" t="str">
        <f>SUBSTITUTE(Table1[[#This Row],[Fuel]],", ",",")</f>
        <v>bioenergy: refuse (municipal and industrial wastes)</v>
      </c>
      <c r="D2516" t="s">
        <v>19</v>
      </c>
      <c r="G2516">
        <v>12</v>
      </c>
      <c r="H2516" t="s">
        <v>27</v>
      </c>
      <c r="I2516">
        <v>2014</v>
      </c>
      <c r="J2516" t="s">
        <v>21</v>
      </c>
      <c r="K2516">
        <v>34.396802999999998</v>
      </c>
      <c r="L2516">
        <v>117.941799</v>
      </c>
      <c r="M2516" t="s">
        <v>102</v>
      </c>
      <c r="N2516" s="2">
        <f>Table1[[#This Row],[Capacity (MW)]]*8760*0.72*10^-6</f>
        <v>7.5686399999999987E-2</v>
      </c>
      <c r="O2516" s="2" cm="1">
        <f t="array" ref="O2516">AVERAGE(VLOOKUP(_xlfn.TEXTSPLIT(Table1[[#This Row],[Fuel (no space after comma)]], ","), FuelList_Final_EF!$A$2:$B$32, 2, FALSE))</f>
        <v>105.42962572482868</v>
      </c>
      <c r="P2516" s="2">
        <f>(16112*Table1[[#This Row],[Generation (TWh)]]*10^9)/10^6</f>
        <v>1219459.2767999996</v>
      </c>
      <c r="Q2516" s="2">
        <f>Table1[[#This Row],[Emission Factor (kg CO2/ mmBtu)]]*Table1[[#This Row],[Fuel Consumption (mmBtu)]]*10^3</f>
        <v>128567135139.69423</v>
      </c>
      <c r="R2516" s="2">
        <f>(Table1[[#This Row],[CO2 Emissions (g CO2)]])/(Table1[[#This Row],[Generation (TWh)]]*10^9)</f>
        <v>1698.6821296784397</v>
      </c>
    </row>
    <row r="2517" spans="1:18" hidden="1">
      <c r="A2517" t="s">
        <v>1313</v>
      </c>
      <c r="B2517" t="s">
        <v>19</v>
      </c>
      <c r="C2517" t="str">
        <f>SUBSTITUTE(Table1[[#This Row],[Fuel]],", ",",")</f>
        <v>bioenergy: refuse (municipal and industrial wastes)</v>
      </c>
      <c r="D2517" t="s">
        <v>19</v>
      </c>
      <c r="G2517">
        <v>12</v>
      </c>
      <c r="H2517" t="s">
        <v>27</v>
      </c>
      <c r="I2517">
        <v>2020</v>
      </c>
      <c r="J2517" t="s">
        <v>21</v>
      </c>
      <c r="K2517">
        <v>34.396802999999998</v>
      </c>
      <c r="L2517">
        <v>117.941799</v>
      </c>
      <c r="M2517" t="s">
        <v>102</v>
      </c>
      <c r="N2517" s="2">
        <f>Table1[[#This Row],[Capacity (MW)]]*8760*0.72*10^-6</f>
        <v>7.5686399999999987E-2</v>
      </c>
      <c r="O2517" s="2" cm="1">
        <f t="array" ref="O2517">AVERAGE(VLOOKUP(_xlfn.TEXTSPLIT(Table1[[#This Row],[Fuel (no space after comma)]], ","), FuelList_Final_EF!$A$2:$B$32, 2, FALSE))</f>
        <v>105.42962572482868</v>
      </c>
      <c r="P2517" s="2">
        <f>(16112*Table1[[#This Row],[Generation (TWh)]]*10^9)/10^6</f>
        <v>1219459.2767999996</v>
      </c>
      <c r="Q2517" s="2">
        <f>Table1[[#This Row],[Emission Factor (kg CO2/ mmBtu)]]*Table1[[#This Row],[Fuel Consumption (mmBtu)]]*10^3</f>
        <v>128567135139.69423</v>
      </c>
      <c r="R2517" s="2">
        <f>(Table1[[#This Row],[CO2 Emissions (g CO2)]])/(Table1[[#This Row],[Generation (TWh)]]*10^9)</f>
        <v>1698.6821296784397</v>
      </c>
    </row>
    <row r="2518" spans="1:18">
      <c r="A2518" t="s">
        <v>753</v>
      </c>
      <c r="B2518" t="s">
        <v>19</v>
      </c>
      <c r="C2518" t="str">
        <f>SUBSTITUTE(Table1[[#This Row],[Fuel]],", ",",")</f>
        <v>bioenergy: refuse (municipal and industrial wastes)</v>
      </c>
      <c r="D2518" t="s">
        <v>19</v>
      </c>
      <c r="G2518">
        <v>12.75</v>
      </c>
      <c r="H2518" t="s">
        <v>53</v>
      </c>
      <c r="I2518" t="s">
        <v>21</v>
      </c>
      <c r="J2518" t="s">
        <v>21</v>
      </c>
      <c r="K2518">
        <v>32.0852</v>
      </c>
      <c r="L2518">
        <v>120.5125</v>
      </c>
      <c r="M2518" t="s">
        <v>102</v>
      </c>
      <c r="N2518" s="2">
        <f>Table1[[#This Row],[Capacity (MW)]]*8760*0.72*10^-6</f>
        <v>8.0416799999999997E-2</v>
      </c>
      <c r="O2518" s="2" cm="1">
        <f t="array" ref="O2518">AVERAGE(VLOOKUP(_xlfn.TEXTSPLIT(Table1[[#This Row],[Fuel (no space after comma)]], ","), FuelList_Final_EF!$A$2:$B$32, 2, FALSE))</f>
        <v>105.42962572482868</v>
      </c>
      <c r="P2518" s="2">
        <f>(16112*Table1[[#This Row],[Generation (TWh)]]*10^9)/10^6</f>
        <v>1295675.4816000001</v>
      </c>
      <c r="Q2518" s="2">
        <f>Table1[[#This Row],[Emission Factor (kg CO2/ mmBtu)]]*Table1[[#This Row],[Fuel Consumption (mmBtu)]]*10^3</f>
        <v>136602581085.92516</v>
      </c>
      <c r="R2518" s="2">
        <f>(Table1[[#This Row],[CO2 Emissions (g CO2)]])/(Table1[[#This Row],[Generation (TWh)]]*10^9)</f>
        <v>1698.6821296784399</v>
      </c>
    </row>
    <row r="2519" spans="1:18">
      <c r="A2519" t="s">
        <v>754</v>
      </c>
      <c r="B2519" t="s">
        <v>19</v>
      </c>
      <c r="C2519" t="str">
        <f>SUBSTITUTE(Table1[[#This Row],[Fuel]],", ",",")</f>
        <v>bioenergy: refuse (municipal and industrial wastes)</v>
      </c>
      <c r="D2519" t="s">
        <v>19</v>
      </c>
      <c r="G2519">
        <v>4.25</v>
      </c>
      <c r="H2519" t="s">
        <v>53</v>
      </c>
      <c r="I2519" t="s">
        <v>21</v>
      </c>
      <c r="J2519" t="s">
        <v>21</v>
      </c>
      <c r="K2519">
        <v>32.0852</v>
      </c>
      <c r="L2519">
        <v>120.5125</v>
      </c>
      <c r="M2519" t="s">
        <v>102</v>
      </c>
      <c r="N2519" s="2">
        <f>Table1[[#This Row],[Capacity (MW)]]*8760*0.72*10^-6</f>
        <v>2.6805599999999999E-2</v>
      </c>
      <c r="O2519" s="2" cm="1">
        <f t="array" ref="O2519">AVERAGE(VLOOKUP(_xlfn.TEXTSPLIT(Table1[[#This Row],[Fuel (no space after comma)]], ","), FuelList_Final_EF!$A$2:$B$32, 2, FALSE))</f>
        <v>105.42962572482868</v>
      </c>
      <c r="P2519" s="2">
        <f>(16112*Table1[[#This Row],[Generation (TWh)]]*10^9)/10^6</f>
        <v>431891.82719999994</v>
      </c>
      <c r="Q2519" s="2">
        <f>Table1[[#This Row],[Emission Factor (kg CO2/ mmBtu)]]*Table1[[#This Row],[Fuel Consumption (mmBtu)]]*10^3</f>
        <v>45534193695.30838</v>
      </c>
      <c r="R2519" s="2">
        <f>(Table1[[#This Row],[CO2 Emissions (g CO2)]])/(Table1[[#This Row],[Generation (TWh)]]*10^9)</f>
        <v>1698.6821296784397</v>
      </c>
    </row>
    <row r="2520" spans="1:18" hidden="1">
      <c r="A2520" t="s">
        <v>21</v>
      </c>
      <c r="B2520" t="s">
        <v>19</v>
      </c>
      <c r="C2520" t="str">
        <f>SUBSTITUTE(Table1[[#This Row],[Fuel]],", ",",")</f>
        <v>bioenergy: refuse (municipal and industrial wastes)</v>
      </c>
      <c r="D2520" t="s">
        <v>19</v>
      </c>
      <c r="G2520">
        <v>7.5</v>
      </c>
      <c r="H2520" t="s">
        <v>27</v>
      </c>
      <c r="I2520">
        <v>2018</v>
      </c>
      <c r="J2520" t="s">
        <v>21</v>
      </c>
      <c r="K2520">
        <v>33.545085999999998</v>
      </c>
      <c r="L2520">
        <v>118.173034</v>
      </c>
      <c r="M2520" t="s">
        <v>102</v>
      </c>
      <c r="N2520" s="2">
        <f>Table1[[#This Row],[Capacity (MW)]]*8760*0.72*10^-6</f>
        <v>4.7303999999999999E-2</v>
      </c>
      <c r="O2520" s="2" cm="1">
        <f t="array" ref="O2520">AVERAGE(VLOOKUP(_xlfn.TEXTSPLIT(Table1[[#This Row],[Fuel (no space after comma)]], ","), FuelList_Final_EF!$A$2:$B$32, 2, FALSE))</f>
        <v>105.42962572482868</v>
      </c>
      <c r="P2520" s="2">
        <f>(16112*Table1[[#This Row],[Generation (TWh)]]*10^9)/10^6</f>
        <v>762162.04799999995</v>
      </c>
      <c r="Q2520" s="2">
        <f>Table1[[#This Row],[Emission Factor (kg CO2/ mmBtu)]]*Table1[[#This Row],[Fuel Consumption (mmBtu)]]*10^3</f>
        <v>80354459462.308914</v>
      </c>
      <c r="R2520" s="2">
        <f>(Table1[[#This Row],[CO2 Emissions (g CO2)]])/(Table1[[#This Row],[Generation (TWh)]]*10^9)</f>
        <v>1698.6821296784397</v>
      </c>
    </row>
    <row r="2521" spans="1:18" hidden="1">
      <c r="A2521" t="s">
        <v>21</v>
      </c>
      <c r="B2521" t="s">
        <v>19</v>
      </c>
      <c r="C2521" t="str">
        <f>SUBSTITUTE(Table1[[#This Row],[Fuel]],", ",",")</f>
        <v>bioenergy: refuse (municipal and industrial wastes)</v>
      </c>
      <c r="D2521" t="s">
        <v>19</v>
      </c>
      <c r="G2521">
        <v>9</v>
      </c>
      <c r="H2521" t="s">
        <v>27</v>
      </c>
      <c r="I2521">
        <v>2020</v>
      </c>
      <c r="J2521" t="s">
        <v>21</v>
      </c>
      <c r="K2521">
        <v>33.545085999999998</v>
      </c>
      <c r="L2521">
        <v>118.173034</v>
      </c>
      <c r="M2521" t="s">
        <v>102</v>
      </c>
      <c r="N2521" s="2">
        <f>Table1[[#This Row],[Capacity (MW)]]*8760*0.72*10^-6</f>
        <v>5.676479999999999E-2</v>
      </c>
      <c r="O2521" s="2" cm="1">
        <f t="array" ref="O2521">AVERAGE(VLOOKUP(_xlfn.TEXTSPLIT(Table1[[#This Row],[Fuel (no space after comma)]], ","), FuelList_Final_EF!$A$2:$B$32, 2, FALSE))</f>
        <v>105.42962572482868</v>
      </c>
      <c r="P2521" s="2">
        <f>(16112*Table1[[#This Row],[Generation (TWh)]]*10^9)/10^6</f>
        <v>914594.45759999985</v>
      </c>
      <c r="Q2521" s="2">
        <f>Table1[[#This Row],[Emission Factor (kg CO2/ mmBtu)]]*Table1[[#This Row],[Fuel Consumption (mmBtu)]]*10^3</f>
        <v>96425351354.770676</v>
      </c>
      <c r="R2521" s="2">
        <f>(Table1[[#This Row],[CO2 Emissions (g CO2)]])/(Table1[[#This Row],[Generation (TWh)]]*10^9)</f>
        <v>1698.6821296784397</v>
      </c>
    </row>
    <row r="2522" spans="1:18">
      <c r="A2522" t="s">
        <v>21</v>
      </c>
      <c r="B2522" t="s">
        <v>105</v>
      </c>
      <c r="C2522" t="str">
        <f>SUBSTITUTE(Table1[[#This Row],[Fuel]],", ",",")</f>
        <v>bioenergy: agricultural waste (solids),bioenergy: wood &amp; other biomass (solids)</v>
      </c>
      <c r="D2522" t="s">
        <v>46</v>
      </c>
      <c r="E2522" t="s">
        <v>25</v>
      </c>
      <c r="G2522">
        <v>3</v>
      </c>
      <c r="H2522" t="s">
        <v>97</v>
      </c>
      <c r="I2522" t="s">
        <v>21</v>
      </c>
      <c r="J2522" t="s">
        <v>21</v>
      </c>
      <c r="K2522">
        <v>34.074010000000001</v>
      </c>
      <c r="L2522">
        <v>117.822962</v>
      </c>
      <c r="M2522" t="s">
        <v>102</v>
      </c>
      <c r="N2522" s="2">
        <f>Table1[[#This Row],[Capacity (MW)]]*8760*0.72*10^-6</f>
        <v>1.8921599999999997E-2</v>
      </c>
      <c r="O2522" s="2" cm="1">
        <f t="array" ref="O2522">AVERAGE(VLOOKUP(_xlfn.TEXTSPLIT(Table1[[#This Row],[Fuel (no space after comma)]], ","), FuelList_Final_EF!$A$2:$B$32, 2, FALSE))</f>
        <v>105.985</v>
      </c>
      <c r="P2522" s="2">
        <f>(16112*Table1[[#This Row],[Generation (TWh)]]*10^9)/10^6</f>
        <v>304864.81919999991</v>
      </c>
      <c r="Q2522" s="2">
        <f>Table1[[#This Row],[Emission Factor (kg CO2/ mmBtu)]]*Table1[[#This Row],[Fuel Consumption (mmBtu)]]*10^3</f>
        <v>32311097862.911991</v>
      </c>
      <c r="R2522" s="2">
        <f>(Table1[[#This Row],[CO2 Emissions (g CO2)]])/(Table1[[#This Row],[Generation (TWh)]]*10^9)</f>
        <v>1707.6303199999998</v>
      </c>
    </row>
    <row r="2523" spans="1:18" hidden="1">
      <c r="A2523" t="s">
        <v>21</v>
      </c>
      <c r="B2523" t="s">
        <v>105</v>
      </c>
      <c r="C2523" t="str">
        <f>SUBSTITUTE(Table1[[#This Row],[Fuel]],", ",",")</f>
        <v>bioenergy: agricultural waste (solids),bioenergy: wood &amp; other biomass (solids)</v>
      </c>
      <c r="D2523" t="s">
        <v>46</v>
      </c>
      <c r="E2523" t="s">
        <v>25</v>
      </c>
      <c r="G2523">
        <v>20</v>
      </c>
      <c r="H2523" t="s">
        <v>27</v>
      </c>
      <c r="I2523">
        <v>2023</v>
      </c>
      <c r="J2523" t="s">
        <v>21</v>
      </c>
      <c r="K2523">
        <v>34.074010000000001</v>
      </c>
      <c r="L2523">
        <v>117.822962</v>
      </c>
      <c r="M2523" t="s">
        <v>102</v>
      </c>
      <c r="N2523" s="2">
        <f>Table1[[#This Row],[Capacity (MW)]]*8760*0.72*10^-6</f>
        <v>0.12614400000000001</v>
      </c>
      <c r="O2523" s="2" cm="1">
        <f t="array" ref="O2523">AVERAGE(VLOOKUP(_xlfn.TEXTSPLIT(Table1[[#This Row],[Fuel (no space after comma)]], ","), FuelList_Final_EF!$A$2:$B$32, 2, FALSE))</f>
        <v>105.985</v>
      </c>
      <c r="P2523" s="2">
        <f>(16112*Table1[[#This Row],[Generation (TWh)]]*10^9)/10^6</f>
        <v>2032432.1280000003</v>
      </c>
      <c r="Q2523" s="2">
        <f>Table1[[#This Row],[Emission Factor (kg CO2/ mmBtu)]]*Table1[[#This Row],[Fuel Consumption (mmBtu)]]*10^3</f>
        <v>215407319086.08002</v>
      </c>
      <c r="R2523" s="2">
        <f>(Table1[[#This Row],[CO2 Emissions (g CO2)]])/(Table1[[#This Row],[Generation (TWh)]]*10^9)</f>
        <v>1707.6303200000002</v>
      </c>
    </row>
    <row r="2524" spans="1:18" hidden="1">
      <c r="A2524" t="s">
        <v>21</v>
      </c>
      <c r="B2524" t="s">
        <v>19</v>
      </c>
      <c r="C2524" t="str">
        <f>SUBSTITUTE(Table1[[#This Row],[Fuel]],", ",",")</f>
        <v>bioenergy: refuse (municipal and industrial wastes)</v>
      </c>
      <c r="D2524" t="s">
        <v>19</v>
      </c>
      <c r="G2524">
        <v>9</v>
      </c>
      <c r="H2524" t="s">
        <v>27</v>
      </c>
      <c r="I2524">
        <v>2017</v>
      </c>
      <c r="J2524" t="s">
        <v>21</v>
      </c>
      <c r="K2524">
        <v>33.932552999999999</v>
      </c>
      <c r="L2524">
        <v>118.170745</v>
      </c>
      <c r="M2524" t="s">
        <v>102</v>
      </c>
      <c r="N2524" s="2">
        <f>Table1[[#This Row],[Capacity (MW)]]*8760*0.72*10^-6</f>
        <v>5.676479999999999E-2</v>
      </c>
      <c r="O2524" s="2" cm="1">
        <f t="array" ref="O2524">AVERAGE(VLOOKUP(_xlfn.TEXTSPLIT(Table1[[#This Row],[Fuel (no space after comma)]], ","), FuelList_Final_EF!$A$2:$B$32, 2, FALSE))</f>
        <v>105.42962572482868</v>
      </c>
      <c r="P2524" s="2">
        <f>(16112*Table1[[#This Row],[Generation (TWh)]]*10^9)/10^6</f>
        <v>914594.45759999985</v>
      </c>
      <c r="Q2524" s="2">
        <f>Table1[[#This Row],[Emission Factor (kg CO2/ mmBtu)]]*Table1[[#This Row],[Fuel Consumption (mmBtu)]]*10^3</f>
        <v>96425351354.770676</v>
      </c>
      <c r="R2524" s="2">
        <f>(Table1[[#This Row],[CO2 Emissions (g CO2)]])/(Table1[[#This Row],[Generation (TWh)]]*10^9)</f>
        <v>1698.6821296784397</v>
      </c>
    </row>
    <row r="2525" spans="1:18" hidden="1">
      <c r="A2525" t="s">
        <v>21</v>
      </c>
      <c r="B2525" t="s">
        <v>19</v>
      </c>
      <c r="C2525" t="str">
        <f>SUBSTITUTE(Table1[[#This Row],[Fuel]],", ",",")</f>
        <v>bioenergy: refuse (municipal and industrial wastes)</v>
      </c>
      <c r="D2525" t="s">
        <v>19</v>
      </c>
      <c r="G2525">
        <v>12</v>
      </c>
      <c r="H2525" t="s">
        <v>27</v>
      </c>
      <c r="I2525">
        <v>2012</v>
      </c>
      <c r="J2525" t="s">
        <v>21</v>
      </c>
      <c r="K2525">
        <v>33.932552999999999</v>
      </c>
      <c r="L2525">
        <v>118.170745</v>
      </c>
      <c r="M2525" t="s">
        <v>102</v>
      </c>
      <c r="N2525" s="2">
        <f>Table1[[#This Row],[Capacity (MW)]]*8760*0.72*10^-6</f>
        <v>7.5686399999999987E-2</v>
      </c>
      <c r="O2525" s="2" cm="1">
        <f t="array" ref="O2525">AVERAGE(VLOOKUP(_xlfn.TEXTSPLIT(Table1[[#This Row],[Fuel (no space after comma)]], ","), FuelList_Final_EF!$A$2:$B$32, 2, FALSE))</f>
        <v>105.42962572482868</v>
      </c>
      <c r="P2525" s="2">
        <f>(16112*Table1[[#This Row],[Generation (TWh)]]*10^9)/10^6</f>
        <v>1219459.2767999996</v>
      </c>
      <c r="Q2525" s="2">
        <f>Table1[[#This Row],[Emission Factor (kg CO2/ mmBtu)]]*Table1[[#This Row],[Fuel Consumption (mmBtu)]]*10^3</f>
        <v>128567135139.69423</v>
      </c>
      <c r="R2525" s="2">
        <f>(Table1[[#This Row],[CO2 Emissions (g CO2)]])/(Table1[[#This Row],[Generation (TWh)]]*10^9)</f>
        <v>1698.6821296784397</v>
      </c>
    </row>
    <row r="2526" spans="1:18">
      <c r="A2526" t="s">
        <v>755</v>
      </c>
      <c r="B2526" t="s">
        <v>19</v>
      </c>
      <c r="C2526" t="str">
        <f>SUBSTITUTE(Table1[[#This Row],[Fuel]],", ",",")</f>
        <v>bioenergy: refuse (municipal and industrial wastes)</v>
      </c>
      <c r="D2526" t="s">
        <v>19</v>
      </c>
      <c r="G2526">
        <v>12.25</v>
      </c>
      <c r="H2526" t="s">
        <v>97</v>
      </c>
      <c r="I2526" t="s">
        <v>21</v>
      </c>
      <c r="J2526" t="s">
        <v>21</v>
      </c>
      <c r="K2526">
        <v>31.448799999999999</v>
      </c>
      <c r="L2526">
        <v>121.0536</v>
      </c>
      <c r="M2526" t="s">
        <v>102</v>
      </c>
      <c r="N2526" s="2">
        <f>Table1[[#This Row],[Capacity (MW)]]*8760*0.72*10^-6</f>
        <v>7.726319999999999E-2</v>
      </c>
      <c r="O2526" s="2" cm="1">
        <f t="array" ref="O2526">AVERAGE(VLOOKUP(_xlfn.TEXTSPLIT(Table1[[#This Row],[Fuel (no space after comma)]], ","), FuelList_Final_EF!$A$2:$B$32, 2, FALSE))</f>
        <v>105.42962572482868</v>
      </c>
      <c r="P2526" s="2">
        <f>(16112*Table1[[#This Row],[Generation (TWh)]]*10^9)/10^6</f>
        <v>1244864.6783999999</v>
      </c>
      <c r="Q2526" s="2">
        <f>Table1[[#This Row],[Emission Factor (kg CO2/ mmBtu)]]*Table1[[#This Row],[Fuel Consumption (mmBtu)]]*10^3</f>
        <v>131245617121.77121</v>
      </c>
      <c r="R2526" s="2">
        <f>(Table1[[#This Row],[CO2 Emissions (g CO2)]])/(Table1[[#This Row],[Generation (TWh)]]*10^9)</f>
        <v>1698.6821296784399</v>
      </c>
    </row>
    <row r="2527" spans="1:18">
      <c r="A2527" t="s">
        <v>756</v>
      </c>
      <c r="B2527" t="s">
        <v>19</v>
      </c>
      <c r="C2527" t="str">
        <f>SUBSTITUTE(Table1[[#This Row],[Fuel]],", ",",")</f>
        <v>bioenergy: refuse (municipal and industrial wastes)</v>
      </c>
      <c r="D2527" t="s">
        <v>19</v>
      </c>
      <c r="G2527">
        <v>12.75</v>
      </c>
      <c r="H2527" t="s">
        <v>97</v>
      </c>
      <c r="I2527" t="s">
        <v>21</v>
      </c>
      <c r="J2527" t="s">
        <v>21</v>
      </c>
      <c r="K2527">
        <v>31.448799999999999</v>
      </c>
      <c r="L2527">
        <v>121.0536</v>
      </c>
      <c r="M2527" t="s">
        <v>102</v>
      </c>
      <c r="N2527" s="2">
        <f>Table1[[#This Row],[Capacity (MW)]]*8760*0.72*10^-6</f>
        <v>8.0416799999999997E-2</v>
      </c>
      <c r="O2527" s="2" cm="1">
        <f t="array" ref="O2527">AVERAGE(VLOOKUP(_xlfn.TEXTSPLIT(Table1[[#This Row],[Fuel (no space after comma)]], ","), FuelList_Final_EF!$A$2:$B$32, 2, FALSE))</f>
        <v>105.42962572482868</v>
      </c>
      <c r="P2527" s="2">
        <f>(16112*Table1[[#This Row],[Generation (TWh)]]*10^9)/10^6</f>
        <v>1295675.4816000001</v>
      </c>
      <c r="Q2527" s="2">
        <f>Table1[[#This Row],[Emission Factor (kg CO2/ mmBtu)]]*Table1[[#This Row],[Fuel Consumption (mmBtu)]]*10^3</f>
        <v>136602581085.92516</v>
      </c>
      <c r="R2527" s="2">
        <f>(Table1[[#This Row],[CO2 Emissions (g CO2)]])/(Table1[[#This Row],[Generation (TWh)]]*10^9)</f>
        <v>1698.6821296784399</v>
      </c>
    </row>
    <row r="2528" spans="1:18" hidden="1">
      <c r="A2528" t="s">
        <v>21</v>
      </c>
      <c r="B2528" t="s">
        <v>19</v>
      </c>
      <c r="C2528" t="str">
        <f>SUBSTITUTE(Table1[[#This Row],[Fuel]],", ",",")</f>
        <v>bioenergy: refuse (municipal and industrial wastes)</v>
      </c>
      <c r="D2528" t="s">
        <v>19</v>
      </c>
      <c r="G2528">
        <v>15</v>
      </c>
      <c r="H2528" t="s">
        <v>27</v>
      </c>
      <c r="I2528">
        <v>2018</v>
      </c>
      <c r="J2528" t="s">
        <v>21</v>
      </c>
      <c r="K2528">
        <v>32.133702999999997</v>
      </c>
      <c r="L2528">
        <v>119.923451</v>
      </c>
      <c r="M2528" t="s">
        <v>102</v>
      </c>
      <c r="N2528" s="2">
        <f>Table1[[#This Row],[Capacity (MW)]]*8760*0.72*10^-6</f>
        <v>9.4607999999999998E-2</v>
      </c>
      <c r="O2528" s="2" cm="1">
        <f t="array" ref="O2528">AVERAGE(VLOOKUP(_xlfn.TEXTSPLIT(Table1[[#This Row],[Fuel (no space after comma)]], ","), FuelList_Final_EF!$A$2:$B$32, 2, FALSE))</f>
        <v>105.42962572482868</v>
      </c>
      <c r="P2528" s="2">
        <f>(16112*Table1[[#This Row],[Generation (TWh)]]*10^9)/10^6</f>
        <v>1524324.0959999999</v>
      </c>
      <c r="Q2528" s="2">
        <f>Table1[[#This Row],[Emission Factor (kg CO2/ mmBtu)]]*Table1[[#This Row],[Fuel Consumption (mmBtu)]]*10^3</f>
        <v>160708918924.61783</v>
      </c>
      <c r="R2528" s="2">
        <f>(Table1[[#This Row],[CO2 Emissions (g CO2)]])/(Table1[[#This Row],[Generation (TWh)]]*10^9)</f>
        <v>1698.6821296784397</v>
      </c>
    </row>
    <row r="2529" spans="1:18" hidden="1">
      <c r="A2529" t="s">
        <v>21</v>
      </c>
      <c r="B2529" t="s">
        <v>19</v>
      </c>
      <c r="C2529" t="str">
        <f>SUBSTITUTE(Table1[[#This Row],[Fuel]],", ",",")</f>
        <v>bioenergy: refuse (municipal and industrial wastes)</v>
      </c>
      <c r="D2529" t="s">
        <v>19</v>
      </c>
      <c r="G2529">
        <v>18</v>
      </c>
      <c r="H2529" t="s">
        <v>27</v>
      </c>
      <c r="I2529">
        <v>2013</v>
      </c>
      <c r="J2529" t="s">
        <v>21</v>
      </c>
      <c r="K2529">
        <v>32.546762999999999</v>
      </c>
      <c r="L2529">
        <v>120.03108400000001</v>
      </c>
      <c r="M2529" t="s">
        <v>102</v>
      </c>
      <c r="N2529" s="2">
        <f>Table1[[#This Row],[Capacity (MW)]]*8760*0.72*10^-6</f>
        <v>0.11352959999999998</v>
      </c>
      <c r="O2529" s="2" cm="1">
        <f t="array" ref="O2529">AVERAGE(VLOOKUP(_xlfn.TEXTSPLIT(Table1[[#This Row],[Fuel (no space after comma)]], ","), FuelList_Final_EF!$A$2:$B$32, 2, FALSE))</f>
        <v>105.42962572482868</v>
      </c>
      <c r="P2529" s="2">
        <f>(16112*Table1[[#This Row],[Generation (TWh)]]*10^9)/10^6</f>
        <v>1829188.9151999997</v>
      </c>
      <c r="Q2529" s="2">
        <f>Table1[[#This Row],[Emission Factor (kg CO2/ mmBtu)]]*Table1[[#This Row],[Fuel Consumption (mmBtu)]]*10^3</f>
        <v>192850702709.54135</v>
      </c>
      <c r="R2529" s="2">
        <f>(Table1[[#This Row],[CO2 Emissions (g CO2)]])/(Table1[[#This Row],[Generation (TWh)]]*10^9)</f>
        <v>1698.6821296784397</v>
      </c>
    </row>
    <row r="2530" spans="1:18" hidden="1">
      <c r="A2530" t="s">
        <v>1285</v>
      </c>
      <c r="B2530" t="s">
        <v>19</v>
      </c>
      <c r="C2530" t="str">
        <f>SUBSTITUTE(Table1[[#This Row],[Fuel]],", ",",")</f>
        <v>bioenergy: refuse (municipal and industrial wastes)</v>
      </c>
      <c r="D2530" t="s">
        <v>19</v>
      </c>
      <c r="G2530">
        <v>9</v>
      </c>
      <c r="H2530" t="s">
        <v>27</v>
      </c>
      <c r="I2530">
        <v>2022</v>
      </c>
      <c r="J2530" t="s">
        <v>21</v>
      </c>
      <c r="K2530">
        <v>32.546762999999999</v>
      </c>
      <c r="L2530">
        <v>120.03108400000001</v>
      </c>
      <c r="M2530" t="s">
        <v>102</v>
      </c>
      <c r="N2530" s="2">
        <f>Table1[[#This Row],[Capacity (MW)]]*8760*0.72*10^-6</f>
        <v>5.676479999999999E-2</v>
      </c>
      <c r="O2530" s="2" cm="1">
        <f t="array" ref="O2530">AVERAGE(VLOOKUP(_xlfn.TEXTSPLIT(Table1[[#This Row],[Fuel (no space after comma)]], ","), FuelList_Final_EF!$A$2:$B$32, 2, FALSE))</f>
        <v>105.42962572482868</v>
      </c>
      <c r="P2530" s="2">
        <f>(16112*Table1[[#This Row],[Generation (TWh)]]*10^9)/10^6</f>
        <v>914594.45759999985</v>
      </c>
      <c r="Q2530" s="2">
        <f>Table1[[#This Row],[Emission Factor (kg CO2/ mmBtu)]]*Table1[[#This Row],[Fuel Consumption (mmBtu)]]*10^3</f>
        <v>96425351354.770676</v>
      </c>
      <c r="R2530" s="2">
        <f>(Table1[[#This Row],[CO2 Emissions (g CO2)]])/(Table1[[#This Row],[Generation (TWh)]]*10^9)</f>
        <v>1698.6821296784397</v>
      </c>
    </row>
    <row r="2531" spans="1:18" hidden="1">
      <c r="A2531" t="s">
        <v>1327</v>
      </c>
      <c r="B2531" t="s">
        <v>19</v>
      </c>
      <c r="C2531" t="str">
        <f>SUBSTITUTE(Table1[[#This Row],[Fuel]],", ",",")</f>
        <v>bioenergy: refuse (municipal and industrial wastes)</v>
      </c>
      <c r="D2531" t="s">
        <v>19</v>
      </c>
      <c r="G2531">
        <v>9</v>
      </c>
      <c r="H2531" t="s">
        <v>27</v>
      </c>
      <c r="I2531">
        <v>2022</v>
      </c>
      <c r="J2531" t="s">
        <v>21</v>
      </c>
      <c r="K2531">
        <v>32.546762999999999</v>
      </c>
      <c r="L2531">
        <v>120.03108400000001</v>
      </c>
      <c r="M2531" t="s">
        <v>102</v>
      </c>
      <c r="N2531" s="2">
        <f>Table1[[#This Row],[Capacity (MW)]]*8760*0.72*10^-6</f>
        <v>5.676479999999999E-2</v>
      </c>
      <c r="O2531" s="2" cm="1">
        <f t="array" ref="O2531">AVERAGE(VLOOKUP(_xlfn.TEXTSPLIT(Table1[[#This Row],[Fuel (no space after comma)]], ","), FuelList_Final_EF!$A$2:$B$32, 2, FALSE))</f>
        <v>105.42962572482868</v>
      </c>
      <c r="P2531" s="2">
        <f>(16112*Table1[[#This Row],[Generation (TWh)]]*10^9)/10^6</f>
        <v>914594.45759999985</v>
      </c>
      <c r="Q2531" s="2">
        <f>Table1[[#This Row],[Emission Factor (kg CO2/ mmBtu)]]*Table1[[#This Row],[Fuel Consumption (mmBtu)]]*10^3</f>
        <v>96425351354.770676</v>
      </c>
      <c r="R2531" s="2">
        <f>(Table1[[#This Row],[CO2 Emissions (g CO2)]])/(Table1[[#This Row],[Generation (TWh)]]*10^9)</f>
        <v>1698.6821296784397</v>
      </c>
    </row>
    <row r="2532" spans="1:18" hidden="1">
      <c r="A2532" t="s">
        <v>21</v>
      </c>
      <c r="B2532" t="s">
        <v>19</v>
      </c>
      <c r="C2532" t="str">
        <f>SUBSTITUTE(Table1[[#This Row],[Fuel]],", ",",")</f>
        <v>bioenergy: refuse (municipal and industrial wastes)</v>
      </c>
      <c r="D2532" t="s">
        <v>19</v>
      </c>
      <c r="G2532">
        <v>12</v>
      </c>
      <c r="H2532" t="s">
        <v>27</v>
      </c>
      <c r="I2532">
        <v>2006</v>
      </c>
      <c r="J2532" t="s">
        <v>21</v>
      </c>
      <c r="K2532">
        <v>31.694611999999999</v>
      </c>
      <c r="L2532">
        <v>120.256181</v>
      </c>
      <c r="M2532" t="s">
        <v>102</v>
      </c>
      <c r="N2532" s="2">
        <f>Table1[[#This Row],[Capacity (MW)]]*8760*0.72*10^-6</f>
        <v>7.5686399999999987E-2</v>
      </c>
      <c r="O2532" s="2" cm="1">
        <f t="array" ref="O2532">AVERAGE(VLOOKUP(_xlfn.TEXTSPLIT(Table1[[#This Row],[Fuel (no space after comma)]], ","), FuelList_Final_EF!$A$2:$B$32, 2, FALSE))</f>
        <v>105.42962572482868</v>
      </c>
      <c r="P2532" s="2">
        <f>(16112*Table1[[#This Row],[Generation (TWh)]]*10^9)/10^6</f>
        <v>1219459.2767999996</v>
      </c>
      <c r="Q2532" s="2">
        <f>Table1[[#This Row],[Emission Factor (kg CO2/ mmBtu)]]*Table1[[#This Row],[Fuel Consumption (mmBtu)]]*10^3</f>
        <v>128567135139.69423</v>
      </c>
      <c r="R2532" s="2">
        <f>(Table1[[#This Row],[CO2 Emissions (g CO2)]])/(Table1[[#This Row],[Generation (TWh)]]*10^9)</f>
        <v>1698.6821296784397</v>
      </c>
    </row>
    <row r="2533" spans="1:18" hidden="1">
      <c r="A2533" t="s">
        <v>21</v>
      </c>
      <c r="B2533" t="s">
        <v>19</v>
      </c>
      <c r="C2533" t="str">
        <f>SUBSTITUTE(Table1[[#This Row],[Fuel]],", ",",")</f>
        <v>bioenergy: refuse (municipal and industrial wastes)</v>
      </c>
      <c r="D2533" t="s">
        <v>19</v>
      </c>
      <c r="G2533">
        <v>12</v>
      </c>
      <c r="H2533" t="s">
        <v>27</v>
      </c>
      <c r="I2533">
        <v>2006</v>
      </c>
      <c r="J2533" t="s">
        <v>21</v>
      </c>
      <c r="K2533">
        <v>31.694611999999999</v>
      </c>
      <c r="L2533">
        <v>120.256181</v>
      </c>
      <c r="M2533" t="s">
        <v>102</v>
      </c>
      <c r="N2533" s="2">
        <f>Table1[[#This Row],[Capacity (MW)]]*8760*0.72*10^-6</f>
        <v>7.5686399999999987E-2</v>
      </c>
      <c r="O2533" s="2" cm="1">
        <f t="array" ref="O2533">AVERAGE(VLOOKUP(_xlfn.TEXTSPLIT(Table1[[#This Row],[Fuel (no space after comma)]], ","), FuelList_Final_EF!$A$2:$B$32, 2, FALSE))</f>
        <v>105.42962572482868</v>
      </c>
      <c r="P2533" s="2">
        <f>(16112*Table1[[#This Row],[Generation (TWh)]]*10^9)/10^6</f>
        <v>1219459.2767999996</v>
      </c>
      <c r="Q2533" s="2">
        <f>Table1[[#This Row],[Emission Factor (kg CO2/ mmBtu)]]*Table1[[#This Row],[Fuel Consumption (mmBtu)]]*10^3</f>
        <v>128567135139.69423</v>
      </c>
      <c r="R2533" s="2">
        <f>(Table1[[#This Row],[CO2 Emissions (g CO2)]])/(Table1[[#This Row],[Generation (TWh)]]*10^9)</f>
        <v>1698.6821296784397</v>
      </c>
    </row>
    <row r="2534" spans="1:18" hidden="1">
      <c r="A2534" t="s">
        <v>21</v>
      </c>
      <c r="B2534" t="s">
        <v>19</v>
      </c>
      <c r="C2534" t="str">
        <f>SUBSTITUTE(Table1[[#This Row],[Fuel]],", ",",")</f>
        <v>bioenergy: refuse (municipal and industrial wastes)</v>
      </c>
      <c r="D2534" t="s">
        <v>19</v>
      </c>
      <c r="G2534">
        <v>18</v>
      </c>
      <c r="H2534" t="s">
        <v>27</v>
      </c>
      <c r="I2534">
        <v>2021</v>
      </c>
      <c r="J2534" t="s">
        <v>21</v>
      </c>
      <c r="K2534">
        <v>31.694611999999999</v>
      </c>
      <c r="L2534">
        <v>120.256181</v>
      </c>
      <c r="M2534" t="s">
        <v>102</v>
      </c>
      <c r="N2534" s="2">
        <f>Table1[[#This Row],[Capacity (MW)]]*8760*0.72*10^-6</f>
        <v>0.11352959999999998</v>
      </c>
      <c r="O2534" s="2" cm="1">
        <f t="array" ref="O2534">AVERAGE(VLOOKUP(_xlfn.TEXTSPLIT(Table1[[#This Row],[Fuel (no space after comma)]], ","), FuelList_Final_EF!$A$2:$B$32, 2, FALSE))</f>
        <v>105.42962572482868</v>
      </c>
      <c r="P2534" s="2">
        <f>(16112*Table1[[#This Row],[Generation (TWh)]]*10^9)/10^6</f>
        <v>1829188.9151999997</v>
      </c>
      <c r="Q2534" s="2">
        <f>Table1[[#This Row],[Emission Factor (kg CO2/ mmBtu)]]*Table1[[#This Row],[Fuel Consumption (mmBtu)]]*10^3</f>
        <v>192850702709.54135</v>
      </c>
      <c r="R2534" s="2">
        <f>(Table1[[#This Row],[CO2 Emissions (g CO2)]])/(Table1[[#This Row],[Generation (TWh)]]*10^9)</f>
        <v>1698.6821296784397</v>
      </c>
    </row>
    <row r="2535" spans="1:18" hidden="1">
      <c r="A2535" t="s">
        <v>21</v>
      </c>
      <c r="B2535" t="s">
        <v>19</v>
      </c>
      <c r="C2535" t="str">
        <f>SUBSTITUTE(Table1[[#This Row],[Fuel]],", ",",")</f>
        <v>bioenergy: refuse (municipal and industrial wastes)</v>
      </c>
      <c r="D2535" t="s">
        <v>19</v>
      </c>
      <c r="G2535">
        <v>18</v>
      </c>
      <c r="H2535" t="s">
        <v>27</v>
      </c>
      <c r="I2535">
        <v>2021</v>
      </c>
      <c r="J2535" t="s">
        <v>21</v>
      </c>
      <c r="K2535">
        <v>31.694611999999999</v>
      </c>
      <c r="L2535">
        <v>120.256181</v>
      </c>
      <c r="M2535" t="s">
        <v>102</v>
      </c>
      <c r="N2535" s="2">
        <f>Table1[[#This Row],[Capacity (MW)]]*8760*0.72*10^-6</f>
        <v>0.11352959999999998</v>
      </c>
      <c r="O2535" s="2" cm="1">
        <f t="array" ref="O2535">AVERAGE(VLOOKUP(_xlfn.TEXTSPLIT(Table1[[#This Row],[Fuel (no space after comma)]], ","), FuelList_Final_EF!$A$2:$B$32, 2, FALSE))</f>
        <v>105.42962572482868</v>
      </c>
      <c r="P2535" s="2">
        <f>(16112*Table1[[#This Row],[Generation (TWh)]]*10^9)/10^6</f>
        <v>1829188.9151999997</v>
      </c>
      <c r="Q2535" s="2">
        <f>Table1[[#This Row],[Emission Factor (kg CO2/ mmBtu)]]*Table1[[#This Row],[Fuel Consumption (mmBtu)]]*10^3</f>
        <v>192850702709.54135</v>
      </c>
      <c r="R2535" s="2">
        <f>(Table1[[#This Row],[CO2 Emissions (g CO2)]])/(Table1[[#This Row],[Generation (TWh)]]*10^9)</f>
        <v>1698.6821296784397</v>
      </c>
    </row>
    <row r="2536" spans="1:18" hidden="1">
      <c r="A2536" t="s">
        <v>758</v>
      </c>
      <c r="B2536" t="s">
        <v>19</v>
      </c>
      <c r="C2536" t="str">
        <f>SUBSTITUTE(Table1[[#This Row],[Fuel]],", ",",")</f>
        <v>bioenergy: refuse (municipal and industrial wastes)</v>
      </c>
      <c r="D2536" t="s">
        <v>19</v>
      </c>
      <c r="G2536">
        <v>1.8</v>
      </c>
      <c r="H2536" t="s">
        <v>27</v>
      </c>
      <c r="I2536">
        <v>2017</v>
      </c>
      <c r="J2536" t="s">
        <v>21</v>
      </c>
      <c r="K2536">
        <v>31.709499999999998</v>
      </c>
      <c r="L2536">
        <v>120.4714</v>
      </c>
      <c r="M2536" t="s">
        <v>102</v>
      </c>
      <c r="N2536" s="2">
        <f>Table1[[#This Row],[Capacity (MW)]]*8760*0.72*10^-6</f>
        <v>1.1352959999999999E-2</v>
      </c>
      <c r="O2536" s="2" cm="1">
        <f t="array" ref="O2536">AVERAGE(VLOOKUP(_xlfn.TEXTSPLIT(Table1[[#This Row],[Fuel (no space after comma)]], ","), FuelList_Final_EF!$A$2:$B$32, 2, FALSE))</f>
        <v>105.42962572482868</v>
      </c>
      <c r="P2536" s="2">
        <f>(16112*Table1[[#This Row],[Generation (TWh)]]*10^9)/10^6</f>
        <v>182918.89152</v>
      </c>
      <c r="Q2536" s="2">
        <f>Table1[[#This Row],[Emission Factor (kg CO2/ mmBtu)]]*Table1[[#This Row],[Fuel Consumption (mmBtu)]]*10^3</f>
        <v>19285070270.95414</v>
      </c>
      <c r="R2536" s="2">
        <f>(Table1[[#This Row],[CO2 Emissions (g CO2)]])/(Table1[[#This Row],[Generation (TWh)]]*10^9)</f>
        <v>1698.6821296784401</v>
      </c>
    </row>
    <row r="2537" spans="1:18" hidden="1">
      <c r="A2537" t="s">
        <v>759</v>
      </c>
      <c r="B2537" t="s">
        <v>19</v>
      </c>
      <c r="C2537" t="str">
        <f>SUBSTITUTE(Table1[[#This Row],[Fuel]],", ",",")</f>
        <v>bioenergy: refuse (municipal and industrial wastes)</v>
      </c>
      <c r="D2537" t="s">
        <v>19</v>
      </c>
      <c r="G2537">
        <v>1.8</v>
      </c>
      <c r="H2537" t="s">
        <v>27</v>
      </c>
      <c r="I2537">
        <v>2017</v>
      </c>
      <c r="J2537" t="s">
        <v>21</v>
      </c>
      <c r="K2537">
        <v>31.709499999999998</v>
      </c>
      <c r="L2537">
        <v>120.4714</v>
      </c>
      <c r="M2537" t="s">
        <v>102</v>
      </c>
      <c r="N2537" s="2">
        <f>Table1[[#This Row],[Capacity (MW)]]*8760*0.72*10^-6</f>
        <v>1.1352959999999999E-2</v>
      </c>
      <c r="O2537" s="2" cm="1">
        <f t="array" ref="O2537">AVERAGE(VLOOKUP(_xlfn.TEXTSPLIT(Table1[[#This Row],[Fuel (no space after comma)]], ","), FuelList_Final_EF!$A$2:$B$32, 2, FALSE))</f>
        <v>105.42962572482868</v>
      </c>
      <c r="P2537" s="2">
        <f>(16112*Table1[[#This Row],[Generation (TWh)]]*10^9)/10^6</f>
        <v>182918.89152</v>
      </c>
      <c r="Q2537" s="2">
        <f>Table1[[#This Row],[Emission Factor (kg CO2/ mmBtu)]]*Table1[[#This Row],[Fuel Consumption (mmBtu)]]*10^3</f>
        <v>19285070270.95414</v>
      </c>
      <c r="R2537" s="2">
        <f>(Table1[[#This Row],[CO2 Emissions (g CO2)]])/(Table1[[#This Row],[Generation (TWh)]]*10^9)</f>
        <v>1698.6821296784401</v>
      </c>
    </row>
    <row r="2538" spans="1:18" hidden="1">
      <c r="A2538" t="s">
        <v>460</v>
      </c>
      <c r="B2538" t="s">
        <v>19</v>
      </c>
      <c r="C2538" t="str">
        <f>SUBSTITUTE(Table1[[#This Row],[Fuel]],", ",",")</f>
        <v>bioenergy: refuse (municipal and industrial wastes)</v>
      </c>
      <c r="D2538" t="s">
        <v>19</v>
      </c>
      <c r="G2538">
        <v>14.4</v>
      </c>
      <c r="H2538" t="s">
        <v>27</v>
      </c>
      <c r="I2538">
        <v>2017</v>
      </c>
      <c r="J2538" t="s">
        <v>21</v>
      </c>
      <c r="K2538">
        <v>31.709499999999998</v>
      </c>
      <c r="L2538">
        <v>120.4714</v>
      </c>
      <c r="M2538" t="s">
        <v>102</v>
      </c>
      <c r="N2538" s="2">
        <f>Table1[[#This Row],[Capacity (MW)]]*8760*0.72*10^-6</f>
        <v>9.082367999999999E-2</v>
      </c>
      <c r="O2538" s="2" cm="1">
        <f t="array" ref="O2538">AVERAGE(VLOOKUP(_xlfn.TEXTSPLIT(Table1[[#This Row],[Fuel (no space after comma)]], ","), FuelList_Final_EF!$A$2:$B$32, 2, FALSE))</f>
        <v>105.42962572482868</v>
      </c>
      <c r="P2538" s="2">
        <f>(16112*Table1[[#This Row],[Generation (TWh)]]*10^9)/10^6</f>
        <v>1463351.13216</v>
      </c>
      <c r="Q2538" s="2">
        <f>Table1[[#This Row],[Emission Factor (kg CO2/ mmBtu)]]*Table1[[#This Row],[Fuel Consumption (mmBtu)]]*10^3</f>
        <v>154280562167.63312</v>
      </c>
      <c r="R2538" s="2">
        <f>(Table1[[#This Row],[CO2 Emissions (g CO2)]])/(Table1[[#This Row],[Generation (TWh)]]*10^9)</f>
        <v>1698.6821296784401</v>
      </c>
    </row>
    <row r="2539" spans="1:18" hidden="1">
      <c r="A2539" t="s">
        <v>460</v>
      </c>
      <c r="B2539" t="s">
        <v>19</v>
      </c>
      <c r="C2539" t="str">
        <f>SUBSTITUTE(Table1[[#This Row],[Fuel]],", ",",")</f>
        <v>bioenergy: refuse (municipal and industrial wastes)</v>
      </c>
      <c r="D2539" t="s">
        <v>19</v>
      </c>
      <c r="G2539">
        <v>14.4</v>
      </c>
      <c r="H2539" t="s">
        <v>27</v>
      </c>
      <c r="I2539">
        <v>2017</v>
      </c>
      <c r="J2539" t="s">
        <v>21</v>
      </c>
      <c r="K2539">
        <v>31.709499999999998</v>
      </c>
      <c r="L2539">
        <v>120.4714</v>
      </c>
      <c r="M2539" t="s">
        <v>102</v>
      </c>
      <c r="N2539" s="2">
        <f>Table1[[#This Row],[Capacity (MW)]]*8760*0.72*10^-6</f>
        <v>9.082367999999999E-2</v>
      </c>
      <c r="O2539" s="2" cm="1">
        <f t="array" ref="O2539">AVERAGE(VLOOKUP(_xlfn.TEXTSPLIT(Table1[[#This Row],[Fuel (no space after comma)]], ","), FuelList_Final_EF!$A$2:$B$32, 2, FALSE))</f>
        <v>105.42962572482868</v>
      </c>
      <c r="P2539" s="2">
        <f>(16112*Table1[[#This Row],[Generation (TWh)]]*10^9)/10^6</f>
        <v>1463351.13216</v>
      </c>
      <c r="Q2539" s="2">
        <f>Table1[[#This Row],[Emission Factor (kg CO2/ mmBtu)]]*Table1[[#This Row],[Fuel Consumption (mmBtu)]]*10^3</f>
        <v>154280562167.63312</v>
      </c>
      <c r="R2539" s="2">
        <f>(Table1[[#This Row],[CO2 Emissions (g CO2)]])/(Table1[[#This Row],[Generation (TWh)]]*10^9)</f>
        <v>1698.6821296784401</v>
      </c>
    </row>
    <row r="2540" spans="1:18" hidden="1">
      <c r="A2540" t="s">
        <v>758</v>
      </c>
      <c r="B2540" t="s">
        <v>19</v>
      </c>
      <c r="C2540" t="str">
        <f>SUBSTITUTE(Table1[[#This Row],[Fuel]],", ",",")</f>
        <v>bioenergy: refuse (municipal and industrial wastes)</v>
      </c>
      <c r="D2540" t="s">
        <v>19</v>
      </c>
      <c r="G2540">
        <v>1.8</v>
      </c>
      <c r="H2540" t="s">
        <v>27</v>
      </c>
      <c r="I2540">
        <v>2017</v>
      </c>
      <c r="J2540" t="s">
        <v>21</v>
      </c>
      <c r="K2540">
        <v>31.709499999999998</v>
      </c>
      <c r="L2540">
        <v>120.4714</v>
      </c>
      <c r="M2540" t="s">
        <v>102</v>
      </c>
      <c r="N2540" s="2">
        <f>Table1[[#This Row],[Capacity (MW)]]*8760*0.72*10^-6</f>
        <v>1.1352959999999999E-2</v>
      </c>
      <c r="O2540" s="2" cm="1">
        <f t="array" ref="O2540">AVERAGE(VLOOKUP(_xlfn.TEXTSPLIT(Table1[[#This Row],[Fuel (no space after comma)]], ","), FuelList_Final_EF!$A$2:$B$32, 2, FALSE))</f>
        <v>105.42962572482868</v>
      </c>
      <c r="P2540" s="2">
        <f>(16112*Table1[[#This Row],[Generation (TWh)]]*10^9)/10^6</f>
        <v>182918.89152</v>
      </c>
      <c r="Q2540" s="2">
        <f>Table1[[#This Row],[Emission Factor (kg CO2/ mmBtu)]]*Table1[[#This Row],[Fuel Consumption (mmBtu)]]*10^3</f>
        <v>19285070270.95414</v>
      </c>
      <c r="R2540" s="2">
        <f>(Table1[[#This Row],[CO2 Emissions (g CO2)]])/(Table1[[#This Row],[Generation (TWh)]]*10^9)</f>
        <v>1698.6821296784401</v>
      </c>
    </row>
    <row r="2541" spans="1:18" hidden="1">
      <c r="A2541" t="s">
        <v>759</v>
      </c>
      <c r="B2541" t="s">
        <v>19</v>
      </c>
      <c r="C2541" t="str">
        <f>SUBSTITUTE(Table1[[#This Row],[Fuel]],", ",",")</f>
        <v>bioenergy: refuse (municipal and industrial wastes)</v>
      </c>
      <c r="D2541" t="s">
        <v>19</v>
      </c>
      <c r="G2541">
        <v>1.8</v>
      </c>
      <c r="H2541" t="s">
        <v>27</v>
      </c>
      <c r="I2541">
        <v>2017</v>
      </c>
      <c r="J2541" t="s">
        <v>21</v>
      </c>
      <c r="K2541">
        <v>31.709499999999998</v>
      </c>
      <c r="L2541">
        <v>120.4714</v>
      </c>
      <c r="M2541" t="s">
        <v>102</v>
      </c>
      <c r="N2541" s="2">
        <f>Table1[[#This Row],[Capacity (MW)]]*8760*0.72*10^-6</f>
        <v>1.1352959999999999E-2</v>
      </c>
      <c r="O2541" s="2" cm="1">
        <f t="array" ref="O2541">AVERAGE(VLOOKUP(_xlfn.TEXTSPLIT(Table1[[#This Row],[Fuel (no space after comma)]], ","), FuelList_Final_EF!$A$2:$B$32, 2, FALSE))</f>
        <v>105.42962572482868</v>
      </c>
      <c r="P2541" s="2">
        <f>(16112*Table1[[#This Row],[Generation (TWh)]]*10^9)/10^6</f>
        <v>182918.89152</v>
      </c>
      <c r="Q2541" s="2">
        <f>Table1[[#This Row],[Emission Factor (kg CO2/ mmBtu)]]*Table1[[#This Row],[Fuel Consumption (mmBtu)]]*10^3</f>
        <v>19285070270.95414</v>
      </c>
      <c r="R2541" s="2">
        <f>(Table1[[#This Row],[CO2 Emissions (g CO2)]])/(Table1[[#This Row],[Generation (TWh)]]*10^9)</f>
        <v>1698.6821296784401</v>
      </c>
    </row>
    <row r="2542" spans="1:18" hidden="1">
      <c r="A2542" t="s">
        <v>21</v>
      </c>
      <c r="B2542" t="s">
        <v>19</v>
      </c>
      <c r="C2542" t="str">
        <f>SUBSTITUTE(Table1[[#This Row],[Fuel]],", ",",")</f>
        <v>bioenergy: refuse (municipal and industrial wastes)</v>
      </c>
      <c r="D2542" t="s">
        <v>19</v>
      </c>
      <c r="G2542">
        <v>12</v>
      </c>
      <c r="H2542" t="s">
        <v>27</v>
      </c>
      <c r="I2542">
        <v>2019</v>
      </c>
      <c r="J2542" t="s">
        <v>21</v>
      </c>
      <c r="K2542">
        <v>33.022173000000002</v>
      </c>
      <c r="L2542">
        <v>120.048565</v>
      </c>
      <c r="M2542" t="s">
        <v>102</v>
      </c>
      <c r="N2542" s="2">
        <f>Table1[[#This Row],[Capacity (MW)]]*8760*0.72*10^-6</f>
        <v>7.5686399999999987E-2</v>
      </c>
      <c r="O2542" s="2" cm="1">
        <f t="array" ref="O2542">AVERAGE(VLOOKUP(_xlfn.TEXTSPLIT(Table1[[#This Row],[Fuel (no space after comma)]], ","), FuelList_Final_EF!$A$2:$B$32, 2, FALSE))</f>
        <v>105.42962572482868</v>
      </c>
      <c r="P2542" s="2">
        <f>(16112*Table1[[#This Row],[Generation (TWh)]]*10^9)/10^6</f>
        <v>1219459.2767999996</v>
      </c>
      <c r="Q2542" s="2">
        <f>Table1[[#This Row],[Emission Factor (kg CO2/ mmBtu)]]*Table1[[#This Row],[Fuel Consumption (mmBtu)]]*10^3</f>
        <v>128567135139.69423</v>
      </c>
      <c r="R2542" s="2">
        <f>(Table1[[#This Row],[CO2 Emissions (g CO2)]])/(Table1[[#This Row],[Generation (TWh)]]*10^9)</f>
        <v>1698.6821296784397</v>
      </c>
    </row>
    <row r="2543" spans="1:18" hidden="1">
      <c r="A2543" t="s">
        <v>21</v>
      </c>
      <c r="B2543" t="s">
        <v>19</v>
      </c>
      <c r="C2543" t="str">
        <f>SUBSTITUTE(Table1[[#This Row],[Fuel]],", ",",")</f>
        <v>bioenergy: refuse (municipal and industrial wastes)</v>
      </c>
      <c r="D2543" t="s">
        <v>19</v>
      </c>
      <c r="G2543">
        <v>15</v>
      </c>
      <c r="H2543" t="s">
        <v>27</v>
      </c>
      <c r="I2543">
        <v>2020</v>
      </c>
      <c r="J2543" t="s">
        <v>21</v>
      </c>
      <c r="K2543">
        <v>34.405740999999999</v>
      </c>
      <c r="L2543">
        <v>118.42977</v>
      </c>
      <c r="M2543" t="s">
        <v>102</v>
      </c>
      <c r="N2543" s="2">
        <f>Table1[[#This Row],[Capacity (MW)]]*8760*0.72*10^-6</f>
        <v>9.4607999999999998E-2</v>
      </c>
      <c r="O2543" s="2" cm="1">
        <f t="array" ref="O2543">AVERAGE(VLOOKUP(_xlfn.TEXTSPLIT(Table1[[#This Row],[Fuel (no space after comma)]], ","), FuelList_Final_EF!$A$2:$B$32, 2, FALSE))</f>
        <v>105.42962572482868</v>
      </c>
      <c r="P2543" s="2">
        <f>(16112*Table1[[#This Row],[Generation (TWh)]]*10^9)/10^6</f>
        <v>1524324.0959999999</v>
      </c>
      <c r="Q2543" s="2">
        <f>Table1[[#This Row],[Emission Factor (kg CO2/ mmBtu)]]*Table1[[#This Row],[Fuel Consumption (mmBtu)]]*10^3</f>
        <v>160708918924.61783</v>
      </c>
      <c r="R2543" s="2">
        <f>(Table1[[#This Row],[CO2 Emissions (g CO2)]])/(Table1[[#This Row],[Generation (TWh)]]*10^9)</f>
        <v>1698.6821296784397</v>
      </c>
    </row>
    <row r="2544" spans="1:18" hidden="1">
      <c r="A2544" t="s">
        <v>21</v>
      </c>
      <c r="B2544" t="s">
        <v>19</v>
      </c>
      <c r="C2544" t="str">
        <f>SUBSTITUTE(Table1[[#This Row],[Fuel]],", ",",")</f>
        <v>bioenergy: refuse (municipal and industrial wastes)</v>
      </c>
      <c r="D2544" t="s">
        <v>19</v>
      </c>
      <c r="G2544">
        <v>15</v>
      </c>
      <c r="H2544" t="s">
        <v>27</v>
      </c>
      <c r="I2544">
        <v>2015</v>
      </c>
      <c r="J2544" t="s">
        <v>21</v>
      </c>
      <c r="K2544">
        <v>32.955458</v>
      </c>
      <c r="L2544">
        <v>118.485086</v>
      </c>
      <c r="M2544" t="s">
        <v>102</v>
      </c>
      <c r="N2544" s="2">
        <f>Table1[[#This Row],[Capacity (MW)]]*8760*0.72*10^-6</f>
        <v>9.4607999999999998E-2</v>
      </c>
      <c r="O2544" s="2" cm="1">
        <f t="array" ref="O2544">AVERAGE(VLOOKUP(_xlfn.TEXTSPLIT(Table1[[#This Row],[Fuel (no space after comma)]], ","), FuelList_Final_EF!$A$2:$B$32, 2, FALSE))</f>
        <v>105.42962572482868</v>
      </c>
      <c r="P2544" s="2">
        <f>(16112*Table1[[#This Row],[Generation (TWh)]]*10^9)/10^6</f>
        <v>1524324.0959999999</v>
      </c>
      <c r="Q2544" s="2">
        <f>Table1[[#This Row],[Emission Factor (kg CO2/ mmBtu)]]*Table1[[#This Row],[Fuel Consumption (mmBtu)]]*10^3</f>
        <v>160708918924.61783</v>
      </c>
      <c r="R2544" s="2">
        <f>(Table1[[#This Row],[CO2 Emissions (g CO2)]])/(Table1[[#This Row],[Generation (TWh)]]*10^9)</f>
        <v>1698.6821296784397</v>
      </c>
    </row>
    <row r="2545" spans="1:18" hidden="1">
      <c r="A2545" t="s">
        <v>21</v>
      </c>
      <c r="B2545" t="s">
        <v>19</v>
      </c>
      <c r="C2545" t="str">
        <f>SUBSTITUTE(Table1[[#This Row],[Fuel]],", ",",")</f>
        <v>bioenergy: refuse (municipal and industrial wastes)</v>
      </c>
      <c r="D2545" t="s">
        <v>19</v>
      </c>
      <c r="G2545">
        <v>12</v>
      </c>
      <c r="H2545" t="s">
        <v>27</v>
      </c>
      <c r="I2545">
        <v>2009</v>
      </c>
      <c r="J2545" t="s">
        <v>21</v>
      </c>
      <c r="K2545">
        <v>34.302171999999999</v>
      </c>
      <c r="L2545">
        <v>117.29846000000001</v>
      </c>
      <c r="M2545" t="s">
        <v>102</v>
      </c>
      <c r="N2545" s="2">
        <f>Table1[[#This Row],[Capacity (MW)]]*8760*0.72*10^-6</f>
        <v>7.5686399999999987E-2</v>
      </c>
      <c r="O2545" s="2" cm="1">
        <f t="array" ref="O2545">AVERAGE(VLOOKUP(_xlfn.TEXTSPLIT(Table1[[#This Row],[Fuel (no space after comma)]], ","), FuelList_Final_EF!$A$2:$B$32, 2, FALSE))</f>
        <v>105.42962572482868</v>
      </c>
      <c r="P2545" s="2">
        <f>(16112*Table1[[#This Row],[Generation (TWh)]]*10^9)/10^6</f>
        <v>1219459.2767999996</v>
      </c>
      <c r="Q2545" s="2">
        <f>Table1[[#This Row],[Emission Factor (kg CO2/ mmBtu)]]*Table1[[#This Row],[Fuel Consumption (mmBtu)]]*10^3</f>
        <v>128567135139.69423</v>
      </c>
      <c r="R2545" s="2">
        <f>(Table1[[#This Row],[CO2 Emissions (g CO2)]])/(Table1[[#This Row],[Generation (TWh)]]*10^9)</f>
        <v>1698.6821296784397</v>
      </c>
    </row>
    <row r="2546" spans="1:18" hidden="1">
      <c r="A2546" t="s">
        <v>21</v>
      </c>
      <c r="B2546" t="s">
        <v>19</v>
      </c>
      <c r="C2546" t="str">
        <f>SUBSTITUTE(Table1[[#This Row],[Fuel]],", ",",")</f>
        <v>bioenergy: refuse (municipal and industrial wastes)</v>
      </c>
      <c r="D2546" t="s">
        <v>19</v>
      </c>
      <c r="G2546">
        <v>12</v>
      </c>
      <c r="H2546" t="s">
        <v>27</v>
      </c>
      <c r="I2546">
        <v>2009</v>
      </c>
      <c r="J2546" t="s">
        <v>21</v>
      </c>
      <c r="K2546">
        <v>34.302171999999999</v>
      </c>
      <c r="L2546">
        <v>117.29846000000001</v>
      </c>
      <c r="M2546" t="s">
        <v>102</v>
      </c>
      <c r="N2546" s="2">
        <f>Table1[[#This Row],[Capacity (MW)]]*8760*0.72*10^-6</f>
        <v>7.5686399999999987E-2</v>
      </c>
      <c r="O2546" s="2" cm="1">
        <f t="array" ref="O2546">AVERAGE(VLOOKUP(_xlfn.TEXTSPLIT(Table1[[#This Row],[Fuel (no space after comma)]], ","), FuelList_Final_EF!$A$2:$B$32, 2, FALSE))</f>
        <v>105.42962572482868</v>
      </c>
      <c r="P2546" s="2">
        <f>(16112*Table1[[#This Row],[Generation (TWh)]]*10^9)/10^6</f>
        <v>1219459.2767999996</v>
      </c>
      <c r="Q2546" s="2">
        <f>Table1[[#This Row],[Emission Factor (kg CO2/ mmBtu)]]*Table1[[#This Row],[Fuel Consumption (mmBtu)]]*10^3</f>
        <v>128567135139.69423</v>
      </c>
      <c r="R2546" s="2">
        <f>(Table1[[#This Row],[CO2 Emissions (g CO2)]])/(Table1[[#This Row],[Generation (TWh)]]*10^9)</f>
        <v>1698.6821296784397</v>
      </c>
    </row>
    <row r="2547" spans="1:18" hidden="1">
      <c r="A2547" t="s">
        <v>21</v>
      </c>
      <c r="B2547" t="s">
        <v>19</v>
      </c>
      <c r="C2547" t="str">
        <f>SUBSTITUTE(Table1[[#This Row],[Fuel]],", ",",")</f>
        <v>bioenergy: refuse (municipal and industrial wastes)</v>
      </c>
      <c r="D2547" t="s">
        <v>19</v>
      </c>
      <c r="G2547">
        <v>12</v>
      </c>
      <c r="H2547" t="s">
        <v>27</v>
      </c>
      <c r="I2547">
        <v>2015</v>
      </c>
      <c r="J2547" t="s">
        <v>21</v>
      </c>
      <c r="K2547">
        <v>33.424211999999997</v>
      </c>
      <c r="L2547">
        <v>120.00599699999999</v>
      </c>
      <c r="M2547" t="s">
        <v>102</v>
      </c>
      <c r="N2547" s="2">
        <f>Table1[[#This Row],[Capacity (MW)]]*8760*0.72*10^-6</f>
        <v>7.5686399999999987E-2</v>
      </c>
      <c r="O2547" s="2" cm="1">
        <f t="array" ref="O2547">AVERAGE(VLOOKUP(_xlfn.TEXTSPLIT(Table1[[#This Row],[Fuel (no space after comma)]], ","), FuelList_Final_EF!$A$2:$B$32, 2, FALSE))</f>
        <v>105.42962572482868</v>
      </c>
      <c r="P2547" s="2">
        <f>(16112*Table1[[#This Row],[Generation (TWh)]]*10^9)/10^6</f>
        <v>1219459.2767999996</v>
      </c>
      <c r="Q2547" s="2">
        <f>Table1[[#This Row],[Emission Factor (kg CO2/ mmBtu)]]*Table1[[#This Row],[Fuel Consumption (mmBtu)]]*10^3</f>
        <v>128567135139.69423</v>
      </c>
      <c r="R2547" s="2">
        <f>(Table1[[#This Row],[CO2 Emissions (g CO2)]])/(Table1[[#This Row],[Generation (TWh)]]*10^9)</f>
        <v>1698.6821296784397</v>
      </c>
    </row>
    <row r="2548" spans="1:18" hidden="1">
      <c r="A2548" t="s">
        <v>21</v>
      </c>
      <c r="B2548" t="s">
        <v>19</v>
      </c>
      <c r="C2548" t="str">
        <f>SUBSTITUTE(Table1[[#This Row],[Fuel]],", ",",")</f>
        <v>bioenergy: refuse (municipal and industrial wastes)</v>
      </c>
      <c r="D2548" t="s">
        <v>19</v>
      </c>
      <c r="G2548">
        <v>12</v>
      </c>
      <c r="H2548" t="s">
        <v>27</v>
      </c>
      <c r="I2548">
        <v>2018</v>
      </c>
      <c r="J2548" t="s">
        <v>21</v>
      </c>
      <c r="K2548">
        <v>33.424211999999997</v>
      </c>
      <c r="L2548">
        <v>120.00599699999999</v>
      </c>
      <c r="M2548" t="s">
        <v>102</v>
      </c>
      <c r="N2548" s="2">
        <f>Table1[[#This Row],[Capacity (MW)]]*8760*0.72*10^-6</f>
        <v>7.5686399999999987E-2</v>
      </c>
      <c r="O2548" s="2" cm="1">
        <f t="array" ref="O2548">AVERAGE(VLOOKUP(_xlfn.TEXTSPLIT(Table1[[#This Row],[Fuel (no space after comma)]], ","), FuelList_Final_EF!$A$2:$B$32, 2, FALSE))</f>
        <v>105.42962572482868</v>
      </c>
      <c r="P2548" s="2">
        <f>(16112*Table1[[#This Row],[Generation (TWh)]]*10^9)/10^6</f>
        <v>1219459.2767999996</v>
      </c>
      <c r="Q2548" s="2">
        <f>Table1[[#This Row],[Emission Factor (kg CO2/ mmBtu)]]*Table1[[#This Row],[Fuel Consumption (mmBtu)]]*10^3</f>
        <v>128567135139.69423</v>
      </c>
      <c r="R2548" s="2">
        <f>(Table1[[#This Row],[CO2 Emissions (g CO2)]])/(Table1[[#This Row],[Generation (TWh)]]*10^9)</f>
        <v>1698.6821296784397</v>
      </c>
    </row>
    <row r="2549" spans="1:18" hidden="1">
      <c r="A2549" t="s">
        <v>529</v>
      </c>
      <c r="B2549" t="s">
        <v>19</v>
      </c>
      <c r="C2549" t="str">
        <f>SUBSTITUTE(Table1[[#This Row],[Fuel]],", ",",")</f>
        <v>bioenergy: refuse (municipal and industrial wastes)</v>
      </c>
      <c r="D2549" t="s">
        <v>19</v>
      </c>
      <c r="G2549">
        <v>9</v>
      </c>
      <c r="H2549" t="s">
        <v>27</v>
      </c>
      <c r="I2549">
        <v>2011</v>
      </c>
      <c r="J2549" t="s">
        <v>21</v>
      </c>
      <c r="K2549">
        <v>32.462049</v>
      </c>
      <c r="L2549">
        <v>119.30517500000001</v>
      </c>
      <c r="M2549" t="s">
        <v>102</v>
      </c>
      <c r="N2549" s="2">
        <f>Table1[[#This Row],[Capacity (MW)]]*8760*0.72*10^-6</f>
        <v>5.676479999999999E-2</v>
      </c>
      <c r="O2549" s="2" cm="1">
        <f t="array" ref="O2549">AVERAGE(VLOOKUP(_xlfn.TEXTSPLIT(Table1[[#This Row],[Fuel (no space after comma)]], ","), FuelList_Final_EF!$A$2:$B$32, 2, FALSE))</f>
        <v>105.42962572482868</v>
      </c>
      <c r="P2549" s="2">
        <f>(16112*Table1[[#This Row],[Generation (TWh)]]*10^9)/10^6</f>
        <v>914594.45759999985</v>
      </c>
      <c r="Q2549" s="2">
        <f>Table1[[#This Row],[Emission Factor (kg CO2/ mmBtu)]]*Table1[[#This Row],[Fuel Consumption (mmBtu)]]*10^3</f>
        <v>96425351354.770676</v>
      </c>
      <c r="R2549" s="2">
        <f>(Table1[[#This Row],[CO2 Emissions (g CO2)]])/(Table1[[#This Row],[Generation (TWh)]]*10^9)</f>
        <v>1698.6821296784397</v>
      </c>
    </row>
    <row r="2550" spans="1:18" hidden="1">
      <c r="A2550" t="s">
        <v>529</v>
      </c>
      <c r="B2550" t="s">
        <v>19</v>
      </c>
      <c r="C2550" t="str">
        <f>SUBSTITUTE(Table1[[#This Row],[Fuel]],", ",",")</f>
        <v>bioenergy: refuse (municipal and industrial wastes)</v>
      </c>
      <c r="D2550" t="s">
        <v>19</v>
      </c>
      <c r="G2550">
        <v>9</v>
      </c>
      <c r="H2550" t="s">
        <v>27</v>
      </c>
      <c r="I2550">
        <v>2011</v>
      </c>
      <c r="J2550" t="s">
        <v>21</v>
      </c>
      <c r="K2550">
        <v>32.462049</v>
      </c>
      <c r="L2550">
        <v>119.30517500000001</v>
      </c>
      <c r="M2550" t="s">
        <v>102</v>
      </c>
      <c r="N2550" s="2">
        <f>Table1[[#This Row],[Capacity (MW)]]*8760*0.72*10^-6</f>
        <v>5.676479999999999E-2</v>
      </c>
      <c r="O2550" s="2" cm="1">
        <f t="array" ref="O2550">AVERAGE(VLOOKUP(_xlfn.TEXTSPLIT(Table1[[#This Row],[Fuel (no space after comma)]], ","), FuelList_Final_EF!$A$2:$B$32, 2, FALSE))</f>
        <v>105.42962572482868</v>
      </c>
      <c r="P2550" s="2">
        <f>(16112*Table1[[#This Row],[Generation (TWh)]]*10^9)/10^6</f>
        <v>914594.45759999985</v>
      </c>
      <c r="Q2550" s="2">
        <f>Table1[[#This Row],[Emission Factor (kg CO2/ mmBtu)]]*Table1[[#This Row],[Fuel Consumption (mmBtu)]]*10^3</f>
        <v>96425351354.770676</v>
      </c>
      <c r="R2550" s="2">
        <f>(Table1[[#This Row],[CO2 Emissions (g CO2)]])/(Table1[[#This Row],[Generation (TWh)]]*10^9)</f>
        <v>1698.6821296784397</v>
      </c>
    </row>
    <row r="2551" spans="1:18" hidden="1">
      <c r="A2551" t="s">
        <v>529</v>
      </c>
      <c r="B2551" t="s">
        <v>19</v>
      </c>
      <c r="C2551" t="str">
        <f>SUBSTITUTE(Table1[[#This Row],[Fuel]],", ",",")</f>
        <v>bioenergy: refuse (municipal and industrial wastes)</v>
      </c>
      <c r="D2551" t="s">
        <v>19</v>
      </c>
      <c r="G2551">
        <v>12</v>
      </c>
      <c r="H2551" t="s">
        <v>27</v>
      </c>
      <c r="I2551">
        <v>2016</v>
      </c>
      <c r="J2551" t="s">
        <v>21</v>
      </c>
      <c r="K2551">
        <v>32.462049</v>
      </c>
      <c r="L2551">
        <v>119.30517500000001</v>
      </c>
      <c r="M2551" t="s">
        <v>102</v>
      </c>
      <c r="N2551" s="2">
        <f>Table1[[#This Row],[Capacity (MW)]]*8760*0.72*10^-6</f>
        <v>7.5686399999999987E-2</v>
      </c>
      <c r="O2551" s="2" cm="1">
        <f t="array" ref="O2551">AVERAGE(VLOOKUP(_xlfn.TEXTSPLIT(Table1[[#This Row],[Fuel (no space after comma)]], ","), FuelList_Final_EF!$A$2:$B$32, 2, FALSE))</f>
        <v>105.42962572482868</v>
      </c>
      <c r="P2551" s="2">
        <f>(16112*Table1[[#This Row],[Generation (TWh)]]*10^9)/10^6</f>
        <v>1219459.2767999996</v>
      </c>
      <c r="Q2551" s="2">
        <f>Table1[[#This Row],[Emission Factor (kg CO2/ mmBtu)]]*Table1[[#This Row],[Fuel Consumption (mmBtu)]]*10^3</f>
        <v>128567135139.69423</v>
      </c>
      <c r="R2551" s="2">
        <f>(Table1[[#This Row],[CO2 Emissions (g CO2)]])/(Table1[[#This Row],[Generation (TWh)]]*10^9)</f>
        <v>1698.6821296784397</v>
      </c>
    </row>
    <row r="2552" spans="1:18" hidden="1">
      <c r="A2552" t="s">
        <v>529</v>
      </c>
      <c r="B2552" t="s">
        <v>19</v>
      </c>
      <c r="C2552" t="str">
        <f>SUBSTITUTE(Table1[[#This Row],[Fuel]],", ",",")</f>
        <v>bioenergy: refuse (municipal and industrial wastes)</v>
      </c>
      <c r="D2552" t="s">
        <v>19</v>
      </c>
      <c r="G2552">
        <v>20</v>
      </c>
      <c r="H2552" t="s">
        <v>27</v>
      </c>
      <c r="I2552">
        <v>2021</v>
      </c>
      <c r="J2552" t="s">
        <v>21</v>
      </c>
      <c r="K2552">
        <v>32.462049</v>
      </c>
      <c r="L2552">
        <v>119.30517500000001</v>
      </c>
      <c r="M2552" t="s">
        <v>102</v>
      </c>
      <c r="N2552" s="2">
        <f>Table1[[#This Row],[Capacity (MW)]]*8760*0.72*10^-6</f>
        <v>0.12614400000000001</v>
      </c>
      <c r="O2552" s="2" cm="1">
        <f t="array" ref="O2552">AVERAGE(VLOOKUP(_xlfn.TEXTSPLIT(Table1[[#This Row],[Fuel (no space after comma)]], ","), FuelList_Final_EF!$A$2:$B$32, 2, FALSE))</f>
        <v>105.42962572482868</v>
      </c>
      <c r="P2552" s="2">
        <f>(16112*Table1[[#This Row],[Generation (TWh)]]*10^9)/10^6</f>
        <v>2032432.1280000003</v>
      </c>
      <c r="Q2552" s="2">
        <f>Table1[[#This Row],[Emission Factor (kg CO2/ mmBtu)]]*Table1[[#This Row],[Fuel Consumption (mmBtu)]]*10^3</f>
        <v>214278558566.15714</v>
      </c>
      <c r="R2552" s="2">
        <f>(Table1[[#This Row],[CO2 Emissions (g CO2)]])/(Table1[[#This Row],[Generation (TWh)]]*10^9)</f>
        <v>1698.6821296784401</v>
      </c>
    </row>
    <row r="2553" spans="1:18" hidden="1">
      <c r="A2553" t="s">
        <v>21</v>
      </c>
      <c r="B2553" t="s">
        <v>19</v>
      </c>
      <c r="C2553" t="str">
        <f>SUBSTITUTE(Table1[[#This Row],[Fuel]],", ",",")</f>
        <v>bioenergy: refuse (municipal and industrial wastes)</v>
      </c>
      <c r="D2553" t="s">
        <v>19</v>
      </c>
      <c r="G2553">
        <v>12</v>
      </c>
      <c r="H2553" t="s">
        <v>27</v>
      </c>
      <c r="I2553">
        <v>2011</v>
      </c>
      <c r="J2553" t="s">
        <v>21</v>
      </c>
      <c r="K2553">
        <v>32.161233000000003</v>
      </c>
      <c r="L2553">
        <v>119.602664</v>
      </c>
      <c r="M2553" t="s">
        <v>102</v>
      </c>
      <c r="N2553" s="2">
        <f>Table1[[#This Row],[Capacity (MW)]]*8760*0.72*10^-6</f>
        <v>7.5686399999999987E-2</v>
      </c>
      <c r="O2553" s="2" cm="1">
        <f t="array" ref="O2553">AVERAGE(VLOOKUP(_xlfn.TEXTSPLIT(Table1[[#This Row],[Fuel (no space after comma)]], ","), FuelList_Final_EF!$A$2:$B$32, 2, FALSE))</f>
        <v>105.42962572482868</v>
      </c>
      <c r="P2553" s="2">
        <f>(16112*Table1[[#This Row],[Generation (TWh)]]*10^9)/10^6</f>
        <v>1219459.2767999996</v>
      </c>
      <c r="Q2553" s="2">
        <f>Table1[[#This Row],[Emission Factor (kg CO2/ mmBtu)]]*Table1[[#This Row],[Fuel Consumption (mmBtu)]]*10^3</f>
        <v>128567135139.69423</v>
      </c>
      <c r="R2553" s="2">
        <f>(Table1[[#This Row],[CO2 Emissions (g CO2)]])/(Table1[[#This Row],[Generation (TWh)]]*10^9)</f>
        <v>1698.6821296784397</v>
      </c>
    </row>
    <row r="2554" spans="1:18" hidden="1">
      <c r="A2554" t="s">
        <v>21</v>
      </c>
      <c r="B2554" t="s">
        <v>19</v>
      </c>
      <c r="C2554" t="str">
        <f>SUBSTITUTE(Table1[[#This Row],[Fuel]],", ",",")</f>
        <v>bioenergy: refuse (municipal and industrial wastes)</v>
      </c>
      <c r="D2554" t="s">
        <v>19</v>
      </c>
      <c r="G2554">
        <v>12</v>
      </c>
      <c r="H2554" t="s">
        <v>27</v>
      </c>
      <c r="I2554">
        <v>2011</v>
      </c>
      <c r="J2554" t="s">
        <v>21</v>
      </c>
      <c r="K2554">
        <v>32.161233000000003</v>
      </c>
      <c r="L2554">
        <v>119.602664</v>
      </c>
      <c r="M2554" t="s">
        <v>102</v>
      </c>
      <c r="N2554" s="2">
        <f>Table1[[#This Row],[Capacity (MW)]]*8760*0.72*10^-6</f>
        <v>7.5686399999999987E-2</v>
      </c>
      <c r="O2554" s="2" cm="1">
        <f t="array" ref="O2554">AVERAGE(VLOOKUP(_xlfn.TEXTSPLIT(Table1[[#This Row],[Fuel (no space after comma)]], ","), FuelList_Final_EF!$A$2:$B$32, 2, FALSE))</f>
        <v>105.42962572482868</v>
      </c>
      <c r="P2554" s="2">
        <f>(16112*Table1[[#This Row],[Generation (TWh)]]*10^9)/10^6</f>
        <v>1219459.2767999996</v>
      </c>
      <c r="Q2554" s="2">
        <f>Table1[[#This Row],[Emission Factor (kg CO2/ mmBtu)]]*Table1[[#This Row],[Fuel Consumption (mmBtu)]]*10^3</f>
        <v>128567135139.69423</v>
      </c>
      <c r="R2554" s="2">
        <f>(Table1[[#This Row],[CO2 Emissions (g CO2)]])/(Table1[[#This Row],[Generation (TWh)]]*10^9)</f>
        <v>1698.6821296784397</v>
      </c>
    </row>
    <row r="2555" spans="1:18" hidden="1">
      <c r="A2555" t="s">
        <v>752</v>
      </c>
      <c r="B2555" t="s">
        <v>19</v>
      </c>
      <c r="C2555" t="str">
        <f>SUBSTITUTE(Table1[[#This Row],[Fuel]],", ",",")</f>
        <v>bioenergy: refuse (municipal and industrial wastes)</v>
      </c>
      <c r="D2555" t="s">
        <v>19</v>
      </c>
      <c r="G2555">
        <v>10</v>
      </c>
      <c r="H2555" t="s">
        <v>27</v>
      </c>
      <c r="I2555">
        <v>2021</v>
      </c>
      <c r="J2555" t="s">
        <v>21</v>
      </c>
      <c r="K2555">
        <v>27.374034000000002</v>
      </c>
      <c r="L2555">
        <v>114.659549</v>
      </c>
      <c r="M2555" t="s">
        <v>102</v>
      </c>
      <c r="N2555" s="2">
        <f>Table1[[#This Row],[Capacity (MW)]]*8760*0.72*10^-6</f>
        <v>6.3072000000000003E-2</v>
      </c>
      <c r="O2555" s="2" cm="1">
        <f t="array" ref="O2555">AVERAGE(VLOOKUP(_xlfn.TEXTSPLIT(Table1[[#This Row],[Fuel (no space after comma)]], ","), FuelList_Final_EF!$A$2:$B$32, 2, FALSE))</f>
        <v>105.42962572482868</v>
      </c>
      <c r="P2555" s="2">
        <f>(16112*Table1[[#This Row],[Generation (TWh)]]*10^9)/10^6</f>
        <v>1016216.0640000001</v>
      </c>
      <c r="Q2555" s="2">
        <f>Table1[[#This Row],[Emission Factor (kg CO2/ mmBtu)]]*Table1[[#This Row],[Fuel Consumption (mmBtu)]]*10^3</f>
        <v>107139279283.07857</v>
      </c>
      <c r="R2555" s="2">
        <f>(Table1[[#This Row],[CO2 Emissions (g CO2)]])/(Table1[[#This Row],[Generation (TWh)]]*10^9)</f>
        <v>1698.6821296784401</v>
      </c>
    </row>
    <row r="2556" spans="1:18" hidden="1">
      <c r="A2556" t="s">
        <v>21</v>
      </c>
      <c r="B2556" t="s">
        <v>19</v>
      </c>
      <c r="C2556" t="str">
        <f>SUBSTITUTE(Table1[[#This Row],[Fuel]],", ",",")</f>
        <v>bioenergy: refuse (municipal and industrial wastes)</v>
      </c>
      <c r="D2556" t="s">
        <v>19</v>
      </c>
      <c r="G2556">
        <v>9</v>
      </c>
      <c r="H2556" t="s">
        <v>27</v>
      </c>
      <c r="I2556">
        <v>2024</v>
      </c>
      <c r="J2556" t="s">
        <v>21</v>
      </c>
      <c r="K2556">
        <v>25.695888</v>
      </c>
      <c r="L2556">
        <v>114.274103</v>
      </c>
      <c r="M2556" t="s">
        <v>102</v>
      </c>
      <c r="N2556" s="2">
        <f>Table1[[#This Row],[Capacity (MW)]]*8760*0.72*10^-6</f>
        <v>5.676479999999999E-2</v>
      </c>
      <c r="O2556" s="2" cm="1">
        <f t="array" ref="O2556">AVERAGE(VLOOKUP(_xlfn.TEXTSPLIT(Table1[[#This Row],[Fuel (no space after comma)]], ","), FuelList_Final_EF!$A$2:$B$32, 2, FALSE))</f>
        <v>105.42962572482868</v>
      </c>
      <c r="P2556" s="2">
        <f>(16112*Table1[[#This Row],[Generation (TWh)]]*10^9)/10^6</f>
        <v>914594.45759999985</v>
      </c>
      <c r="Q2556" s="2">
        <f>Table1[[#This Row],[Emission Factor (kg CO2/ mmBtu)]]*Table1[[#This Row],[Fuel Consumption (mmBtu)]]*10^3</f>
        <v>96425351354.770676</v>
      </c>
      <c r="R2556" s="2">
        <f>(Table1[[#This Row],[CO2 Emissions (g CO2)]])/(Table1[[#This Row],[Generation (TWh)]]*10^9)</f>
        <v>1698.6821296784397</v>
      </c>
    </row>
    <row r="2557" spans="1:18" hidden="1">
      <c r="A2557" t="s">
        <v>21</v>
      </c>
      <c r="B2557" t="s">
        <v>19</v>
      </c>
      <c r="C2557" t="str">
        <f>SUBSTITUTE(Table1[[#This Row],[Fuel]],", ",",")</f>
        <v>bioenergy: refuse (municipal and industrial wastes)</v>
      </c>
      <c r="D2557" t="s">
        <v>19</v>
      </c>
      <c r="G2557">
        <v>8</v>
      </c>
      <c r="H2557" t="s">
        <v>27</v>
      </c>
      <c r="I2557">
        <v>2021</v>
      </c>
      <c r="J2557" t="s">
        <v>21</v>
      </c>
      <c r="K2557">
        <v>29.032444999999999</v>
      </c>
      <c r="L2557">
        <v>117.54156399999999</v>
      </c>
      <c r="M2557" t="s">
        <v>102</v>
      </c>
      <c r="N2557" s="2">
        <f>Table1[[#This Row],[Capacity (MW)]]*8760*0.72*10^-6</f>
        <v>5.0457599999999998E-2</v>
      </c>
      <c r="O2557" s="2" cm="1">
        <f t="array" ref="O2557">AVERAGE(VLOOKUP(_xlfn.TEXTSPLIT(Table1[[#This Row],[Fuel (no space after comma)]], ","), FuelList_Final_EF!$A$2:$B$32, 2, FALSE))</f>
        <v>105.42962572482868</v>
      </c>
      <c r="P2557" s="2">
        <f>(16112*Table1[[#This Row],[Generation (TWh)]]*10^9)/10^6</f>
        <v>812972.85119999992</v>
      </c>
      <c r="Q2557" s="2">
        <f>Table1[[#This Row],[Emission Factor (kg CO2/ mmBtu)]]*Table1[[#This Row],[Fuel Consumption (mmBtu)]]*10^3</f>
        <v>85711423426.46283</v>
      </c>
      <c r="R2557" s="2">
        <f>(Table1[[#This Row],[CO2 Emissions (g CO2)]])/(Table1[[#This Row],[Generation (TWh)]]*10^9)</f>
        <v>1698.6821296784394</v>
      </c>
    </row>
    <row r="2558" spans="1:18" hidden="1">
      <c r="A2558" t="s">
        <v>21</v>
      </c>
      <c r="B2558" t="s">
        <v>19</v>
      </c>
      <c r="C2558" t="str">
        <f>SUBSTITUTE(Table1[[#This Row],[Fuel]],", ",",")</f>
        <v>bioenergy: refuse (municipal and industrial wastes)</v>
      </c>
      <c r="D2558" t="s">
        <v>19</v>
      </c>
      <c r="G2558">
        <v>15</v>
      </c>
      <c r="H2558" t="s">
        <v>27</v>
      </c>
      <c r="I2558">
        <v>2021</v>
      </c>
      <c r="J2558" t="s">
        <v>21</v>
      </c>
      <c r="K2558">
        <v>29.499784999999999</v>
      </c>
      <c r="L2558">
        <v>116.415239</v>
      </c>
      <c r="M2558" t="s">
        <v>102</v>
      </c>
      <c r="N2558" s="2">
        <f>Table1[[#This Row],[Capacity (MW)]]*8760*0.72*10^-6</f>
        <v>9.4607999999999998E-2</v>
      </c>
      <c r="O2558" s="2" cm="1">
        <f t="array" ref="O2558">AVERAGE(VLOOKUP(_xlfn.TEXTSPLIT(Table1[[#This Row],[Fuel (no space after comma)]], ","), FuelList_Final_EF!$A$2:$B$32, 2, FALSE))</f>
        <v>105.42962572482868</v>
      </c>
      <c r="P2558" s="2">
        <f>(16112*Table1[[#This Row],[Generation (TWh)]]*10^9)/10^6</f>
        <v>1524324.0959999999</v>
      </c>
      <c r="Q2558" s="2">
        <f>Table1[[#This Row],[Emission Factor (kg CO2/ mmBtu)]]*Table1[[#This Row],[Fuel Consumption (mmBtu)]]*10^3</f>
        <v>160708918924.61783</v>
      </c>
      <c r="R2558" s="2">
        <f>(Table1[[#This Row],[CO2 Emissions (g CO2)]])/(Table1[[#This Row],[Generation (TWh)]]*10^9)</f>
        <v>1698.6821296784397</v>
      </c>
    </row>
    <row r="2559" spans="1:18" hidden="1">
      <c r="A2559" t="s">
        <v>192</v>
      </c>
      <c r="B2559" t="s">
        <v>19</v>
      </c>
      <c r="C2559" t="str">
        <f>SUBSTITUTE(Table1[[#This Row],[Fuel]],", ",",")</f>
        <v>bioenergy: refuse (municipal and industrial wastes)</v>
      </c>
      <c r="D2559" t="s">
        <v>19</v>
      </c>
      <c r="G2559">
        <v>15</v>
      </c>
      <c r="H2559" t="s">
        <v>27</v>
      </c>
      <c r="I2559">
        <v>2020</v>
      </c>
      <c r="J2559" t="s">
        <v>21</v>
      </c>
      <c r="K2559">
        <v>28.080614000000001</v>
      </c>
      <c r="L2559">
        <v>115.88544899999999</v>
      </c>
      <c r="M2559" t="s">
        <v>102</v>
      </c>
      <c r="N2559" s="2">
        <f>Table1[[#This Row],[Capacity (MW)]]*8760*0.72*10^-6</f>
        <v>9.4607999999999998E-2</v>
      </c>
      <c r="O2559" s="2" cm="1">
        <f t="array" ref="O2559">AVERAGE(VLOOKUP(_xlfn.TEXTSPLIT(Table1[[#This Row],[Fuel (no space after comma)]], ","), FuelList_Final_EF!$A$2:$B$32, 2, FALSE))</f>
        <v>105.42962572482868</v>
      </c>
      <c r="P2559" s="2">
        <f>(16112*Table1[[#This Row],[Generation (TWh)]]*10^9)/10^6</f>
        <v>1524324.0959999999</v>
      </c>
      <c r="Q2559" s="2">
        <f>Table1[[#This Row],[Emission Factor (kg CO2/ mmBtu)]]*Table1[[#This Row],[Fuel Consumption (mmBtu)]]*10^3</f>
        <v>160708918924.61783</v>
      </c>
      <c r="R2559" s="2">
        <f>(Table1[[#This Row],[CO2 Emissions (g CO2)]])/(Table1[[#This Row],[Generation (TWh)]]*10^9)</f>
        <v>1698.6821296784397</v>
      </c>
    </row>
    <row r="2560" spans="1:18" hidden="1">
      <c r="A2560" t="s">
        <v>21</v>
      </c>
      <c r="B2560" t="s">
        <v>19</v>
      </c>
      <c r="C2560" t="str">
        <f>SUBSTITUTE(Table1[[#This Row],[Fuel]],", ",",")</f>
        <v>bioenergy: refuse (municipal and industrial wastes)</v>
      </c>
      <c r="D2560" t="s">
        <v>19</v>
      </c>
      <c r="G2560">
        <v>12</v>
      </c>
      <c r="H2560" t="s">
        <v>27</v>
      </c>
      <c r="I2560">
        <v>2020</v>
      </c>
      <c r="J2560" t="s">
        <v>21</v>
      </c>
      <c r="K2560">
        <v>28.787663999999999</v>
      </c>
      <c r="L2560">
        <v>115.409318</v>
      </c>
      <c r="M2560" t="s">
        <v>102</v>
      </c>
      <c r="N2560" s="2">
        <f>Table1[[#This Row],[Capacity (MW)]]*8760*0.72*10^-6</f>
        <v>7.5686399999999987E-2</v>
      </c>
      <c r="O2560" s="2" cm="1">
        <f t="array" ref="O2560">AVERAGE(VLOOKUP(_xlfn.TEXTSPLIT(Table1[[#This Row],[Fuel (no space after comma)]], ","), FuelList_Final_EF!$A$2:$B$32, 2, FALSE))</f>
        <v>105.42962572482868</v>
      </c>
      <c r="P2560" s="2">
        <f>(16112*Table1[[#This Row],[Generation (TWh)]]*10^9)/10^6</f>
        <v>1219459.2767999996</v>
      </c>
      <c r="Q2560" s="2">
        <f>Table1[[#This Row],[Emission Factor (kg CO2/ mmBtu)]]*Table1[[#This Row],[Fuel Consumption (mmBtu)]]*10^3</f>
        <v>128567135139.69423</v>
      </c>
      <c r="R2560" s="2">
        <f>(Table1[[#This Row],[CO2 Emissions (g CO2)]])/(Table1[[#This Row],[Generation (TWh)]]*10^9)</f>
        <v>1698.6821296784397</v>
      </c>
    </row>
    <row r="2561" spans="1:18" hidden="1">
      <c r="A2561" t="s">
        <v>21</v>
      </c>
      <c r="B2561" t="s">
        <v>19</v>
      </c>
      <c r="C2561" t="str">
        <f>SUBSTITUTE(Table1[[#This Row],[Fuel]],", ",",")</f>
        <v>bioenergy: refuse (municipal and industrial wastes)</v>
      </c>
      <c r="D2561" t="s">
        <v>19</v>
      </c>
      <c r="G2561">
        <v>15</v>
      </c>
      <c r="H2561" t="s">
        <v>27</v>
      </c>
      <c r="I2561">
        <v>2018</v>
      </c>
      <c r="J2561" t="s">
        <v>21</v>
      </c>
      <c r="K2561">
        <v>25.674334000000002</v>
      </c>
      <c r="L2561">
        <v>114.95226700000001</v>
      </c>
      <c r="M2561" t="s">
        <v>102</v>
      </c>
      <c r="N2561" s="2">
        <f>Table1[[#This Row],[Capacity (MW)]]*8760*0.72*10^-6</f>
        <v>9.4607999999999998E-2</v>
      </c>
      <c r="O2561" s="2" cm="1">
        <f t="array" ref="O2561">AVERAGE(VLOOKUP(_xlfn.TEXTSPLIT(Table1[[#This Row],[Fuel (no space after comma)]], ","), FuelList_Final_EF!$A$2:$B$32, 2, FALSE))</f>
        <v>105.42962572482868</v>
      </c>
      <c r="P2561" s="2">
        <f>(16112*Table1[[#This Row],[Generation (TWh)]]*10^9)/10^6</f>
        <v>1524324.0959999999</v>
      </c>
      <c r="Q2561" s="2">
        <f>Table1[[#This Row],[Emission Factor (kg CO2/ mmBtu)]]*Table1[[#This Row],[Fuel Consumption (mmBtu)]]*10^3</f>
        <v>160708918924.61783</v>
      </c>
      <c r="R2561" s="2">
        <f>(Table1[[#This Row],[CO2 Emissions (g CO2)]])/(Table1[[#This Row],[Generation (TWh)]]*10^9)</f>
        <v>1698.6821296784397</v>
      </c>
    </row>
    <row r="2562" spans="1:18" hidden="1">
      <c r="A2562" t="s">
        <v>21</v>
      </c>
      <c r="B2562" t="s">
        <v>19</v>
      </c>
      <c r="C2562" t="str">
        <f>SUBSTITUTE(Table1[[#This Row],[Fuel]],", ",",")</f>
        <v>bioenergy: refuse (municipal and industrial wastes)</v>
      </c>
      <c r="D2562" t="s">
        <v>19</v>
      </c>
      <c r="G2562">
        <v>15</v>
      </c>
      <c r="H2562" t="s">
        <v>27</v>
      </c>
      <c r="I2562">
        <v>2020</v>
      </c>
      <c r="J2562" t="s">
        <v>21</v>
      </c>
      <c r="K2562">
        <v>25.674334000000002</v>
      </c>
      <c r="L2562">
        <v>114.95226700000001</v>
      </c>
      <c r="M2562" t="s">
        <v>102</v>
      </c>
      <c r="N2562" s="2">
        <f>Table1[[#This Row],[Capacity (MW)]]*8760*0.72*10^-6</f>
        <v>9.4607999999999998E-2</v>
      </c>
      <c r="O2562" s="2" cm="1">
        <f t="array" ref="O2562">AVERAGE(VLOOKUP(_xlfn.TEXTSPLIT(Table1[[#This Row],[Fuel (no space after comma)]], ","), FuelList_Final_EF!$A$2:$B$32, 2, FALSE))</f>
        <v>105.42962572482868</v>
      </c>
      <c r="P2562" s="2">
        <f>(16112*Table1[[#This Row],[Generation (TWh)]]*10^9)/10^6</f>
        <v>1524324.0959999999</v>
      </c>
      <c r="Q2562" s="2">
        <f>Table1[[#This Row],[Emission Factor (kg CO2/ mmBtu)]]*Table1[[#This Row],[Fuel Consumption (mmBtu)]]*10^3</f>
        <v>160708918924.61783</v>
      </c>
      <c r="R2562" s="2">
        <f>(Table1[[#This Row],[CO2 Emissions (g CO2)]])/(Table1[[#This Row],[Generation (TWh)]]*10^9)</f>
        <v>1698.6821296784397</v>
      </c>
    </row>
    <row r="2563" spans="1:18" hidden="1">
      <c r="A2563" t="s">
        <v>541</v>
      </c>
      <c r="B2563" t="s">
        <v>19</v>
      </c>
      <c r="C2563" t="str">
        <f>SUBSTITUTE(Table1[[#This Row],[Fuel]],", ",",")</f>
        <v>bioenergy: refuse (municipal and industrial wastes)</v>
      </c>
      <c r="D2563" t="s">
        <v>19</v>
      </c>
      <c r="G2563">
        <v>25</v>
      </c>
      <c r="H2563" t="s">
        <v>27</v>
      </c>
      <c r="I2563">
        <v>2020</v>
      </c>
      <c r="J2563" t="s">
        <v>21</v>
      </c>
      <c r="K2563">
        <v>29.782447999999999</v>
      </c>
      <c r="L2563">
        <v>115.733991</v>
      </c>
      <c r="M2563" t="s">
        <v>102</v>
      </c>
      <c r="N2563" s="2">
        <f>Table1[[#This Row],[Capacity (MW)]]*8760*0.72*10^-6</f>
        <v>0.15767999999999999</v>
      </c>
      <c r="O2563" s="2" cm="1">
        <f t="array" ref="O2563">AVERAGE(VLOOKUP(_xlfn.TEXTSPLIT(Table1[[#This Row],[Fuel (no space after comma)]], ","), FuelList_Final_EF!$A$2:$B$32, 2, FALSE))</f>
        <v>105.42962572482868</v>
      </c>
      <c r="P2563" s="2">
        <f>(16112*Table1[[#This Row],[Generation (TWh)]]*10^9)/10^6</f>
        <v>2540540.16</v>
      </c>
      <c r="Q2563" s="2">
        <f>Table1[[#This Row],[Emission Factor (kg CO2/ mmBtu)]]*Table1[[#This Row],[Fuel Consumption (mmBtu)]]*10^3</f>
        <v>267848198207.69638</v>
      </c>
      <c r="R2563" s="2">
        <f>(Table1[[#This Row],[CO2 Emissions (g CO2)]])/(Table1[[#This Row],[Generation (TWh)]]*10^9)</f>
        <v>1698.6821296784397</v>
      </c>
    </row>
    <row r="2564" spans="1:18" hidden="1">
      <c r="A2564" t="s">
        <v>541</v>
      </c>
      <c r="B2564" t="s">
        <v>19</v>
      </c>
      <c r="C2564" t="str">
        <f>SUBSTITUTE(Table1[[#This Row],[Fuel]],", ",",")</f>
        <v>bioenergy: refuse (municipal and industrial wastes)</v>
      </c>
      <c r="D2564" t="s">
        <v>19</v>
      </c>
      <c r="G2564">
        <v>25</v>
      </c>
      <c r="H2564" t="s">
        <v>27</v>
      </c>
      <c r="I2564">
        <v>2020</v>
      </c>
      <c r="J2564" t="s">
        <v>21</v>
      </c>
      <c r="K2564">
        <v>29.782447999999999</v>
      </c>
      <c r="L2564">
        <v>115.733991</v>
      </c>
      <c r="M2564" t="s">
        <v>102</v>
      </c>
      <c r="N2564" s="2">
        <f>Table1[[#This Row],[Capacity (MW)]]*8760*0.72*10^-6</f>
        <v>0.15767999999999999</v>
      </c>
      <c r="O2564" s="2" cm="1">
        <f t="array" ref="O2564">AVERAGE(VLOOKUP(_xlfn.TEXTSPLIT(Table1[[#This Row],[Fuel (no space after comma)]], ","), FuelList_Final_EF!$A$2:$B$32, 2, FALSE))</f>
        <v>105.42962572482868</v>
      </c>
      <c r="P2564" s="2">
        <f>(16112*Table1[[#This Row],[Generation (TWh)]]*10^9)/10^6</f>
        <v>2540540.16</v>
      </c>
      <c r="Q2564" s="2">
        <f>Table1[[#This Row],[Emission Factor (kg CO2/ mmBtu)]]*Table1[[#This Row],[Fuel Consumption (mmBtu)]]*10^3</f>
        <v>267848198207.69638</v>
      </c>
      <c r="R2564" s="2">
        <f>(Table1[[#This Row],[CO2 Emissions (g CO2)]])/(Table1[[#This Row],[Generation (TWh)]]*10^9)</f>
        <v>1698.6821296784397</v>
      </c>
    </row>
    <row r="2565" spans="1:18" hidden="1">
      <c r="A2565" t="s">
        <v>21</v>
      </c>
      <c r="B2565" t="s">
        <v>19</v>
      </c>
      <c r="C2565" t="str">
        <f>SUBSTITUTE(Table1[[#This Row],[Fuel]],", ",",")</f>
        <v>bioenergy: refuse (municipal and industrial wastes)</v>
      </c>
      <c r="D2565" t="s">
        <v>19</v>
      </c>
      <c r="G2565">
        <v>12</v>
      </c>
      <c r="H2565" t="s">
        <v>27</v>
      </c>
      <c r="I2565">
        <v>2023</v>
      </c>
      <c r="J2565" t="s">
        <v>21</v>
      </c>
      <c r="K2565">
        <v>24.829905</v>
      </c>
      <c r="L2565">
        <v>114.847076</v>
      </c>
      <c r="M2565" t="s">
        <v>102</v>
      </c>
      <c r="N2565" s="2">
        <f>Table1[[#This Row],[Capacity (MW)]]*8760*0.72*10^-6</f>
        <v>7.5686399999999987E-2</v>
      </c>
      <c r="O2565" s="2" cm="1">
        <f t="array" ref="O2565">AVERAGE(VLOOKUP(_xlfn.TEXTSPLIT(Table1[[#This Row],[Fuel (no space after comma)]], ","), FuelList_Final_EF!$A$2:$B$32, 2, FALSE))</f>
        <v>105.42962572482868</v>
      </c>
      <c r="P2565" s="2">
        <f>(16112*Table1[[#This Row],[Generation (TWh)]]*10^9)/10^6</f>
        <v>1219459.2767999996</v>
      </c>
      <c r="Q2565" s="2">
        <f>Table1[[#This Row],[Emission Factor (kg CO2/ mmBtu)]]*Table1[[#This Row],[Fuel Consumption (mmBtu)]]*10^3</f>
        <v>128567135139.69423</v>
      </c>
      <c r="R2565" s="2">
        <f>(Table1[[#This Row],[CO2 Emissions (g CO2)]])/(Table1[[#This Row],[Generation (TWh)]]*10^9)</f>
        <v>1698.6821296784397</v>
      </c>
    </row>
    <row r="2566" spans="1:18" hidden="1">
      <c r="A2566" t="s">
        <v>21</v>
      </c>
      <c r="B2566" t="s">
        <v>19</v>
      </c>
      <c r="C2566" t="str">
        <f>SUBSTITUTE(Table1[[#This Row],[Fuel]],", ",",")</f>
        <v>bioenergy: refuse (municipal and industrial wastes)</v>
      </c>
      <c r="D2566" t="s">
        <v>19</v>
      </c>
      <c r="G2566">
        <v>15</v>
      </c>
      <c r="H2566" t="s">
        <v>27</v>
      </c>
      <c r="I2566">
        <v>2022</v>
      </c>
      <c r="J2566" t="s">
        <v>21</v>
      </c>
      <c r="K2566">
        <v>26.404456</v>
      </c>
      <c r="L2566">
        <v>115.950253</v>
      </c>
      <c r="M2566" t="s">
        <v>102</v>
      </c>
      <c r="N2566" s="2">
        <f>Table1[[#This Row],[Capacity (MW)]]*8760*0.72*10^-6</f>
        <v>9.4607999999999998E-2</v>
      </c>
      <c r="O2566" s="2" cm="1">
        <f t="array" ref="O2566">AVERAGE(VLOOKUP(_xlfn.TEXTSPLIT(Table1[[#This Row],[Fuel (no space after comma)]], ","), FuelList_Final_EF!$A$2:$B$32, 2, FALSE))</f>
        <v>105.42962572482868</v>
      </c>
      <c r="P2566" s="2">
        <f>(16112*Table1[[#This Row],[Generation (TWh)]]*10^9)/10^6</f>
        <v>1524324.0959999999</v>
      </c>
      <c r="Q2566" s="2">
        <f>Table1[[#This Row],[Emission Factor (kg CO2/ mmBtu)]]*Table1[[#This Row],[Fuel Consumption (mmBtu)]]*10^3</f>
        <v>160708918924.61783</v>
      </c>
      <c r="R2566" s="2">
        <f>(Table1[[#This Row],[CO2 Emissions (g CO2)]])/(Table1[[#This Row],[Generation (TWh)]]*10^9)</f>
        <v>1698.6821296784397</v>
      </c>
    </row>
    <row r="2567" spans="1:18" hidden="1">
      <c r="A2567" t="s">
        <v>21</v>
      </c>
      <c r="B2567" t="s">
        <v>41</v>
      </c>
      <c r="C2567" t="str">
        <f>SUBSTITUTE(Table1[[#This Row],[Fuel]],", ",",")</f>
        <v>bioenergy: refuse (municipal and industrial wastes),bioenergy: wastewater and sewage sludge (solids or biogas)</v>
      </c>
      <c r="D2567" t="s">
        <v>19</v>
      </c>
      <c r="E2567" t="s">
        <v>42</v>
      </c>
      <c r="G2567">
        <v>12</v>
      </c>
      <c r="H2567" t="s">
        <v>27</v>
      </c>
      <c r="I2567">
        <v>2017</v>
      </c>
      <c r="J2567" t="s">
        <v>21</v>
      </c>
      <c r="K2567">
        <v>27.610633</v>
      </c>
      <c r="L2567">
        <v>113.691878</v>
      </c>
      <c r="M2567" t="s">
        <v>102</v>
      </c>
      <c r="N2567" s="2">
        <f>Table1[[#This Row],[Capacity (MW)]]*8760*0.72*10^-6</f>
        <v>7.5686399999999987E-2</v>
      </c>
      <c r="O2567" s="2" cm="1">
        <f t="array" ref="O2567">AVERAGE(VLOOKUP(_xlfn.TEXTSPLIT(Table1[[#This Row],[Fuel (no space after comma)]], ","), FuelList_Final_EF!$A$2:$B$32, 2, FALSE))</f>
        <v>81.497100685292565</v>
      </c>
      <c r="P2567" s="2">
        <f>(16112*Table1[[#This Row],[Generation (TWh)]]*10^9)/10^6</f>
        <v>1219459.2767999996</v>
      </c>
      <c r="Q2567" s="2">
        <f>Table1[[#This Row],[Emission Factor (kg CO2/ mmBtu)]]*Table1[[#This Row],[Fuel Consumption (mmBtu)]]*10^3</f>
        <v>99382395462.983627</v>
      </c>
      <c r="R2567" s="2">
        <f>(Table1[[#This Row],[CO2 Emissions (g CO2)]])/(Table1[[#This Row],[Generation (TWh)]]*10^9)</f>
        <v>1313.0812862414336</v>
      </c>
    </row>
    <row r="2568" spans="1:18" hidden="1">
      <c r="A2568" t="s">
        <v>21</v>
      </c>
      <c r="B2568" t="s">
        <v>41</v>
      </c>
      <c r="C2568" t="str">
        <f>SUBSTITUTE(Table1[[#This Row],[Fuel]],", ",",")</f>
        <v>bioenergy: refuse (municipal and industrial wastes),bioenergy: wastewater and sewage sludge (solids or biogas)</v>
      </c>
      <c r="D2568" t="s">
        <v>19</v>
      </c>
      <c r="E2568" t="s">
        <v>42</v>
      </c>
      <c r="G2568">
        <v>15</v>
      </c>
      <c r="H2568" t="s">
        <v>27</v>
      </c>
      <c r="I2568">
        <v>2020</v>
      </c>
      <c r="J2568" t="s">
        <v>21</v>
      </c>
      <c r="K2568">
        <v>27.610633</v>
      </c>
      <c r="L2568">
        <v>113.691878</v>
      </c>
      <c r="M2568" t="s">
        <v>102</v>
      </c>
      <c r="N2568" s="2">
        <f>Table1[[#This Row],[Capacity (MW)]]*8760*0.72*10^-6</f>
        <v>9.4607999999999998E-2</v>
      </c>
      <c r="O2568" s="2" cm="1">
        <f t="array" ref="O2568">AVERAGE(VLOOKUP(_xlfn.TEXTSPLIT(Table1[[#This Row],[Fuel (no space after comma)]], ","), FuelList_Final_EF!$A$2:$B$32, 2, FALSE))</f>
        <v>81.497100685292565</v>
      </c>
      <c r="P2568" s="2">
        <f>(16112*Table1[[#This Row],[Generation (TWh)]]*10^9)/10^6</f>
        <v>1524324.0959999999</v>
      </c>
      <c r="Q2568" s="2">
        <f>Table1[[#This Row],[Emission Factor (kg CO2/ mmBtu)]]*Table1[[#This Row],[Fuel Consumption (mmBtu)]]*10^3</f>
        <v>124227994328.72955</v>
      </c>
      <c r="R2568" s="2">
        <f>(Table1[[#This Row],[CO2 Emissions (g CO2)]])/(Table1[[#This Row],[Generation (TWh)]]*10^9)</f>
        <v>1313.0812862414336</v>
      </c>
    </row>
    <row r="2569" spans="1:18" hidden="1">
      <c r="A2569" t="s">
        <v>1319</v>
      </c>
      <c r="B2569" t="s">
        <v>19</v>
      </c>
      <c r="C2569" t="str">
        <f>SUBSTITUTE(Table1[[#This Row],[Fuel]],", ",",")</f>
        <v>bioenergy: refuse (municipal and industrial wastes)</v>
      </c>
      <c r="D2569" t="s">
        <v>19</v>
      </c>
      <c r="G2569">
        <v>7.5</v>
      </c>
      <c r="H2569" t="s">
        <v>27</v>
      </c>
      <c r="I2569">
        <v>2020</v>
      </c>
      <c r="J2569" t="s">
        <v>21</v>
      </c>
      <c r="K2569">
        <v>25.825085000000001</v>
      </c>
      <c r="L2569">
        <v>115.99805499999999</v>
      </c>
      <c r="M2569" t="s">
        <v>102</v>
      </c>
      <c r="N2569" s="2">
        <f>Table1[[#This Row],[Capacity (MW)]]*8760*0.72*10^-6</f>
        <v>4.7303999999999999E-2</v>
      </c>
      <c r="O2569" s="2" cm="1">
        <f t="array" ref="O2569">AVERAGE(VLOOKUP(_xlfn.TEXTSPLIT(Table1[[#This Row],[Fuel (no space after comma)]], ","), FuelList_Final_EF!$A$2:$B$32, 2, FALSE))</f>
        <v>105.42962572482868</v>
      </c>
      <c r="P2569" s="2">
        <f>(16112*Table1[[#This Row],[Generation (TWh)]]*10^9)/10^6</f>
        <v>762162.04799999995</v>
      </c>
      <c r="Q2569" s="2">
        <f>Table1[[#This Row],[Emission Factor (kg CO2/ mmBtu)]]*Table1[[#This Row],[Fuel Consumption (mmBtu)]]*10^3</f>
        <v>80354459462.308914</v>
      </c>
      <c r="R2569" s="2">
        <f>(Table1[[#This Row],[CO2 Emissions (g CO2)]])/(Table1[[#This Row],[Generation (TWh)]]*10^9)</f>
        <v>1698.6821296784397</v>
      </c>
    </row>
    <row r="2570" spans="1:18">
      <c r="A2570" t="s">
        <v>1319</v>
      </c>
      <c r="B2570" t="s">
        <v>19</v>
      </c>
      <c r="C2570" t="str">
        <f>SUBSTITUTE(Table1[[#This Row],[Fuel]],", ",",")</f>
        <v>bioenergy: refuse (municipal and industrial wastes)</v>
      </c>
      <c r="D2570" t="s">
        <v>19</v>
      </c>
      <c r="G2570">
        <v>7.5</v>
      </c>
      <c r="H2570" t="s">
        <v>20</v>
      </c>
      <c r="I2570" t="s">
        <v>21</v>
      </c>
      <c r="J2570" t="s">
        <v>21</v>
      </c>
      <c r="K2570">
        <v>25.825085000000001</v>
      </c>
      <c r="L2570">
        <v>115.99805499999999</v>
      </c>
      <c r="M2570" t="s">
        <v>102</v>
      </c>
      <c r="N2570" s="2">
        <f>Table1[[#This Row],[Capacity (MW)]]*8760*0.72*10^-6</f>
        <v>4.7303999999999999E-2</v>
      </c>
      <c r="O2570" s="2" cm="1">
        <f t="array" ref="O2570">AVERAGE(VLOOKUP(_xlfn.TEXTSPLIT(Table1[[#This Row],[Fuel (no space after comma)]], ","), FuelList_Final_EF!$A$2:$B$32, 2, FALSE))</f>
        <v>105.42962572482868</v>
      </c>
      <c r="P2570" s="2">
        <f>(16112*Table1[[#This Row],[Generation (TWh)]]*10^9)/10^6</f>
        <v>762162.04799999995</v>
      </c>
      <c r="Q2570" s="2">
        <f>Table1[[#This Row],[Emission Factor (kg CO2/ mmBtu)]]*Table1[[#This Row],[Fuel Consumption (mmBtu)]]*10^3</f>
        <v>80354459462.308914</v>
      </c>
      <c r="R2570" s="2">
        <f>(Table1[[#This Row],[CO2 Emissions (g CO2)]])/(Table1[[#This Row],[Generation (TWh)]]*10^9)</f>
        <v>1698.6821296784397</v>
      </c>
    </row>
    <row r="2571" spans="1:18" hidden="1">
      <c r="A2571" t="s">
        <v>21</v>
      </c>
      <c r="B2571" t="s">
        <v>19</v>
      </c>
      <c r="C2571" t="str">
        <f>SUBSTITUTE(Table1[[#This Row],[Fuel]],", ",",")</f>
        <v>bioenergy: refuse (municipal and industrial wastes)</v>
      </c>
      <c r="D2571" t="s">
        <v>19</v>
      </c>
      <c r="G2571">
        <v>9</v>
      </c>
      <c r="H2571" t="s">
        <v>27</v>
      </c>
      <c r="I2571">
        <v>2019</v>
      </c>
      <c r="J2571" t="s">
        <v>21</v>
      </c>
      <c r="K2571">
        <v>28.286871000000001</v>
      </c>
      <c r="L2571">
        <v>115.024254</v>
      </c>
      <c r="M2571" t="s">
        <v>102</v>
      </c>
      <c r="N2571" s="2">
        <f>Table1[[#This Row],[Capacity (MW)]]*8760*0.72*10^-6</f>
        <v>5.676479999999999E-2</v>
      </c>
      <c r="O2571" s="2" cm="1">
        <f t="array" ref="O2571">AVERAGE(VLOOKUP(_xlfn.TEXTSPLIT(Table1[[#This Row],[Fuel (no space after comma)]], ","), FuelList_Final_EF!$A$2:$B$32, 2, FALSE))</f>
        <v>105.42962572482868</v>
      </c>
      <c r="P2571" s="2">
        <f>(16112*Table1[[#This Row],[Generation (TWh)]]*10^9)/10^6</f>
        <v>914594.45759999985</v>
      </c>
      <c r="Q2571" s="2">
        <f>Table1[[#This Row],[Emission Factor (kg CO2/ mmBtu)]]*Table1[[#This Row],[Fuel Consumption (mmBtu)]]*10^3</f>
        <v>96425351354.770676</v>
      </c>
      <c r="R2571" s="2">
        <f>(Table1[[#This Row],[CO2 Emissions (g CO2)]])/(Table1[[#This Row],[Generation (TWh)]]*10^9)</f>
        <v>1698.6821296784397</v>
      </c>
    </row>
    <row r="2572" spans="1:18" hidden="1">
      <c r="A2572" t="s">
        <v>21</v>
      </c>
      <c r="B2572" t="s">
        <v>19</v>
      </c>
      <c r="C2572" t="str">
        <f>SUBSTITUTE(Table1[[#This Row],[Fuel]],", ",",")</f>
        <v>bioenergy: refuse (municipal and industrial wastes)</v>
      </c>
      <c r="D2572" t="s">
        <v>19</v>
      </c>
      <c r="G2572">
        <v>16</v>
      </c>
      <c r="H2572" t="s">
        <v>27</v>
      </c>
      <c r="I2572">
        <v>2020</v>
      </c>
      <c r="J2572" t="s">
        <v>21</v>
      </c>
      <c r="K2572">
        <v>28.148948000000001</v>
      </c>
      <c r="L2572">
        <v>114.45105700000001</v>
      </c>
      <c r="M2572" t="s">
        <v>102</v>
      </c>
      <c r="N2572" s="2">
        <f>Table1[[#This Row],[Capacity (MW)]]*8760*0.72*10^-6</f>
        <v>0.1009152</v>
      </c>
      <c r="O2572" s="2" cm="1">
        <f t="array" ref="O2572">AVERAGE(VLOOKUP(_xlfn.TEXTSPLIT(Table1[[#This Row],[Fuel (no space after comma)]], ","), FuelList_Final_EF!$A$2:$B$32, 2, FALSE))</f>
        <v>105.42962572482868</v>
      </c>
      <c r="P2572" s="2">
        <f>(16112*Table1[[#This Row],[Generation (TWh)]]*10^9)/10^6</f>
        <v>1625945.7023999998</v>
      </c>
      <c r="Q2572" s="2">
        <f>Table1[[#This Row],[Emission Factor (kg CO2/ mmBtu)]]*Table1[[#This Row],[Fuel Consumption (mmBtu)]]*10^3</f>
        <v>171422846852.92566</v>
      </c>
      <c r="R2572" s="2">
        <f>(Table1[[#This Row],[CO2 Emissions (g CO2)]])/(Table1[[#This Row],[Generation (TWh)]]*10^9)</f>
        <v>1698.6821296784394</v>
      </c>
    </row>
    <row r="2573" spans="1:18" hidden="1">
      <c r="A2573" t="s">
        <v>21</v>
      </c>
      <c r="B2573" t="s">
        <v>19</v>
      </c>
      <c r="C2573" t="str">
        <f>SUBSTITUTE(Table1[[#This Row],[Fuel]],", ",",")</f>
        <v>bioenergy: refuse (municipal and industrial wastes)</v>
      </c>
      <c r="D2573" t="s">
        <v>19</v>
      </c>
      <c r="G2573">
        <v>12</v>
      </c>
      <c r="H2573" t="s">
        <v>27</v>
      </c>
      <c r="I2573">
        <v>2021</v>
      </c>
      <c r="J2573" t="s">
        <v>21</v>
      </c>
      <c r="K2573">
        <v>29.147656000000001</v>
      </c>
      <c r="L2573">
        <v>114.693753</v>
      </c>
      <c r="M2573" t="s">
        <v>102</v>
      </c>
      <c r="N2573" s="2">
        <f>Table1[[#This Row],[Capacity (MW)]]*8760*0.72*10^-6</f>
        <v>7.5686399999999987E-2</v>
      </c>
      <c r="O2573" s="2" cm="1">
        <f t="array" ref="O2573">AVERAGE(VLOOKUP(_xlfn.TEXTSPLIT(Table1[[#This Row],[Fuel (no space after comma)]], ","), FuelList_Final_EF!$A$2:$B$32, 2, FALSE))</f>
        <v>105.42962572482868</v>
      </c>
      <c r="P2573" s="2">
        <f>(16112*Table1[[#This Row],[Generation (TWh)]]*10^9)/10^6</f>
        <v>1219459.2767999996</v>
      </c>
      <c r="Q2573" s="2">
        <f>Table1[[#This Row],[Emission Factor (kg CO2/ mmBtu)]]*Table1[[#This Row],[Fuel Consumption (mmBtu)]]*10^3</f>
        <v>128567135139.69423</v>
      </c>
      <c r="R2573" s="2">
        <f>(Table1[[#This Row],[CO2 Emissions (g CO2)]])/(Table1[[#This Row],[Generation (TWh)]]*10^9)</f>
        <v>1698.6821296784397</v>
      </c>
    </row>
    <row r="2574" spans="1:18" hidden="1">
      <c r="A2574" t="s">
        <v>21</v>
      </c>
      <c r="B2574" t="s">
        <v>19</v>
      </c>
      <c r="C2574" t="str">
        <f>SUBSTITUTE(Table1[[#This Row],[Fuel]],", ",",")</f>
        <v>bioenergy: refuse (municipal and industrial wastes)</v>
      </c>
      <c r="D2574" t="s">
        <v>19</v>
      </c>
      <c r="G2574">
        <v>25</v>
      </c>
      <c r="H2574" t="s">
        <v>27</v>
      </c>
      <c r="I2574">
        <v>2020</v>
      </c>
      <c r="J2574" t="s">
        <v>21</v>
      </c>
      <c r="K2574">
        <v>27.893975000000001</v>
      </c>
      <c r="L2574">
        <v>114.451294</v>
      </c>
      <c r="M2574" t="s">
        <v>102</v>
      </c>
      <c r="N2574" s="2">
        <f>Table1[[#This Row],[Capacity (MW)]]*8760*0.72*10^-6</f>
        <v>0.15767999999999999</v>
      </c>
      <c r="O2574" s="2" cm="1">
        <f t="array" ref="O2574">AVERAGE(VLOOKUP(_xlfn.TEXTSPLIT(Table1[[#This Row],[Fuel (no space after comma)]], ","), FuelList_Final_EF!$A$2:$B$32, 2, FALSE))</f>
        <v>105.42962572482868</v>
      </c>
      <c r="P2574" s="2">
        <f>(16112*Table1[[#This Row],[Generation (TWh)]]*10^9)/10^6</f>
        <v>2540540.16</v>
      </c>
      <c r="Q2574" s="2">
        <f>Table1[[#This Row],[Emission Factor (kg CO2/ mmBtu)]]*Table1[[#This Row],[Fuel Consumption (mmBtu)]]*10^3</f>
        <v>267848198207.69638</v>
      </c>
      <c r="R2574" s="2">
        <f>(Table1[[#This Row],[CO2 Emissions (g CO2)]])/(Table1[[#This Row],[Generation (TWh)]]*10^9)</f>
        <v>1698.6821296784397</v>
      </c>
    </row>
    <row r="2575" spans="1:18" hidden="1">
      <c r="A2575" t="s">
        <v>21</v>
      </c>
      <c r="B2575" t="s">
        <v>19</v>
      </c>
      <c r="C2575" t="str">
        <f>SUBSTITUTE(Table1[[#This Row],[Fuel]],", ",",")</f>
        <v>bioenergy: refuse (municipal and industrial wastes)</v>
      </c>
      <c r="D2575" t="s">
        <v>19</v>
      </c>
      <c r="G2575">
        <v>6</v>
      </c>
      <c r="H2575" t="s">
        <v>27</v>
      </c>
      <c r="I2575">
        <v>2017</v>
      </c>
      <c r="J2575" t="s">
        <v>21</v>
      </c>
      <c r="K2575">
        <v>28.232274</v>
      </c>
      <c r="L2575">
        <v>117.063329</v>
      </c>
      <c r="M2575" t="s">
        <v>102</v>
      </c>
      <c r="N2575" s="2">
        <f>Table1[[#This Row],[Capacity (MW)]]*8760*0.72*10^-6</f>
        <v>3.7843199999999994E-2</v>
      </c>
      <c r="O2575" s="2" cm="1">
        <f t="array" ref="O2575">AVERAGE(VLOOKUP(_xlfn.TEXTSPLIT(Table1[[#This Row],[Fuel (no space after comma)]], ","), FuelList_Final_EF!$A$2:$B$32, 2, FALSE))</f>
        <v>105.42962572482868</v>
      </c>
      <c r="P2575" s="2">
        <f>(16112*Table1[[#This Row],[Generation (TWh)]]*10^9)/10^6</f>
        <v>609729.63839999982</v>
      </c>
      <c r="Q2575" s="2">
        <f>Table1[[#This Row],[Emission Factor (kg CO2/ mmBtu)]]*Table1[[#This Row],[Fuel Consumption (mmBtu)]]*10^3</f>
        <v>64283567569.847115</v>
      </c>
      <c r="R2575" s="2">
        <f>(Table1[[#This Row],[CO2 Emissions (g CO2)]])/(Table1[[#This Row],[Generation (TWh)]]*10^9)</f>
        <v>1698.6821296784397</v>
      </c>
    </row>
    <row r="2576" spans="1:18" hidden="1">
      <c r="A2576" t="s">
        <v>21</v>
      </c>
      <c r="B2576" t="s">
        <v>19</v>
      </c>
      <c r="C2576" t="str">
        <f>SUBSTITUTE(Table1[[#This Row],[Fuel]],", ",",")</f>
        <v>bioenergy: refuse (municipal and industrial wastes)</v>
      </c>
      <c r="D2576" t="s">
        <v>19</v>
      </c>
      <c r="G2576">
        <v>25</v>
      </c>
      <c r="H2576" t="s">
        <v>27</v>
      </c>
      <c r="I2576">
        <v>2020</v>
      </c>
      <c r="J2576" t="s">
        <v>21</v>
      </c>
      <c r="K2576">
        <v>28.230777</v>
      </c>
      <c r="L2576">
        <v>117.067218</v>
      </c>
      <c r="M2576" t="s">
        <v>102</v>
      </c>
      <c r="N2576" s="2">
        <f>Table1[[#This Row],[Capacity (MW)]]*8760*0.72*10^-6</f>
        <v>0.15767999999999999</v>
      </c>
      <c r="O2576" s="2" cm="1">
        <f t="array" ref="O2576">AVERAGE(VLOOKUP(_xlfn.TEXTSPLIT(Table1[[#This Row],[Fuel (no space after comma)]], ","), FuelList_Final_EF!$A$2:$B$32, 2, FALSE))</f>
        <v>105.42962572482868</v>
      </c>
      <c r="P2576" s="2">
        <f>(16112*Table1[[#This Row],[Generation (TWh)]]*10^9)/10^6</f>
        <v>2540540.16</v>
      </c>
      <c r="Q2576" s="2">
        <f>Table1[[#This Row],[Emission Factor (kg CO2/ mmBtu)]]*Table1[[#This Row],[Fuel Consumption (mmBtu)]]*10^3</f>
        <v>267848198207.69638</v>
      </c>
      <c r="R2576" s="2">
        <f>(Table1[[#This Row],[CO2 Emissions (g CO2)]])/(Table1[[#This Row],[Generation (TWh)]]*10^9)</f>
        <v>1698.6821296784397</v>
      </c>
    </row>
    <row r="2577" spans="1:18" hidden="1">
      <c r="A2577" t="s">
        <v>21</v>
      </c>
      <c r="B2577" t="s">
        <v>19</v>
      </c>
      <c r="C2577" t="str">
        <f>SUBSTITUTE(Table1[[#This Row],[Fuel]],", ",",")</f>
        <v>bioenergy: refuse (municipal and industrial wastes)</v>
      </c>
      <c r="D2577" t="s">
        <v>19</v>
      </c>
      <c r="G2577">
        <v>6</v>
      </c>
      <c r="H2577" t="s">
        <v>27</v>
      </c>
      <c r="I2577">
        <v>2019</v>
      </c>
      <c r="J2577" t="s">
        <v>21</v>
      </c>
      <c r="K2577">
        <v>28.282945000000002</v>
      </c>
      <c r="L2577">
        <v>117.448294</v>
      </c>
      <c r="M2577" t="s">
        <v>102</v>
      </c>
      <c r="N2577" s="2">
        <f>Table1[[#This Row],[Capacity (MW)]]*8760*0.72*10^-6</f>
        <v>3.7843199999999994E-2</v>
      </c>
      <c r="O2577" s="2" cm="1">
        <f t="array" ref="O2577">AVERAGE(VLOOKUP(_xlfn.TEXTSPLIT(Table1[[#This Row],[Fuel (no space after comma)]], ","), FuelList_Final_EF!$A$2:$B$32, 2, FALSE))</f>
        <v>105.42962572482868</v>
      </c>
      <c r="P2577" s="2">
        <f>(16112*Table1[[#This Row],[Generation (TWh)]]*10^9)/10^6</f>
        <v>609729.63839999982</v>
      </c>
      <c r="Q2577" s="2">
        <f>Table1[[#This Row],[Emission Factor (kg CO2/ mmBtu)]]*Table1[[#This Row],[Fuel Consumption (mmBtu)]]*10^3</f>
        <v>64283567569.847115</v>
      </c>
      <c r="R2577" s="2">
        <f>(Table1[[#This Row],[CO2 Emissions (g CO2)]])/(Table1[[#This Row],[Generation (TWh)]]*10^9)</f>
        <v>1698.6821296784397</v>
      </c>
    </row>
    <row r="2578" spans="1:18" hidden="1">
      <c r="A2578" t="s">
        <v>21</v>
      </c>
      <c r="B2578" t="s">
        <v>19</v>
      </c>
      <c r="C2578" t="str">
        <f>SUBSTITUTE(Table1[[#This Row],[Fuel]],", ",",")</f>
        <v>bioenergy: refuse (municipal and industrial wastes)</v>
      </c>
      <c r="D2578" t="s">
        <v>19</v>
      </c>
      <c r="G2578">
        <v>6</v>
      </c>
      <c r="H2578" t="s">
        <v>27</v>
      </c>
      <c r="I2578">
        <v>2019</v>
      </c>
      <c r="J2578" t="s">
        <v>21</v>
      </c>
      <c r="K2578">
        <v>28.282945000000002</v>
      </c>
      <c r="L2578">
        <v>117.448294</v>
      </c>
      <c r="M2578" t="s">
        <v>102</v>
      </c>
      <c r="N2578" s="2">
        <f>Table1[[#This Row],[Capacity (MW)]]*8760*0.72*10^-6</f>
        <v>3.7843199999999994E-2</v>
      </c>
      <c r="O2578" s="2" cm="1">
        <f t="array" ref="O2578">AVERAGE(VLOOKUP(_xlfn.TEXTSPLIT(Table1[[#This Row],[Fuel (no space after comma)]], ","), FuelList_Final_EF!$A$2:$B$32, 2, FALSE))</f>
        <v>105.42962572482868</v>
      </c>
      <c r="P2578" s="2">
        <f>(16112*Table1[[#This Row],[Generation (TWh)]]*10^9)/10^6</f>
        <v>609729.63839999982</v>
      </c>
      <c r="Q2578" s="2">
        <f>Table1[[#This Row],[Emission Factor (kg CO2/ mmBtu)]]*Table1[[#This Row],[Fuel Consumption (mmBtu)]]*10^3</f>
        <v>64283567569.847115</v>
      </c>
      <c r="R2578" s="2">
        <f>(Table1[[#This Row],[CO2 Emissions (g CO2)]])/(Table1[[#This Row],[Generation (TWh)]]*10^9)</f>
        <v>1698.6821296784397</v>
      </c>
    </row>
    <row r="2579" spans="1:18" hidden="1">
      <c r="A2579" t="s">
        <v>21</v>
      </c>
      <c r="B2579" t="s">
        <v>19</v>
      </c>
      <c r="C2579" t="str">
        <f>SUBSTITUTE(Table1[[#This Row],[Fuel]],", ",",")</f>
        <v>bioenergy: refuse (municipal and industrial wastes)</v>
      </c>
      <c r="D2579" t="s">
        <v>19</v>
      </c>
      <c r="G2579">
        <v>20</v>
      </c>
      <c r="H2579" t="s">
        <v>27</v>
      </c>
      <c r="I2579">
        <v>2021</v>
      </c>
      <c r="J2579" t="s">
        <v>21</v>
      </c>
      <c r="K2579">
        <v>27.369762999999999</v>
      </c>
      <c r="L2579">
        <v>115.363922</v>
      </c>
      <c r="M2579" t="s">
        <v>102</v>
      </c>
      <c r="N2579" s="2">
        <f>Table1[[#This Row],[Capacity (MW)]]*8760*0.72*10^-6</f>
        <v>0.12614400000000001</v>
      </c>
      <c r="O2579" s="2" cm="1">
        <f t="array" ref="O2579">AVERAGE(VLOOKUP(_xlfn.TEXTSPLIT(Table1[[#This Row],[Fuel (no space after comma)]], ","), FuelList_Final_EF!$A$2:$B$32, 2, FALSE))</f>
        <v>105.42962572482868</v>
      </c>
      <c r="P2579" s="2">
        <f>(16112*Table1[[#This Row],[Generation (TWh)]]*10^9)/10^6</f>
        <v>2032432.1280000003</v>
      </c>
      <c r="Q2579" s="2">
        <f>Table1[[#This Row],[Emission Factor (kg CO2/ mmBtu)]]*Table1[[#This Row],[Fuel Consumption (mmBtu)]]*10^3</f>
        <v>214278558566.15714</v>
      </c>
      <c r="R2579" s="2">
        <f>(Table1[[#This Row],[CO2 Emissions (g CO2)]])/(Table1[[#This Row],[Generation (TWh)]]*10^9)</f>
        <v>1698.6821296784401</v>
      </c>
    </row>
    <row r="2580" spans="1:18" hidden="1">
      <c r="A2580" t="s">
        <v>21</v>
      </c>
      <c r="B2580" t="s">
        <v>19</v>
      </c>
      <c r="C2580" t="str">
        <f>SUBSTITUTE(Table1[[#This Row],[Fuel]],", ",",")</f>
        <v>bioenergy: refuse (municipal and industrial wastes)</v>
      </c>
      <c r="D2580" t="s">
        <v>19</v>
      </c>
      <c r="G2580">
        <v>12</v>
      </c>
      <c r="H2580" t="s">
        <v>27</v>
      </c>
      <c r="I2580">
        <v>2022</v>
      </c>
      <c r="J2580" t="s">
        <v>21</v>
      </c>
      <c r="K2580">
        <v>41.948824000000002</v>
      </c>
      <c r="L2580">
        <v>126.611254</v>
      </c>
      <c r="M2580" t="s">
        <v>102</v>
      </c>
      <c r="N2580" s="2">
        <f>Table1[[#This Row],[Capacity (MW)]]*8760*0.72*10^-6</f>
        <v>7.5686399999999987E-2</v>
      </c>
      <c r="O2580" s="2" cm="1">
        <f t="array" ref="O2580">AVERAGE(VLOOKUP(_xlfn.TEXTSPLIT(Table1[[#This Row],[Fuel (no space after comma)]], ","), FuelList_Final_EF!$A$2:$B$32, 2, FALSE))</f>
        <v>105.42962572482868</v>
      </c>
      <c r="P2580" s="2">
        <f>(16112*Table1[[#This Row],[Generation (TWh)]]*10^9)/10^6</f>
        <v>1219459.2767999996</v>
      </c>
      <c r="Q2580" s="2">
        <f>Table1[[#This Row],[Emission Factor (kg CO2/ mmBtu)]]*Table1[[#This Row],[Fuel Consumption (mmBtu)]]*10^3</f>
        <v>128567135139.69423</v>
      </c>
      <c r="R2580" s="2">
        <f>(Table1[[#This Row],[CO2 Emissions (g CO2)]])/(Table1[[#This Row],[Generation (TWh)]]*10^9)</f>
        <v>1698.6821296784397</v>
      </c>
    </row>
    <row r="2581" spans="1:18" hidden="1">
      <c r="A2581" t="s">
        <v>21</v>
      </c>
      <c r="B2581" t="s">
        <v>41</v>
      </c>
      <c r="C2581" t="str">
        <f>SUBSTITUTE(Table1[[#This Row],[Fuel]],", ",",")</f>
        <v>bioenergy: refuse (municipal and industrial wastes),bioenergy: wastewater and sewage sludge (solids or biogas)</v>
      </c>
      <c r="D2581" t="s">
        <v>19</v>
      </c>
      <c r="E2581" t="s">
        <v>42</v>
      </c>
      <c r="G2581">
        <v>15</v>
      </c>
      <c r="H2581" t="s">
        <v>27</v>
      </c>
      <c r="I2581">
        <v>2023</v>
      </c>
      <c r="J2581" t="s">
        <v>21</v>
      </c>
      <c r="K2581">
        <v>44.197505</v>
      </c>
      <c r="L2581">
        <v>125.952026</v>
      </c>
      <c r="M2581" t="s">
        <v>102</v>
      </c>
      <c r="N2581" s="2">
        <f>Table1[[#This Row],[Capacity (MW)]]*8760*0.72*10^-6</f>
        <v>9.4607999999999998E-2</v>
      </c>
      <c r="O2581" s="2" cm="1">
        <f t="array" ref="O2581">AVERAGE(VLOOKUP(_xlfn.TEXTSPLIT(Table1[[#This Row],[Fuel (no space after comma)]], ","), FuelList_Final_EF!$A$2:$B$32, 2, FALSE))</f>
        <v>81.497100685292565</v>
      </c>
      <c r="P2581" s="2">
        <f>(16112*Table1[[#This Row],[Generation (TWh)]]*10^9)/10^6</f>
        <v>1524324.0959999999</v>
      </c>
      <c r="Q2581" s="2">
        <f>Table1[[#This Row],[Emission Factor (kg CO2/ mmBtu)]]*Table1[[#This Row],[Fuel Consumption (mmBtu)]]*10^3</f>
        <v>124227994328.72955</v>
      </c>
      <c r="R2581" s="2">
        <f>(Table1[[#This Row],[CO2 Emissions (g CO2)]])/(Table1[[#This Row],[Generation (TWh)]]*10^9)</f>
        <v>1313.0812862414336</v>
      </c>
    </row>
    <row r="2582" spans="1:18" hidden="1">
      <c r="A2582" t="s">
        <v>1083</v>
      </c>
      <c r="B2582" t="s">
        <v>41</v>
      </c>
      <c r="C2582" t="str">
        <f>SUBSTITUTE(Table1[[#This Row],[Fuel]],", ",",")</f>
        <v>bioenergy: refuse (municipal and industrial wastes),bioenergy: wastewater and sewage sludge (solids or biogas)</v>
      </c>
      <c r="D2582" t="s">
        <v>19</v>
      </c>
      <c r="E2582" t="s">
        <v>42</v>
      </c>
      <c r="G2582">
        <v>15</v>
      </c>
      <c r="H2582" t="s">
        <v>27</v>
      </c>
      <c r="I2582">
        <v>2009</v>
      </c>
      <c r="J2582" t="s">
        <v>21</v>
      </c>
      <c r="K2582">
        <v>43.899900000000002</v>
      </c>
      <c r="L2582">
        <v>126.5097</v>
      </c>
      <c r="M2582" t="s">
        <v>102</v>
      </c>
      <c r="N2582" s="2">
        <f>Table1[[#This Row],[Capacity (MW)]]*8760*0.72*10^-6</f>
        <v>9.4607999999999998E-2</v>
      </c>
      <c r="O2582" s="2" cm="1">
        <f t="array" ref="O2582">AVERAGE(VLOOKUP(_xlfn.TEXTSPLIT(Table1[[#This Row],[Fuel (no space after comma)]], ","), FuelList_Final_EF!$A$2:$B$32, 2, FALSE))</f>
        <v>81.497100685292565</v>
      </c>
      <c r="P2582" s="2">
        <f>(16112*Table1[[#This Row],[Generation (TWh)]]*10^9)/10^6</f>
        <v>1524324.0959999999</v>
      </c>
      <c r="Q2582" s="2">
        <f>Table1[[#This Row],[Emission Factor (kg CO2/ mmBtu)]]*Table1[[#This Row],[Fuel Consumption (mmBtu)]]*10^3</f>
        <v>124227994328.72955</v>
      </c>
      <c r="R2582" s="2">
        <f>(Table1[[#This Row],[CO2 Emissions (g CO2)]])/(Table1[[#This Row],[Generation (TWh)]]*10^9)</f>
        <v>1313.0812862414336</v>
      </c>
    </row>
    <row r="2583" spans="1:18" hidden="1">
      <c r="A2583" t="s">
        <v>1083</v>
      </c>
      <c r="B2583" t="s">
        <v>41</v>
      </c>
      <c r="C2583" t="str">
        <f>SUBSTITUTE(Table1[[#This Row],[Fuel]],", ",",")</f>
        <v>bioenergy: refuse (municipal and industrial wastes),bioenergy: wastewater and sewage sludge (solids or biogas)</v>
      </c>
      <c r="D2583" t="s">
        <v>19</v>
      </c>
      <c r="E2583" t="s">
        <v>42</v>
      </c>
      <c r="G2583">
        <v>15</v>
      </c>
      <c r="H2583" t="s">
        <v>27</v>
      </c>
      <c r="I2583">
        <v>2009</v>
      </c>
      <c r="J2583" t="s">
        <v>21</v>
      </c>
      <c r="K2583">
        <v>43.899900000000002</v>
      </c>
      <c r="L2583">
        <v>126.5097</v>
      </c>
      <c r="M2583" t="s">
        <v>102</v>
      </c>
      <c r="N2583" s="2">
        <f>Table1[[#This Row],[Capacity (MW)]]*8760*0.72*10^-6</f>
        <v>9.4607999999999998E-2</v>
      </c>
      <c r="O2583" s="2" cm="1">
        <f t="array" ref="O2583">AVERAGE(VLOOKUP(_xlfn.TEXTSPLIT(Table1[[#This Row],[Fuel (no space after comma)]], ","), FuelList_Final_EF!$A$2:$B$32, 2, FALSE))</f>
        <v>81.497100685292565</v>
      </c>
      <c r="P2583" s="2">
        <f>(16112*Table1[[#This Row],[Generation (TWh)]]*10^9)/10^6</f>
        <v>1524324.0959999999</v>
      </c>
      <c r="Q2583" s="2">
        <f>Table1[[#This Row],[Emission Factor (kg CO2/ mmBtu)]]*Table1[[#This Row],[Fuel Consumption (mmBtu)]]*10^3</f>
        <v>124227994328.72955</v>
      </c>
      <c r="R2583" s="2">
        <f>(Table1[[#This Row],[CO2 Emissions (g CO2)]])/(Table1[[#This Row],[Generation (TWh)]]*10^9)</f>
        <v>1313.0812862414336</v>
      </c>
    </row>
    <row r="2584" spans="1:18">
      <c r="A2584" t="s">
        <v>1328</v>
      </c>
      <c r="B2584" t="s">
        <v>105</v>
      </c>
      <c r="C2584" t="str">
        <f>SUBSTITUTE(Table1[[#This Row],[Fuel]],", ",",")</f>
        <v>bioenergy: agricultural waste (solids),bioenergy: wood &amp; other biomass (solids)</v>
      </c>
      <c r="D2584" t="s">
        <v>46</v>
      </c>
      <c r="E2584" t="s">
        <v>25</v>
      </c>
      <c r="G2584">
        <v>14.4</v>
      </c>
      <c r="H2584" t="s">
        <v>97</v>
      </c>
      <c r="I2584" t="s">
        <v>21</v>
      </c>
      <c r="J2584" t="s">
        <v>21</v>
      </c>
      <c r="K2584">
        <v>42.708799999999997</v>
      </c>
      <c r="L2584">
        <v>125.5776</v>
      </c>
      <c r="M2584" t="s">
        <v>102</v>
      </c>
      <c r="N2584" s="2">
        <f>Table1[[#This Row],[Capacity (MW)]]*8760*0.72*10^-6</f>
        <v>9.082367999999999E-2</v>
      </c>
      <c r="O2584" s="2" cm="1">
        <f t="array" ref="O2584">AVERAGE(VLOOKUP(_xlfn.TEXTSPLIT(Table1[[#This Row],[Fuel (no space after comma)]], ","), FuelList_Final_EF!$A$2:$B$32, 2, FALSE))</f>
        <v>105.985</v>
      </c>
      <c r="P2584" s="2">
        <f>(16112*Table1[[#This Row],[Generation (TWh)]]*10^9)/10^6</f>
        <v>1463351.13216</v>
      </c>
      <c r="Q2584" s="2">
        <f>Table1[[#This Row],[Emission Factor (kg CO2/ mmBtu)]]*Table1[[#This Row],[Fuel Consumption (mmBtu)]]*10^3</f>
        <v>155093269741.9776</v>
      </c>
      <c r="R2584" s="2">
        <f>(Table1[[#This Row],[CO2 Emissions (g CO2)]])/(Table1[[#This Row],[Generation (TWh)]]*10^9)</f>
        <v>1707.6303200000002</v>
      </c>
    </row>
    <row r="2585" spans="1:18">
      <c r="A2585" t="s">
        <v>1328</v>
      </c>
      <c r="B2585" t="s">
        <v>46</v>
      </c>
      <c r="C2585" t="str">
        <f>SUBSTITUTE(Table1[[#This Row],[Fuel]],", ",",")</f>
        <v>bioenergy: agricultural waste (solids)</v>
      </c>
      <c r="D2585" t="s">
        <v>46</v>
      </c>
      <c r="G2585">
        <v>25.6</v>
      </c>
      <c r="H2585" t="s">
        <v>97</v>
      </c>
      <c r="I2585" t="s">
        <v>21</v>
      </c>
      <c r="J2585" t="s">
        <v>21</v>
      </c>
      <c r="K2585">
        <v>42.708799999999997</v>
      </c>
      <c r="L2585">
        <v>125.5776</v>
      </c>
      <c r="M2585" t="s">
        <v>102</v>
      </c>
      <c r="N2585" s="2">
        <f>Table1[[#This Row],[Capacity (MW)]]*8760*0.72*10^-6</f>
        <v>0.16146431999999999</v>
      </c>
      <c r="O2585" s="2" cm="1">
        <f t="array" ref="O2585">AVERAGE(VLOOKUP(_xlfn.TEXTSPLIT(Table1[[#This Row],[Fuel (no space after comma)]], ","), FuelList_Final_EF!$A$2:$B$32, 2, FALSE))</f>
        <v>118.17</v>
      </c>
      <c r="P2585" s="2">
        <f>(16112*Table1[[#This Row],[Generation (TWh)]]*10^9)/10^6</f>
        <v>2601513.12384</v>
      </c>
      <c r="Q2585" s="2">
        <f>Table1[[#This Row],[Emission Factor (kg CO2/ mmBtu)]]*Table1[[#This Row],[Fuel Consumption (mmBtu)]]*10^3</f>
        <v>307420805844.17285</v>
      </c>
      <c r="R2585" s="2">
        <f>(Table1[[#This Row],[CO2 Emissions (g CO2)]])/(Table1[[#This Row],[Generation (TWh)]]*10^9)</f>
        <v>1903.9550400000003</v>
      </c>
    </row>
    <row r="2586" spans="1:18" hidden="1">
      <c r="A2586" t="s">
        <v>21</v>
      </c>
      <c r="B2586" t="s">
        <v>19</v>
      </c>
      <c r="C2586" t="str">
        <f>SUBSTITUTE(Table1[[#This Row],[Fuel]],", ",",")</f>
        <v>bioenergy: refuse (municipal and industrial wastes)</v>
      </c>
      <c r="D2586" t="s">
        <v>19</v>
      </c>
      <c r="G2586">
        <v>9</v>
      </c>
      <c r="H2586" t="s">
        <v>27</v>
      </c>
      <c r="I2586">
        <v>2022</v>
      </c>
      <c r="J2586" t="s">
        <v>21</v>
      </c>
      <c r="K2586">
        <v>42.911110000000001</v>
      </c>
      <c r="L2586">
        <v>126.067803</v>
      </c>
      <c r="M2586" t="s">
        <v>102</v>
      </c>
      <c r="N2586" s="2">
        <f>Table1[[#This Row],[Capacity (MW)]]*8760*0.72*10^-6</f>
        <v>5.676479999999999E-2</v>
      </c>
      <c r="O2586" s="2" cm="1">
        <f t="array" ref="O2586">AVERAGE(VLOOKUP(_xlfn.TEXTSPLIT(Table1[[#This Row],[Fuel (no space after comma)]], ","), FuelList_Final_EF!$A$2:$B$32, 2, FALSE))</f>
        <v>105.42962572482868</v>
      </c>
      <c r="P2586" s="2">
        <f>(16112*Table1[[#This Row],[Generation (TWh)]]*10^9)/10^6</f>
        <v>914594.45759999985</v>
      </c>
      <c r="Q2586" s="2">
        <f>Table1[[#This Row],[Emission Factor (kg CO2/ mmBtu)]]*Table1[[#This Row],[Fuel Consumption (mmBtu)]]*10^3</f>
        <v>96425351354.770676</v>
      </c>
      <c r="R2586" s="2">
        <f>(Table1[[#This Row],[CO2 Emissions (g CO2)]])/(Table1[[#This Row],[Generation (TWh)]]*10^9)</f>
        <v>1698.6821296784397</v>
      </c>
    </row>
    <row r="2587" spans="1:18" hidden="1">
      <c r="A2587" t="s">
        <v>21</v>
      </c>
      <c r="B2587" t="s">
        <v>19</v>
      </c>
      <c r="C2587" t="str">
        <f>SUBSTITUTE(Table1[[#This Row],[Fuel]],", ",",")</f>
        <v>bioenergy: refuse (municipal and industrial wastes)</v>
      </c>
      <c r="D2587" t="s">
        <v>19</v>
      </c>
      <c r="G2587">
        <v>9</v>
      </c>
      <c r="H2587" t="s">
        <v>27</v>
      </c>
      <c r="I2587">
        <v>2023</v>
      </c>
      <c r="J2587" t="s">
        <v>21</v>
      </c>
      <c r="K2587">
        <v>44.458638999999998</v>
      </c>
      <c r="L2587">
        <v>126.91731299999999</v>
      </c>
      <c r="M2587" t="s">
        <v>102</v>
      </c>
      <c r="N2587" s="2">
        <f>Table1[[#This Row],[Capacity (MW)]]*8760*0.72*10^-6</f>
        <v>5.676479999999999E-2</v>
      </c>
      <c r="O2587" s="2" cm="1">
        <f t="array" ref="O2587">AVERAGE(VLOOKUP(_xlfn.TEXTSPLIT(Table1[[#This Row],[Fuel (no space after comma)]], ","), FuelList_Final_EF!$A$2:$B$32, 2, FALSE))</f>
        <v>105.42962572482868</v>
      </c>
      <c r="P2587" s="2">
        <f>(16112*Table1[[#This Row],[Generation (TWh)]]*10^9)/10^6</f>
        <v>914594.45759999985</v>
      </c>
      <c r="Q2587" s="2">
        <f>Table1[[#This Row],[Emission Factor (kg CO2/ mmBtu)]]*Table1[[#This Row],[Fuel Consumption (mmBtu)]]*10^3</f>
        <v>96425351354.770676</v>
      </c>
      <c r="R2587" s="2">
        <f>(Table1[[#This Row],[CO2 Emissions (g CO2)]])/(Table1[[#This Row],[Generation (TWh)]]*10^9)</f>
        <v>1698.6821296784397</v>
      </c>
    </row>
    <row r="2588" spans="1:18" hidden="1">
      <c r="A2588" t="s">
        <v>21</v>
      </c>
      <c r="B2588" t="s">
        <v>19</v>
      </c>
      <c r="C2588" t="str">
        <f>SUBSTITUTE(Table1[[#This Row],[Fuel]],", ",",")</f>
        <v>bioenergy: refuse (municipal and industrial wastes)</v>
      </c>
      <c r="D2588" t="s">
        <v>19</v>
      </c>
      <c r="G2588">
        <v>12</v>
      </c>
      <c r="H2588" t="s">
        <v>27</v>
      </c>
      <c r="I2588">
        <v>2018</v>
      </c>
      <c r="J2588" t="s">
        <v>21</v>
      </c>
      <c r="K2588">
        <v>41.801358999999998</v>
      </c>
      <c r="L2588">
        <v>126.028143</v>
      </c>
      <c r="M2588" t="s">
        <v>102</v>
      </c>
      <c r="N2588" s="2">
        <f>Table1[[#This Row],[Capacity (MW)]]*8760*0.72*10^-6</f>
        <v>7.5686399999999987E-2</v>
      </c>
      <c r="O2588" s="2" cm="1">
        <f t="array" ref="O2588">AVERAGE(VLOOKUP(_xlfn.TEXTSPLIT(Table1[[#This Row],[Fuel (no space after comma)]], ","), FuelList_Final_EF!$A$2:$B$32, 2, FALSE))</f>
        <v>105.42962572482868</v>
      </c>
      <c r="P2588" s="2">
        <f>(16112*Table1[[#This Row],[Generation (TWh)]]*10^9)/10^6</f>
        <v>1219459.2767999996</v>
      </c>
      <c r="Q2588" s="2">
        <f>Table1[[#This Row],[Emission Factor (kg CO2/ mmBtu)]]*Table1[[#This Row],[Fuel Consumption (mmBtu)]]*10^3</f>
        <v>128567135139.69423</v>
      </c>
      <c r="R2588" s="2">
        <f>(Table1[[#This Row],[CO2 Emissions (g CO2)]])/(Table1[[#This Row],[Generation (TWh)]]*10^9)</f>
        <v>1698.6821296784397</v>
      </c>
    </row>
    <row r="2589" spans="1:18" hidden="1">
      <c r="A2589" t="s">
        <v>21</v>
      </c>
      <c r="B2589" t="s">
        <v>19</v>
      </c>
      <c r="C2589" t="str">
        <f>SUBSTITUTE(Table1[[#This Row],[Fuel]],", ",",")</f>
        <v>bioenergy: refuse (municipal and industrial wastes)</v>
      </c>
      <c r="D2589" t="s">
        <v>19</v>
      </c>
      <c r="G2589">
        <v>15</v>
      </c>
      <c r="H2589" t="s">
        <v>27</v>
      </c>
      <c r="I2589">
        <v>2017</v>
      </c>
      <c r="J2589" t="s">
        <v>21</v>
      </c>
      <c r="K2589">
        <v>42.905614999999997</v>
      </c>
      <c r="L2589">
        <v>129.60398699999999</v>
      </c>
      <c r="M2589" t="s">
        <v>102</v>
      </c>
      <c r="N2589" s="2">
        <f>Table1[[#This Row],[Capacity (MW)]]*8760*0.72*10^-6</f>
        <v>9.4607999999999998E-2</v>
      </c>
      <c r="O2589" s="2" cm="1">
        <f t="array" ref="O2589">AVERAGE(VLOOKUP(_xlfn.TEXTSPLIT(Table1[[#This Row],[Fuel (no space after comma)]], ","), FuelList_Final_EF!$A$2:$B$32, 2, FALSE))</f>
        <v>105.42962572482868</v>
      </c>
      <c r="P2589" s="2">
        <f>(16112*Table1[[#This Row],[Generation (TWh)]]*10^9)/10^6</f>
        <v>1524324.0959999999</v>
      </c>
      <c r="Q2589" s="2">
        <f>Table1[[#This Row],[Emission Factor (kg CO2/ mmBtu)]]*Table1[[#This Row],[Fuel Consumption (mmBtu)]]*10^3</f>
        <v>160708918924.61783</v>
      </c>
      <c r="R2589" s="2">
        <f>(Table1[[#This Row],[CO2 Emissions (g CO2)]])/(Table1[[#This Row],[Generation (TWh)]]*10^9)</f>
        <v>1698.6821296784397</v>
      </c>
    </row>
    <row r="2590" spans="1:18" hidden="1">
      <c r="A2590" t="s">
        <v>21</v>
      </c>
      <c r="B2590" t="s">
        <v>19</v>
      </c>
      <c r="C2590" t="str">
        <f>SUBSTITUTE(Table1[[#This Row],[Fuel]],", ",",")</f>
        <v>bioenergy: refuse (municipal and industrial wastes)</v>
      </c>
      <c r="D2590" t="s">
        <v>19</v>
      </c>
      <c r="G2590">
        <v>7.5</v>
      </c>
      <c r="H2590" t="s">
        <v>27</v>
      </c>
      <c r="I2590">
        <v>2016</v>
      </c>
      <c r="J2590" t="s">
        <v>21</v>
      </c>
      <c r="K2590">
        <v>44.585276999999998</v>
      </c>
      <c r="L2590">
        <v>125.743399</v>
      </c>
      <c r="M2590" t="s">
        <v>102</v>
      </c>
      <c r="N2590" s="2">
        <f>Table1[[#This Row],[Capacity (MW)]]*8760*0.72*10^-6</f>
        <v>4.7303999999999999E-2</v>
      </c>
      <c r="O2590" s="2" cm="1">
        <f t="array" ref="O2590">AVERAGE(VLOOKUP(_xlfn.TEXTSPLIT(Table1[[#This Row],[Fuel (no space after comma)]], ","), FuelList_Final_EF!$A$2:$B$32, 2, FALSE))</f>
        <v>105.42962572482868</v>
      </c>
      <c r="P2590" s="2">
        <f>(16112*Table1[[#This Row],[Generation (TWh)]]*10^9)/10^6</f>
        <v>762162.04799999995</v>
      </c>
      <c r="Q2590" s="2">
        <f>Table1[[#This Row],[Emission Factor (kg CO2/ mmBtu)]]*Table1[[#This Row],[Fuel Consumption (mmBtu)]]*10^3</f>
        <v>80354459462.308914</v>
      </c>
      <c r="R2590" s="2">
        <f>(Table1[[#This Row],[CO2 Emissions (g CO2)]])/(Table1[[#This Row],[Generation (TWh)]]*10^9)</f>
        <v>1698.6821296784397</v>
      </c>
    </row>
    <row r="2591" spans="1:18">
      <c r="A2591" t="s">
        <v>21</v>
      </c>
      <c r="B2591" t="s">
        <v>19</v>
      </c>
      <c r="C2591" t="str">
        <f>SUBSTITUTE(Table1[[#This Row],[Fuel]],", ",",")</f>
        <v>bioenergy: refuse (municipal and industrial wastes)</v>
      </c>
      <c r="D2591" t="s">
        <v>19</v>
      </c>
      <c r="G2591">
        <v>7.5</v>
      </c>
      <c r="H2591" t="s">
        <v>138</v>
      </c>
      <c r="I2591" t="s">
        <v>21</v>
      </c>
      <c r="J2591" t="s">
        <v>21</v>
      </c>
      <c r="K2591">
        <v>44.585276999999998</v>
      </c>
      <c r="L2591">
        <v>125.743399</v>
      </c>
      <c r="M2591" t="s">
        <v>102</v>
      </c>
      <c r="N2591" s="2">
        <f>Table1[[#This Row],[Capacity (MW)]]*8760*0.72*10^-6</f>
        <v>4.7303999999999999E-2</v>
      </c>
      <c r="O2591" s="2" cm="1">
        <f t="array" ref="O2591">AVERAGE(VLOOKUP(_xlfn.TEXTSPLIT(Table1[[#This Row],[Fuel (no space after comma)]], ","), FuelList_Final_EF!$A$2:$B$32, 2, FALSE))</f>
        <v>105.42962572482868</v>
      </c>
      <c r="P2591" s="2">
        <f>(16112*Table1[[#This Row],[Generation (TWh)]]*10^9)/10^6</f>
        <v>762162.04799999995</v>
      </c>
      <c r="Q2591" s="2">
        <f>Table1[[#This Row],[Emission Factor (kg CO2/ mmBtu)]]*Table1[[#This Row],[Fuel Consumption (mmBtu)]]*10^3</f>
        <v>80354459462.308914</v>
      </c>
      <c r="R2591" s="2">
        <f>(Table1[[#This Row],[CO2 Emissions (g CO2)]])/(Table1[[#This Row],[Generation (TWh)]]*10^9)</f>
        <v>1698.6821296784397</v>
      </c>
    </row>
    <row r="2592" spans="1:18">
      <c r="A2592" t="s">
        <v>1329</v>
      </c>
      <c r="B2592" t="s">
        <v>46</v>
      </c>
      <c r="C2592" t="str">
        <f>SUBSTITUTE(Table1[[#This Row],[Fuel]],", ",",")</f>
        <v>bioenergy: agricultural waste (solids)</v>
      </c>
      <c r="D2592" t="s">
        <v>46</v>
      </c>
      <c r="G2592">
        <v>25</v>
      </c>
      <c r="H2592" t="s">
        <v>27</v>
      </c>
      <c r="I2592" t="s">
        <v>21</v>
      </c>
      <c r="J2592" t="s">
        <v>21</v>
      </c>
      <c r="K2592" t="s">
        <v>21</v>
      </c>
      <c r="L2592" t="s">
        <v>21</v>
      </c>
      <c r="M2592" t="s">
        <v>72</v>
      </c>
      <c r="N2592" s="2">
        <f>Table1[[#This Row],[Capacity (MW)]]*8760*0.72*10^-6</f>
        <v>0.15767999999999999</v>
      </c>
      <c r="O2592" s="2" cm="1">
        <f t="array" ref="O2592">AVERAGE(VLOOKUP(_xlfn.TEXTSPLIT(Table1[[#This Row],[Fuel (no space after comma)]], ","), FuelList_Final_EF!$A$2:$B$32, 2, FALSE))</f>
        <v>118.17</v>
      </c>
      <c r="P2592" s="2">
        <f>(16112*Table1[[#This Row],[Generation (TWh)]]*10^9)/10^6</f>
        <v>2540540.16</v>
      </c>
      <c r="Q2592" s="2">
        <f>Table1[[#This Row],[Emission Factor (kg CO2/ mmBtu)]]*Table1[[#This Row],[Fuel Consumption (mmBtu)]]*10^3</f>
        <v>300215630707.20007</v>
      </c>
      <c r="R2592" s="2">
        <f>(Table1[[#This Row],[CO2 Emissions (g CO2)]])/(Table1[[#This Row],[Generation (TWh)]]*10^9)</f>
        <v>1903.9550400000005</v>
      </c>
    </row>
    <row r="2593" spans="1:18" hidden="1">
      <c r="A2593" t="s">
        <v>21</v>
      </c>
      <c r="B2593" t="s">
        <v>19</v>
      </c>
      <c r="C2593" t="str">
        <f>SUBSTITUTE(Table1[[#This Row],[Fuel]],", ",",")</f>
        <v>bioenergy: refuse (municipal and industrial wastes)</v>
      </c>
      <c r="D2593" t="s">
        <v>19</v>
      </c>
      <c r="G2593">
        <v>15</v>
      </c>
      <c r="H2593" t="s">
        <v>27</v>
      </c>
      <c r="I2593">
        <v>2023</v>
      </c>
      <c r="J2593" t="s">
        <v>21</v>
      </c>
      <c r="K2593">
        <v>41.643830999999999</v>
      </c>
      <c r="L2593">
        <v>120.556333</v>
      </c>
      <c r="M2593" t="s">
        <v>102</v>
      </c>
      <c r="N2593" s="2">
        <f>Table1[[#This Row],[Capacity (MW)]]*8760*0.72*10^-6</f>
        <v>9.4607999999999998E-2</v>
      </c>
      <c r="O2593" s="2" cm="1">
        <f t="array" ref="O2593">AVERAGE(VLOOKUP(_xlfn.TEXTSPLIT(Table1[[#This Row],[Fuel (no space after comma)]], ","), FuelList_Final_EF!$A$2:$B$32, 2, FALSE))</f>
        <v>105.42962572482868</v>
      </c>
      <c r="P2593" s="2">
        <f>(16112*Table1[[#This Row],[Generation (TWh)]]*10^9)/10^6</f>
        <v>1524324.0959999999</v>
      </c>
      <c r="Q2593" s="2">
        <f>Table1[[#This Row],[Emission Factor (kg CO2/ mmBtu)]]*Table1[[#This Row],[Fuel Consumption (mmBtu)]]*10^3</f>
        <v>160708918924.61783</v>
      </c>
      <c r="R2593" s="2">
        <f>(Table1[[#This Row],[CO2 Emissions (g CO2)]])/(Table1[[#This Row],[Generation (TWh)]]*10^9)</f>
        <v>1698.6821296784397</v>
      </c>
    </row>
    <row r="2594" spans="1:18">
      <c r="A2594" t="s">
        <v>21</v>
      </c>
      <c r="B2594" t="s">
        <v>19</v>
      </c>
      <c r="C2594" t="str">
        <f>SUBSTITUTE(Table1[[#This Row],[Fuel]],", ",",")</f>
        <v>bioenergy: refuse (municipal and industrial wastes)</v>
      </c>
      <c r="D2594" t="s">
        <v>19</v>
      </c>
      <c r="G2594">
        <v>15</v>
      </c>
      <c r="H2594" t="s">
        <v>53</v>
      </c>
      <c r="I2594" t="s">
        <v>21</v>
      </c>
      <c r="J2594" t="s">
        <v>21</v>
      </c>
      <c r="K2594">
        <v>39.177816999999997</v>
      </c>
      <c r="L2594">
        <v>121.719899</v>
      </c>
      <c r="M2594" t="s">
        <v>102</v>
      </c>
      <c r="N2594" s="2">
        <f>Table1[[#This Row],[Capacity (MW)]]*8760*0.72*10^-6</f>
        <v>9.4607999999999998E-2</v>
      </c>
      <c r="O2594" s="2" cm="1">
        <f t="array" ref="O2594">AVERAGE(VLOOKUP(_xlfn.TEXTSPLIT(Table1[[#This Row],[Fuel (no space after comma)]], ","), FuelList_Final_EF!$A$2:$B$32, 2, FALSE))</f>
        <v>105.42962572482868</v>
      </c>
      <c r="P2594" s="2">
        <f>(16112*Table1[[#This Row],[Generation (TWh)]]*10^9)/10^6</f>
        <v>1524324.0959999999</v>
      </c>
      <c r="Q2594" s="2">
        <f>Table1[[#This Row],[Emission Factor (kg CO2/ mmBtu)]]*Table1[[#This Row],[Fuel Consumption (mmBtu)]]*10^3</f>
        <v>160708918924.61783</v>
      </c>
      <c r="R2594" s="2">
        <f>(Table1[[#This Row],[CO2 Emissions (g CO2)]])/(Table1[[#This Row],[Generation (TWh)]]*10^9)</f>
        <v>1698.6821296784397</v>
      </c>
    </row>
    <row r="2595" spans="1:18" hidden="1">
      <c r="A2595" t="s">
        <v>21</v>
      </c>
      <c r="B2595" t="s">
        <v>19</v>
      </c>
      <c r="C2595" t="str">
        <f>SUBSTITUTE(Table1[[#This Row],[Fuel]],", ",",")</f>
        <v>bioenergy: refuse (municipal and industrial wastes)</v>
      </c>
      <c r="D2595" t="s">
        <v>19</v>
      </c>
      <c r="G2595">
        <v>20</v>
      </c>
      <c r="H2595" t="s">
        <v>27</v>
      </c>
      <c r="I2595">
        <v>2018</v>
      </c>
      <c r="J2595" t="s">
        <v>21</v>
      </c>
      <c r="K2595">
        <v>39.177816999999997</v>
      </c>
      <c r="L2595">
        <v>121.719899</v>
      </c>
      <c r="M2595" t="s">
        <v>102</v>
      </c>
      <c r="N2595" s="2">
        <f>Table1[[#This Row],[Capacity (MW)]]*8760*0.72*10^-6</f>
        <v>0.12614400000000001</v>
      </c>
      <c r="O2595" s="2" cm="1">
        <f t="array" ref="O2595">AVERAGE(VLOOKUP(_xlfn.TEXTSPLIT(Table1[[#This Row],[Fuel (no space after comma)]], ","), FuelList_Final_EF!$A$2:$B$32, 2, FALSE))</f>
        <v>105.42962572482868</v>
      </c>
      <c r="P2595" s="2">
        <f>(16112*Table1[[#This Row],[Generation (TWh)]]*10^9)/10^6</f>
        <v>2032432.1280000003</v>
      </c>
      <c r="Q2595" s="2">
        <f>Table1[[#This Row],[Emission Factor (kg CO2/ mmBtu)]]*Table1[[#This Row],[Fuel Consumption (mmBtu)]]*10^3</f>
        <v>214278558566.15714</v>
      </c>
      <c r="R2595" s="2">
        <f>(Table1[[#This Row],[CO2 Emissions (g CO2)]])/(Table1[[#This Row],[Generation (TWh)]]*10^9)</f>
        <v>1698.6821296784401</v>
      </c>
    </row>
    <row r="2596" spans="1:18" hidden="1">
      <c r="A2596" t="s">
        <v>21</v>
      </c>
      <c r="B2596" t="s">
        <v>19</v>
      </c>
      <c r="C2596" t="str">
        <f>SUBSTITUTE(Table1[[#This Row],[Fuel]],", ",",")</f>
        <v>bioenergy: refuse (municipal and industrial wastes)</v>
      </c>
      <c r="D2596" t="s">
        <v>19</v>
      </c>
      <c r="G2596">
        <v>12</v>
      </c>
      <c r="H2596" t="s">
        <v>27</v>
      </c>
      <c r="I2596">
        <v>2012</v>
      </c>
      <c r="J2596" t="s">
        <v>21</v>
      </c>
      <c r="K2596">
        <v>39.0672</v>
      </c>
      <c r="L2596">
        <v>121.59910000000001</v>
      </c>
      <c r="M2596" t="s">
        <v>102</v>
      </c>
      <c r="N2596" s="2">
        <f>Table1[[#This Row],[Capacity (MW)]]*8760*0.72*10^-6</f>
        <v>7.5686399999999987E-2</v>
      </c>
      <c r="O2596" s="2" cm="1">
        <f t="array" ref="O2596">AVERAGE(VLOOKUP(_xlfn.TEXTSPLIT(Table1[[#This Row],[Fuel (no space after comma)]], ","), FuelList_Final_EF!$A$2:$B$32, 2, FALSE))</f>
        <v>105.42962572482868</v>
      </c>
      <c r="P2596" s="2">
        <f>(16112*Table1[[#This Row],[Generation (TWh)]]*10^9)/10^6</f>
        <v>1219459.2767999996</v>
      </c>
      <c r="Q2596" s="2">
        <f>Table1[[#This Row],[Emission Factor (kg CO2/ mmBtu)]]*Table1[[#This Row],[Fuel Consumption (mmBtu)]]*10^3</f>
        <v>128567135139.69423</v>
      </c>
      <c r="R2596" s="2">
        <f>(Table1[[#This Row],[CO2 Emissions (g CO2)]])/(Table1[[#This Row],[Generation (TWh)]]*10^9)</f>
        <v>1698.6821296784397</v>
      </c>
    </row>
    <row r="2597" spans="1:18" hidden="1">
      <c r="A2597" t="s">
        <v>21</v>
      </c>
      <c r="B2597" t="s">
        <v>19</v>
      </c>
      <c r="C2597" t="str">
        <f>SUBSTITUTE(Table1[[#This Row],[Fuel]],", ",",")</f>
        <v>bioenergy: refuse (municipal and industrial wastes)</v>
      </c>
      <c r="D2597" t="s">
        <v>19</v>
      </c>
      <c r="G2597">
        <v>12</v>
      </c>
      <c r="H2597" t="s">
        <v>27</v>
      </c>
      <c r="I2597">
        <v>2012</v>
      </c>
      <c r="J2597" t="s">
        <v>21</v>
      </c>
      <c r="K2597">
        <v>39.0672</v>
      </c>
      <c r="L2597">
        <v>121.59910000000001</v>
      </c>
      <c r="M2597" t="s">
        <v>102</v>
      </c>
      <c r="N2597" s="2">
        <f>Table1[[#This Row],[Capacity (MW)]]*8760*0.72*10^-6</f>
        <v>7.5686399999999987E-2</v>
      </c>
      <c r="O2597" s="2" cm="1">
        <f t="array" ref="O2597">AVERAGE(VLOOKUP(_xlfn.TEXTSPLIT(Table1[[#This Row],[Fuel (no space after comma)]], ","), FuelList_Final_EF!$A$2:$B$32, 2, FALSE))</f>
        <v>105.42962572482868</v>
      </c>
      <c r="P2597" s="2">
        <f>(16112*Table1[[#This Row],[Generation (TWh)]]*10^9)/10^6</f>
        <v>1219459.2767999996</v>
      </c>
      <c r="Q2597" s="2">
        <f>Table1[[#This Row],[Emission Factor (kg CO2/ mmBtu)]]*Table1[[#This Row],[Fuel Consumption (mmBtu)]]*10^3</f>
        <v>128567135139.69423</v>
      </c>
      <c r="R2597" s="2">
        <f>(Table1[[#This Row],[CO2 Emissions (g CO2)]])/(Table1[[#This Row],[Generation (TWh)]]*10^9)</f>
        <v>1698.6821296784397</v>
      </c>
    </row>
    <row r="2598" spans="1:18" hidden="1">
      <c r="A2598" t="s">
        <v>21</v>
      </c>
      <c r="B2598" t="s">
        <v>19</v>
      </c>
      <c r="C2598" t="str">
        <f>SUBSTITUTE(Table1[[#This Row],[Fuel]],", ",",")</f>
        <v>bioenergy: refuse (municipal and industrial wastes)</v>
      </c>
      <c r="D2598" t="s">
        <v>19</v>
      </c>
      <c r="G2598">
        <v>18</v>
      </c>
      <c r="H2598" t="s">
        <v>27</v>
      </c>
      <c r="I2598">
        <v>2022</v>
      </c>
      <c r="J2598" t="s">
        <v>21</v>
      </c>
      <c r="K2598">
        <v>40.714312999999997</v>
      </c>
      <c r="L2598">
        <v>122.777404</v>
      </c>
      <c r="M2598" t="s">
        <v>102</v>
      </c>
      <c r="N2598" s="2">
        <f>Table1[[#This Row],[Capacity (MW)]]*8760*0.72*10^-6</f>
        <v>0.11352959999999998</v>
      </c>
      <c r="O2598" s="2" cm="1">
        <f t="array" ref="O2598">AVERAGE(VLOOKUP(_xlfn.TEXTSPLIT(Table1[[#This Row],[Fuel (no space after comma)]], ","), FuelList_Final_EF!$A$2:$B$32, 2, FALSE))</f>
        <v>105.42962572482868</v>
      </c>
      <c r="P2598" s="2">
        <f>(16112*Table1[[#This Row],[Generation (TWh)]]*10^9)/10^6</f>
        <v>1829188.9151999997</v>
      </c>
      <c r="Q2598" s="2">
        <f>Table1[[#This Row],[Emission Factor (kg CO2/ mmBtu)]]*Table1[[#This Row],[Fuel Consumption (mmBtu)]]*10^3</f>
        <v>192850702709.54135</v>
      </c>
      <c r="R2598" s="2">
        <f>(Table1[[#This Row],[CO2 Emissions (g CO2)]])/(Table1[[#This Row],[Generation (TWh)]]*10^9)</f>
        <v>1698.6821296784397</v>
      </c>
    </row>
    <row r="2599" spans="1:18" hidden="1">
      <c r="A2599" t="s">
        <v>117</v>
      </c>
      <c r="B2599" t="s">
        <v>46</v>
      </c>
      <c r="C2599" t="str">
        <f>SUBSTITUTE(Table1[[#This Row],[Fuel]],", ",",")</f>
        <v>bioenergy: agricultural waste (solids)</v>
      </c>
      <c r="D2599" t="s">
        <v>46</v>
      </c>
      <c r="G2599">
        <v>12</v>
      </c>
      <c r="H2599" t="s">
        <v>27</v>
      </c>
      <c r="I2599">
        <v>2008</v>
      </c>
      <c r="J2599" t="s">
        <v>21</v>
      </c>
      <c r="K2599">
        <v>41.658499999999997</v>
      </c>
      <c r="L2599">
        <v>122.1168</v>
      </c>
      <c r="M2599" t="s">
        <v>102</v>
      </c>
      <c r="N2599" s="2">
        <f>Table1[[#This Row],[Capacity (MW)]]*8760*0.72*10^-6</f>
        <v>7.5686399999999987E-2</v>
      </c>
      <c r="O2599" s="2" cm="1">
        <f t="array" ref="O2599">AVERAGE(VLOOKUP(_xlfn.TEXTSPLIT(Table1[[#This Row],[Fuel (no space after comma)]], ","), FuelList_Final_EF!$A$2:$B$32, 2, FALSE))</f>
        <v>118.17</v>
      </c>
      <c r="P2599" s="2">
        <f>(16112*Table1[[#This Row],[Generation (TWh)]]*10^9)/10^6</f>
        <v>1219459.2767999996</v>
      </c>
      <c r="Q2599" s="2">
        <f>Table1[[#This Row],[Emission Factor (kg CO2/ mmBtu)]]*Table1[[#This Row],[Fuel Consumption (mmBtu)]]*10^3</f>
        <v>144103502739.45596</v>
      </c>
      <c r="R2599" s="2">
        <f>(Table1[[#This Row],[CO2 Emissions (g CO2)]])/(Table1[[#This Row],[Generation (TWh)]]*10^9)</f>
        <v>1903.9550399999998</v>
      </c>
    </row>
    <row r="2600" spans="1:18" hidden="1">
      <c r="A2600" t="s">
        <v>21</v>
      </c>
      <c r="B2600" t="s">
        <v>19</v>
      </c>
      <c r="C2600" t="str">
        <f>SUBSTITUTE(Table1[[#This Row],[Fuel]],", ",",")</f>
        <v>bioenergy: refuse (municipal and industrial wastes)</v>
      </c>
      <c r="D2600" t="s">
        <v>19</v>
      </c>
      <c r="G2600">
        <v>15</v>
      </c>
      <c r="H2600" t="s">
        <v>27</v>
      </c>
      <c r="I2600">
        <v>2023</v>
      </c>
      <c r="J2600" t="s">
        <v>21</v>
      </c>
      <c r="K2600">
        <v>41.249966000000001</v>
      </c>
      <c r="L2600">
        <v>119.483594</v>
      </c>
      <c r="M2600" t="s">
        <v>102</v>
      </c>
      <c r="N2600" s="2">
        <f>Table1[[#This Row],[Capacity (MW)]]*8760*0.72*10^-6</f>
        <v>9.4607999999999998E-2</v>
      </c>
      <c r="O2600" s="2" cm="1">
        <f t="array" ref="O2600">AVERAGE(VLOOKUP(_xlfn.TEXTSPLIT(Table1[[#This Row],[Fuel (no space after comma)]], ","), FuelList_Final_EF!$A$2:$B$32, 2, FALSE))</f>
        <v>105.42962572482868</v>
      </c>
      <c r="P2600" s="2">
        <f>(16112*Table1[[#This Row],[Generation (TWh)]]*10^9)/10^6</f>
        <v>1524324.0959999999</v>
      </c>
      <c r="Q2600" s="2">
        <f>Table1[[#This Row],[Emission Factor (kg CO2/ mmBtu)]]*Table1[[#This Row],[Fuel Consumption (mmBtu)]]*10^3</f>
        <v>160708918924.61783</v>
      </c>
      <c r="R2600" s="2">
        <f>(Table1[[#This Row],[CO2 Emissions (g CO2)]])/(Table1[[#This Row],[Generation (TWh)]]*10^9)</f>
        <v>1698.6821296784397</v>
      </c>
    </row>
    <row r="2601" spans="1:18" hidden="1">
      <c r="A2601" t="s">
        <v>21</v>
      </c>
      <c r="B2601" t="s">
        <v>19</v>
      </c>
      <c r="C2601" t="str">
        <f>SUBSTITUTE(Table1[[#This Row],[Fuel]],", ",",")</f>
        <v>bioenergy: refuse (municipal and industrial wastes)</v>
      </c>
      <c r="D2601" t="s">
        <v>19</v>
      </c>
      <c r="G2601">
        <v>15</v>
      </c>
      <c r="H2601" t="s">
        <v>27</v>
      </c>
      <c r="I2601">
        <v>2021</v>
      </c>
      <c r="J2601" t="s">
        <v>21</v>
      </c>
      <c r="K2601">
        <v>41.131788999999998</v>
      </c>
      <c r="L2601">
        <v>121.944602</v>
      </c>
      <c r="M2601" t="s">
        <v>102</v>
      </c>
      <c r="N2601" s="2">
        <f>Table1[[#This Row],[Capacity (MW)]]*8760*0.72*10^-6</f>
        <v>9.4607999999999998E-2</v>
      </c>
      <c r="O2601" s="2" cm="1">
        <f t="array" ref="O2601">AVERAGE(VLOOKUP(_xlfn.TEXTSPLIT(Table1[[#This Row],[Fuel (no space after comma)]], ","), FuelList_Final_EF!$A$2:$B$32, 2, FALSE))</f>
        <v>105.42962572482868</v>
      </c>
      <c r="P2601" s="2">
        <f>(16112*Table1[[#This Row],[Generation (TWh)]]*10^9)/10^6</f>
        <v>1524324.0959999999</v>
      </c>
      <c r="Q2601" s="2">
        <f>Table1[[#This Row],[Emission Factor (kg CO2/ mmBtu)]]*Table1[[#This Row],[Fuel Consumption (mmBtu)]]*10^3</f>
        <v>160708918924.61783</v>
      </c>
      <c r="R2601" s="2">
        <f>(Table1[[#This Row],[CO2 Emissions (g CO2)]])/(Table1[[#This Row],[Generation (TWh)]]*10^9)</f>
        <v>1698.6821296784397</v>
      </c>
    </row>
    <row r="2602" spans="1:18" hidden="1">
      <c r="A2602" t="s">
        <v>21</v>
      </c>
      <c r="B2602" t="s">
        <v>19</v>
      </c>
      <c r="C2602" t="str">
        <f>SUBSTITUTE(Table1[[#This Row],[Fuel]],", ",",")</f>
        <v>bioenergy: refuse (municipal and industrial wastes)</v>
      </c>
      <c r="D2602" t="s">
        <v>19</v>
      </c>
      <c r="G2602">
        <v>15</v>
      </c>
      <c r="H2602" t="s">
        <v>27</v>
      </c>
      <c r="I2602">
        <v>2021</v>
      </c>
      <c r="J2602" t="s">
        <v>21</v>
      </c>
      <c r="K2602">
        <v>41.131788999999998</v>
      </c>
      <c r="L2602">
        <v>121.944602</v>
      </c>
      <c r="M2602" t="s">
        <v>102</v>
      </c>
      <c r="N2602" s="2">
        <f>Table1[[#This Row],[Capacity (MW)]]*8760*0.72*10^-6</f>
        <v>9.4607999999999998E-2</v>
      </c>
      <c r="O2602" s="2" cm="1">
        <f t="array" ref="O2602">AVERAGE(VLOOKUP(_xlfn.TEXTSPLIT(Table1[[#This Row],[Fuel (no space after comma)]], ","), FuelList_Final_EF!$A$2:$B$32, 2, FALSE))</f>
        <v>105.42962572482868</v>
      </c>
      <c r="P2602" s="2">
        <f>(16112*Table1[[#This Row],[Generation (TWh)]]*10^9)/10^6</f>
        <v>1524324.0959999999</v>
      </c>
      <c r="Q2602" s="2">
        <f>Table1[[#This Row],[Emission Factor (kg CO2/ mmBtu)]]*Table1[[#This Row],[Fuel Consumption (mmBtu)]]*10^3</f>
        <v>160708918924.61783</v>
      </c>
      <c r="R2602" s="2">
        <f>(Table1[[#This Row],[CO2 Emissions (g CO2)]])/(Table1[[#This Row],[Generation (TWh)]]*10^9)</f>
        <v>1698.6821296784397</v>
      </c>
    </row>
    <row r="2603" spans="1:18" hidden="1">
      <c r="A2603" t="s">
        <v>21</v>
      </c>
      <c r="B2603" t="s">
        <v>19</v>
      </c>
      <c r="C2603" t="str">
        <f>SUBSTITUTE(Table1[[#This Row],[Fuel]],", ",",")</f>
        <v>bioenergy: refuse (municipal and industrial wastes)</v>
      </c>
      <c r="D2603" t="s">
        <v>19</v>
      </c>
      <c r="G2603">
        <v>15</v>
      </c>
      <c r="H2603" t="s">
        <v>27</v>
      </c>
      <c r="I2603">
        <v>2019</v>
      </c>
      <c r="J2603" t="s">
        <v>21</v>
      </c>
      <c r="K2603">
        <v>41.662816999999997</v>
      </c>
      <c r="L2603">
        <v>123.04144700000001</v>
      </c>
      <c r="M2603" t="s">
        <v>102</v>
      </c>
      <c r="N2603" s="2">
        <f>Table1[[#This Row],[Capacity (MW)]]*8760*0.72*10^-6</f>
        <v>9.4607999999999998E-2</v>
      </c>
      <c r="O2603" s="2" cm="1">
        <f t="array" ref="O2603">AVERAGE(VLOOKUP(_xlfn.TEXTSPLIT(Table1[[#This Row],[Fuel (no space after comma)]], ","), FuelList_Final_EF!$A$2:$B$32, 2, FALSE))</f>
        <v>105.42962572482868</v>
      </c>
      <c r="P2603" s="2">
        <f>(16112*Table1[[#This Row],[Generation (TWh)]]*10^9)/10^6</f>
        <v>1524324.0959999999</v>
      </c>
      <c r="Q2603" s="2">
        <f>Table1[[#This Row],[Emission Factor (kg CO2/ mmBtu)]]*Table1[[#This Row],[Fuel Consumption (mmBtu)]]*10^3</f>
        <v>160708918924.61783</v>
      </c>
      <c r="R2603" s="2">
        <f>(Table1[[#This Row],[CO2 Emissions (g CO2)]])/(Table1[[#This Row],[Generation (TWh)]]*10^9)</f>
        <v>1698.6821296784397</v>
      </c>
    </row>
    <row r="2604" spans="1:18" hidden="1">
      <c r="A2604" t="s">
        <v>21</v>
      </c>
      <c r="B2604" t="s">
        <v>19</v>
      </c>
      <c r="C2604" t="str">
        <f>SUBSTITUTE(Table1[[#This Row],[Fuel]],", ",",")</f>
        <v>bioenergy: refuse (municipal and industrial wastes)</v>
      </c>
      <c r="D2604" t="s">
        <v>19</v>
      </c>
      <c r="G2604">
        <v>15</v>
      </c>
      <c r="H2604" t="s">
        <v>27</v>
      </c>
      <c r="I2604">
        <v>2019</v>
      </c>
      <c r="J2604" t="s">
        <v>21</v>
      </c>
      <c r="K2604">
        <v>41.662816999999997</v>
      </c>
      <c r="L2604">
        <v>123.04144700000001</v>
      </c>
      <c r="M2604" t="s">
        <v>102</v>
      </c>
      <c r="N2604" s="2">
        <f>Table1[[#This Row],[Capacity (MW)]]*8760*0.72*10^-6</f>
        <v>9.4607999999999998E-2</v>
      </c>
      <c r="O2604" s="2" cm="1">
        <f t="array" ref="O2604">AVERAGE(VLOOKUP(_xlfn.TEXTSPLIT(Table1[[#This Row],[Fuel (no space after comma)]], ","), FuelList_Final_EF!$A$2:$B$32, 2, FALSE))</f>
        <v>105.42962572482868</v>
      </c>
      <c r="P2604" s="2">
        <f>(16112*Table1[[#This Row],[Generation (TWh)]]*10^9)/10^6</f>
        <v>1524324.0959999999</v>
      </c>
      <c r="Q2604" s="2">
        <f>Table1[[#This Row],[Emission Factor (kg CO2/ mmBtu)]]*Table1[[#This Row],[Fuel Consumption (mmBtu)]]*10^3</f>
        <v>160708918924.61783</v>
      </c>
      <c r="R2604" s="2">
        <f>(Table1[[#This Row],[CO2 Emissions (g CO2)]])/(Table1[[#This Row],[Generation (TWh)]]*10^9)</f>
        <v>1698.6821296784397</v>
      </c>
    </row>
    <row r="2605" spans="1:18" hidden="1">
      <c r="A2605" t="s">
        <v>21</v>
      </c>
      <c r="B2605" t="s">
        <v>19</v>
      </c>
      <c r="C2605" t="str">
        <f>SUBSTITUTE(Table1[[#This Row],[Fuel]],", ",",")</f>
        <v>bioenergy: refuse (municipal and industrial wastes)</v>
      </c>
      <c r="D2605" t="s">
        <v>19</v>
      </c>
      <c r="G2605">
        <v>15</v>
      </c>
      <c r="H2605" t="s">
        <v>27</v>
      </c>
      <c r="I2605">
        <v>2024</v>
      </c>
      <c r="J2605" t="s">
        <v>21</v>
      </c>
      <c r="K2605">
        <v>40.325740000000003</v>
      </c>
      <c r="L2605">
        <v>120.275971</v>
      </c>
      <c r="M2605" t="s">
        <v>102</v>
      </c>
      <c r="N2605" s="2">
        <f>Table1[[#This Row],[Capacity (MW)]]*8760*0.72*10^-6</f>
        <v>9.4607999999999998E-2</v>
      </c>
      <c r="O2605" s="2" cm="1">
        <f t="array" ref="O2605">AVERAGE(VLOOKUP(_xlfn.TEXTSPLIT(Table1[[#This Row],[Fuel (no space after comma)]], ","), FuelList_Final_EF!$A$2:$B$32, 2, FALSE))</f>
        <v>105.42962572482868</v>
      </c>
      <c r="P2605" s="2">
        <f>(16112*Table1[[#This Row],[Generation (TWh)]]*10^9)/10^6</f>
        <v>1524324.0959999999</v>
      </c>
      <c r="Q2605" s="2">
        <f>Table1[[#This Row],[Emission Factor (kg CO2/ mmBtu)]]*Table1[[#This Row],[Fuel Consumption (mmBtu)]]*10^3</f>
        <v>160708918924.61783</v>
      </c>
      <c r="R2605" s="2">
        <f>(Table1[[#This Row],[CO2 Emissions (g CO2)]])/(Table1[[#This Row],[Generation (TWh)]]*10^9)</f>
        <v>1698.6821296784397</v>
      </c>
    </row>
    <row r="2606" spans="1:18" hidden="1">
      <c r="A2606" t="s">
        <v>21</v>
      </c>
      <c r="B2606" t="s">
        <v>19</v>
      </c>
      <c r="C2606" t="str">
        <f>SUBSTITUTE(Table1[[#This Row],[Fuel]],", ",",")</f>
        <v>bioenergy: refuse (municipal and industrial wastes)</v>
      </c>
      <c r="D2606" t="s">
        <v>19</v>
      </c>
      <c r="G2606">
        <v>12</v>
      </c>
      <c r="H2606" t="s">
        <v>27</v>
      </c>
      <c r="I2606">
        <v>2021</v>
      </c>
      <c r="J2606" t="s">
        <v>21</v>
      </c>
      <c r="K2606">
        <v>42.328912000000003</v>
      </c>
      <c r="L2606">
        <v>123.900357</v>
      </c>
      <c r="M2606" t="s">
        <v>102</v>
      </c>
      <c r="N2606" s="2">
        <f>Table1[[#This Row],[Capacity (MW)]]*8760*0.72*10^-6</f>
        <v>7.5686399999999987E-2</v>
      </c>
      <c r="O2606" s="2" cm="1">
        <f t="array" ref="O2606">AVERAGE(VLOOKUP(_xlfn.TEXTSPLIT(Table1[[#This Row],[Fuel (no space after comma)]], ","), FuelList_Final_EF!$A$2:$B$32, 2, FALSE))</f>
        <v>105.42962572482868</v>
      </c>
      <c r="P2606" s="2">
        <f>(16112*Table1[[#This Row],[Generation (TWh)]]*10^9)/10^6</f>
        <v>1219459.2767999996</v>
      </c>
      <c r="Q2606" s="2">
        <f>Table1[[#This Row],[Emission Factor (kg CO2/ mmBtu)]]*Table1[[#This Row],[Fuel Consumption (mmBtu)]]*10^3</f>
        <v>128567135139.69423</v>
      </c>
      <c r="R2606" s="2">
        <f>(Table1[[#This Row],[CO2 Emissions (g CO2)]])/(Table1[[#This Row],[Generation (TWh)]]*10^9)</f>
        <v>1698.6821296784397</v>
      </c>
    </row>
    <row r="2607" spans="1:18" hidden="1">
      <c r="A2607" t="s">
        <v>21</v>
      </c>
      <c r="B2607" t="s">
        <v>19</v>
      </c>
      <c r="C2607" t="str">
        <f>SUBSTITUTE(Table1[[#This Row],[Fuel]],", ",",")</f>
        <v>bioenergy: refuse (municipal and industrial wastes)</v>
      </c>
      <c r="D2607" t="s">
        <v>19</v>
      </c>
      <c r="G2607">
        <v>12</v>
      </c>
      <c r="H2607" t="s">
        <v>27</v>
      </c>
      <c r="I2607">
        <v>2021</v>
      </c>
      <c r="J2607" t="s">
        <v>21</v>
      </c>
      <c r="K2607">
        <v>42.328912000000003</v>
      </c>
      <c r="L2607">
        <v>123.900357</v>
      </c>
      <c r="M2607" t="s">
        <v>102</v>
      </c>
      <c r="N2607" s="2">
        <f>Table1[[#This Row],[Capacity (MW)]]*8760*0.72*10^-6</f>
        <v>7.5686399999999987E-2</v>
      </c>
      <c r="O2607" s="2" cm="1">
        <f t="array" ref="O2607">AVERAGE(VLOOKUP(_xlfn.TEXTSPLIT(Table1[[#This Row],[Fuel (no space after comma)]], ","), FuelList_Final_EF!$A$2:$B$32, 2, FALSE))</f>
        <v>105.42962572482868</v>
      </c>
      <c r="P2607" s="2">
        <f>(16112*Table1[[#This Row],[Generation (TWh)]]*10^9)/10^6</f>
        <v>1219459.2767999996</v>
      </c>
      <c r="Q2607" s="2">
        <f>Table1[[#This Row],[Emission Factor (kg CO2/ mmBtu)]]*Table1[[#This Row],[Fuel Consumption (mmBtu)]]*10^3</f>
        <v>128567135139.69423</v>
      </c>
      <c r="R2607" s="2">
        <f>(Table1[[#This Row],[CO2 Emissions (g CO2)]])/(Table1[[#This Row],[Generation (TWh)]]*10^9)</f>
        <v>1698.6821296784397</v>
      </c>
    </row>
    <row r="2608" spans="1:18" hidden="1">
      <c r="A2608" t="s">
        <v>875</v>
      </c>
      <c r="B2608" t="s">
        <v>19</v>
      </c>
      <c r="C2608" t="str">
        <f>SUBSTITUTE(Table1[[#This Row],[Fuel]],", ",",")</f>
        <v>bioenergy: refuse (municipal and industrial wastes)</v>
      </c>
      <c r="D2608" t="s">
        <v>19</v>
      </c>
      <c r="G2608">
        <v>28.7</v>
      </c>
      <c r="H2608" t="s">
        <v>27</v>
      </c>
      <c r="I2608">
        <v>1992</v>
      </c>
      <c r="J2608" t="s">
        <v>21</v>
      </c>
      <c r="K2608">
        <v>22.160851000000001</v>
      </c>
      <c r="L2608">
        <v>113.572076</v>
      </c>
      <c r="M2608" t="s">
        <v>876</v>
      </c>
      <c r="N2608" s="2">
        <f>Table1[[#This Row],[Capacity (MW)]]*8760*0.72*10^-6</f>
        <v>0.18101663999999998</v>
      </c>
      <c r="O2608" s="2" cm="1">
        <f t="array" ref="O2608">AVERAGE(VLOOKUP(_xlfn.TEXTSPLIT(Table1[[#This Row],[Fuel (no space after comma)]], ","), FuelList_Final_EF!$A$2:$B$32, 2, FALSE))</f>
        <v>105.42962572482868</v>
      </c>
      <c r="P2608" s="2">
        <f>(16112*Table1[[#This Row],[Generation (TWh)]]*10^9)/10^6</f>
        <v>2916540.1036799997</v>
      </c>
      <c r="Q2608" s="2">
        <f>Table1[[#This Row],[Emission Factor (kg CO2/ mmBtu)]]*Table1[[#This Row],[Fuel Consumption (mmBtu)]]*10^3</f>
        <v>307489731542.43542</v>
      </c>
      <c r="R2608" s="2">
        <f>(Table1[[#This Row],[CO2 Emissions (g CO2)]])/(Table1[[#This Row],[Generation (TWh)]]*10^9)</f>
        <v>1698.6821296784399</v>
      </c>
    </row>
    <row r="2609" spans="1:18" hidden="1">
      <c r="A2609" t="s">
        <v>1330</v>
      </c>
      <c r="B2609" t="s">
        <v>25</v>
      </c>
      <c r="C2609" t="str">
        <f>SUBSTITUTE(Table1[[#This Row],[Fuel]],", ",",")</f>
        <v>bioenergy: wood &amp; other biomass (solids)</v>
      </c>
      <c r="D2609" t="s">
        <v>25</v>
      </c>
      <c r="G2609">
        <v>9.9</v>
      </c>
      <c r="H2609" t="s">
        <v>27</v>
      </c>
      <c r="I2609">
        <v>2020</v>
      </c>
      <c r="J2609" t="s">
        <v>21</v>
      </c>
      <c r="K2609">
        <v>35.290799999999997</v>
      </c>
      <c r="L2609">
        <v>128.4308</v>
      </c>
      <c r="M2609" t="s">
        <v>333</v>
      </c>
      <c r="N2609" s="2">
        <f>Table1[[#This Row],[Capacity (MW)]]*8760*0.72*10^-6</f>
        <v>6.2441279999999995E-2</v>
      </c>
      <c r="O2609" s="2" cm="1">
        <f t="array" ref="O2609">AVERAGE(VLOOKUP(_xlfn.TEXTSPLIT(Table1[[#This Row],[Fuel (no space after comma)]], ","), FuelList_Final_EF!$A$2:$B$32, 2, FALSE))</f>
        <v>93.8</v>
      </c>
      <c r="P2609" s="2">
        <f>(16112*Table1[[#This Row],[Generation (TWh)]]*10^9)/10^6</f>
        <v>1006053.9033599999</v>
      </c>
      <c r="Q2609" s="2">
        <f>Table1[[#This Row],[Emission Factor (kg CO2/ mmBtu)]]*Table1[[#This Row],[Fuel Consumption (mmBtu)]]*10^3</f>
        <v>94367856135.167984</v>
      </c>
      <c r="R2609" s="2">
        <f>(Table1[[#This Row],[CO2 Emissions (g CO2)]])/(Table1[[#This Row],[Generation (TWh)]]*10^9)</f>
        <v>1511.3055999999999</v>
      </c>
    </row>
    <row r="2610" spans="1:18" hidden="1">
      <c r="A2610" t="s">
        <v>1331</v>
      </c>
      <c r="B2610" t="s">
        <v>46</v>
      </c>
      <c r="C2610" t="str">
        <f>SUBSTITUTE(Table1[[#This Row],[Fuel]],", ",",")</f>
        <v>bioenergy: agricultural waste (solids)</v>
      </c>
      <c r="D2610" t="s">
        <v>46</v>
      </c>
      <c r="G2610">
        <v>25</v>
      </c>
      <c r="H2610" t="s">
        <v>27</v>
      </c>
      <c r="I2610">
        <v>2024</v>
      </c>
      <c r="J2610" t="s">
        <v>21</v>
      </c>
      <c r="K2610">
        <v>-18.9208</v>
      </c>
      <c r="L2610">
        <v>-51.991700000000002</v>
      </c>
      <c r="M2610" t="s">
        <v>49</v>
      </c>
      <c r="N2610" s="2">
        <f>Table1[[#This Row],[Capacity (MW)]]*8760*0.72*10^-6</f>
        <v>0.15767999999999999</v>
      </c>
      <c r="O2610" s="2" cm="1">
        <f t="array" ref="O2610">AVERAGE(VLOOKUP(_xlfn.TEXTSPLIT(Table1[[#This Row],[Fuel (no space after comma)]], ","), FuelList_Final_EF!$A$2:$B$32, 2, FALSE))</f>
        <v>118.17</v>
      </c>
      <c r="P2610" s="2">
        <f>(16112*Table1[[#This Row],[Generation (TWh)]]*10^9)/10^6</f>
        <v>2540540.16</v>
      </c>
      <c r="Q2610" s="2">
        <f>Table1[[#This Row],[Emission Factor (kg CO2/ mmBtu)]]*Table1[[#This Row],[Fuel Consumption (mmBtu)]]*10^3</f>
        <v>300215630707.20007</v>
      </c>
      <c r="R2610" s="2">
        <f>(Table1[[#This Row],[CO2 Emissions (g CO2)]])/(Table1[[#This Row],[Generation (TWh)]]*10^9)</f>
        <v>1903.9550400000005</v>
      </c>
    </row>
    <row r="2611" spans="1:18" hidden="1">
      <c r="A2611" t="s">
        <v>21</v>
      </c>
      <c r="B2611" t="s">
        <v>19</v>
      </c>
      <c r="C2611" t="str">
        <f>SUBSTITUTE(Table1[[#This Row],[Fuel]],", ",",")</f>
        <v>bioenergy: refuse (municipal and industrial wastes)</v>
      </c>
      <c r="D2611" t="s">
        <v>19</v>
      </c>
      <c r="G2611">
        <v>24</v>
      </c>
      <c r="H2611" t="s">
        <v>27</v>
      </c>
      <c r="I2611">
        <v>2017</v>
      </c>
      <c r="J2611" t="s">
        <v>21</v>
      </c>
      <c r="K2611">
        <v>28.797315990000001</v>
      </c>
      <c r="L2611">
        <v>77.067103119999999</v>
      </c>
      <c r="M2611" t="s">
        <v>66</v>
      </c>
      <c r="N2611" s="2">
        <f>Table1[[#This Row],[Capacity (MW)]]*8760*0.72*10^-6</f>
        <v>0.15137279999999997</v>
      </c>
      <c r="O2611" s="2" cm="1">
        <f t="array" ref="O2611">AVERAGE(VLOOKUP(_xlfn.TEXTSPLIT(Table1[[#This Row],[Fuel (no space after comma)]], ","), FuelList_Final_EF!$A$2:$B$32, 2, FALSE))</f>
        <v>105.42962572482868</v>
      </c>
      <c r="P2611" s="2">
        <f>(16112*Table1[[#This Row],[Generation (TWh)]]*10^9)/10^6</f>
        <v>2438918.5535999993</v>
      </c>
      <c r="Q2611" s="2">
        <f>Table1[[#This Row],[Emission Factor (kg CO2/ mmBtu)]]*Table1[[#This Row],[Fuel Consumption (mmBtu)]]*10^3</f>
        <v>257134270279.38846</v>
      </c>
      <c r="R2611" s="2">
        <f>(Table1[[#This Row],[CO2 Emissions (g CO2)]])/(Table1[[#This Row],[Generation (TWh)]]*10^9)</f>
        <v>1698.6821296784397</v>
      </c>
    </row>
    <row r="2612" spans="1:18" hidden="1">
      <c r="A2612" t="s">
        <v>21</v>
      </c>
      <c r="B2612" t="s">
        <v>19</v>
      </c>
      <c r="C2612" t="str">
        <f>SUBSTITUTE(Table1[[#This Row],[Fuel]],", ",",")</f>
        <v>bioenergy: refuse (municipal and industrial wastes)</v>
      </c>
      <c r="D2612" t="s">
        <v>19</v>
      </c>
      <c r="G2612">
        <v>15</v>
      </c>
      <c r="H2612" t="s">
        <v>27</v>
      </c>
      <c r="I2612">
        <v>2022</v>
      </c>
      <c r="J2612" t="s">
        <v>21</v>
      </c>
      <c r="K2612">
        <v>36.033127</v>
      </c>
      <c r="L2612">
        <v>106.21874</v>
      </c>
      <c r="M2612" t="s">
        <v>102</v>
      </c>
      <c r="N2612" s="2">
        <f>Table1[[#This Row],[Capacity (MW)]]*8760*0.72*10^-6</f>
        <v>9.4607999999999998E-2</v>
      </c>
      <c r="O2612" s="2" cm="1">
        <f t="array" ref="O2612">AVERAGE(VLOOKUP(_xlfn.TEXTSPLIT(Table1[[#This Row],[Fuel (no space after comma)]], ","), FuelList_Final_EF!$A$2:$B$32, 2, FALSE))</f>
        <v>105.42962572482868</v>
      </c>
      <c r="P2612" s="2">
        <f>(16112*Table1[[#This Row],[Generation (TWh)]]*10^9)/10^6</f>
        <v>1524324.0959999999</v>
      </c>
      <c r="Q2612" s="2">
        <f>Table1[[#This Row],[Emission Factor (kg CO2/ mmBtu)]]*Table1[[#This Row],[Fuel Consumption (mmBtu)]]*10^3</f>
        <v>160708918924.61783</v>
      </c>
      <c r="R2612" s="2">
        <f>(Table1[[#This Row],[CO2 Emissions (g CO2)]])/(Table1[[#This Row],[Generation (TWh)]]*10^9)</f>
        <v>1698.6821296784397</v>
      </c>
    </row>
    <row r="2613" spans="1:18" hidden="1">
      <c r="A2613" t="s">
        <v>629</v>
      </c>
      <c r="B2613" t="s">
        <v>19</v>
      </c>
      <c r="C2613" t="str">
        <f>SUBSTITUTE(Table1[[#This Row],[Fuel]],", ",",")</f>
        <v>bioenergy: refuse (municipal and industrial wastes)</v>
      </c>
      <c r="D2613" t="s">
        <v>19</v>
      </c>
      <c r="G2613">
        <v>11.64</v>
      </c>
      <c r="H2613" t="s">
        <v>27</v>
      </c>
      <c r="I2613">
        <v>2014</v>
      </c>
      <c r="J2613" t="s">
        <v>21</v>
      </c>
      <c r="K2613">
        <v>38.246854999999996</v>
      </c>
      <c r="L2613">
        <v>106.492378</v>
      </c>
      <c r="M2613" t="s">
        <v>102</v>
      </c>
      <c r="N2613" s="2">
        <f>Table1[[#This Row],[Capacity (MW)]]*8760*0.72*10^-6</f>
        <v>7.3415807999999999E-2</v>
      </c>
      <c r="O2613" s="2" cm="1">
        <f t="array" ref="O2613">AVERAGE(VLOOKUP(_xlfn.TEXTSPLIT(Table1[[#This Row],[Fuel (no space after comma)]], ","), FuelList_Final_EF!$A$2:$B$32, 2, FALSE))</f>
        <v>105.42962572482868</v>
      </c>
      <c r="P2613" s="2">
        <f>(16112*Table1[[#This Row],[Generation (TWh)]]*10^9)/10^6</f>
        <v>1182875.498496</v>
      </c>
      <c r="Q2613" s="2">
        <f>Table1[[#This Row],[Emission Factor (kg CO2/ mmBtu)]]*Table1[[#This Row],[Fuel Consumption (mmBtu)]]*10^3</f>
        <v>124710121085.50343</v>
      </c>
      <c r="R2613" s="2">
        <f>(Table1[[#This Row],[CO2 Emissions (g CO2)]])/(Table1[[#This Row],[Generation (TWh)]]*10^9)</f>
        <v>1698.6821296784397</v>
      </c>
    </row>
    <row r="2614" spans="1:18" hidden="1">
      <c r="A2614" t="s">
        <v>539</v>
      </c>
      <c r="B2614" t="s">
        <v>19</v>
      </c>
      <c r="C2614" t="str">
        <f>SUBSTITUTE(Table1[[#This Row],[Fuel]],", ",",")</f>
        <v>bioenergy: refuse (municipal and industrial wastes)</v>
      </c>
      <c r="D2614" t="s">
        <v>19</v>
      </c>
      <c r="G2614">
        <v>0.36</v>
      </c>
      <c r="H2614" t="s">
        <v>27</v>
      </c>
      <c r="I2614">
        <v>2014</v>
      </c>
      <c r="J2614" t="s">
        <v>21</v>
      </c>
      <c r="K2614">
        <v>38.246854999999996</v>
      </c>
      <c r="L2614">
        <v>106.492378</v>
      </c>
      <c r="M2614" t="s">
        <v>102</v>
      </c>
      <c r="N2614" s="2">
        <f>Table1[[#This Row],[Capacity (MW)]]*8760*0.72*10^-6</f>
        <v>2.2705919999999997E-3</v>
      </c>
      <c r="O2614" s="2" cm="1">
        <f t="array" ref="O2614">AVERAGE(VLOOKUP(_xlfn.TEXTSPLIT(Table1[[#This Row],[Fuel (no space after comma)]], ","), FuelList_Final_EF!$A$2:$B$32, 2, FALSE))</f>
        <v>105.42962572482868</v>
      </c>
      <c r="P2614" s="2">
        <f>(16112*Table1[[#This Row],[Generation (TWh)]]*10^9)/10^6</f>
        <v>36583.778303999992</v>
      </c>
      <c r="Q2614" s="2">
        <f>Table1[[#This Row],[Emission Factor (kg CO2/ mmBtu)]]*Table1[[#This Row],[Fuel Consumption (mmBtu)]]*10^3</f>
        <v>3857014054.1908269</v>
      </c>
      <c r="R2614" s="2">
        <f>(Table1[[#This Row],[CO2 Emissions (g CO2)]])/(Table1[[#This Row],[Generation (TWh)]]*10^9)</f>
        <v>1698.6821296784397</v>
      </c>
    </row>
    <row r="2615" spans="1:18" hidden="1">
      <c r="A2615" t="s">
        <v>629</v>
      </c>
      <c r="B2615" t="s">
        <v>19</v>
      </c>
      <c r="C2615" t="str">
        <f>SUBSTITUTE(Table1[[#This Row],[Fuel]],", ",",")</f>
        <v>bioenergy: refuse (municipal and industrial wastes)</v>
      </c>
      <c r="D2615" t="s">
        <v>19</v>
      </c>
      <c r="G2615">
        <v>11.64</v>
      </c>
      <c r="H2615" t="s">
        <v>27</v>
      </c>
      <c r="I2615">
        <v>2014</v>
      </c>
      <c r="J2615" t="s">
        <v>21</v>
      </c>
      <c r="K2615">
        <v>38.246854999999996</v>
      </c>
      <c r="L2615">
        <v>106.492378</v>
      </c>
      <c r="M2615" t="s">
        <v>102</v>
      </c>
      <c r="N2615" s="2">
        <f>Table1[[#This Row],[Capacity (MW)]]*8760*0.72*10^-6</f>
        <v>7.3415807999999999E-2</v>
      </c>
      <c r="O2615" s="2" cm="1">
        <f t="array" ref="O2615">AVERAGE(VLOOKUP(_xlfn.TEXTSPLIT(Table1[[#This Row],[Fuel (no space after comma)]], ","), FuelList_Final_EF!$A$2:$B$32, 2, FALSE))</f>
        <v>105.42962572482868</v>
      </c>
      <c r="P2615" s="2">
        <f>(16112*Table1[[#This Row],[Generation (TWh)]]*10^9)/10^6</f>
        <v>1182875.498496</v>
      </c>
      <c r="Q2615" s="2">
        <f>Table1[[#This Row],[Emission Factor (kg CO2/ mmBtu)]]*Table1[[#This Row],[Fuel Consumption (mmBtu)]]*10^3</f>
        <v>124710121085.50343</v>
      </c>
      <c r="R2615" s="2">
        <f>(Table1[[#This Row],[CO2 Emissions (g CO2)]])/(Table1[[#This Row],[Generation (TWh)]]*10^9)</f>
        <v>1698.6821296784397</v>
      </c>
    </row>
    <row r="2616" spans="1:18" hidden="1">
      <c r="A2616" t="s">
        <v>539</v>
      </c>
      <c r="B2616" t="s">
        <v>19</v>
      </c>
      <c r="C2616" t="str">
        <f>SUBSTITUTE(Table1[[#This Row],[Fuel]],", ",",")</f>
        <v>bioenergy: refuse (municipal and industrial wastes)</v>
      </c>
      <c r="D2616" t="s">
        <v>19</v>
      </c>
      <c r="G2616">
        <v>0.36</v>
      </c>
      <c r="H2616" t="s">
        <v>27</v>
      </c>
      <c r="I2616">
        <v>2014</v>
      </c>
      <c r="J2616" t="s">
        <v>21</v>
      </c>
      <c r="K2616">
        <v>38.246854999999996</v>
      </c>
      <c r="L2616">
        <v>106.492378</v>
      </c>
      <c r="M2616" t="s">
        <v>102</v>
      </c>
      <c r="N2616" s="2">
        <f>Table1[[#This Row],[Capacity (MW)]]*8760*0.72*10^-6</f>
        <v>2.2705919999999997E-3</v>
      </c>
      <c r="O2616" s="2" cm="1">
        <f t="array" ref="O2616">AVERAGE(VLOOKUP(_xlfn.TEXTSPLIT(Table1[[#This Row],[Fuel (no space after comma)]], ","), FuelList_Final_EF!$A$2:$B$32, 2, FALSE))</f>
        <v>105.42962572482868</v>
      </c>
      <c r="P2616" s="2">
        <f>(16112*Table1[[#This Row],[Generation (TWh)]]*10^9)/10^6</f>
        <v>36583.778303999992</v>
      </c>
      <c r="Q2616" s="2">
        <f>Table1[[#This Row],[Emission Factor (kg CO2/ mmBtu)]]*Table1[[#This Row],[Fuel Consumption (mmBtu)]]*10^3</f>
        <v>3857014054.1908269</v>
      </c>
      <c r="R2616" s="2">
        <f>(Table1[[#This Row],[CO2 Emissions (g CO2)]])/(Table1[[#This Row],[Generation (TWh)]]*10^9)</f>
        <v>1698.6821296784397</v>
      </c>
    </row>
    <row r="2617" spans="1:18" hidden="1">
      <c r="A2617" t="s">
        <v>629</v>
      </c>
      <c r="B2617" t="s">
        <v>19</v>
      </c>
      <c r="C2617" t="str">
        <f>SUBSTITUTE(Table1[[#This Row],[Fuel]],", ",",")</f>
        <v>bioenergy: refuse (municipal and industrial wastes)</v>
      </c>
      <c r="D2617" t="s">
        <v>19</v>
      </c>
      <c r="G2617">
        <v>11.64</v>
      </c>
      <c r="H2617" t="s">
        <v>27</v>
      </c>
      <c r="I2617">
        <v>2018</v>
      </c>
      <c r="J2617" t="s">
        <v>21</v>
      </c>
      <c r="K2617">
        <v>38.246854999999996</v>
      </c>
      <c r="L2617">
        <v>106.492378</v>
      </c>
      <c r="M2617" t="s">
        <v>102</v>
      </c>
      <c r="N2617" s="2">
        <f>Table1[[#This Row],[Capacity (MW)]]*8760*0.72*10^-6</f>
        <v>7.3415807999999999E-2</v>
      </c>
      <c r="O2617" s="2" cm="1">
        <f t="array" ref="O2617">AVERAGE(VLOOKUP(_xlfn.TEXTSPLIT(Table1[[#This Row],[Fuel (no space after comma)]], ","), FuelList_Final_EF!$A$2:$B$32, 2, FALSE))</f>
        <v>105.42962572482868</v>
      </c>
      <c r="P2617" s="2">
        <f>(16112*Table1[[#This Row],[Generation (TWh)]]*10^9)/10^6</f>
        <v>1182875.498496</v>
      </c>
      <c r="Q2617" s="2">
        <f>Table1[[#This Row],[Emission Factor (kg CO2/ mmBtu)]]*Table1[[#This Row],[Fuel Consumption (mmBtu)]]*10^3</f>
        <v>124710121085.50343</v>
      </c>
      <c r="R2617" s="2">
        <f>(Table1[[#This Row],[CO2 Emissions (g CO2)]])/(Table1[[#This Row],[Generation (TWh)]]*10^9)</f>
        <v>1698.6821296784397</v>
      </c>
    </row>
    <row r="2618" spans="1:18" hidden="1">
      <c r="A2618" t="s">
        <v>539</v>
      </c>
      <c r="B2618" t="s">
        <v>19</v>
      </c>
      <c r="C2618" t="str">
        <f>SUBSTITUTE(Table1[[#This Row],[Fuel]],", ",",")</f>
        <v>bioenergy: refuse (municipal and industrial wastes)</v>
      </c>
      <c r="D2618" t="s">
        <v>19</v>
      </c>
      <c r="G2618">
        <v>0.36</v>
      </c>
      <c r="H2618" t="s">
        <v>27</v>
      </c>
      <c r="I2618">
        <v>2018</v>
      </c>
      <c r="J2618" t="s">
        <v>21</v>
      </c>
      <c r="K2618">
        <v>38.246854999999996</v>
      </c>
      <c r="L2618">
        <v>106.492378</v>
      </c>
      <c r="M2618" t="s">
        <v>102</v>
      </c>
      <c r="N2618" s="2">
        <f>Table1[[#This Row],[Capacity (MW)]]*8760*0.72*10^-6</f>
        <v>2.2705919999999997E-3</v>
      </c>
      <c r="O2618" s="2" cm="1">
        <f t="array" ref="O2618">AVERAGE(VLOOKUP(_xlfn.TEXTSPLIT(Table1[[#This Row],[Fuel (no space after comma)]], ","), FuelList_Final_EF!$A$2:$B$32, 2, FALSE))</f>
        <v>105.42962572482868</v>
      </c>
      <c r="P2618" s="2">
        <f>(16112*Table1[[#This Row],[Generation (TWh)]]*10^9)/10^6</f>
        <v>36583.778303999992</v>
      </c>
      <c r="Q2618" s="2">
        <f>Table1[[#This Row],[Emission Factor (kg CO2/ mmBtu)]]*Table1[[#This Row],[Fuel Consumption (mmBtu)]]*10^3</f>
        <v>3857014054.1908269</v>
      </c>
      <c r="R2618" s="2">
        <f>(Table1[[#This Row],[CO2 Emissions (g CO2)]])/(Table1[[#This Row],[Generation (TWh)]]*10^9)</f>
        <v>1698.6821296784397</v>
      </c>
    </row>
    <row r="2619" spans="1:18">
      <c r="A2619" t="s">
        <v>629</v>
      </c>
      <c r="B2619" t="s">
        <v>19</v>
      </c>
      <c r="C2619" t="str">
        <f>SUBSTITUTE(Table1[[#This Row],[Fuel]],", ",",")</f>
        <v>bioenergy: refuse (municipal and industrial wastes)</v>
      </c>
      <c r="D2619" t="s">
        <v>19</v>
      </c>
      <c r="G2619">
        <v>19.399999999999999</v>
      </c>
      <c r="H2619" t="s">
        <v>20</v>
      </c>
      <c r="I2619" t="s">
        <v>21</v>
      </c>
      <c r="J2619" t="s">
        <v>21</v>
      </c>
      <c r="K2619">
        <v>38.246854999999996</v>
      </c>
      <c r="L2619">
        <v>106.492378</v>
      </c>
      <c r="M2619" t="s">
        <v>102</v>
      </c>
      <c r="N2619" s="2">
        <f>Table1[[#This Row],[Capacity (MW)]]*8760*0.72*10^-6</f>
        <v>0.12235967999999998</v>
      </c>
      <c r="O2619" s="2" cm="1">
        <f t="array" ref="O2619">AVERAGE(VLOOKUP(_xlfn.TEXTSPLIT(Table1[[#This Row],[Fuel (no space after comma)]], ","), FuelList_Final_EF!$A$2:$B$32, 2, FALSE))</f>
        <v>105.42962572482868</v>
      </c>
      <c r="P2619" s="2">
        <f>(16112*Table1[[#This Row],[Generation (TWh)]]*10^9)/10^6</f>
        <v>1971459.1641599997</v>
      </c>
      <c r="Q2619" s="2">
        <f>Table1[[#This Row],[Emission Factor (kg CO2/ mmBtu)]]*Table1[[#This Row],[Fuel Consumption (mmBtu)]]*10^3</f>
        <v>207850201809.17236</v>
      </c>
      <c r="R2619" s="2">
        <f>(Table1[[#This Row],[CO2 Emissions (g CO2)]])/(Table1[[#This Row],[Generation (TWh)]]*10^9)</f>
        <v>1698.6821296784397</v>
      </c>
    </row>
    <row r="2620" spans="1:18">
      <c r="A2620" t="s">
        <v>539</v>
      </c>
      <c r="B2620" t="s">
        <v>19</v>
      </c>
      <c r="C2620" t="str">
        <f>SUBSTITUTE(Table1[[#This Row],[Fuel]],", ",",")</f>
        <v>bioenergy: refuse (municipal and industrial wastes)</v>
      </c>
      <c r="D2620" t="s">
        <v>19</v>
      </c>
      <c r="G2620">
        <v>0.6</v>
      </c>
      <c r="H2620" t="s">
        <v>20</v>
      </c>
      <c r="I2620" t="s">
        <v>21</v>
      </c>
      <c r="J2620" t="s">
        <v>21</v>
      </c>
      <c r="K2620">
        <v>38.246854999999996</v>
      </c>
      <c r="L2620">
        <v>106.492378</v>
      </c>
      <c r="M2620" t="s">
        <v>102</v>
      </c>
      <c r="N2620" s="2">
        <f>Table1[[#This Row],[Capacity (MW)]]*8760*0.72*10^-6</f>
        <v>3.7843199999999994E-3</v>
      </c>
      <c r="O2620" s="2" cm="1">
        <f t="array" ref="O2620">AVERAGE(VLOOKUP(_xlfn.TEXTSPLIT(Table1[[#This Row],[Fuel (no space after comma)]], ","), FuelList_Final_EF!$A$2:$B$32, 2, FALSE))</f>
        <v>105.42962572482868</v>
      </c>
      <c r="P2620" s="2">
        <f>(16112*Table1[[#This Row],[Generation (TWh)]]*10^9)/10^6</f>
        <v>60972.963839999989</v>
      </c>
      <c r="Q2620" s="2">
        <f>Table1[[#This Row],[Emission Factor (kg CO2/ mmBtu)]]*Table1[[#This Row],[Fuel Consumption (mmBtu)]]*10^3</f>
        <v>6428356756.9847116</v>
      </c>
      <c r="R2620" s="2">
        <f>(Table1[[#This Row],[CO2 Emissions (g CO2)]])/(Table1[[#This Row],[Generation (TWh)]]*10^9)</f>
        <v>1698.6821296784397</v>
      </c>
    </row>
    <row r="2621" spans="1:18" hidden="1">
      <c r="A2621" t="s">
        <v>1332</v>
      </c>
      <c r="B2621" t="s">
        <v>25</v>
      </c>
      <c r="C2621" t="str">
        <f>SUBSTITUTE(Table1[[#This Row],[Fuel]],", ",",")</f>
        <v>bioenergy: wood &amp; other biomass (solids)</v>
      </c>
      <c r="D2621" t="s">
        <v>25</v>
      </c>
      <c r="G2621">
        <v>12.6</v>
      </c>
      <c r="H2621" t="s">
        <v>20</v>
      </c>
      <c r="I2621">
        <v>2025</v>
      </c>
      <c r="J2621" t="s">
        <v>21</v>
      </c>
      <c r="K2621">
        <v>-6.5988975999999999</v>
      </c>
      <c r="L2621">
        <v>146.6359047</v>
      </c>
      <c r="M2621" t="s">
        <v>1333</v>
      </c>
      <c r="N2621" s="2">
        <f>Table1[[#This Row],[Capacity (MW)]]*8760*0.72*10^-6</f>
        <v>7.9470719999999995E-2</v>
      </c>
      <c r="O2621" s="2" cm="1">
        <f t="array" ref="O2621">AVERAGE(VLOOKUP(_xlfn.TEXTSPLIT(Table1[[#This Row],[Fuel (no space after comma)]], ","), FuelList_Final_EF!$A$2:$B$32, 2, FALSE))</f>
        <v>93.8</v>
      </c>
      <c r="P2621" s="2">
        <f>(16112*Table1[[#This Row],[Generation (TWh)]]*10^9)/10^6</f>
        <v>1280432.24064</v>
      </c>
      <c r="Q2621" s="2">
        <f>Table1[[#This Row],[Emission Factor (kg CO2/ mmBtu)]]*Table1[[#This Row],[Fuel Consumption (mmBtu)]]*10^3</f>
        <v>120104544172.032</v>
      </c>
      <c r="R2621" s="2">
        <f>(Table1[[#This Row],[CO2 Emissions (g CO2)]])/(Table1[[#This Row],[Generation (TWh)]]*10^9)</f>
        <v>1511.3055999999999</v>
      </c>
    </row>
    <row r="2622" spans="1:18" hidden="1">
      <c r="A2622" t="s">
        <v>1334</v>
      </c>
      <c r="B2622" t="s">
        <v>25</v>
      </c>
      <c r="C2622" t="str">
        <f>SUBSTITUTE(Table1[[#This Row],[Fuel]],", ",",")</f>
        <v>bioenergy: wood &amp; other biomass (solids)</v>
      </c>
      <c r="D2622" t="s">
        <v>25</v>
      </c>
      <c r="G2622">
        <v>5.3999999999999986</v>
      </c>
      <c r="H2622" t="s">
        <v>20</v>
      </c>
      <c r="I2622">
        <v>2025</v>
      </c>
      <c r="J2622" t="s">
        <v>21</v>
      </c>
      <c r="K2622">
        <v>-6.5988975999999999</v>
      </c>
      <c r="L2622">
        <v>146.6359047</v>
      </c>
      <c r="M2622" t="s">
        <v>1333</v>
      </c>
      <c r="N2622" s="2">
        <f>Table1[[#This Row],[Capacity (MW)]]*8760*0.72*10^-6</f>
        <v>3.4058879999999986E-2</v>
      </c>
      <c r="O2622" s="2" cm="1">
        <f t="array" ref="O2622">AVERAGE(VLOOKUP(_xlfn.TEXTSPLIT(Table1[[#This Row],[Fuel (no space after comma)]], ","), FuelList_Final_EF!$A$2:$B$32, 2, FALSE))</f>
        <v>93.8</v>
      </c>
      <c r="P2622" s="2">
        <f>(16112*Table1[[#This Row],[Generation (TWh)]]*10^9)/10^6</f>
        <v>548756.67455999972</v>
      </c>
      <c r="Q2622" s="2">
        <f>Table1[[#This Row],[Emission Factor (kg CO2/ mmBtu)]]*Table1[[#This Row],[Fuel Consumption (mmBtu)]]*10^3</f>
        <v>51473376073.727974</v>
      </c>
      <c r="R2622" s="2">
        <f>(Table1[[#This Row],[CO2 Emissions (g CO2)]])/(Table1[[#This Row],[Generation (TWh)]]*10^9)</f>
        <v>1511.3055999999999</v>
      </c>
    </row>
    <row r="2623" spans="1:18" hidden="1">
      <c r="A2623" t="s">
        <v>1332</v>
      </c>
      <c r="B2623" t="s">
        <v>25</v>
      </c>
      <c r="C2623" t="str">
        <f>SUBSTITUTE(Table1[[#This Row],[Fuel]],", ",",")</f>
        <v>bioenergy: wood &amp; other biomass (solids)</v>
      </c>
      <c r="D2623" t="s">
        <v>25</v>
      </c>
      <c r="G2623">
        <v>12.6</v>
      </c>
      <c r="H2623" t="s">
        <v>20</v>
      </c>
      <c r="I2623">
        <v>2025</v>
      </c>
      <c r="J2623" t="s">
        <v>21</v>
      </c>
      <c r="K2623">
        <v>-6.5988975999999999</v>
      </c>
      <c r="L2623">
        <v>146.6359047</v>
      </c>
      <c r="M2623" t="s">
        <v>1333</v>
      </c>
      <c r="N2623" s="2">
        <f>Table1[[#This Row],[Capacity (MW)]]*8760*0.72*10^-6</f>
        <v>7.9470719999999995E-2</v>
      </c>
      <c r="O2623" s="2" cm="1">
        <f t="array" ref="O2623">AVERAGE(VLOOKUP(_xlfn.TEXTSPLIT(Table1[[#This Row],[Fuel (no space after comma)]], ","), FuelList_Final_EF!$A$2:$B$32, 2, FALSE))</f>
        <v>93.8</v>
      </c>
      <c r="P2623" s="2">
        <f>(16112*Table1[[#This Row],[Generation (TWh)]]*10^9)/10^6</f>
        <v>1280432.24064</v>
      </c>
      <c r="Q2623" s="2">
        <f>Table1[[#This Row],[Emission Factor (kg CO2/ mmBtu)]]*Table1[[#This Row],[Fuel Consumption (mmBtu)]]*10^3</f>
        <v>120104544172.032</v>
      </c>
      <c r="R2623" s="2">
        <f>(Table1[[#This Row],[CO2 Emissions (g CO2)]])/(Table1[[#This Row],[Generation (TWh)]]*10^9)</f>
        <v>1511.3055999999999</v>
      </c>
    </row>
    <row r="2624" spans="1:18" hidden="1">
      <c r="A2624" t="s">
        <v>1334</v>
      </c>
      <c r="B2624" t="s">
        <v>25</v>
      </c>
      <c r="C2624" t="str">
        <f>SUBSTITUTE(Table1[[#This Row],[Fuel]],", ",",")</f>
        <v>bioenergy: wood &amp; other biomass (solids)</v>
      </c>
      <c r="D2624" t="s">
        <v>25</v>
      </c>
      <c r="G2624">
        <v>5.3999999999999986</v>
      </c>
      <c r="H2624" t="s">
        <v>20</v>
      </c>
      <c r="I2624">
        <v>2025</v>
      </c>
      <c r="J2624" t="s">
        <v>21</v>
      </c>
      <c r="K2624">
        <v>-6.5988975999999999</v>
      </c>
      <c r="L2624">
        <v>146.6359047</v>
      </c>
      <c r="M2624" t="s">
        <v>1333</v>
      </c>
      <c r="N2624" s="2">
        <f>Table1[[#This Row],[Capacity (MW)]]*8760*0.72*10^-6</f>
        <v>3.4058879999999986E-2</v>
      </c>
      <c r="O2624" s="2" cm="1">
        <f t="array" ref="O2624">AVERAGE(VLOOKUP(_xlfn.TEXTSPLIT(Table1[[#This Row],[Fuel (no space after comma)]], ","), FuelList_Final_EF!$A$2:$B$32, 2, FALSE))</f>
        <v>93.8</v>
      </c>
      <c r="P2624" s="2">
        <f>(16112*Table1[[#This Row],[Generation (TWh)]]*10^9)/10^6</f>
        <v>548756.67455999972</v>
      </c>
      <c r="Q2624" s="2">
        <f>Table1[[#This Row],[Emission Factor (kg CO2/ mmBtu)]]*Table1[[#This Row],[Fuel Consumption (mmBtu)]]*10^3</f>
        <v>51473376073.727974</v>
      </c>
      <c r="R2624" s="2">
        <f>(Table1[[#This Row],[CO2 Emissions (g CO2)]])/(Table1[[#This Row],[Generation (TWh)]]*10^9)</f>
        <v>1511.3055999999999</v>
      </c>
    </row>
    <row r="2625" spans="1:18" hidden="1">
      <c r="A2625" t="s">
        <v>1335</v>
      </c>
      <c r="B2625" t="s">
        <v>25</v>
      </c>
      <c r="C2625" t="str">
        <f>SUBSTITUTE(Table1[[#This Row],[Fuel]],", ",",")</f>
        <v>bioenergy: wood &amp; other biomass (solids)</v>
      </c>
      <c r="D2625" t="s">
        <v>25</v>
      </c>
      <c r="G2625">
        <v>18</v>
      </c>
      <c r="H2625" t="s">
        <v>27</v>
      </c>
      <c r="I2625">
        <v>2020</v>
      </c>
      <c r="J2625" t="s">
        <v>21</v>
      </c>
      <c r="K2625">
        <v>-28.238099999999999</v>
      </c>
      <c r="L2625">
        <v>-58.067799999999998</v>
      </c>
      <c r="M2625" t="s">
        <v>397</v>
      </c>
      <c r="N2625" s="2">
        <f>Table1[[#This Row],[Capacity (MW)]]*8760*0.72*10^-6</f>
        <v>0.11352959999999998</v>
      </c>
      <c r="O2625" s="2" cm="1">
        <f t="array" ref="O2625">AVERAGE(VLOOKUP(_xlfn.TEXTSPLIT(Table1[[#This Row],[Fuel (no space after comma)]], ","), FuelList_Final_EF!$A$2:$B$32, 2, FALSE))</f>
        <v>93.8</v>
      </c>
      <c r="P2625" s="2">
        <f>(16112*Table1[[#This Row],[Generation (TWh)]]*10^9)/10^6</f>
        <v>1829188.9151999997</v>
      </c>
      <c r="Q2625" s="2">
        <f>Table1[[#This Row],[Emission Factor (kg CO2/ mmBtu)]]*Table1[[#This Row],[Fuel Consumption (mmBtu)]]*10^3</f>
        <v>171577920245.75995</v>
      </c>
      <c r="R2625" s="2">
        <f>(Table1[[#This Row],[CO2 Emissions (g CO2)]])/(Table1[[#This Row],[Generation (TWh)]]*10^9)</f>
        <v>1511.3055999999997</v>
      </c>
    </row>
    <row r="2626" spans="1:18" hidden="1">
      <c r="A2626" t="s">
        <v>1336</v>
      </c>
      <c r="B2626" t="s">
        <v>19</v>
      </c>
      <c r="C2626" t="str">
        <f>SUBSTITUTE(Table1[[#This Row],[Fuel]],", ",",")</f>
        <v>bioenergy: refuse (municipal and industrial wastes)</v>
      </c>
      <c r="D2626" t="s">
        <v>19</v>
      </c>
      <c r="G2626">
        <v>28</v>
      </c>
      <c r="H2626" t="s">
        <v>27</v>
      </c>
      <c r="I2626">
        <v>1992</v>
      </c>
      <c r="J2626" t="s">
        <v>21</v>
      </c>
      <c r="K2626">
        <v>1.4622369</v>
      </c>
      <c r="L2626">
        <v>103.7948863</v>
      </c>
      <c r="M2626" t="s">
        <v>1205</v>
      </c>
      <c r="N2626" s="2">
        <f>Table1[[#This Row],[Capacity (MW)]]*8760*0.72*10^-6</f>
        <v>0.1766016</v>
      </c>
      <c r="O2626" s="2" cm="1">
        <f t="array" ref="O2626">AVERAGE(VLOOKUP(_xlfn.TEXTSPLIT(Table1[[#This Row],[Fuel (no space after comma)]], ","), FuelList_Final_EF!$A$2:$B$32, 2, FALSE))</f>
        <v>105.42962572482868</v>
      </c>
      <c r="P2626" s="2">
        <f>(16112*Table1[[#This Row],[Generation (TWh)]]*10^9)/10^6</f>
        <v>2845404.9791999999</v>
      </c>
      <c r="Q2626" s="2">
        <f>Table1[[#This Row],[Emission Factor (kg CO2/ mmBtu)]]*Table1[[#This Row],[Fuel Consumption (mmBtu)]]*10^3</f>
        <v>299989981992.61993</v>
      </c>
      <c r="R2626" s="2">
        <f>(Table1[[#This Row],[CO2 Emissions (g CO2)]])/(Table1[[#This Row],[Generation (TWh)]]*10^9)</f>
        <v>1698.6821296784397</v>
      </c>
    </row>
    <row r="2627" spans="1:18" hidden="1">
      <c r="A2627" t="s">
        <v>1336</v>
      </c>
      <c r="B2627" t="s">
        <v>19</v>
      </c>
      <c r="C2627" t="str">
        <f>SUBSTITUTE(Table1[[#This Row],[Fuel]],", ",",")</f>
        <v>bioenergy: refuse (municipal and industrial wastes)</v>
      </c>
      <c r="D2627" t="s">
        <v>19</v>
      </c>
      <c r="G2627">
        <v>28</v>
      </c>
      <c r="H2627" t="s">
        <v>27</v>
      </c>
      <c r="I2627">
        <v>1992</v>
      </c>
      <c r="J2627" t="s">
        <v>21</v>
      </c>
      <c r="K2627">
        <v>1.4622369</v>
      </c>
      <c r="L2627">
        <v>103.7948863</v>
      </c>
      <c r="M2627" t="s">
        <v>1205</v>
      </c>
      <c r="N2627" s="2">
        <f>Table1[[#This Row],[Capacity (MW)]]*8760*0.72*10^-6</f>
        <v>0.1766016</v>
      </c>
      <c r="O2627" s="2" cm="1">
        <f t="array" ref="O2627">AVERAGE(VLOOKUP(_xlfn.TEXTSPLIT(Table1[[#This Row],[Fuel (no space after comma)]], ","), FuelList_Final_EF!$A$2:$B$32, 2, FALSE))</f>
        <v>105.42962572482868</v>
      </c>
      <c r="P2627" s="2">
        <f>(16112*Table1[[#This Row],[Generation (TWh)]]*10^9)/10^6</f>
        <v>2845404.9791999999</v>
      </c>
      <c r="Q2627" s="2">
        <f>Table1[[#This Row],[Emission Factor (kg CO2/ mmBtu)]]*Table1[[#This Row],[Fuel Consumption (mmBtu)]]*10^3</f>
        <v>299989981992.61993</v>
      </c>
      <c r="R2627" s="2">
        <f>(Table1[[#This Row],[CO2 Emissions (g CO2)]])/(Table1[[#This Row],[Generation (TWh)]]*10^9)</f>
        <v>1698.6821296784397</v>
      </c>
    </row>
    <row r="2628" spans="1:18" hidden="1">
      <c r="A2628" t="s">
        <v>1337</v>
      </c>
      <c r="B2628" t="s">
        <v>25</v>
      </c>
      <c r="C2628" t="str">
        <f>SUBSTITUTE(Table1[[#This Row],[Fuel]],", ",",")</f>
        <v>bioenergy: wood &amp; other biomass (solids)</v>
      </c>
      <c r="D2628" t="s">
        <v>25</v>
      </c>
      <c r="G2628">
        <v>6.4</v>
      </c>
      <c r="H2628" t="s">
        <v>27</v>
      </c>
      <c r="I2628">
        <v>2007</v>
      </c>
      <c r="J2628" t="s">
        <v>21</v>
      </c>
      <c r="K2628">
        <v>36.279000000000003</v>
      </c>
      <c r="L2628">
        <v>127.34520000000001</v>
      </c>
      <c r="M2628" t="s">
        <v>333</v>
      </c>
      <c r="N2628" s="2">
        <f>Table1[[#This Row],[Capacity (MW)]]*8760*0.72*10^-6</f>
        <v>4.0366079999999999E-2</v>
      </c>
      <c r="O2628" s="2" cm="1">
        <f t="array" ref="O2628">AVERAGE(VLOOKUP(_xlfn.TEXTSPLIT(Table1[[#This Row],[Fuel (no space after comma)]], ","), FuelList_Final_EF!$A$2:$B$32, 2, FALSE))</f>
        <v>93.8</v>
      </c>
      <c r="P2628" s="2">
        <f>(16112*Table1[[#This Row],[Generation (TWh)]]*10^9)/10^6</f>
        <v>650378.28096</v>
      </c>
      <c r="Q2628" s="2">
        <f>Table1[[#This Row],[Emission Factor (kg CO2/ mmBtu)]]*Table1[[#This Row],[Fuel Consumption (mmBtu)]]*10^3</f>
        <v>61005482754.047997</v>
      </c>
      <c r="R2628" s="2">
        <f>(Table1[[#This Row],[CO2 Emissions (g CO2)]])/(Table1[[#This Row],[Generation (TWh)]]*10^9)</f>
        <v>1511.3055999999999</v>
      </c>
    </row>
    <row r="2629" spans="1:18" hidden="1">
      <c r="A2629" t="s">
        <v>1338</v>
      </c>
      <c r="B2629" t="s">
        <v>25</v>
      </c>
      <c r="C2629" t="str">
        <f>SUBSTITUTE(Table1[[#This Row],[Fuel]],", ",",")</f>
        <v>bioenergy: wood &amp; other biomass (solids)</v>
      </c>
      <c r="D2629" t="s">
        <v>25</v>
      </c>
      <c r="G2629">
        <v>25</v>
      </c>
      <c r="H2629" t="s">
        <v>27</v>
      </c>
      <c r="I2629">
        <v>2021</v>
      </c>
      <c r="J2629" t="s">
        <v>21</v>
      </c>
      <c r="K2629">
        <v>36.783200000000001</v>
      </c>
      <c r="L2629">
        <v>126.45140000000001</v>
      </c>
      <c r="M2629" t="s">
        <v>333</v>
      </c>
      <c r="N2629" s="2">
        <f>Table1[[#This Row],[Capacity (MW)]]*8760*0.72*10^-6</f>
        <v>0.15767999999999999</v>
      </c>
      <c r="O2629" s="2" cm="1">
        <f t="array" ref="O2629">AVERAGE(VLOOKUP(_xlfn.TEXTSPLIT(Table1[[#This Row],[Fuel (no space after comma)]], ","), FuelList_Final_EF!$A$2:$B$32, 2, FALSE))</f>
        <v>93.8</v>
      </c>
      <c r="P2629" s="2">
        <f>(16112*Table1[[#This Row],[Generation (TWh)]]*10^9)/10^6</f>
        <v>2540540.16</v>
      </c>
      <c r="Q2629" s="2">
        <f>Table1[[#This Row],[Emission Factor (kg CO2/ mmBtu)]]*Table1[[#This Row],[Fuel Consumption (mmBtu)]]*10^3</f>
        <v>238302667008.00003</v>
      </c>
      <c r="R2629" s="2">
        <f>(Table1[[#This Row],[CO2 Emissions (g CO2)]])/(Table1[[#This Row],[Generation (TWh)]]*10^9)</f>
        <v>1511.3056000000001</v>
      </c>
    </row>
    <row r="2630" spans="1:18" hidden="1">
      <c r="A2630" t="s">
        <v>1068</v>
      </c>
      <c r="B2630" t="s">
        <v>25</v>
      </c>
      <c r="C2630" t="str">
        <f>SUBSTITUTE(Table1[[#This Row],[Fuel]],", ",",")</f>
        <v>bioenergy: wood &amp; other biomass (solids)</v>
      </c>
      <c r="D2630" t="s">
        <v>25</v>
      </c>
      <c r="G2630">
        <v>9.8000000000000007</v>
      </c>
      <c r="H2630" t="s">
        <v>27</v>
      </c>
      <c r="I2630">
        <v>2012</v>
      </c>
      <c r="J2630" t="s">
        <v>21</v>
      </c>
      <c r="K2630">
        <v>36.023000000000003</v>
      </c>
      <c r="L2630">
        <v>126.9896</v>
      </c>
      <c r="M2630" t="s">
        <v>333</v>
      </c>
      <c r="N2630" s="2">
        <f>Table1[[#This Row],[Capacity (MW)]]*8760*0.72*10^-6</f>
        <v>6.1810559999999994E-2</v>
      </c>
      <c r="O2630" s="2" cm="1">
        <f t="array" ref="O2630">AVERAGE(VLOOKUP(_xlfn.TEXTSPLIT(Table1[[#This Row],[Fuel (no space after comma)]], ","), FuelList_Final_EF!$A$2:$B$32, 2, FALSE))</f>
        <v>93.8</v>
      </c>
      <c r="P2630" s="2">
        <f>(16112*Table1[[#This Row],[Generation (TWh)]]*10^9)/10^6</f>
        <v>995891.74271999986</v>
      </c>
      <c r="Q2630" s="2">
        <f>Table1[[#This Row],[Emission Factor (kg CO2/ mmBtu)]]*Table1[[#This Row],[Fuel Consumption (mmBtu)]]*10^3</f>
        <v>93414645467.135986</v>
      </c>
      <c r="R2630" s="2">
        <f>(Table1[[#This Row],[CO2 Emissions (g CO2)]])/(Table1[[#This Row],[Generation (TWh)]]*10^9)</f>
        <v>1511.3055999999999</v>
      </c>
    </row>
    <row r="2631" spans="1:18" hidden="1">
      <c r="A2631" t="s">
        <v>1311</v>
      </c>
      <c r="B2631" t="s">
        <v>19</v>
      </c>
      <c r="C2631" t="str">
        <f>SUBSTITUTE(Table1[[#This Row],[Fuel]],", ",",")</f>
        <v>bioenergy: refuse (municipal and industrial wastes)</v>
      </c>
      <c r="D2631" t="s">
        <v>19</v>
      </c>
      <c r="G2631">
        <v>12</v>
      </c>
      <c r="H2631" t="s">
        <v>27</v>
      </c>
      <c r="I2631">
        <v>2021</v>
      </c>
      <c r="J2631" t="s">
        <v>21</v>
      </c>
      <c r="K2631">
        <v>33.144423000000003</v>
      </c>
      <c r="L2631">
        <v>107.12380899999999</v>
      </c>
      <c r="M2631" t="s">
        <v>102</v>
      </c>
      <c r="N2631" s="2">
        <f>Table1[[#This Row],[Capacity (MW)]]*8760*0.72*10^-6</f>
        <v>7.5686399999999987E-2</v>
      </c>
      <c r="O2631" s="2" cm="1">
        <f t="array" ref="O2631">AVERAGE(VLOOKUP(_xlfn.TEXTSPLIT(Table1[[#This Row],[Fuel (no space after comma)]], ","), FuelList_Final_EF!$A$2:$B$32, 2, FALSE))</f>
        <v>105.42962572482868</v>
      </c>
      <c r="P2631" s="2">
        <f>(16112*Table1[[#This Row],[Generation (TWh)]]*10^9)/10^6</f>
        <v>1219459.2767999996</v>
      </c>
      <c r="Q2631" s="2">
        <f>Table1[[#This Row],[Emission Factor (kg CO2/ mmBtu)]]*Table1[[#This Row],[Fuel Consumption (mmBtu)]]*10^3</f>
        <v>128567135139.69423</v>
      </c>
      <c r="R2631" s="2">
        <f>(Table1[[#This Row],[CO2 Emissions (g CO2)]])/(Table1[[#This Row],[Generation (TWh)]]*10^9)</f>
        <v>1698.6821296784397</v>
      </c>
    </row>
    <row r="2632" spans="1:18" hidden="1">
      <c r="A2632" t="s">
        <v>106</v>
      </c>
      <c r="B2632" t="s">
        <v>19</v>
      </c>
      <c r="C2632" t="str">
        <f>SUBSTITUTE(Table1[[#This Row],[Fuel]],", ",",")</f>
        <v>bioenergy: refuse (municipal and industrial wastes)</v>
      </c>
      <c r="D2632" t="s">
        <v>19</v>
      </c>
      <c r="G2632">
        <v>10</v>
      </c>
      <c r="H2632" t="s">
        <v>27</v>
      </c>
      <c r="I2632">
        <v>2024</v>
      </c>
      <c r="J2632" t="s">
        <v>21</v>
      </c>
      <c r="K2632">
        <v>34.522500000000001</v>
      </c>
      <c r="L2632">
        <v>108.27070000000001</v>
      </c>
      <c r="M2632" t="s">
        <v>102</v>
      </c>
      <c r="N2632" s="2">
        <f>Table1[[#This Row],[Capacity (MW)]]*8760*0.72*10^-6</f>
        <v>6.3072000000000003E-2</v>
      </c>
      <c r="O2632" s="2" cm="1">
        <f t="array" ref="O2632">AVERAGE(VLOOKUP(_xlfn.TEXTSPLIT(Table1[[#This Row],[Fuel (no space after comma)]], ","), FuelList_Final_EF!$A$2:$B$32, 2, FALSE))</f>
        <v>105.42962572482868</v>
      </c>
      <c r="P2632" s="2">
        <f>(16112*Table1[[#This Row],[Generation (TWh)]]*10^9)/10^6</f>
        <v>1016216.0640000001</v>
      </c>
      <c r="Q2632" s="2">
        <f>Table1[[#This Row],[Emission Factor (kg CO2/ mmBtu)]]*Table1[[#This Row],[Fuel Consumption (mmBtu)]]*10^3</f>
        <v>107139279283.07857</v>
      </c>
      <c r="R2632" s="2">
        <f>(Table1[[#This Row],[CO2 Emissions (g CO2)]])/(Table1[[#This Row],[Generation (TWh)]]*10^9)</f>
        <v>1698.6821296784401</v>
      </c>
    </row>
    <row r="2633" spans="1:18" hidden="1">
      <c r="A2633" t="s">
        <v>21</v>
      </c>
      <c r="B2633" t="s">
        <v>19</v>
      </c>
      <c r="C2633" t="str">
        <f>SUBSTITUTE(Table1[[#This Row],[Fuel]],", ",",")</f>
        <v>bioenergy: refuse (municipal and industrial wastes)</v>
      </c>
      <c r="D2633" t="s">
        <v>19</v>
      </c>
      <c r="G2633">
        <v>15</v>
      </c>
      <c r="H2633" t="s">
        <v>27</v>
      </c>
      <c r="I2633">
        <v>2021</v>
      </c>
      <c r="J2633" t="s">
        <v>21</v>
      </c>
      <c r="K2633">
        <v>35.011335000000003</v>
      </c>
      <c r="L2633">
        <v>108.978086</v>
      </c>
      <c r="M2633" t="s">
        <v>102</v>
      </c>
      <c r="N2633" s="2">
        <f>Table1[[#This Row],[Capacity (MW)]]*8760*0.72*10^-6</f>
        <v>9.4607999999999998E-2</v>
      </c>
      <c r="O2633" s="2" cm="1">
        <f t="array" ref="O2633">AVERAGE(VLOOKUP(_xlfn.TEXTSPLIT(Table1[[#This Row],[Fuel (no space after comma)]], ","), FuelList_Final_EF!$A$2:$B$32, 2, FALSE))</f>
        <v>105.42962572482868</v>
      </c>
      <c r="P2633" s="2">
        <f>(16112*Table1[[#This Row],[Generation (TWh)]]*10^9)/10^6</f>
        <v>1524324.0959999999</v>
      </c>
      <c r="Q2633" s="2">
        <f>Table1[[#This Row],[Emission Factor (kg CO2/ mmBtu)]]*Table1[[#This Row],[Fuel Consumption (mmBtu)]]*10^3</f>
        <v>160708918924.61783</v>
      </c>
      <c r="R2633" s="2">
        <f>(Table1[[#This Row],[CO2 Emissions (g CO2)]])/(Table1[[#This Row],[Generation (TWh)]]*10^9)</f>
        <v>1698.6821296784397</v>
      </c>
    </row>
    <row r="2634" spans="1:18" hidden="1">
      <c r="A2634" t="s">
        <v>21</v>
      </c>
      <c r="B2634" t="s">
        <v>19</v>
      </c>
      <c r="C2634" t="str">
        <f>SUBSTITUTE(Table1[[#This Row],[Fuel]],", ",",")</f>
        <v>bioenergy: refuse (municipal and industrial wastes)</v>
      </c>
      <c r="D2634" t="s">
        <v>19</v>
      </c>
      <c r="G2634">
        <v>18</v>
      </c>
      <c r="H2634" t="s">
        <v>27</v>
      </c>
      <c r="I2634">
        <v>2023</v>
      </c>
      <c r="J2634" t="s">
        <v>21</v>
      </c>
      <c r="K2634">
        <v>34.470461999999998</v>
      </c>
      <c r="L2634">
        <v>109.62211000000001</v>
      </c>
      <c r="M2634" t="s">
        <v>102</v>
      </c>
      <c r="N2634" s="2">
        <f>Table1[[#This Row],[Capacity (MW)]]*8760*0.72*10^-6</f>
        <v>0.11352959999999998</v>
      </c>
      <c r="O2634" s="2" cm="1">
        <f t="array" ref="O2634">AVERAGE(VLOOKUP(_xlfn.TEXTSPLIT(Table1[[#This Row],[Fuel (no space after comma)]], ","), FuelList_Final_EF!$A$2:$B$32, 2, FALSE))</f>
        <v>105.42962572482868</v>
      </c>
      <c r="P2634" s="2">
        <f>(16112*Table1[[#This Row],[Generation (TWh)]]*10^9)/10^6</f>
        <v>1829188.9151999997</v>
      </c>
      <c r="Q2634" s="2">
        <f>Table1[[#This Row],[Emission Factor (kg CO2/ mmBtu)]]*Table1[[#This Row],[Fuel Consumption (mmBtu)]]*10^3</f>
        <v>192850702709.54135</v>
      </c>
      <c r="R2634" s="2">
        <f>(Table1[[#This Row],[CO2 Emissions (g CO2)]])/(Table1[[#This Row],[Generation (TWh)]]*10^9)</f>
        <v>1698.6821296784397</v>
      </c>
    </row>
    <row r="2635" spans="1:18" hidden="1">
      <c r="A2635" t="s">
        <v>21</v>
      </c>
      <c r="B2635" t="s">
        <v>19</v>
      </c>
      <c r="C2635" t="str">
        <f>SUBSTITUTE(Table1[[#This Row],[Fuel]],", ",",")</f>
        <v>bioenergy: refuse (municipal and industrial wastes)</v>
      </c>
      <c r="D2635" t="s">
        <v>19</v>
      </c>
      <c r="G2635">
        <v>25</v>
      </c>
      <c r="H2635" t="s">
        <v>27</v>
      </c>
      <c r="I2635">
        <v>2019</v>
      </c>
      <c r="J2635" t="s">
        <v>21</v>
      </c>
      <c r="K2635">
        <v>34.486328</v>
      </c>
      <c r="L2635">
        <v>109.10077099999999</v>
      </c>
      <c r="M2635" t="s">
        <v>102</v>
      </c>
      <c r="N2635" s="2">
        <f>Table1[[#This Row],[Capacity (MW)]]*8760*0.72*10^-6</f>
        <v>0.15767999999999999</v>
      </c>
      <c r="O2635" s="2" cm="1">
        <f t="array" ref="O2635">AVERAGE(VLOOKUP(_xlfn.TEXTSPLIT(Table1[[#This Row],[Fuel (no space after comma)]], ","), FuelList_Final_EF!$A$2:$B$32, 2, FALSE))</f>
        <v>105.42962572482868</v>
      </c>
      <c r="P2635" s="2">
        <f>(16112*Table1[[#This Row],[Generation (TWh)]]*10^9)/10^6</f>
        <v>2540540.16</v>
      </c>
      <c r="Q2635" s="2">
        <f>Table1[[#This Row],[Emission Factor (kg CO2/ mmBtu)]]*Table1[[#This Row],[Fuel Consumption (mmBtu)]]*10^3</f>
        <v>267848198207.69638</v>
      </c>
      <c r="R2635" s="2">
        <f>(Table1[[#This Row],[CO2 Emissions (g CO2)]])/(Table1[[#This Row],[Generation (TWh)]]*10^9)</f>
        <v>1698.6821296784397</v>
      </c>
    </row>
    <row r="2636" spans="1:18" hidden="1">
      <c r="A2636" t="s">
        <v>21</v>
      </c>
      <c r="B2636" t="s">
        <v>19</v>
      </c>
      <c r="C2636" t="str">
        <f>SUBSTITUTE(Table1[[#This Row],[Fuel]],", ",",")</f>
        <v>bioenergy: refuse (municipal and industrial wastes)</v>
      </c>
      <c r="D2636" t="s">
        <v>19</v>
      </c>
      <c r="G2636">
        <v>25</v>
      </c>
      <c r="H2636" t="s">
        <v>27</v>
      </c>
      <c r="I2636">
        <v>2019</v>
      </c>
      <c r="J2636" t="s">
        <v>21</v>
      </c>
      <c r="K2636">
        <v>34.486328</v>
      </c>
      <c r="L2636">
        <v>109.10077099999999</v>
      </c>
      <c r="M2636" t="s">
        <v>102</v>
      </c>
      <c r="N2636" s="2">
        <f>Table1[[#This Row],[Capacity (MW)]]*8760*0.72*10^-6</f>
        <v>0.15767999999999999</v>
      </c>
      <c r="O2636" s="2" cm="1">
        <f t="array" ref="O2636">AVERAGE(VLOOKUP(_xlfn.TEXTSPLIT(Table1[[#This Row],[Fuel (no space after comma)]], ","), FuelList_Final_EF!$A$2:$B$32, 2, FALSE))</f>
        <v>105.42962572482868</v>
      </c>
      <c r="P2636" s="2">
        <f>(16112*Table1[[#This Row],[Generation (TWh)]]*10^9)/10^6</f>
        <v>2540540.16</v>
      </c>
      <c r="Q2636" s="2">
        <f>Table1[[#This Row],[Emission Factor (kg CO2/ mmBtu)]]*Table1[[#This Row],[Fuel Consumption (mmBtu)]]*10^3</f>
        <v>267848198207.69638</v>
      </c>
      <c r="R2636" s="2">
        <f>(Table1[[#This Row],[CO2 Emissions (g CO2)]])/(Table1[[#This Row],[Generation (TWh)]]*10^9)</f>
        <v>1698.6821296784397</v>
      </c>
    </row>
    <row r="2637" spans="1:18" hidden="1">
      <c r="A2637" t="s">
        <v>21</v>
      </c>
      <c r="B2637" t="s">
        <v>19</v>
      </c>
      <c r="C2637" t="str">
        <f>SUBSTITUTE(Table1[[#This Row],[Fuel]],", ",",")</f>
        <v>bioenergy: refuse (municipal and industrial wastes)</v>
      </c>
      <c r="D2637" t="s">
        <v>19</v>
      </c>
      <c r="G2637">
        <v>25</v>
      </c>
      <c r="H2637" t="s">
        <v>27</v>
      </c>
      <c r="I2637">
        <v>2019</v>
      </c>
      <c r="J2637" t="s">
        <v>21</v>
      </c>
      <c r="K2637">
        <v>34.193375000000003</v>
      </c>
      <c r="L2637">
        <v>108.64171</v>
      </c>
      <c r="M2637" t="s">
        <v>102</v>
      </c>
      <c r="N2637" s="2">
        <f>Table1[[#This Row],[Capacity (MW)]]*8760*0.72*10^-6</f>
        <v>0.15767999999999999</v>
      </c>
      <c r="O2637" s="2" cm="1">
        <f t="array" ref="O2637">AVERAGE(VLOOKUP(_xlfn.TEXTSPLIT(Table1[[#This Row],[Fuel (no space after comma)]], ","), FuelList_Final_EF!$A$2:$B$32, 2, FALSE))</f>
        <v>105.42962572482868</v>
      </c>
      <c r="P2637" s="2">
        <f>(16112*Table1[[#This Row],[Generation (TWh)]]*10^9)/10^6</f>
        <v>2540540.16</v>
      </c>
      <c r="Q2637" s="2">
        <f>Table1[[#This Row],[Emission Factor (kg CO2/ mmBtu)]]*Table1[[#This Row],[Fuel Consumption (mmBtu)]]*10^3</f>
        <v>267848198207.69638</v>
      </c>
      <c r="R2637" s="2">
        <f>(Table1[[#This Row],[CO2 Emissions (g CO2)]])/(Table1[[#This Row],[Generation (TWh)]]*10^9)</f>
        <v>1698.6821296784397</v>
      </c>
    </row>
    <row r="2638" spans="1:18" hidden="1">
      <c r="A2638" t="s">
        <v>21</v>
      </c>
      <c r="B2638" t="s">
        <v>19</v>
      </c>
      <c r="C2638" t="str">
        <f>SUBSTITUTE(Table1[[#This Row],[Fuel]],", ",",")</f>
        <v>bioenergy: refuse (municipal and industrial wastes)</v>
      </c>
      <c r="D2638" t="s">
        <v>19</v>
      </c>
      <c r="G2638">
        <v>25</v>
      </c>
      <c r="H2638" t="s">
        <v>27</v>
      </c>
      <c r="I2638">
        <v>2019</v>
      </c>
      <c r="J2638" t="s">
        <v>21</v>
      </c>
      <c r="K2638">
        <v>34.193375000000003</v>
      </c>
      <c r="L2638">
        <v>108.64171</v>
      </c>
      <c r="M2638" t="s">
        <v>102</v>
      </c>
      <c r="N2638" s="2">
        <f>Table1[[#This Row],[Capacity (MW)]]*8760*0.72*10^-6</f>
        <v>0.15767999999999999</v>
      </c>
      <c r="O2638" s="2" cm="1">
        <f t="array" ref="O2638">AVERAGE(VLOOKUP(_xlfn.TEXTSPLIT(Table1[[#This Row],[Fuel (no space after comma)]], ","), FuelList_Final_EF!$A$2:$B$32, 2, FALSE))</f>
        <v>105.42962572482868</v>
      </c>
      <c r="P2638" s="2">
        <f>(16112*Table1[[#This Row],[Generation (TWh)]]*10^9)/10^6</f>
        <v>2540540.16</v>
      </c>
      <c r="Q2638" s="2">
        <f>Table1[[#This Row],[Emission Factor (kg CO2/ mmBtu)]]*Table1[[#This Row],[Fuel Consumption (mmBtu)]]*10^3</f>
        <v>267848198207.69638</v>
      </c>
      <c r="R2638" s="2">
        <f>(Table1[[#This Row],[CO2 Emissions (g CO2)]])/(Table1[[#This Row],[Generation (TWh)]]*10^9)</f>
        <v>1698.6821296784397</v>
      </c>
    </row>
    <row r="2639" spans="1:18" hidden="1">
      <c r="A2639" t="s">
        <v>21</v>
      </c>
      <c r="B2639" t="s">
        <v>19</v>
      </c>
      <c r="C2639" t="str">
        <f>SUBSTITUTE(Table1[[#This Row],[Fuel]],", ",",")</f>
        <v>bioenergy: refuse (municipal and industrial wastes)</v>
      </c>
      <c r="D2639" t="s">
        <v>19</v>
      </c>
      <c r="G2639">
        <v>9</v>
      </c>
      <c r="H2639" t="s">
        <v>27</v>
      </c>
      <c r="I2639">
        <v>2022</v>
      </c>
      <c r="J2639" t="s">
        <v>21</v>
      </c>
      <c r="K2639">
        <v>34.325805000000003</v>
      </c>
      <c r="L2639">
        <v>108.392321</v>
      </c>
      <c r="M2639" t="s">
        <v>102</v>
      </c>
      <c r="N2639" s="2">
        <f>Table1[[#This Row],[Capacity (MW)]]*8760*0.72*10^-6</f>
        <v>5.676479999999999E-2</v>
      </c>
      <c r="O2639" s="2" cm="1">
        <f t="array" ref="O2639">AVERAGE(VLOOKUP(_xlfn.TEXTSPLIT(Table1[[#This Row],[Fuel (no space after comma)]], ","), FuelList_Final_EF!$A$2:$B$32, 2, FALSE))</f>
        <v>105.42962572482868</v>
      </c>
      <c r="P2639" s="2">
        <f>(16112*Table1[[#This Row],[Generation (TWh)]]*10^9)/10^6</f>
        <v>914594.45759999985</v>
      </c>
      <c r="Q2639" s="2">
        <f>Table1[[#This Row],[Emission Factor (kg CO2/ mmBtu)]]*Table1[[#This Row],[Fuel Consumption (mmBtu)]]*10^3</f>
        <v>96425351354.770676</v>
      </c>
      <c r="R2639" s="2">
        <f>(Table1[[#This Row],[CO2 Emissions (g CO2)]])/(Table1[[#This Row],[Generation (TWh)]]*10^9)</f>
        <v>1698.6821296784397</v>
      </c>
    </row>
    <row r="2640" spans="1:18" hidden="1">
      <c r="A2640" t="s">
        <v>21</v>
      </c>
      <c r="B2640" t="s">
        <v>19</v>
      </c>
      <c r="C2640" t="str">
        <f>SUBSTITUTE(Table1[[#This Row],[Fuel]],", ",",")</f>
        <v>bioenergy: refuse (municipal and industrial wastes)</v>
      </c>
      <c r="D2640" t="s">
        <v>19</v>
      </c>
      <c r="G2640">
        <v>6</v>
      </c>
      <c r="H2640" t="s">
        <v>27</v>
      </c>
      <c r="I2640">
        <v>2020</v>
      </c>
      <c r="J2640" t="s">
        <v>21</v>
      </c>
      <c r="K2640">
        <v>33.198647999999999</v>
      </c>
      <c r="L2640">
        <v>107.45560399999999</v>
      </c>
      <c r="M2640" t="s">
        <v>102</v>
      </c>
      <c r="N2640" s="2">
        <f>Table1[[#This Row],[Capacity (MW)]]*8760*0.72*10^-6</f>
        <v>3.7843199999999994E-2</v>
      </c>
      <c r="O2640" s="2" cm="1">
        <f t="array" ref="O2640">AVERAGE(VLOOKUP(_xlfn.TEXTSPLIT(Table1[[#This Row],[Fuel (no space after comma)]], ","), FuelList_Final_EF!$A$2:$B$32, 2, FALSE))</f>
        <v>105.42962572482868</v>
      </c>
      <c r="P2640" s="2">
        <f>(16112*Table1[[#This Row],[Generation (TWh)]]*10^9)/10^6</f>
        <v>609729.63839999982</v>
      </c>
      <c r="Q2640" s="2">
        <f>Table1[[#This Row],[Emission Factor (kg CO2/ mmBtu)]]*Table1[[#This Row],[Fuel Consumption (mmBtu)]]*10^3</f>
        <v>64283567569.847115</v>
      </c>
      <c r="R2640" s="2">
        <f>(Table1[[#This Row],[CO2 Emissions (g CO2)]])/(Table1[[#This Row],[Generation (TWh)]]*10^9)</f>
        <v>1698.6821296784397</v>
      </c>
    </row>
    <row r="2641" spans="1:18" hidden="1">
      <c r="A2641" t="s">
        <v>21</v>
      </c>
      <c r="B2641" t="s">
        <v>41</v>
      </c>
      <c r="C2641" t="str">
        <f>SUBSTITUTE(Table1[[#This Row],[Fuel]],", ",",")</f>
        <v>bioenergy: refuse (municipal and industrial wastes),bioenergy: wastewater and sewage sludge (solids or biogas)</v>
      </c>
      <c r="D2641" t="s">
        <v>19</v>
      </c>
      <c r="E2641" t="s">
        <v>42</v>
      </c>
      <c r="G2641">
        <v>12</v>
      </c>
      <c r="H2641" t="s">
        <v>27</v>
      </c>
      <c r="I2641">
        <v>2020</v>
      </c>
      <c r="J2641" t="s">
        <v>21</v>
      </c>
      <c r="K2641">
        <v>38.126503999999997</v>
      </c>
      <c r="L2641">
        <v>109.68468300000001</v>
      </c>
      <c r="M2641" t="s">
        <v>102</v>
      </c>
      <c r="N2641" s="2">
        <f>Table1[[#This Row],[Capacity (MW)]]*8760*0.72*10^-6</f>
        <v>7.5686399999999987E-2</v>
      </c>
      <c r="O2641" s="2" cm="1">
        <f t="array" ref="O2641">AVERAGE(VLOOKUP(_xlfn.TEXTSPLIT(Table1[[#This Row],[Fuel (no space after comma)]], ","), FuelList_Final_EF!$A$2:$B$32, 2, FALSE))</f>
        <v>81.497100685292565</v>
      </c>
      <c r="P2641" s="2">
        <f>(16112*Table1[[#This Row],[Generation (TWh)]]*10^9)/10^6</f>
        <v>1219459.2767999996</v>
      </c>
      <c r="Q2641" s="2">
        <f>Table1[[#This Row],[Emission Factor (kg CO2/ mmBtu)]]*Table1[[#This Row],[Fuel Consumption (mmBtu)]]*10^3</f>
        <v>99382395462.983627</v>
      </c>
      <c r="R2641" s="2">
        <f>(Table1[[#This Row],[CO2 Emissions (g CO2)]])/(Table1[[#This Row],[Generation (TWh)]]*10^9)</f>
        <v>1313.0812862414336</v>
      </c>
    </row>
    <row r="2642" spans="1:18" hidden="1">
      <c r="A2642" t="s">
        <v>21</v>
      </c>
      <c r="B2642" t="s">
        <v>41</v>
      </c>
      <c r="C2642" t="str">
        <f>SUBSTITUTE(Table1[[#This Row],[Fuel]],", ",",")</f>
        <v>bioenergy: refuse (municipal and industrial wastes),bioenergy: wastewater and sewage sludge (solids or biogas)</v>
      </c>
      <c r="D2642" t="s">
        <v>19</v>
      </c>
      <c r="E2642" t="s">
        <v>42</v>
      </c>
      <c r="G2642">
        <v>12</v>
      </c>
      <c r="H2642" t="s">
        <v>27</v>
      </c>
      <c r="I2642">
        <v>2020</v>
      </c>
      <c r="J2642" t="s">
        <v>21</v>
      </c>
      <c r="K2642">
        <v>38.126503999999997</v>
      </c>
      <c r="L2642">
        <v>109.68468300000001</v>
      </c>
      <c r="M2642" t="s">
        <v>102</v>
      </c>
      <c r="N2642" s="2">
        <f>Table1[[#This Row],[Capacity (MW)]]*8760*0.72*10^-6</f>
        <v>7.5686399999999987E-2</v>
      </c>
      <c r="O2642" s="2" cm="1">
        <f t="array" ref="O2642">AVERAGE(VLOOKUP(_xlfn.TEXTSPLIT(Table1[[#This Row],[Fuel (no space after comma)]], ","), FuelList_Final_EF!$A$2:$B$32, 2, FALSE))</f>
        <v>81.497100685292565</v>
      </c>
      <c r="P2642" s="2">
        <f>(16112*Table1[[#This Row],[Generation (TWh)]]*10^9)/10^6</f>
        <v>1219459.2767999996</v>
      </c>
      <c r="Q2642" s="2">
        <f>Table1[[#This Row],[Emission Factor (kg CO2/ mmBtu)]]*Table1[[#This Row],[Fuel Consumption (mmBtu)]]*10^3</f>
        <v>99382395462.983627</v>
      </c>
      <c r="R2642" s="2">
        <f>(Table1[[#This Row],[CO2 Emissions (g CO2)]])/(Table1[[#This Row],[Generation (TWh)]]*10^9)</f>
        <v>1313.0812862414336</v>
      </c>
    </row>
    <row r="2643" spans="1:18" hidden="1">
      <c r="A2643" t="s">
        <v>21</v>
      </c>
      <c r="B2643" t="s">
        <v>19</v>
      </c>
      <c r="C2643" t="str">
        <f>SUBSTITUTE(Table1[[#This Row],[Fuel]],", ",",")</f>
        <v>bioenergy: refuse (municipal and industrial wastes)</v>
      </c>
      <c r="D2643" t="s">
        <v>19</v>
      </c>
      <c r="G2643">
        <v>7.5</v>
      </c>
      <c r="H2643" t="s">
        <v>27</v>
      </c>
      <c r="I2643">
        <v>2018</v>
      </c>
      <c r="J2643" t="s">
        <v>21</v>
      </c>
      <c r="K2643">
        <v>37.556536000000001</v>
      </c>
      <c r="L2643">
        <v>118.010993</v>
      </c>
      <c r="M2643" t="s">
        <v>102</v>
      </c>
      <c r="N2643" s="2">
        <f>Table1[[#This Row],[Capacity (MW)]]*8760*0.72*10^-6</f>
        <v>4.7303999999999999E-2</v>
      </c>
      <c r="O2643" s="2" cm="1">
        <f t="array" ref="O2643">AVERAGE(VLOOKUP(_xlfn.TEXTSPLIT(Table1[[#This Row],[Fuel (no space after comma)]], ","), FuelList_Final_EF!$A$2:$B$32, 2, FALSE))</f>
        <v>105.42962572482868</v>
      </c>
      <c r="P2643" s="2">
        <f>(16112*Table1[[#This Row],[Generation (TWh)]]*10^9)/10^6</f>
        <v>762162.04799999995</v>
      </c>
      <c r="Q2643" s="2">
        <f>Table1[[#This Row],[Emission Factor (kg CO2/ mmBtu)]]*Table1[[#This Row],[Fuel Consumption (mmBtu)]]*10^3</f>
        <v>80354459462.308914</v>
      </c>
      <c r="R2643" s="2">
        <f>(Table1[[#This Row],[CO2 Emissions (g CO2)]])/(Table1[[#This Row],[Generation (TWh)]]*10^9)</f>
        <v>1698.6821296784397</v>
      </c>
    </row>
    <row r="2644" spans="1:18" hidden="1">
      <c r="A2644" t="s">
        <v>21</v>
      </c>
      <c r="B2644" t="s">
        <v>19</v>
      </c>
      <c r="C2644" t="str">
        <f>SUBSTITUTE(Table1[[#This Row],[Fuel]],", ",",")</f>
        <v>bioenergy: refuse (municipal and industrial wastes)</v>
      </c>
      <c r="D2644" t="s">
        <v>19</v>
      </c>
      <c r="G2644">
        <v>15</v>
      </c>
      <c r="H2644" t="s">
        <v>27</v>
      </c>
      <c r="I2644">
        <v>2015</v>
      </c>
      <c r="J2644" t="s">
        <v>21</v>
      </c>
      <c r="K2644">
        <v>37.556536000000001</v>
      </c>
      <c r="L2644">
        <v>118.010993</v>
      </c>
      <c r="M2644" t="s">
        <v>102</v>
      </c>
      <c r="N2644" s="2">
        <f>Table1[[#This Row],[Capacity (MW)]]*8760*0.72*10^-6</f>
        <v>9.4607999999999998E-2</v>
      </c>
      <c r="O2644" s="2" cm="1">
        <f t="array" ref="O2644">AVERAGE(VLOOKUP(_xlfn.TEXTSPLIT(Table1[[#This Row],[Fuel (no space after comma)]], ","), FuelList_Final_EF!$A$2:$B$32, 2, FALSE))</f>
        <v>105.42962572482868</v>
      </c>
      <c r="P2644" s="2">
        <f>(16112*Table1[[#This Row],[Generation (TWh)]]*10^9)/10^6</f>
        <v>1524324.0959999999</v>
      </c>
      <c r="Q2644" s="2">
        <f>Table1[[#This Row],[Emission Factor (kg CO2/ mmBtu)]]*Table1[[#This Row],[Fuel Consumption (mmBtu)]]*10^3</f>
        <v>160708918924.61783</v>
      </c>
      <c r="R2644" s="2">
        <f>(Table1[[#This Row],[CO2 Emissions (g CO2)]])/(Table1[[#This Row],[Generation (TWh)]]*10^9)</f>
        <v>1698.6821296784397</v>
      </c>
    </row>
    <row r="2645" spans="1:18" hidden="1">
      <c r="A2645" t="s">
        <v>21</v>
      </c>
      <c r="B2645" t="s">
        <v>19</v>
      </c>
      <c r="C2645" t="str">
        <f>SUBSTITUTE(Table1[[#This Row],[Fuel]],", ",",")</f>
        <v>bioenergy: refuse (municipal and industrial wastes)</v>
      </c>
      <c r="D2645" t="s">
        <v>19</v>
      </c>
      <c r="G2645">
        <v>12</v>
      </c>
      <c r="H2645" t="s">
        <v>27</v>
      </c>
      <c r="I2645">
        <v>2021</v>
      </c>
      <c r="J2645" t="s">
        <v>21</v>
      </c>
      <c r="K2645">
        <v>34.798853000000001</v>
      </c>
      <c r="L2645">
        <v>115.587594</v>
      </c>
      <c r="M2645" t="s">
        <v>102</v>
      </c>
      <c r="N2645" s="2">
        <f>Table1[[#This Row],[Capacity (MW)]]*8760*0.72*10^-6</f>
        <v>7.5686399999999987E-2</v>
      </c>
      <c r="O2645" s="2" cm="1">
        <f t="array" ref="O2645">AVERAGE(VLOOKUP(_xlfn.TEXTSPLIT(Table1[[#This Row],[Fuel (no space after comma)]], ","), FuelList_Final_EF!$A$2:$B$32, 2, FALSE))</f>
        <v>105.42962572482868</v>
      </c>
      <c r="P2645" s="2">
        <f>(16112*Table1[[#This Row],[Generation (TWh)]]*10^9)/10^6</f>
        <v>1219459.2767999996</v>
      </c>
      <c r="Q2645" s="2">
        <f>Table1[[#This Row],[Emission Factor (kg CO2/ mmBtu)]]*Table1[[#This Row],[Fuel Consumption (mmBtu)]]*10^3</f>
        <v>128567135139.69423</v>
      </c>
      <c r="R2645" s="2">
        <f>(Table1[[#This Row],[CO2 Emissions (g CO2)]])/(Table1[[#This Row],[Generation (TWh)]]*10^9)</f>
        <v>1698.6821296784397</v>
      </c>
    </row>
    <row r="2646" spans="1:18" hidden="1">
      <c r="A2646" t="s">
        <v>21</v>
      </c>
      <c r="B2646" t="s">
        <v>19</v>
      </c>
      <c r="C2646" t="str">
        <f>SUBSTITUTE(Table1[[#This Row],[Fuel]],", ",",")</f>
        <v>bioenergy: refuse (municipal and industrial wastes)</v>
      </c>
      <c r="D2646" t="s">
        <v>19</v>
      </c>
      <c r="G2646">
        <v>15</v>
      </c>
      <c r="H2646" t="s">
        <v>27</v>
      </c>
      <c r="I2646">
        <v>2018</v>
      </c>
      <c r="J2646" t="s">
        <v>21</v>
      </c>
      <c r="K2646">
        <v>34.798853000000001</v>
      </c>
      <c r="L2646">
        <v>115.587594</v>
      </c>
      <c r="M2646" t="s">
        <v>102</v>
      </c>
      <c r="N2646" s="2">
        <f>Table1[[#This Row],[Capacity (MW)]]*8760*0.72*10^-6</f>
        <v>9.4607999999999998E-2</v>
      </c>
      <c r="O2646" s="2" cm="1">
        <f t="array" ref="O2646">AVERAGE(VLOOKUP(_xlfn.TEXTSPLIT(Table1[[#This Row],[Fuel (no space after comma)]], ","), FuelList_Final_EF!$A$2:$B$32, 2, FALSE))</f>
        <v>105.42962572482868</v>
      </c>
      <c r="P2646" s="2">
        <f>(16112*Table1[[#This Row],[Generation (TWh)]]*10^9)/10^6</f>
        <v>1524324.0959999999</v>
      </c>
      <c r="Q2646" s="2">
        <f>Table1[[#This Row],[Emission Factor (kg CO2/ mmBtu)]]*Table1[[#This Row],[Fuel Consumption (mmBtu)]]*10^3</f>
        <v>160708918924.61783</v>
      </c>
      <c r="R2646" s="2">
        <f>(Table1[[#This Row],[CO2 Emissions (g CO2)]])/(Table1[[#This Row],[Generation (TWh)]]*10^9)</f>
        <v>1698.6821296784397</v>
      </c>
    </row>
    <row r="2647" spans="1:18" hidden="1">
      <c r="A2647" t="s">
        <v>21</v>
      </c>
      <c r="B2647" t="s">
        <v>19</v>
      </c>
      <c r="C2647" t="str">
        <f>SUBSTITUTE(Table1[[#This Row],[Fuel]],", ",",")</f>
        <v>bioenergy: refuse (municipal and industrial wastes)</v>
      </c>
      <c r="D2647" t="s">
        <v>19</v>
      </c>
      <c r="G2647">
        <v>7.5</v>
      </c>
      <c r="H2647" t="s">
        <v>94</v>
      </c>
      <c r="I2647">
        <v>2015</v>
      </c>
      <c r="J2647" t="s">
        <v>21</v>
      </c>
      <c r="K2647">
        <v>37.431175000000003</v>
      </c>
      <c r="L2647">
        <v>116.226814</v>
      </c>
      <c r="M2647" t="s">
        <v>102</v>
      </c>
      <c r="N2647" s="2">
        <f>Table1[[#This Row],[Capacity (MW)]]*8760*0.72*10^-6</f>
        <v>4.7303999999999999E-2</v>
      </c>
      <c r="O2647" s="2" cm="1">
        <f t="array" ref="O2647">AVERAGE(VLOOKUP(_xlfn.TEXTSPLIT(Table1[[#This Row],[Fuel (no space after comma)]], ","), FuelList_Final_EF!$A$2:$B$32, 2, FALSE))</f>
        <v>105.42962572482868</v>
      </c>
      <c r="P2647" s="2">
        <f>(16112*Table1[[#This Row],[Generation (TWh)]]*10^9)/10^6</f>
        <v>762162.04799999995</v>
      </c>
      <c r="Q2647" s="2">
        <f>Table1[[#This Row],[Emission Factor (kg CO2/ mmBtu)]]*Table1[[#This Row],[Fuel Consumption (mmBtu)]]*10^3</f>
        <v>80354459462.308914</v>
      </c>
      <c r="R2647" s="2">
        <f>(Table1[[#This Row],[CO2 Emissions (g CO2)]])/(Table1[[#This Row],[Generation (TWh)]]*10^9)</f>
        <v>1698.6821296784397</v>
      </c>
    </row>
    <row r="2648" spans="1:18" hidden="1">
      <c r="A2648" t="s">
        <v>21</v>
      </c>
      <c r="B2648" t="s">
        <v>19</v>
      </c>
      <c r="C2648" t="str">
        <f>SUBSTITUTE(Table1[[#This Row],[Fuel]],", ",",")</f>
        <v>bioenergy: refuse (municipal and industrial wastes)</v>
      </c>
      <c r="D2648" t="s">
        <v>19</v>
      </c>
      <c r="G2648">
        <v>7.5</v>
      </c>
      <c r="H2648" t="s">
        <v>94</v>
      </c>
      <c r="I2648">
        <v>2015</v>
      </c>
      <c r="J2648" t="s">
        <v>21</v>
      </c>
      <c r="K2648">
        <v>37.431175000000003</v>
      </c>
      <c r="L2648">
        <v>116.226814</v>
      </c>
      <c r="M2648" t="s">
        <v>102</v>
      </c>
      <c r="N2648" s="2">
        <f>Table1[[#This Row],[Capacity (MW)]]*8760*0.72*10^-6</f>
        <v>4.7303999999999999E-2</v>
      </c>
      <c r="O2648" s="2" cm="1">
        <f t="array" ref="O2648">AVERAGE(VLOOKUP(_xlfn.TEXTSPLIT(Table1[[#This Row],[Fuel (no space after comma)]], ","), FuelList_Final_EF!$A$2:$B$32, 2, FALSE))</f>
        <v>105.42962572482868</v>
      </c>
      <c r="P2648" s="2">
        <f>(16112*Table1[[#This Row],[Generation (TWh)]]*10^9)/10^6</f>
        <v>762162.04799999995</v>
      </c>
      <c r="Q2648" s="2">
        <f>Table1[[#This Row],[Emission Factor (kg CO2/ mmBtu)]]*Table1[[#This Row],[Fuel Consumption (mmBtu)]]*10^3</f>
        <v>80354459462.308914</v>
      </c>
      <c r="R2648" s="2">
        <f>(Table1[[#This Row],[CO2 Emissions (g CO2)]])/(Table1[[#This Row],[Generation (TWh)]]*10^9)</f>
        <v>1698.6821296784397</v>
      </c>
    </row>
    <row r="2649" spans="1:18" hidden="1">
      <c r="A2649" t="s">
        <v>21</v>
      </c>
      <c r="B2649" t="s">
        <v>19</v>
      </c>
      <c r="C2649" t="str">
        <f>SUBSTITUTE(Table1[[#This Row],[Fuel]],", ",",")</f>
        <v>bioenergy: refuse (municipal and industrial wastes)</v>
      </c>
      <c r="D2649" t="s">
        <v>19</v>
      </c>
      <c r="G2649">
        <v>18</v>
      </c>
      <c r="H2649" t="s">
        <v>27</v>
      </c>
      <c r="I2649">
        <v>2017</v>
      </c>
      <c r="J2649" t="s">
        <v>21</v>
      </c>
      <c r="K2649">
        <v>37.431175000000003</v>
      </c>
      <c r="L2649">
        <v>116.226814</v>
      </c>
      <c r="M2649" t="s">
        <v>102</v>
      </c>
      <c r="N2649" s="2">
        <f>Table1[[#This Row],[Capacity (MW)]]*8760*0.72*10^-6</f>
        <v>0.11352959999999998</v>
      </c>
      <c r="O2649" s="2" cm="1">
        <f t="array" ref="O2649">AVERAGE(VLOOKUP(_xlfn.TEXTSPLIT(Table1[[#This Row],[Fuel (no space after comma)]], ","), FuelList_Final_EF!$A$2:$B$32, 2, FALSE))</f>
        <v>105.42962572482868</v>
      </c>
      <c r="P2649" s="2">
        <f>(16112*Table1[[#This Row],[Generation (TWh)]]*10^9)/10^6</f>
        <v>1829188.9151999997</v>
      </c>
      <c r="Q2649" s="2">
        <f>Table1[[#This Row],[Emission Factor (kg CO2/ mmBtu)]]*Table1[[#This Row],[Fuel Consumption (mmBtu)]]*10^3</f>
        <v>192850702709.54135</v>
      </c>
      <c r="R2649" s="2">
        <f>(Table1[[#This Row],[CO2 Emissions (g CO2)]])/(Table1[[#This Row],[Generation (TWh)]]*10^9)</f>
        <v>1698.6821296784397</v>
      </c>
    </row>
    <row r="2650" spans="1:18" hidden="1">
      <c r="A2650" t="s">
        <v>1313</v>
      </c>
      <c r="B2650" t="s">
        <v>19</v>
      </c>
      <c r="C2650" t="str">
        <f>SUBSTITUTE(Table1[[#This Row],[Fuel]],", ",",")</f>
        <v>bioenergy: refuse (municipal and industrial wastes)</v>
      </c>
      <c r="D2650" t="s">
        <v>19</v>
      </c>
      <c r="G2650">
        <v>12</v>
      </c>
      <c r="H2650" t="s">
        <v>27</v>
      </c>
      <c r="I2650">
        <v>2021</v>
      </c>
      <c r="J2650" t="s">
        <v>21</v>
      </c>
      <c r="K2650">
        <v>36.042946000000001</v>
      </c>
      <c r="L2650">
        <v>116.358625</v>
      </c>
      <c r="M2650" t="s">
        <v>102</v>
      </c>
      <c r="N2650" s="2">
        <f>Table1[[#This Row],[Capacity (MW)]]*8760*0.72*10^-6</f>
        <v>7.5686399999999987E-2</v>
      </c>
      <c r="O2650" s="2" cm="1">
        <f t="array" ref="O2650">AVERAGE(VLOOKUP(_xlfn.TEXTSPLIT(Table1[[#This Row],[Fuel (no space after comma)]], ","), FuelList_Final_EF!$A$2:$B$32, 2, FALSE))</f>
        <v>105.42962572482868</v>
      </c>
      <c r="P2650" s="2">
        <f>(16112*Table1[[#This Row],[Generation (TWh)]]*10^9)/10^6</f>
        <v>1219459.2767999996</v>
      </c>
      <c r="Q2650" s="2">
        <f>Table1[[#This Row],[Emission Factor (kg CO2/ mmBtu)]]*Table1[[#This Row],[Fuel Consumption (mmBtu)]]*10^3</f>
        <v>128567135139.69423</v>
      </c>
      <c r="R2650" s="2">
        <f>(Table1[[#This Row],[CO2 Emissions (g CO2)]])/(Table1[[#This Row],[Generation (TWh)]]*10^9)</f>
        <v>1698.6821296784397</v>
      </c>
    </row>
    <row r="2651" spans="1:18" hidden="1">
      <c r="A2651" t="s">
        <v>21</v>
      </c>
      <c r="B2651" t="s">
        <v>19</v>
      </c>
      <c r="C2651" t="str">
        <f>SUBSTITUTE(Table1[[#This Row],[Fuel]],", ",",")</f>
        <v>bioenergy: refuse (municipal and industrial wastes)</v>
      </c>
      <c r="D2651" t="s">
        <v>19</v>
      </c>
      <c r="G2651">
        <v>12</v>
      </c>
      <c r="H2651" t="s">
        <v>27</v>
      </c>
      <c r="I2651">
        <v>2018</v>
      </c>
      <c r="J2651" t="s">
        <v>21</v>
      </c>
      <c r="K2651">
        <v>35.292105999999997</v>
      </c>
      <c r="L2651">
        <v>117.883117</v>
      </c>
      <c r="M2651" t="s">
        <v>102</v>
      </c>
      <c r="N2651" s="2">
        <f>Table1[[#This Row],[Capacity (MW)]]*8760*0.72*10^-6</f>
        <v>7.5686399999999987E-2</v>
      </c>
      <c r="O2651" s="2" cm="1">
        <f t="array" ref="O2651">AVERAGE(VLOOKUP(_xlfn.TEXTSPLIT(Table1[[#This Row],[Fuel (no space after comma)]], ","), FuelList_Final_EF!$A$2:$B$32, 2, FALSE))</f>
        <v>105.42962572482868</v>
      </c>
      <c r="P2651" s="2">
        <f>(16112*Table1[[#This Row],[Generation (TWh)]]*10^9)/10^6</f>
        <v>1219459.2767999996</v>
      </c>
      <c r="Q2651" s="2">
        <f>Table1[[#This Row],[Emission Factor (kg CO2/ mmBtu)]]*Table1[[#This Row],[Fuel Consumption (mmBtu)]]*10^3</f>
        <v>128567135139.69423</v>
      </c>
      <c r="R2651" s="2">
        <f>(Table1[[#This Row],[CO2 Emissions (g CO2)]])/(Table1[[#This Row],[Generation (TWh)]]*10^9)</f>
        <v>1698.6821296784397</v>
      </c>
    </row>
    <row r="2652" spans="1:18" hidden="1">
      <c r="A2652" t="s">
        <v>21</v>
      </c>
      <c r="B2652" t="s">
        <v>19</v>
      </c>
      <c r="C2652" t="str">
        <f>SUBSTITUTE(Table1[[#This Row],[Fuel]],", ",",")</f>
        <v>bioenergy: refuse (municipal and industrial wastes)</v>
      </c>
      <c r="D2652" t="s">
        <v>19</v>
      </c>
      <c r="G2652">
        <v>12</v>
      </c>
      <c r="H2652" t="s">
        <v>27</v>
      </c>
      <c r="I2652">
        <v>2020</v>
      </c>
      <c r="J2652" t="s">
        <v>21</v>
      </c>
      <c r="K2652">
        <v>36.458762999999998</v>
      </c>
      <c r="L2652">
        <v>115.51805</v>
      </c>
      <c r="M2652" t="s">
        <v>102</v>
      </c>
      <c r="N2652" s="2">
        <f>Table1[[#This Row],[Capacity (MW)]]*8760*0.72*10^-6</f>
        <v>7.5686399999999987E-2</v>
      </c>
      <c r="O2652" s="2" cm="1">
        <f t="array" ref="O2652">AVERAGE(VLOOKUP(_xlfn.TEXTSPLIT(Table1[[#This Row],[Fuel (no space after comma)]], ","), FuelList_Final_EF!$A$2:$B$32, 2, FALSE))</f>
        <v>105.42962572482868</v>
      </c>
      <c r="P2652" s="2">
        <f>(16112*Table1[[#This Row],[Generation (TWh)]]*10^9)/10^6</f>
        <v>1219459.2767999996</v>
      </c>
      <c r="Q2652" s="2">
        <f>Table1[[#This Row],[Emission Factor (kg CO2/ mmBtu)]]*Table1[[#This Row],[Fuel Consumption (mmBtu)]]*10^3</f>
        <v>128567135139.69423</v>
      </c>
      <c r="R2652" s="2">
        <f>(Table1[[#This Row],[CO2 Emissions (g CO2)]])/(Table1[[#This Row],[Generation (TWh)]]*10^9)</f>
        <v>1698.6821296784397</v>
      </c>
    </row>
    <row r="2653" spans="1:18" hidden="1">
      <c r="A2653" t="s">
        <v>21</v>
      </c>
      <c r="B2653" t="s">
        <v>19</v>
      </c>
      <c r="C2653" t="str">
        <f>SUBSTITUTE(Table1[[#This Row],[Fuel]],", ",",")</f>
        <v>bioenergy: refuse (municipal and industrial wastes)</v>
      </c>
      <c r="D2653" t="s">
        <v>19</v>
      </c>
      <c r="G2653">
        <v>12</v>
      </c>
      <c r="H2653" t="s">
        <v>27</v>
      </c>
      <c r="I2653">
        <v>2021</v>
      </c>
      <c r="J2653" t="s">
        <v>21</v>
      </c>
      <c r="K2653">
        <v>37.135609000000002</v>
      </c>
      <c r="L2653">
        <v>118.447039</v>
      </c>
      <c r="M2653" t="s">
        <v>102</v>
      </c>
      <c r="N2653" s="2">
        <f>Table1[[#This Row],[Capacity (MW)]]*8760*0.72*10^-6</f>
        <v>7.5686399999999987E-2</v>
      </c>
      <c r="O2653" s="2" cm="1">
        <f t="array" ref="O2653">AVERAGE(VLOOKUP(_xlfn.TEXTSPLIT(Table1[[#This Row],[Fuel (no space after comma)]], ","), FuelList_Final_EF!$A$2:$B$32, 2, FALSE))</f>
        <v>105.42962572482868</v>
      </c>
      <c r="P2653" s="2">
        <f>(16112*Table1[[#This Row],[Generation (TWh)]]*10^9)/10^6</f>
        <v>1219459.2767999996</v>
      </c>
      <c r="Q2653" s="2">
        <f>Table1[[#This Row],[Emission Factor (kg CO2/ mmBtu)]]*Table1[[#This Row],[Fuel Consumption (mmBtu)]]*10^3</f>
        <v>128567135139.69423</v>
      </c>
      <c r="R2653" s="2">
        <f>(Table1[[#This Row],[CO2 Emissions (g CO2)]])/(Table1[[#This Row],[Generation (TWh)]]*10^9)</f>
        <v>1698.6821296784397</v>
      </c>
    </row>
    <row r="2654" spans="1:18" hidden="1">
      <c r="A2654" t="s">
        <v>21</v>
      </c>
      <c r="B2654" t="s">
        <v>19</v>
      </c>
      <c r="C2654" t="str">
        <f>SUBSTITUTE(Table1[[#This Row],[Fuel]],", ",",")</f>
        <v>bioenergy: refuse (municipal and industrial wastes)</v>
      </c>
      <c r="D2654" t="s">
        <v>19</v>
      </c>
      <c r="G2654">
        <v>12</v>
      </c>
      <c r="H2654" t="s">
        <v>27</v>
      </c>
      <c r="I2654">
        <v>2020</v>
      </c>
      <c r="J2654" t="s">
        <v>21</v>
      </c>
      <c r="K2654">
        <v>35.169621999999997</v>
      </c>
      <c r="L2654">
        <v>115.286269</v>
      </c>
      <c r="M2654" t="s">
        <v>102</v>
      </c>
      <c r="N2654" s="2">
        <f>Table1[[#This Row],[Capacity (MW)]]*8760*0.72*10^-6</f>
        <v>7.5686399999999987E-2</v>
      </c>
      <c r="O2654" s="2" cm="1">
        <f t="array" ref="O2654">AVERAGE(VLOOKUP(_xlfn.TEXTSPLIT(Table1[[#This Row],[Fuel (no space after comma)]], ","), FuelList_Final_EF!$A$2:$B$32, 2, FALSE))</f>
        <v>105.42962572482868</v>
      </c>
      <c r="P2654" s="2">
        <f>(16112*Table1[[#This Row],[Generation (TWh)]]*10^9)/10^6</f>
        <v>1219459.2767999996</v>
      </c>
      <c r="Q2654" s="2">
        <f>Table1[[#This Row],[Emission Factor (kg CO2/ mmBtu)]]*Table1[[#This Row],[Fuel Consumption (mmBtu)]]*10^3</f>
        <v>128567135139.69423</v>
      </c>
      <c r="R2654" s="2">
        <f>(Table1[[#This Row],[CO2 Emissions (g CO2)]])/(Table1[[#This Row],[Generation (TWh)]]*10^9)</f>
        <v>1698.6821296784397</v>
      </c>
    </row>
    <row r="2655" spans="1:18" hidden="1">
      <c r="A2655" t="s">
        <v>21</v>
      </c>
      <c r="B2655" t="s">
        <v>19</v>
      </c>
      <c r="C2655" t="str">
        <f>SUBSTITUTE(Table1[[#This Row],[Fuel]],", ",",")</f>
        <v>bioenergy: refuse (municipal and industrial wastes)</v>
      </c>
      <c r="D2655" t="s">
        <v>19</v>
      </c>
      <c r="G2655">
        <v>18</v>
      </c>
      <c r="H2655" t="s">
        <v>27</v>
      </c>
      <c r="I2655">
        <v>2021</v>
      </c>
      <c r="J2655" t="s">
        <v>21</v>
      </c>
      <c r="K2655">
        <v>35.078277999999997</v>
      </c>
      <c r="L2655">
        <v>115.65902199999999</v>
      </c>
      <c r="M2655" t="s">
        <v>102</v>
      </c>
      <c r="N2655" s="2">
        <f>Table1[[#This Row],[Capacity (MW)]]*8760*0.72*10^-6</f>
        <v>0.11352959999999998</v>
      </c>
      <c r="O2655" s="2" cm="1">
        <f t="array" ref="O2655">AVERAGE(VLOOKUP(_xlfn.TEXTSPLIT(Table1[[#This Row],[Fuel (no space after comma)]], ","), FuelList_Final_EF!$A$2:$B$32, 2, FALSE))</f>
        <v>105.42962572482868</v>
      </c>
      <c r="P2655" s="2">
        <f>(16112*Table1[[#This Row],[Generation (TWh)]]*10^9)/10^6</f>
        <v>1829188.9151999997</v>
      </c>
      <c r="Q2655" s="2">
        <f>Table1[[#This Row],[Emission Factor (kg CO2/ mmBtu)]]*Table1[[#This Row],[Fuel Consumption (mmBtu)]]*10^3</f>
        <v>192850702709.54135</v>
      </c>
      <c r="R2655" s="2">
        <f>(Table1[[#This Row],[CO2 Emissions (g CO2)]])/(Table1[[#This Row],[Generation (TWh)]]*10^9)</f>
        <v>1698.6821296784397</v>
      </c>
    </row>
    <row r="2656" spans="1:18" hidden="1">
      <c r="A2656" t="s">
        <v>54</v>
      </c>
      <c r="B2656" t="s">
        <v>46</v>
      </c>
      <c r="C2656" t="str">
        <f>SUBSTITUTE(Table1[[#This Row],[Fuel]],", ",",")</f>
        <v>bioenergy: agricultural waste (solids)</v>
      </c>
      <c r="D2656" t="s">
        <v>46</v>
      </c>
      <c r="G2656">
        <v>15</v>
      </c>
      <c r="H2656" t="s">
        <v>27</v>
      </c>
      <c r="I2656">
        <v>2013</v>
      </c>
      <c r="J2656" t="s">
        <v>21</v>
      </c>
      <c r="K2656">
        <v>36.077599999999997</v>
      </c>
      <c r="L2656">
        <v>120.0454</v>
      </c>
      <c r="M2656" t="s">
        <v>102</v>
      </c>
      <c r="N2656" s="2">
        <f>Table1[[#This Row],[Capacity (MW)]]*8760*0.72*10^-6</f>
        <v>9.4607999999999998E-2</v>
      </c>
      <c r="O2656" s="2" cm="1">
        <f t="array" ref="O2656">AVERAGE(VLOOKUP(_xlfn.TEXTSPLIT(Table1[[#This Row],[Fuel (no space after comma)]], ","), FuelList_Final_EF!$A$2:$B$32, 2, FALSE))</f>
        <v>118.17</v>
      </c>
      <c r="P2656" s="2">
        <f>(16112*Table1[[#This Row],[Generation (TWh)]]*10^9)/10^6</f>
        <v>1524324.0959999999</v>
      </c>
      <c r="Q2656" s="2">
        <f>Table1[[#This Row],[Emission Factor (kg CO2/ mmBtu)]]*Table1[[#This Row],[Fuel Consumption (mmBtu)]]*10^3</f>
        <v>180129378424.31998</v>
      </c>
      <c r="R2656" s="2">
        <f>(Table1[[#This Row],[CO2 Emissions (g CO2)]])/(Table1[[#This Row],[Generation (TWh)]]*10^9)</f>
        <v>1903.9550399999998</v>
      </c>
    </row>
    <row r="2657" spans="1:18" hidden="1">
      <c r="A2657" t="s">
        <v>54</v>
      </c>
      <c r="B2657" t="s">
        <v>46</v>
      </c>
      <c r="C2657" t="str">
        <f>SUBSTITUTE(Table1[[#This Row],[Fuel]],", ",",")</f>
        <v>bioenergy: agricultural waste (solids)</v>
      </c>
      <c r="D2657" t="s">
        <v>46</v>
      </c>
      <c r="G2657">
        <v>15</v>
      </c>
      <c r="H2657" t="s">
        <v>27</v>
      </c>
      <c r="I2657">
        <v>2013</v>
      </c>
      <c r="J2657" t="s">
        <v>21</v>
      </c>
      <c r="K2657">
        <v>36.077599999999997</v>
      </c>
      <c r="L2657">
        <v>120.0454</v>
      </c>
      <c r="M2657" t="s">
        <v>102</v>
      </c>
      <c r="N2657" s="2">
        <f>Table1[[#This Row],[Capacity (MW)]]*8760*0.72*10^-6</f>
        <v>9.4607999999999998E-2</v>
      </c>
      <c r="O2657" s="2" cm="1">
        <f t="array" ref="O2657">AVERAGE(VLOOKUP(_xlfn.TEXTSPLIT(Table1[[#This Row],[Fuel (no space after comma)]], ","), FuelList_Final_EF!$A$2:$B$32, 2, FALSE))</f>
        <v>118.17</v>
      </c>
      <c r="P2657" s="2">
        <f>(16112*Table1[[#This Row],[Generation (TWh)]]*10^9)/10^6</f>
        <v>1524324.0959999999</v>
      </c>
      <c r="Q2657" s="2">
        <f>Table1[[#This Row],[Emission Factor (kg CO2/ mmBtu)]]*Table1[[#This Row],[Fuel Consumption (mmBtu)]]*10^3</f>
        <v>180129378424.31998</v>
      </c>
      <c r="R2657" s="2">
        <f>(Table1[[#This Row],[CO2 Emissions (g CO2)]])/(Table1[[#This Row],[Generation (TWh)]]*10^9)</f>
        <v>1903.9550399999998</v>
      </c>
    </row>
    <row r="2658" spans="1:18" hidden="1">
      <c r="A2658" t="s">
        <v>54</v>
      </c>
      <c r="B2658" t="s">
        <v>19</v>
      </c>
      <c r="C2658" t="str">
        <f>SUBSTITUTE(Table1[[#This Row],[Fuel]],", ",",")</f>
        <v>bioenergy: refuse (municipal and industrial wastes)</v>
      </c>
      <c r="D2658" t="s">
        <v>19</v>
      </c>
      <c r="G2658">
        <v>15</v>
      </c>
      <c r="H2658" t="s">
        <v>27</v>
      </c>
      <c r="I2658">
        <v>2021</v>
      </c>
      <c r="J2658" t="s">
        <v>21</v>
      </c>
      <c r="K2658">
        <v>36.338200000000001</v>
      </c>
      <c r="L2658">
        <v>116.80200000000001</v>
      </c>
      <c r="M2658" t="s">
        <v>102</v>
      </c>
      <c r="N2658" s="2">
        <f>Table1[[#This Row],[Capacity (MW)]]*8760*0.72*10^-6</f>
        <v>9.4607999999999998E-2</v>
      </c>
      <c r="O2658" s="2" cm="1">
        <f t="array" ref="O2658">AVERAGE(VLOOKUP(_xlfn.TEXTSPLIT(Table1[[#This Row],[Fuel (no space after comma)]], ","), FuelList_Final_EF!$A$2:$B$32, 2, FALSE))</f>
        <v>105.42962572482868</v>
      </c>
      <c r="P2658" s="2">
        <f>(16112*Table1[[#This Row],[Generation (TWh)]]*10^9)/10^6</f>
        <v>1524324.0959999999</v>
      </c>
      <c r="Q2658" s="2">
        <f>Table1[[#This Row],[Emission Factor (kg CO2/ mmBtu)]]*Table1[[#This Row],[Fuel Consumption (mmBtu)]]*10^3</f>
        <v>160708918924.61783</v>
      </c>
      <c r="R2658" s="2">
        <f>(Table1[[#This Row],[CO2 Emissions (g CO2)]])/(Table1[[#This Row],[Generation (TWh)]]*10^9)</f>
        <v>1698.6821296784397</v>
      </c>
    </row>
    <row r="2659" spans="1:18" hidden="1">
      <c r="A2659" t="s">
        <v>54</v>
      </c>
      <c r="B2659" t="s">
        <v>19</v>
      </c>
      <c r="C2659" t="str">
        <f>SUBSTITUTE(Table1[[#This Row],[Fuel]],", ",",")</f>
        <v>bioenergy: refuse (municipal and industrial wastes)</v>
      </c>
      <c r="D2659" t="s">
        <v>19</v>
      </c>
      <c r="G2659">
        <v>15</v>
      </c>
      <c r="H2659" t="s">
        <v>27</v>
      </c>
      <c r="I2659">
        <v>2021</v>
      </c>
      <c r="J2659" t="s">
        <v>21</v>
      </c>
      <c r="K2659">
        <v>36.338200000000001</v>
      </c>
      <c r="L2659">
        <v>116.80200000000001</v>
      </c>
      <c r="M2659" t="s">
        <v>102</v>
      </c>
      <c r="N2659" s="2">
        <f>Table1[[#This Row],[Capacity (MW)]]*8760*0.72*10^-6</f>
        <v>9.4607999999999998E-2</v>
      </c>
      <c r="O2659" s="2" cm="1">
        <f t="array" ref="O2659">AVERAGE(VLOOKUP(_xlfn.TEXTSPLIT(Table1[[#This Row],[Fuel (no space after comma)]], ","), FuelList_Final_EF!$A$2:$B$32, 2, FALSE))</f>
        <v>105.42962572482868</v>
      </c>
      <c r="P2659" s="2">
        <f>(16112*Table1[[#This Row],[Generation (TWh)]]*10^9)/10^6</f>
        <v>1524324.0959999999</v>
      </c>
      <c r="Q2659" s="2">
        <f>Table1[[#This Row],[Emission Factor (kg CO2/ mmBtu)]]*Table1[[#This Row],[Fuel Consumption (mmBtu)]]*10^3</f>
        <v>160708918924.61783</v>
      </c>
      <c r="R2659" s="2">
        <f>(Table1[[#This Row],[CO2 Emissions (g CO2)]])/(Table1[[#This Row],[Generation (TWh)]]*10^9)</f>
        <v>1698.6821296784397</v>
      </c>
    </row>
    <row r="2660" spans="1:18">
      <c r="A2660" t="s">
        <v>54</v>
      </c>
      <c r="B2660" t="s">
        <v>41</v>
      </c>
      <c r="C2660" t="str">
        <f>SUBSTITUTE(Table1[[#This Row],[Fuel]],", ",",")</f>
        <v>bioenergy: refuse (municipal and industrial wastes),bioenergy: wastewater and sewage sludge (solids or biogas)</v>
      </c>
      <c r="D2660" t="s">
        <v>19</v>
      </c>
      <c r="E2660" t="s">
        <v>42</v>
      </c>
      <c r="G2660">
        <v>20</v>
      </c>
      <c r="H2660" t="s">
        <v>97</v>
      </c>
      <c r="I2660" t="s">
        <v>21</v>
      </c>
      <c r="J2660" t="s">
        <v>21</v>
      </c>
      <c r="K2660">
        <v>36.338200000000001</v>
      </c>
      <c r="L2660">
        <v>116.80200000000001</v>
      </c>
      <c r="M2660" t="s">
        <v>102</v>
      </c>
      <c r="N2660" s="2">
        <f>Table1[[#This Row],[Capacity (MW)]]*8760*0.72*10^-6</f>
        <v>0.12614400000000001</v>
      </c>
      <c r="O2660" s="2" cm="1">
        <f t="array" ref="O2660">AVERAGE(VLOOKUP(_xlfn.TEXTSPLIT(Table1[[#This Row],[Fuel (no space after comma)]], ","), FuelList_Final_EF!$A$2:$B$32, 2, FALSE))</f>
        <v>81.497100685292565</v>
      </c>
      <c r="P2660" s="2">
        <f>(16112*Table1[[#This Row],[Generation (TWh)]]*10^9)/10^6</f>
        <v>2032432.1280000003</v>
      </c>
      <c r="Q2660" s="2">
        <f>Table1[[#This Row],[Emission Factor (kg CO2/ mmBtu)]]*Table1[[#This Row],[Fuel Consumption (mmBtu)]]*10^3</f>
        <v>165637325771.63943</v>
      </c>
      <c r="R2660" s="2">
        <f>(Table1[[#This Row],[CO2 Emissions (g CO2)]])/(Table1[[#This Row],[Generation (TWh)]]*10^9)</f>
        <v>1313.0812862414339</v>
      </c>
    </row>
    <row r="2661" spans="1:18" hidden="1">
      <c r="A2661" t="s">
        <v>21</v>
      </c>
      <c r="B2661" t="s">
        <v>19</v>
      </c>
      <c r="C2661" t="str">
        <f>SUBSTITUTE(Table1[[#This Row],[Fuel]],", ",",")</f>
        <v>bioenergy: refuse (municipal and industrial wastes)</v>
      </c>
      <c r="D2661" t="s">
        <v>19</v>
      </c>
      <c r="G2661">
        <v>15</v>
      </c>
      <c r="H2661" t="s">
        <v>27</v>
      </c>
      <c r="I2661">
        <v>2020</v>
      </c>
      <c r="J2661" t="s">
        <v>21</v>
      </c>
      <c r="K2661">
        <v>35.534903999999997</v>
      </c>
      <c r="L2661">
        <v>116.640006</v>
      </c>
      <c r="M2661" t="s">
        <v>102</v>
      </c>
      <c r="N2661" s="2">
        <f>Table1[[#This Row],[Capacity (MW)]]*8760*0.72*10^-6</f>
        <v>9.4607999999999998E-2</v>
      </c>
      <c r="O2661" s="2" cm="1">
        <f t="array" ref="O2661">AVERAGE(VLOOKUP(_xlfn.TEXTSPLIT(Table1[[#This Row],[Fuel (no space after comma)]], ","), FuelList_Final_EF!$A$2:$B$32, 2, FALSE))</f>
        <v>105.42962572482868</v>
      </c>
      <c r="P2661" s="2">
        <f>(16112*Table1[[#This Row],[Generation (TWh)]]*10^9)/10^6</f>
        <v>1524324.0959999999</v>
      </c>
      <c r="Q2661" s="2">
        <f>Table1[[#This Row],[Emission Factor (kg CO2/ mmBtu)]]*Table1[[#This Row],[Fuel Consumption (mmBtu)]]*10^3</f>
        <v>160708918924.61783</v>
      </c>
      <c r="R2661" s="2">
        <f>(Table1[[#This Row],[CO2 Emissions (g CO2)]])/(Table1[[#This Row],[Generation (TWh)]]*10^9)</f>
        <v>1698.6821296784397</v>
      </c>
    </row>
    <row r="2662" spans="1:18" hidden="1">
      <c r="A2662" t="s">
        <v>21</v>
      </c>
      <c r="B2662" t="s">
        <v>19</v>
      </c>
      <c r="C2662" t="str">
        <f>SUBSTITUTE(Table1[[#This Row],[Fuel]],", ",",")</f>
        <v>bioenergy: refuse (municipal and industrial wastes)</v>
      </c>
      <c r="D2662" t="s">
        <v>19</v>
      </c>
      <c r="G2662">
        <v>15</v>
      </c>
      <c r="H2662" t="s">
        <v>27</v>
      </c>
      <c r="I2662">
        <v>2020</v>
      </c>
      <c r="J2662" t="s">
        <v>21</v>
      </c>
      <c r="K2662">
        <v>35.534903999999997</v>
      </c>
      <c r="L2662">
        <v>116.640006</v>
      </c>
      <c r="M2662" t="s">
        <v>102</v>
      </c>
      <c r="N2662" s="2">
        <f>Table1[[#This Row],[Capacity (MW)]]*8760*0.72*10^-6</f>
        <v>9.4607999999999998E-2</v>
      </c>
      <c r="O2662" s="2" cm="1">
        <f t="array" ref="O2662">AVERAGE(VLOOKUP(_xlfn.TEXTSPLIT(Table1[[#This Row],[Fuel (no space after comma)]], ","), FuelList_Final_EF!$A$2:$B$32, 2, FALSE))</f>
        <v>105.42962572482868</v>
      </c>
      <c r="P2662" s="2">
        <f>(16112*Table1[[#This Row],[Generation (TWh)]]*10^9)/10^6</f>
        <v>1524324.0959999999</v>
      </c>
      <c r="Q2662" s="2">
        <f>Table1[[#This Row],[Emission Factor (kg CO2/ mmBtu)]]*Table1[[#This Row],[Fuel Consumption (mmBtu)]]*10^3</f>
        <v>160708918924.61783</v>
      </c>
      <c r="R2662" s="2">
        <f>(Table1[[#This Row],[CO2 Emissions (g CO2)]])/(Table1[[#This Row],[Generation (TWh)]]*10^9)</f>
        <v>1698.6821296784397</v>
      </c>
    </row>
    <row r="2663" spans="1:18" hidden="1">
      <c r="A2663" t="s">
        <v>1313</v>
      </c>
      <c r="B2663" t="s">
        <v>19</v>
      </c>
      <c r="C2663" t="str">
        <f>SUBSTITUTE(Table1[[#This Row],[Fuel]],", ",",")</f>
        <v>bioenergy: refuse (municipal and industrial wastes)</v>
      </c>
      <c r="D2663" t="s">
        <v>19</v>
      </c>
      <c r="G2663">
        <v>9</v>
      </c>
      <c r="H2663" t="s">
        <v>27</v>
      </c>
      <c r="I2663">
        <v>2017</v>
      </c>
      <c r="J2663" t="s">
        <v>21</v>
      </c>
      <c r="K2663">
        <v>35.573759000000003</v>
      </c>
      <c r="L2663">
        <v>118.77466</v>
      </c>
      <c r="M2663" t="s">
        <v>102</v>
      </c>
      <c r="N2663" s="2">
        <f>Table1[[#This Row],[Capacity (MW)]]*8760*0.72*10^-6</f>
        <v>5.676479999999999E-2</v>
      </c>
      <c r="O2663" s="2" cm="1">
        <f t="array" ref="O2663">AVERAGE(VLOOKUP(_xlfn.TEXTSPLIT(Table1[[#This Row],[Fuel (no space after comma)]], ","), FuelList_Final_EF!$A$2:$B$32, 2, FALSE))</f>
        <v>105.42962572482868</v>
      </c>
      <c r="P2663" s="2">
        <f>(16112*Table1[[#This Row],[Generation (TWh)]]*10^9)/10^6</f>
        <v>914594.45759999985</v>
      </c>
      <c r="Q2663" s="2">
        <f>Table1[[#This Row],[Emission Factor (kg CO2/ mmBtu)]]*Table1[[#This Row],[Fuel Consumption (mmBtu)]]*10^3</f>
        <v>96425351354.770676</v>
      </c>
      <c r="R2663" s="2">
        <f>(Table1[[#This Row],[CO2 Emissions (g CO2)]])/(Table1[[#This Row],[Generation (TWh)]]*10^9)</f>
        <v>1698.6821296784397</v>
      </c>
    </row>
    <row r="2664" spans="1:18" hidden="1">
      <c r="A2664" t="s">
        <v>514</v>
      </c>
      <c r="B2664" t="s">
        <v>19</v>
      </c>
      <c r="C2664" t="str">
        <f>SUBSTITUTE(Table1[[#This Row],[Fuel]],", ",",")</f>
        <v>bioenergy: refuse (municipal and industrial wastes)</v>
      </c>
      <c r="D2664" t="s">
        <v>19</v>
      </c>
      <c r="G2664">
        <v>15</v>
      </c>
      <c r="H2664" t="s">
        <v>27</v>
      </c>
      <c r="I2664">
        <v>2018</v>
      </c>
      <c r="J2664" t="s">
        <v>21</v>
      </c>
      <c r="K2664">
        <v>36.911940999999999</v>
      </c>
      <c r="L2664">
        <v>120.661852</v>
      </c>
      <c r="M2664" t="s">
        <v>102</v>
      </c>
      <c r="N2664" s="2">
        <f>Table1[[#This Row],[Capacity (MW)]]*8760*0.72*10^-6</f>
        <v>9.4607999999999998E-2</v>
      </c>
      <c r="O2664" s="2" cm="1">
        <f t="array" ref="O2664">AVERAGE(VLOOKUP(_xlfn.TEXTSPLIT(Table1[[#This Row],[Fuel (no space after comma)]], ","), FuelList_Final_EF!$A$2:$B$32, 2, FALSE))</f>
        <v>105.42962572482868</v>
      </c>
      <c r="P2664" s="2">
        <f>(16112*Table1[[#This Row],[Generation (TWh)]]*10^9)/10^6</f>
        <v>1524324.0959999999</v>
      </c>
      <c r="Q2664" s="2">
        <f>Table1[[#This Row],[Emission Factor (kg CO2/ mmBtu)]]*Table1[[#This Row],[Fuel Consumption (mmBtu)]]*10^3</f>
        <v>160708918924.61783</v>
      </c>
      <c r="R2664" s="2">
        <f>(Table1[[#This Row],[CO2 Emissions (g CO2)]])/(Table1[[#This Row],[Generation (TWh)]]*10^9)</f>
        <v>1698.6821296784397</v>
      </c>
    </row>
    <row r="2665" spans="1:18" hidden="1">
      <c r="A2665" t="s">
        <v>21</v>
      </c>
      <c r="B2665" t="s">
        <v>19</v>
      </c>
      <c r="C2665" t="str">
        <f>SUBSTITUTE(Table1[[#This Row],[Fuel]],", ",",")</f>
        <v>bioenergy: refuse (municipal and industrial wastes)</v>
      </c>
      <c r="D2665" t="s">
        <v>19</v>
      </c>
      <c r="G2665">
        <v>9</v>
      </c>
      <c r="H2665" t="s">
        <v>27</v>
      </c>
      <c r="I2665">
        <v>2020</v>
      </c>
      <c r="J2665" t="s">
        <v>21</v>
      </c>
      <c r="K2665">
        <v>37.700750999999997</v>
      </c>
      <c r="L2665">
        <v>117.29394499999999</v>
      </c>
      <c r="M2665" t="s">
        <v>102</v>
      </c>
      <c r="N2665" s="2">
        <f>Table1[[#This Row],[Capacity (MW)]]*8760*0.72*10^-6</f>
        <v>5.676479999999999E-2</v>
      </c>
      <c r="O2665" s="2" cm="1">
        <f t="array" ref="O2665">AVERAGE(VLOOKUP(_xlfn.TEXTSPLIT(Table1[[#This Row],[Fuel (no space after comma)]], ","), FuelList_Final_EF!$A$2:$B$32, 2, FALSE))</f>
        <v>105.42962572482868</v>
      </c>
      <c r="P2665" s="2">
        <f>(16112*Table1[[#This Row],[Generation (TWh)]]*10^9)/10^6</f>
        <v>914594.45759999985</v>
      </c>
      <c r="Q2665" s="2">
        <f>Table1[[#This Row],[Emission Factor (kg CO2/ mmBtu)]]*Table1[[#This Row],[Fuel Consumption (mmBtu)]]*10^3</f>
        <v>96425351354.770676</v>
      </c>
      <c r="R2665" s="2">
        <f>(Table1[[#This Row],[CO2 Emissions (g CO2)]])/(Table1[[#This Row],[Generation (TWh)]]*10^9)</f>
        <v>1698.6821296784397</v>
      </c>
    </row>
    <row r="2666" spans="1:18" hidden="1">
      <c r="A2666" t="s">
        <v>21</v>
      </c>
      <c r="B2666" t="s">
        <v>19</v>
      </c>
      <c r="C2666" t="str">
        <f>SUBSTITUTE(Table1[[#This Row],[Fuel]],", ",",")</f>
        <v>bioenergy: refuse (municipal and industrial wastes)</v>
      </c>
      <c r="D2666" t="s">
        <v>19</v>
      </c>
      <c r="G2666">
        <v>12</v>
      </c>
      <c r="H2666" t="s">
        <v>27</v>
      </c>
      <c r="I2666">
        <v>2020</v>
      </c>
      <c r="J2666" t="s">
        <v>21</v>
      </c>
      <c r="K2666">
        <v>37.700750999999997</v>
      </c>
      <c r="L2666">
        <v>117.29394499999999</v>
      </c>
      <c r="M2666" t="s">
        <v>102</v>
      </c>
      <c r="N2666" s="2">
        <f>Table1[[#This Row],[Capacity (MW)]]*8760*0.72*10^-6</f>
        <v>7.5686399999999987E-2</v>
      </c>
      <c r="O2666" s="2" cm="1">
        <f t="array" ref="O2666">AVERAGE(VLOOKUP(_xlfn.TEXTSPLIT(Table1[[#This Row],[Fuel (no space after comma)]], ","), FuelList_Final_EF!$A$2:$B$32, 2, FALSE))</f>
        <v>105.42962572482868</v>
      </c>
      <c r="P2666" s="2">
        <f>(16112*Table1[[#This Row],[Generation (TWh)]]*10^9)/10^6</f>
        <v>1219459.2767999996</v>
      </c>
      <c r="Q2666" s="2">
        <f>Table1[[#This Row],[Emission Factor (kg CO2/ mmBtu)]]*Table1[[#This Row],[Fuel Consumption (mmBtu)]]*10^3</f>
        <v>128567135139.69423</v>
      </c>
      <c r="R2666" s="2">
        <f>(Table1[[#This Row],[CO2 Emissions (g CO2)]])/(Table1[[#This Row],[Generation (TWh)]]*10^9)</f>
        <v>1698.6821296784397</v>
      </c>
    </row>
    <row r="2667" spans="1:18" hidden="1">
      <c r="A2667" t="s">
        <v>21</v>
      </c>
      <c r="B2667" t="s">
        <v>19</v>
      </c>
      <c r="C2667" t="str">
        <f>SUBSTITUTE(Table1[[#This Row],[Fuel]],", ",",")</f>
        <v>bioenergy: refuse (municipal and industrial wastes)</v>
      </c>
      <c r="D2667" t="s">
        <v>19</v>
      </c>
      <c r="G2667">
        <v>15</v>
      </c>
      <c r="H2667" t="s">
        <v>27</v>
      </c>
      <c r="I2667">
        <v>2021</v>
      </c>
      <c r="J2667" t="s">
        <v>21</v>
      </c>
      <c r="K2667">
        <v>35.829160999999999</v>
      </c>
      <c r="L2667">
        <v>116.04685000000001</v>
      </c>
      <c r="M2667" t="s">
        <v>102</v>
      </c>
      <c r="N2667" s="2">
        <f>Table1[[#This Row],[Capacity (MW)]]*8760*0.72*10^-6</f>
        <v>9.4607999999999998E-2</v>
      </c>
      <c r="O2667" s="2" cm="1">
        <f t="array" ref="O2667">AVERAGE(VLOOKUP(_xlfn.TEXTSPLIT(Table1[[#This Row],[Fuel (no space after comma)]], ","), FuelList_Final_EF!$A$2:$B$32, 2, FALSE))</f>
        <v>105.42962572482868</v>
      </c>
      <c r="P2667" s="2">
        <f>(16112*Table1[[#This Row],[Generation (TWh)]]*10^9)/10^6</f>
        <v>1524324.0959999999</v>
      </c>
      <c r="Q2667" s="2">
        <f>Table1[[#This Row],[Emission Factor (kg CO2/ mmBtu)]]*Table1[[#This Row],[Fuel Consumption (mmBtu)]]*10^3</f>
        <v>160708918924.61783</v>
      </c>
      <c r="R2667" s="2">
        <f>(Table1[[#This Row],[CO2 Emissions (g CO2)]])/(Table1[[#This Row],[Generation (TWh)]]*10^9)</f>
        <v>1698.6821296784397</v>
      </c>
    </row>
    <row r="2668" spans="1:18" hidden="1">
      <c r="A2668" t="s">
        <v>21</v>
      </c>
      <c r="B2668" t="s">
        <v>19</v>
      </c>
      <c r="C2668" t="str">
        <f>SUBSTITUTE(Table1[[#This Row],[Fuel]],", ",",")</f>
        <v>bioenergy: refuse (municipal and industrial wastes)</v>
      </c>
      <c r="D2668" t="s">
        <v>19</v>
      </c>
      <c r="G2668">
        <v>12</v>
      </c>
      <c r="H2668" t="s">
        <v>27</v>
      </c>
      <c r="I2668">
        <v>2015</v>
      </c>
      <c r="J2668" t="s">
        <v>21</v>
      </c>
      <c r="K2668">
        <v>36.582321999999998</v>
      </c>
      <c r="L2668">
        <v>118.57601200000001</v>
      </c>
      <c r="M2668" t="s">
        <v>102</v>
      </c>
      <c r="N2668" s="2">
        <f>Table1[[#This Row],[Capacity (MW)]]*8760*0.72*10^-6</f>
        <v>7.5686399999999987E-2</v>
      </c>
      <c r="O2668" s="2" cm="1">
        <f t="array" ref="O2668">AVERAGE(VLOOKUP(_xlfn.TEXTSPLIT(Table1[[#This Row],[Fuel (no space after comma)]], ","), FuelList_Final_EF!$A$2:$B$32, 2, FALSE))</f>
        <v>105.42962572482868</v>
      </c>
      <c r="P2668" s="2">
        <f>(16112*Table1[[#This Row],[Generation (TWh)]]*10^9)/10^6</f>
        <v>1219459.2767999996</v>
      </c>
      <c r="Q2668" s="2">
        <f>Table1[[#This Row],[Emission Factor (kg CO2/ mmBtu)]]*Table1[[#This Row],[Fuel Consumption (mmBtu)]]*10^3</f>
        <v>128567135139.69423</v>
      </c>
      <c r="R2668" s="2">
        <f>(Table1[[#This Row],[CO2 Emissions (g CO2)]])/(Table1[[#This Row],[Generation (TWh)]]*10^9)</f>
        <v>1698.6821296784397</v>
      </c>
    </row>
    <row r="2669" spans="1:18" hidden="1">
      <c r="A2669" t="s">
        <v>21</v>
      </c>
      <c r="B2669" t="s">
        <v>19</v>
      </c>
      <c r="C2669" t="str">
        <f>SUBSTITUTE(Table1[[#This Row],[Fuel]],", ",",")</f>
        <v>bioenergy: refuse (municipal and industrial wastes)</v>
      </c>
      <c r="D2669" t="s">
        <v>19</v>
      </c>
      <c r="G2669">
        <v>12</v>
      </c>
      <c r="H2669" t="s">
        <v>27</v>
      </c>
      <c r="I2669">
        <v>2018</v>
      </c>
      <c r="J2669" t="s">
        <v>21</v>
      </c>
      <c r="K2669">
        <v>34.899814999999997</v>
      </c>
      <c r="L2669">
        <v>118.59358</v>
      </c>
      <c r="M2669" t="s">
        <v>102</v>
      </c>
      <c r="N2669" s="2">
        <f>Table1[[#This Row],[Capacity (MW)]]*8760*0.72*10^-6</f>
        <v>7.5686399999999987E-2</v>
      </c>
      <c r="O2669" s="2" cm="1">
        <f t="array" ref="O2669">AVERAGE(VLOOKUP(_xlfn.TEXTSPLIT(Table1[[#This Row],[Fuel (no space after comma)]], ","), FuelList_Final_EF!$A$2:$B$32, 2, FALSE))</f>
        <v>105.42962572482868</v>
      </c>
      <c r="P2669" s="2">
        <f>(16112*Table1[[#This Row],[Generation (TWh)]]*10^9)/10^6</f>
        <v>1219459.2767999996</v>
      </c>
      <c r="Q2669" s="2">
        <f>Table1[[#This Row],[Emission Factor (kg CO2/ mmBtu)]]*Table1[[#This Row],[Fuel Consumption (mmBtu)]]*10^3</f>
        <v>128567135139.69423</v>
      </c>
      <c r="R2669" s="2">
        <f>(Table1[[#This Row],[CO2 Emissions (g CO2)]])/(Table1[[#This Row],[Generation (TWh)]]*10^9)</f>
        <v>1698.6821296784397</v>
      </c>
    </row>
    <row r="2670" spans="1:18" hidden="1">
      <c r="A2670" t="s">
        <v>21</v>
      </c>
      <c r="B2670" t="s">
        <v>41</v>
      </c>
      <c r="C2670" t="str">
        <f>SUBSTITUTE(Table1[[#This Row],[Fuel]],", ",",")</f>
        <v>bioenergy: refuse (municipal and industrial wastes),bioenergy: wastewater and sewage sludge (solids or biogas)</v>
      </c>
      <c r="D2670" t="s">
        <v>19</v>
      </c>
      <c r="E2670" t="s">
        <v>42</v>
      </c>
      <c r="G2670">
        <v>9</v>
      </c>
      <c r="H2670" t="s">
        <v>27</v>
      </c>
      <c r="I2670">
        <v>2021</v>
      </c>
      <c r="J2670" t="s">
        <v>21</v>
      </c>
      <c r="K2670">
        <v>35.583063000000003</v>
      </c>
      <c r="L2670">
        <v>118.123865</v>
      </c>
      <c r="M2670" t="s">
        <v>102</v>
      </c>
      <c r="N2670" s="2">
        <f>Table1[[#This Row],[Capacity (MW)]]*8760*0.72*10^-6</f>
        <v>5.676479999999999E-2</v>
      </c>
      <c r="O2670" s="2" cm="1">
        <f t="array" ref="O2670">AVERAGE(VLOOKUP(_xlfn.TEXTSPLIT(Table1[[#This Row],[Fuel (no space after comma)]], ","), FuelList_Final_EF!$A$2:$B$32, 2, FALSE))</f>
        <v>81.497100685292565</v>
      </c>
      <c r="P2670" s="2">
        <f>(16112*Table1[[#This Row],[Generation (TWh)]]*10^9)/10^6</f>
        <v>914594.45759999985</v>
      </c>
      <c r="Q2670" s="2">
        <f>Table1[[#This Row],[Emission Factor (kg CO2/ mmBtu)]]*Table1[[#This Row],[Fuel Consumption (mmBtu)]]*10^3</f>
        <v>74536796597.237732</v>
      </c>
      <c r="R2670" s="2">
        <f>(Table1[[#This Row],[CO2 Emissions (g CO2)]])/(Table1[[#This Row],[Generation (TWh)]]*10^9)</f>
        <v>1313.0812862414339</v>
      </c>
    </row>
    <row r="2671" spans="1:18" hidden="1">
      <c r="A2671" t="s">
        <v>21</v>
      </c>
      <c r="B2671" t="s">
        <v>19</v>
      </c>
      <c r="C2671" t="str">
        <f>SUBSTITUTE(Table1[[#This Row],[Fuel]],", ",",")</f>
        <v>bioenergy: refuse (municipal and industrial wastes)</v>
      </c>
      <c r="D2671" t="s">
        <v>19</v>
      </c>
      <c r="G2671">
        <v>12</v>
      </c>
      <c r="H2671" t="s">
        <v>27</v>
      </c>
      <c r="I2671">
        <v>2021</v>
      </c>
      <c r="J2671" t="s">
        <v>21</v>
      </c>
      <c r="K2671">
        <v>35.476959999999998</v>
      </c>
      <c r="L2671">
        <v>117.57765000000001</v>
      </c>
      <c r="M2671" t="s">
        <v>102</v>
      </c>
      <c r="N2671" s="2">
        <f>Table1[[#This Row],[Capacity (MW)]]*8760*0.72*10^-6</f>
        <v>7.5686399999999987E-2</v>
      </c>
      <c r="O2671" s="2" cm="1">
        <f t="array" ref="O2671">AVERAGE(VLOOKUP(_xlfn.TEXTSPLIT(Table1[[#This Row],[Fuel (no space after comma)]], ","), FuelList_Final_EF!$A$2:$B$32, 2, FALSE))</f>
        <v>105.42962572482868</v>
      </c>
      <c r="P2671" s="2">
        <f>(16112*Table1[[#This Row],[Generation (TWh)]]*10^9)/10^6</f>
        <v>1219459.2767999996</v>
      </c>
      <c r="Q2671" s="2">
        <f>Table1[[#This Row],[Emission Factor (kg CO2/ mmBtu)]]*Table1[[#This Row],[Fuel Consumption (mmBtu)]]*10^3</f>
        <v>128567135139.69423</v>
      </c>
      <c r="R2671" s="2">
        <f>(Table1[[#This Row],[CO2 Emissions (g CO2)]])/(Table1[[#This Row],[Generation (TWh)]]*10^9)</f>
        <v>1698.6821296784397</v>
      </c>
    </row>
    <row r="2672" spans="1:18" hidden="1">
      <c r="A2672" t="s">
        <v>21</v>
      </c>
      <c r="B2672" t="s">
        <v>19</v>
      </c>
      <c r="C2672" t="str">
        <f>SUBSTITUTE(Table1[[#This Row],[Fuel]],", ",",")</f>
        <v>bioenergy: refuse (municipal and industrial wastes)</v>
      </c>
      <c r="D2672" t="s">
        <v>19</v>
      </c>
      <c r="G2672">
        <v>10</v>
      </c>
      <c r="H2672" t="s">
        <v>27</v>
      </c>
      <c r="I2672">
        <v>2019</v>
      </c>
      <c r="J2672" t="s">
        <v>21</v>
      </c>
      <c r="K2672">
        <v>36.822730999999997</v>
      </c>
      <c r="L2672">
        <v>116.751552</v>
      </c>
      <c r="M2672" t="s">
        <v>102</v>
      </c>
      <c r="N2672" s="2">
        <f>Table1[[#This Row],[Capacity (MW)]]*8760*0.72*10^-6</f>
        <v>6.3072000000000003E-2</v>
      </c>
      <c r="O2672" s="2" cm="1">
        <f t="array" ref="O2672">AVERAGE(VLOOKUP(_xlfn.TEXTSPLIT(Table1[[#This Row],[Fuel (no space after comma)]], ","), FuelList_Final_EF!$A$2:$B$32, 2, FALSE))</f>
        <v>105.42962572482868</v>
      </c>
      <c r="P2672" s="2">
        <f>(16112*Table1[[#This Row],[Generation (TWh)]]*10^9)/10^6</f>
        <v>1016216.0640000001</v>
      </c>
      <c r="Q2672" s="2">
        <f>Table1[[#This Row],[Emission Factor (kg CO2/ mmBtu)]]*Table1[[#This Row],[Fuel Consumption (mmBtu)]]*10^3</f>
        <v>107139279283.07857</v>
      </c>
      <c r="R2672" s="2">
        <f>(Table1[[#This Row],[CO2 Emissions (g CO2)]])/(Table1[[#This Row],[Generation (TWh)]]*10^9)</f>
        <v>1698.6821296784401</v>
      </c>
    </row>
    <row r="2673" spans="1:18" hidden="1">
      <c r="A2673" t="s">
        <v>21</v>
      </c>
      <c r="B2673" t="s">
        <v>19</v>
      </c>
      <c r="C2673" t="str">
        <f>SUBSTITUTE(Table1[[#This Row],[Fuel]],", ",",")</f>
        <v>bioenergy: refuse (municipal and industrial wastes)</v>
      </c>
      <c r="D2673" t="s">
        <v>19</v>
      </c>
      <c r="G2673">
        <v>9</v>
      </c>
      <c r="H2673" t="s">
        <v>27</v>
      </c>
      <c r="I2673">
        <v>2018</v>
      </c>
      <c r="J2673" t="s">
        <v>21</v>
      </c>
      <c r="K2673">
        <v>35.343608000000003</v>
      </c>
      <c r="L2673">
        <v>119.39183</v>
      </c>
      <c r="M2673" t="s">
        <v>102</v>
      </c>
      <c r="N2673" s="2">
        <f>Table1[[#This Row],[Capacity (MW)]]*8760*0.72*10^-6</f>
        <v>5.676479999999999E-2</v>
      </c>
      <c r="O2673" s="2" cm="1">
        <f t="array" ref="O2673">AVERAGE(VLOOKUP(_xlfn.TEXTSPLIT(Table1[[#This Row],[Fuel (no space after comma)]], ","), FuelList_Final_EF!$A$2:$B$32, 2, FALSE))</f>
        <v>105.42962572482868</v>
      </c>
      <c r="P2673" s="2">
        <f>(16112*Table1[[#This Row],[Generation (TWh)]]*10^9)/10^6</f>
        <v>914594.45759999985</v>
      </c>
      <c r="Q2673" s="2">
        <f>Table1[[#This Row],[Emission Factor (kg CO2/ mmBtu)]]*Table1[[#This Row],[Fuel Consumption (mmBtu)]]*10^3</f>
        <v>96425351354.770676</v>
      </c>
      <c r="R2673" s="2">
        <f>(Table1[[#This Row],[CO2 Emissions (g CO2)]])/(Table1[[#This Row],[Generation (TWh)]]*10^9)</f>
        <v>1698.6821296784397</v>
      </c>
    </row>
    <row r="2674" spans="1:18" hidden="1">
      <c r="A2674" t="s">
        <v>21</v>
      </c>
      <c r="B2674" t="s">
        <v>19</v>
      </c>
      <c r="C2674" t="str">
        <f>SUBSTITUTE(Table1[[#This Row],[Fuel]],", ",",")</f>
        <v>bioenergy: refuse (municipal and industrial wastes)</v>
      </c>
      <c r="D2674" t="s">
        <v>19</v>
      </c>
      <c r="G2674">
        <v>12</v>
      </c>
      <c r="H2674" t="s">
        <v>27</v>
      </c>
      <c r="I2674">
        <v>2016</v>
      </c>
      <c r="J2674" t="s">
        <v>21</v>
      </c>
      <c r="K2674">
        <v>35.343608000000003</v>
      </c>
      <c r="L2674">
        <v>119.39183</v>
      </c>
      <c r="M2674" t="s">
        <v>102</v>
      </c>
      <c r="N2674" s="2">
        <f>Table1[[#This Row],[Capacity (MW)]]*8760*0.72*10^-6</f>
        <v>7.5686399999999987E-2</v>
      </c>
      <c r="O2674" s="2" cm="1">
        <f t="array" ref="O2674">AVERAGE(VLOOKUP(_xlfn.TEXTSPLIT(Table1[[#This Row],[Fuel (no space after comma)]], ","), FuelList_Final_EF!$A$2:$B$32, 2, FALSE))</f>
        <v>105.42962572482868</v>
      </c>
      <c r="P2674" s="2">
        <f>(16112*Table1[[#This Row],[Generation (TWh)]]*10^9)/10^6</f>
        <v>1219459.2767999996</v>
      </c>
      <c r="Q2674" s="2">
        <f>Table1[[#This Row],[Emission Factor (kg CO2/ mmBtu)]]*Table1[[#This Row],[Fuel Consumption (mmBtu)]]*10^3</f>
        <v>128567135139.69423</v>
      </c>
      <c r="R2674" s="2">
        <f>(Table1[[#This Row],[CO2 Emissions (g CO2)]])/(Table1[[#This Row],[Generation (TWh)]]*10^9)</f>
        <v>1698.6821296784397</v>
      </c>
    </row>
    <row r="2675" spans="1:18" hidden="1">
      <c r="A2675" t="s">
        <v>284</v>
      </c>
      <c r="B2675" t="s">
        <v>19</v>
      </c>
      <c r="C2675" t="str">
        <f>SUBSTITUTE(Table1[[#This Row],[Fuel]],", ",",")</f>
        <v>bioenergy: refuse (municipal and industrial wastes)</v>
      </c>
      <c r="D2675" t="s">
        <v>19</v>
      </c>
      <c r="G2675">
        <v>12</v>
      </c>
      <c r="H2675" t="s">
        <v>27</v>
      </c>
      <c r="I2675">
        <v>2015</v>
      </c>
      <c r="J2675" t="s">
        <v>21</v>
      </c>
      <c r="K2675">
        <v>37.107582999999998</v>
      </c>
      <c r="L2675">
        <v>122.384308</v>
      </c>
      <c r="M2675" t="s">
        <v>102</v>
      </c>
      <c r="N2675" s="2">
        <f>Table1[[#This Row],[Capacity (MW)]]*8760*0.72*10^-6</f>
        <v>7.5686399999999987E-2</v>
      </c>
      <c r="O2675" s="2" cm="1">
        <f t="array" ref="O2675">AVERAGE(VLOOKUP(_xlfn.TEXTSPLIT(Table1[[#This Row],[Fuel (no space after comma)]], ","), FuelList_Final_EF!$A$2:$B$32, 2, FALSE))</f>
        <v>105.42962572482868</v>
      </c>
      <c r="P2675" s="2">
        <f>(16112*Table1[[#This Row],[Generation (TWh)]]*10^9)/10^6</f>
        <v>1219459.2767999996</v>
      </c>
      <c r="Q2675" s="2">
        <f>Table1[[#This Row],[Emission Factor (kg CO2/ mmBtu)]]*Table1[[#This Row],[Fuel Consumption (mmBtu)]]*10^3</f>
        <v>128567135139.69423</v>
      </c>
      <c r="R2675" s="2">
        <f>(Table1[[#This Row],[CO2 Emissions (g CO2)]])/(Table1[[#This Row],[Generation (TWh)]]*10^9)</f>
        <v>1698.6821296784397</v>
      </c>
    </row>
    <row r="2676" spans="1:18" hidden="1">
      <c r="A2676" t="s">
        <v>284</v>
      </c>
      <c r="B2676" t="s">
        <v>19</v>
      </c>
      <c r="C2676" t="str">
        <f>SUBSTITUTE(Table1[[#This Row],[Fuel]],", ",",")</f>
        <v>bioenergy: refuse (municipal and industrial wastes)</v>
      </c>
      <c r="D2676" t="s">
        <v>19</v>
      </c>
      <c r="G2676">
        <v>12</v>
      </c>
      <c r="H2676" t="s">
        <v>27</v>
      </c>
      <c r="I2676">
        <v>2020</v>
      </c>
      <c r="J2676" t="s">
        <v>21</v>
      </c>
      <c r="K2676">
        <v>37.107582999999998</v>
      </c>
      <c r="L2676">
        <v>122.384308</v>
      </c>
      <c r="M2676" t="s">
        <v>102</v>
      </c>
      <c r="N2676" s="2">
        <f>Table1[[#This Row],[Capacity (MW)]]*8760*0.72*10^-6</f>
        <v>7.5686399999999987E-2</v>
      </c>
      <c r="O2676" s="2" cm="1">
        <f t="array" ref="O2676">AVERAGE(VLOOKUP(_xlfn.TEXTSPLIT(Table1[[#This Row],[Fuel (no space after comma)]], ","), FuelList_Final_EF!$A$2:$B$32, 2, FALSE))</f>
        <v>105.42962572482868</v>
      </c>
      <c r="P2676" s="2">
        <f>(16112*Table1[[#This Row],[Generation (TWh)]]*10^9)/10^6</f>
        <v>1219459.2767999996</v>
      </c>
      <c r="Q2676" s="2">
        <f>Table1[[#This Row],[Emission Factor (kg CO2/ mmBtu)]]*Table1[[#This Row],[Fuel Consumption (mmBtu)]]*10^3</f>
        <v>128567135139.69423</v>
      </c>
      <c r="R2676" s="2">
        <f>(Table1[[#This Row],[CO2 Emissions (g CO2)]])/(Table1[[#This Row],[Generation (TWh)]]*10^9)</f>
        <v>1698.6821296784397</v>
      </c>
    </row>
    <row r="2677" spans="1:18" hidden="1">
      <c r="A2677" t="s">
        <v>21</v>
      </c>
      <c r="B2677" t="s">
        <v>19</v>
      </c>
      <c r="C2677" t="str">
        <f>SUBSTITUTE(Table1[[#This Row],[Fuel]],", ",",")</f>
        <v>bioenergy: refuse (municipal and industrial wastes)</v>
      </c>
      <c r="D2677" t="s">
        <v>19</v>
      </c>
      <c r="G2677">
        <v>6</v>
      </c>
      <c r="H2677" t="s">
        <v>27</v>
      </c>
      <c r="I2677">
        <v>2009</v>
      </c>
      <c r="J2677" t="s">
        <v>21</v>
      </c>
      <c r="K2677">
        <v>36.177390000000003</v>
      </c>
      <c r="L2677">
        <v>116.971389</v>
      </c>
      <c r="M2677" t="s">
        <v>102</v>
      </c>
      <c r="N2677" s="2">
        <f>Table1[[#This Row],[Capacity (MW)]]*8760*0.72*10^-6</f>
        <v>3.7843199999999994E-2</v>
      </c>
      <c r="O2677" s="2" cm="1">
        <f t="array" ref="O2677">AVERAGE(VLOOKUP(_xlfn.TEXTSPLIT(Table1[[#This Row],[Fuel (no space after comma)]], ","), FuelList_Final_EF!$A$2:$B$32, 2, FALSE))</f>
        <v>105.42962572482868</v>
      </c>
      <c r="P2677" s="2">
        <f>(16112*Table1[[#This Row],[Generation (TWh)]]*10^9)/10^6</f>
        <v>609729.63839999982</v>
      </c>
      <c r="Q2677" s="2">
        <f>Table1[[#This Row],[Emission Factor (kg CO2/ mmBtu)]]*Table1[[#This Row],[Fuel Consumption (mmBtu)]]*10^3</f>
        <v>64283567569.847115</v>
      </c>
      <c r="R2677" s="2">
        <f>(Table1[[#This Row],[CO2 Emissions (g CO2)]])/(Table1[[#This Row],[Generation (TWh)]]*10^9)</f>
        <v>1698.6821296784397</v>
      </c>
    </row>
    <row r="2678" spans="1:18" hidden="1">
      <c r="A2678" t="s">
        <v>21</v>
      </c>
      <c r="B2678" t="s">
        <v>19</v>
      </c>
      <c r="C2678" t="str">
        <f>SUBSTITUTE(Table1[[#This Row],[Fuel]],", ",",")</f>
        <v>bioenergy: refuse (municipal and industrial wastes)</v>
      </c>
      <c r="D2678" t="s">
        <v>19</v>
      </c>
      <c r="G2678">
        <v>12</v>
      </c>
      <c r="H2678" t="s">
        <v>27</v>
      </c>
      <c r="I2678">
        <v>2009</v>
      </c>
      <c r="J2678" t="s">
        <v>21</v>
      </c>
      <c r="K2678">
        <v>36.177390000000003</v>
      </c>
      <c r="L2678">
        <v>116.971389</v>
      </c>
      <c r="M2678" t="s">
        <v>102</v>
      </c>
      <c r="N2678" s="2">
        <f>Table1[[#This Row],[Capacity (MW)]]*8760*0.72*10^-6</f>
        <v>7.5686399999999987E-2</v>
      </c>
      <c r="O2678" s="2" cm="1">
        <f t="array" ref="O2678">AVERAGE(VLOOKUP(_xlfn.TEXTSPLIT(Table1[[#This Row],[Fuel (no space after comma)]], ","), FuelList_Final_EF!$A$2:$B$32, 2, FALSE))</f>
        <v>105.42962572482868</v>
      </c>
      <c r="P2678" s="2">
        <f>(16112*Table1[[#This Row],[Generation (TWh)]]*10^9)/10^6</f>
        <v>1219459.2767999996</v>
      </c>
      <c r="Q2678" s="2">
        <f>Table1[[#This Row],[Emission Factor (kg CO2/ mmBtu)]]*Table1[[#This Row],[Fuel Consumption (mmBtu)]]*10^3</f>
        <v>128567135139.69423</v>
      </c>
      <c r="R2678" s="2">
        <f>(Table1[[#This Row],[CO2 Emissions (g CO2)]])/(Table1[[#This Row],[Generation (TWh)]]*10^9)</f>
        <v>1698.6821296784397</v>
      </c>
    </row>
    <row r="2679" spans="1:18" hidden="1">
      <c r="A2679" t="s">
        <v>21</v>
      </c>
      <c r="B2679" t="s">
        <v>19</v>
      </c>
      <c r="C2679" t="str">
        <f>SUBSTITUTE(Table1[[#This Row],[Fuel]],", ",",")</f>
        <v>bioenergy: refuse (municipal and industrial wastes)</v>
      </c>
      <c r="D2679" t="s">
        <v>19</v>
      </c>
      <c r="G2679">
        <v>12</v>
      </c>
      <c r="H2679" t="s">
        <v>27</v>
      </c>
      <c r="I2679">
        <v>2018</v>
      </c>
      <c r="J2679" t="s">
        <v>21</v>
      </c>
      <c r="K2679">
        <v>36.177390000000003</v>
      </c>
      <c r="L2679">
        <v>116.971389</v>
      </c>
      <c r="M2679" t="s">
        <v>102</v>
      </c>
      <c r="N2679" s="2">
        <f>Table1[[#This Row],[Capacity (MW)]]*8760*0.72*10^-6</f>
        <v>7.5686399999999987E-2</v>
      </c>
      <c r="O2679" s="2" cm="1">
        <f t="array" ref="O2679">AVERAGE(VLOOKUP(_xlfn.TEXTSPLIT(Table1[[#This Row],[Fuel (no space after comma)]], ","), FuelList_Final_EF!$A$2:$B$32, 2, FALSE))</f>
        <v>105.42962572482868</v>
      </c>
      <c r="P2679" s="2">
        <f>(16112*Table1[[#This Row],[Generation (TWh)]]*10^9)/10^6</f>
        <v>1219459.2767999996</v>
      </c>
      <c r="Q2679" s="2">
        <f>Table1[[#This Row],[Emission Factor (kg CO2/ mmBtu)]]*Table1[[#This Row],[Fuel Consumption (mmBtu)]]*10^3</f>
        <v>128567135139.69423</v>
      </c>
      <c r="R2679" s="2">
        <f>(Table1[[#This Row],[CO2 Emissions (g CO2)]])/(Table1[[#This Row],[Generation (TWh)]]*10^9)</f>
        <v>1698.6821296784397</v>
      </c>
    </row>
    <row r="2680" spans="1:18" hidden="1">
      <c r="A2680" t="s">
        <v>21</v>
      </c>
      <c r="B2680" t="s">
        <v>19</v>
      </c>
      <c r="C2680" t="str">
        <f>SUBSTITUTE(Table1[[#This Row],[Fuel]],", ",",")</f>
        <v>bioenergy: refuse (municipal and industrial wastes)</v>
      </c>
      <c r="D2680" t="s">
        <v>19</v>
      </c>
      <c r="G2680">
        <v>7.5</v>
      </c>
      <c r="H2680" t="s">
        <v>27</v>
      </c>
      <c r="I2680">
        <v>2017</v>
      </c>
      <c r="J2680" t="s">
        <v>21</v>
      </c>
      <c r="K2680">
        <v>34.685718999999999</v>
      </c>
      <c r="L2680">
        <v>118.240488</v>
      </c>
      <c r="M2680" t="s">
        <v>102</v>
      </c>
      <c r="N2680" s="2">
        <f>Table1[[#This Row],[Capacity (MW)]]*8760*0.72*10^-6</f>
        <v>4.7303999999999999E-2</v>
      </c>
      <c r="O2680" s="2" cm="1">
        <f t="array" ref="O2680">AVERAGE(VLOOKUP(_xlfn.TEXTSPLIT(Table1[[#This Row],[Fuel (no space after comma)]], ","), FuelList_Final_EF!$A$2:$B$32, 2, FALSE))</f>
        <v>105.42962572482868</v>
      </c>
      <c r="P2680" s="2">
        <f>(16112*Table1[[#This Row],[Generation (TWh)]]*10^9)/10^6</f>
        <v>762162.04799999995</v>
      </c>
      <c r="Q2680" s="2">
        <f>Table1[[#This Row],[Emission Factor (kg CO2/ mmBtu)]]*Table1[[#This Row],[Fuel Consumption (mmBtu)]]*10^3</f>
        <v>80354459462.308914</v>
      </c>
      <c r="R2680" s="2">
        <f>(Table1[[#This Row],[CO2 Emissions (g CO2)]])/(Table1[[#This Row],[Generation (TWh)]]*10^9)</f>
        <v>1698.6821296784397</v>
      </c>
    </row>
    <row r="2681" spans="1:18" hidden="1">
      <c r="A2681" t="s">
        <v>21</v>
      </c>
      <c r="B2681" t="s">
        <v>19</v>
      </c>
      <c r="C2681" t="str">
        <f>SUBSTITUTE(Table1[[#This Row],[Fuel]],", ",",")</f>
        <v>bioenergy: refuse (municipal and industrial wastes)</v>
      </c>
      <c r="D2681" t="s">
        <v>19</v>
      </c>
      <c r="G2681">
        <v>7.5</v>
      </c>
      <c r="H2681" t="s">
        <v>27</v>
      </c>
      <c r="I2681">
        <v>2018</v>
      </c>
      <c r="J2681" t="s">
        <v>21</v>
      </c>
      <c r="K2681">
        <v>34.685718999999999</v>
      </c>
      <c r="L2681">
        <v>118.240488</v>
      </c>
      <c r="M2681" t="s">
        <v>102</v>
      </c>
      <c r="N2681" s="2">
        <f>Table1[[#This Row],[Capacity (MW)]]*8760*0.72*10^-6</f>
        <v>4.7303999999999999E-2</v>
      </c>
      <c r="O2681" s="2" cm="1">
        <f t="array" ref="O2681">AVERAGE(VLOOKUP(_xlfn.TEXTSPLIT(Table1[[#This Row],[Fuel (no space after comma)]], ","), FuelList_Final_EF!$A$2:$B$32, 2, FALSE))</f>
        <v>105.42962572482868</v>
      </c>
      <c r="P2681" s="2">
        <f>(16112*Table1[[#This Row],[Generation (TWh)]]*10^9)/10^6</f>
        <v>762162.04799999995</v>
      </c>
      <c r="Q2681" s="2">
        <f>Table1[[#This Row],[Emission Factor (kg CO2/ mmBtu)]]*Table1[[#This Row],[Fuel Consumption (mmBtu)]]*10^3</f>
        <v>80354459462.308914</v>
      </c>
      <c r="R2681" s="2">
        <f>(Table1[[#This Row],[CO2 Emissions (g CO2)]])/(Table1[[#This Row],[Generation (TWh)]]*10^9)</f>
        <v>1698.6821296784397</v>
      </c>
    </row>
    <row r="2682" spans="1:18" hidden="1">
      <c r="A2682" t="s">
        <v>21</v>
      </c>
      <c r="B2682" t="s">
        <v>19</v>
      </c>
      <c r="C2682" t="str">
        <f>SUBSTITUTE(Table1[[#This Row],[Fuel]],", ",",")</f>
        <v>bioenergy: refuse (municipal and industrial wastes)</v>
      </c>
      <c r="D2682" t="s">
        <v>19</v>
      </c>
      <c r="G2682">
        <v>12</v>
      </c>
      <c r="H2682" t="s">
        <v>27</v>
      </c>
      <c r="I2682">
        <v>2014</v>
      </c>
      <c r="J2682" t="s">
        <v>21</v>
      </c>
      <c r="K2682">
        <v>37.463808999999998</v>
      </c>
      <c r="L2682">
        <v>121.93117700000001</v>
      </c>
      <c r="M2682" t="s">
        <v>102</v>
      </c>
      <c r="N2682" s="2">
        <f>Table1[[#This Row],[Capacity (MW)]]*8760*0.72*10^-6</f>
        <v>7.5686399999999987E-2</v>
      </c>
      <c r="O2682" s="2" cm="1">
        <f t="array" ref="O2682">AVERAGE(VLOOKUP(_xlfn.TEXTSPLIT(Table1[[#This Row],[Fuel (no space after comma)]], ","), FuelList_Final_EF!$A$2:$B$32, 2, FALSE))</f>
        <v>105.42962572482868</v>
      </c>
      <c r="P2682" s="2">
        <f>(16112*Table1[[#This Row],[Generation (TWh)]]*10^9)/10^6</f>
        <v>1219459.2767999996</v>
      </c>
      <c r="Q2682" s="2">
        <f>Table1[[#This Row],[Emission Factor (kg CO2/ mmBtu)]]*Table1[[#This Row],[Fuel Consumption (mmBtu)]]*10^3</f>
        <v>128567135139.69423</v>
      </c>
      <c r="R2682" s="2">
        <f>(Table1[[#This Row],[CO2 Emissions (g CO2)]])/(Table1[[#This Row],[Generation (TWh)]]*10^9)</f>
        <v>1698.6821296784397</v>
      </c>
    </row>
    <row r="2683" spans="1:18" hidden="1">
      <c r="A2683" t="s">
        <v>21</v>
      </c>
      <c r="B2683" t="s">
        <v>19</v>
      </c>
      <c r="C2683" t="str">
        <f>SUBSTITUTE(Table1[[#This Row],[Fuel]],", ",",")</f>
        <v>bioenergy: refuse (municipal and industrial wastes)</v>
      </c>
      <c r="D2683" t="s">
        <v>19</v>
      </c>
      <c r="G2683">
        <v>15</v>
      </c>
      <c r="H2683" t="s">
        <v>27</v>
      </c>
      <c r="I2683">
        <v>2021</v>
      </c>
      <c r="J2683" t="s">
        <v>21</v>
      </c>
      <c r="K2683">
        <v>35.735911999999999</v>
      </c>
      <c r="L2683">
        <v>116.35974</v>
      </c>
      <c r="M2683" t="s">
        <v>102</v>
      </c>
      <c r="N2683" s="2">
        <f>Table1[[#This Row],[Capacity (MW)]]*8760*0.72*10^-6</f>
        <v>9.4607999999999998E-2</v>
      </c>
      <c r="O2683" s="2" cm="1">
        <f t="array" ref="O2683">AVERAGE(VLOOKUP(_xlfn.TEXTSPLIT(Table1[[#This Row],[Fuel (no space after comma)]], ","), FuelList_Final_EF!$A$2:$B$32, 2, FALSE))</f>
        <v>105.42962572482868</v>
      </c>
      <c r="P2683" s="2">
        <f>(16112*Table1[[#This Row],[Generation (TWh)]]*10^9)/10^6</f>
        <v>1524324.0959999999</v>
      </c>
      <c r="Q2683" s="2">
        <f>Table1[[#This Row],[Emission Factor (kg CO2/ mmBtu)]]*Table1[[#This Row],[Fuel Consumption (mmBtu)]]*10^3</f>
        <v>160708918924.61783</v>
      </c>
      <c r="R2683" s="2">
        <f>(Table1[[#This Row],[CO2 Emissions (g CO2)]])/(Table1[[#This Row],[Generation (TWh)]]*10^9)</f>
        <v>1698.6821296784397</v>
      </c>
    </row>
    <row r="2684" spans="1:18" hidden="1">
      <c r="A2684" t="s">
        <v>21</v>
      </c>
      <c r="B2684" t="s">
        <v>19</v>
      </c>
      <c r="C2684" t="str">
        <f>SUBSTITUTE(Table1[[#This Row],[Fuel]],", ",",")</f>
        <v>bioenergy: refuse (municipal and industrial wastes)</v>
      </c>
      <c r="D2684" t="s">
        <v>19</v>
      </c>
      <c r="G2684">
        <v>4.5</v>
      </c>
      <c r="H2684" t="s">
        <v>27</v>
      </c>
      <c r="I2684">
        <v>2018</v>
      </c>
      <c r="J2684" t="s">
        <v>21</v>
      </c>
      <c r="K2684">
        <v>35.786743999999999</v>
      </c>
      <c r="L2684">
        <v>119.281285</v>
      </c>
      <c r="M2684" t="s">
        <v>102</v>
      </c>
      <c r="N2684" s="2">
        <f>Table1[[#This Row],[Capacity (MW)]]*8760*0.72*10^-6</f>
        <v>2.8382399999999995E-2</v>
      </c>
      <c r="O2684" s="2" cm="1">
        <f t="array" ref="O2684">AVERAGE(VLOOKUP(_xlfn.TEXTSPLIT(Table1[[#This Row],[Fuel (no space after comma)]], ","), FuelList_Final_EF!$A$2:$B$32, 2, FALSE))</f>
        <v>105.42962572482868</v>
      </c>
      <c r="P2684" s="2">
        <f>(16112*Table1[[#This Row],[Generation (TWh)]]*10^9)/10^6</f>
        <v>457297.22879999992</v>
      </c>
      <c r="Q2684" s="2">
        <f>Table1[[#This Row],[Emission Factor (kg CO2/ mmBtu)]]*Table1[[#This Row],[Fuel Consumption (mmBtu)]]*10^3</f>
        <v>48212675677.385338</v>
      </c>
      <c r="R2684" s="2">
        <f>(Table1[[#This Row],[CO2 Emissions (g CO2)]])/(Table1[[#This Row],[Generation (TWh)]]*10^9)</f>
        <v>1698.6821296784397</v>
      </c>
    </row>
    <row r="2685" spans="1:18" hidden="1">
      <c r="A2685" t="s">
        <v>21</v>
      </c>
      <c r="B2685" t="s">
        <v>41</v>
      </c>
      <c r="C2685" t="str">
        <f>SUBSTITUTE(Table1[[#This Row],[Fuel]],", ",",")</f>
        <v>bioenergy: refuse (municipal and industrial wastes),bioenergy: wastewater and sewage sludge (solids or biogas)</v>
      </c>
      <c r="D2685" t="s">
        <v>19</v>
      </c>
      <c r="E2685" t="s">
        <v>42</v>
      </c>
      <c r="G2685">
        <v>6</v>
      </c>
      <c r="H2685" t="s">
        <v>27</v>
      </c>
      <c r="I2685">
        <v>2015</v>
      </c>
      <c r="J2685" t="s">
        <v>21</v>
      </c>
      <c r="K2685">
        <v>36.123105000000002</v>
      </c>
      <c r="L2685">
        <v>115.75158399999999</v>
      </c>
      <c r="M2685" t="s">
        <v>102</v>
      </c>
      <c r="N2685" s="2">
        <f>Table1[[#This Row],[Capacity (MW)]]*8760*0.72*10^-6</f>
        <v>3.7843199999999994E-2</v>
      </c>
      <c r="O2685" s="2" cm="1">
        <f t="array" ref="O2685">AVERAGE(VLOOKUP(_xlfn.TEXTSPLIT(Table1[[#This Row],[Fuel (no space after comma)]], ","), FuelList_Final_EF!$A$2:$B$32, 2, FALSE))</f>
        <v>81.497100685292565</v>
      </c>
      <c r="P2685" s="2">
        <f>(16112*Table1[[#This Row],[Generation (TWh)]]*10^9)/10^6</f>
        <v>609729.63839999982</v>
      </c>
      <c r="Q2685" s="2">
        <f>Table1[[#This Row],[Emission Factor (kg CO2/ mmBtu)]]*Table1[[#This Row],[Fuel Consumption (mmBtu)]]*10^3</f>
        <v>49691197731.491814</v>
      </c>
      <c r="R2685" s="2">
        <f>(Table1[[#This Row],[CO2 Emissions (g CO2)]])/(Table1[[#This Row],[Generation (TWh)]]*10^9)</f>
        <v>1313.0812862414336</v>
      </c>
    </row>
    <row r="2686" spans="1:18" hidden="1">
      <c r="A2686" t="s">
        <v>21</v>
      </c>
      <c r="B2686" t="s">
        <v>41</v>
      </c>
      <c r="C2686" t="str">
        <f>SUBSTITUTE(Table1[[#This Row],[Fuel]],", ",",")</f>
        <v>bioenergy: refuse (municipal and industrial wastes),bioenergy: wastewater and sewage sludge (solids or biogas)</v>
      </c>
      <c r="D2686" t="s">
        <v>19</v>
      </c>
      <c r="E2686" t="s">
        <v>42</v>
      </c>
      <c r="G2686">
        <v>6</v>
      </c>
      <c r="H2686" t="s">
        <v>27</v>
      </c>
      <c r="I2686">
        <v>2015</v>
      </c>
      <c r="J2686" t="s">
        <v>21</v>
      </c>
      <c r="K2686">
        <v>36.123105000000002</v>
      </c>
      <c r="L2686">
        <v>115.75158399999999</v>
      </c>
      <c r="M2686" t="s">
        <v>102</v>
      </c>
      <c r="N2686" s="2">
        <f>Table1[[#This Row],[Capacity (MW)]]*8760*0.72*10^-6</f>
        <v>3.7843199999999994E-2</v>
      </c>
      <c r="O2686" s="2" cm="1">
        <f t="array" ref="O2686">AVERAGE(VLOOKUP(_xlfn.TEXTSPLIT(Table1[[#This Row],[Fuel (no space after comma)]], ","), FuelList_Final_EF!$A$2:$B$32, 2, FALSE))</f>
        <v>81.497100685292565</v>
      </c>
      <c r="P2686" s="2">
        <f>(16112*Table1[[#This Row],[Generation (TWh)]]*10^9)/10^6</f>
        <v>609729.63839999982</v>
      </c>
      <c r="Q2686" s="2">
        <f>Table1[[#This Row],[Emission Factor (kg CO2/ mmBtu)]]*Table1[[#This Row],[Fuel Consumption (mmBtu)]]*10^3</f>
        <v>49691197731.491814</v>
      </c>
      <c r="R2686" s="2">
        <f>(Table1[[#This Row],[CO2 Emissions (g CO2)]])/(Table1[[#This Row],[Generation (TWh)]]*10^9)</f>
        <v>1313.0812862414336</v>
      </c>
    </row>
    <row r="2687" spans="1:18" hidden="1">
      <c r="A2687" t="s">
        <v>21</v>
      </c>
      <c r="B2687" t="s">
        <v>19</v>
      </c>
      <c r="C2687" t="str">
        <f>SUBSTITUTE(Table1[[#This Row],[Fuel]],", ",",")</f>
        <v>bioenergy: refuse (municipal and industrial wastes)</v>
      </c>
      <c r="D2687" t="s">
        <v>19</v>
      </c>
      <c r="G2687">
        <v>10</v>
      </c>
      <c r="H2687" t="s">
        <v>27</v>
      </c>
      <c r="I2687">
        <v>2020</v>
      </c>
      <c r="J2687" t="s">
        <v>21</v>
      </c>
      <c r="K2687">
        <v>37.696221999999999</v>
      </c>
      <c r="L2687">
        <v>117.54555000000001</v>
      </c>
      <c r="M2687" t="s">
        <v>102</v>
      </c>
      <c r="N2687" s="2">
        <f>Table1[[#This Row],[Capacity (MW)]]*8760*0.72*10^-6</f>
        <v>6.3072000000000003E-2</v>
      </c>
      <c r="O2687" s="2" cm="1">
        <f t="array" ref="O2687">AVERAGE(VLOOKUP(_xlfn.TEXTSPLIT(Table1[[#This Row],[Fuel (no space after comma)]], ","), FuelList_Final_EF!$A$2:$B$32, 2, FALSE))</f>
        <v>105.42962572482868</v>
      </c>
      <c r="P2687" s="2">
        <f>(16112*Table1[[#This Row],[Generation (TWh)]]*10^9)/10^6</f>
        <v>1016216.0640000001</v>
      </c>
      <c r="Q2687" s="2">
        <f>Table1[[#This Row],[Emission Factor (kg CO2/ mmBtu)]]*Table1[[#This Row],[Fuel Consumption (mmBtu)]]*10^3</f>
        <v>107139279283.07857</v>
      </c>
      <c r="R2687" s="2">
        <f>(Table1[[#This Row],[CO2 Emissions (g CO2)]])/(Table1[[#This Row],[Generation (TWh)]]*10^9)</f>
        <v>1698.6821296784401</v>
      </c>
    </row>
    <row r="2688" spans="1:18" hidden="1">
      <c r="A2688" t="s">
        <v>21</v>
      </c>
      <c r="B2688" t="s">
        <v>41</v>
      </c>
      <c r="C2688" t="str">
        <f>SUBSTITUTE(Table1[[#This Row],[Fuel]],", ",",")</f>
        <v>bioenergy: refuse (municipal and industrial wastes),bioenergy: wastewater and sewage sludge (solids or biogas)</v>
      </c>
      <c r="D2688" t="s">
        <v>19</v>
      </c>
      <c r="E2688" t="s">
        <v>42</v>
      </c>
      <c r="G2688">
        <v>18</v>
      </c>
      <c r="H2688" t="s">
        <v>27</v>
      </c>
      <c r="I2688">
        <v>2021</v>
      </c>
      <c r="J2688" t="s">
        <v>21</v>
      </c>
      <c r="K2688">
        <v>37.600737000000002</v>
      </c>
      <c r="L2688">
        <v>121.08704899999999</v>
      </c>
      <c r="M2688" t="s">
        <v>102</v>
      </c>
      <c r="N2688" s="2">
        <f>Table1[[#This Row],[Capacity (MW)]]*8760*0.72*10^-6</f>
        <v>0.11352959999999998</v>
      </c>
      <c r="O2688" s="2" cm="1">
        <f t="array" ref="O2688">AVERAGE(VLOOKUP(_xlfn.TEXTSPLIT(Table1[[#This Row],[Fuel (no space after comma)]], ","), FuelList_Final_EF!$A$2:$B$32, 2, FALSE))</f>
        <v>81.497100685292565</v>
      </c>
      <c r="P2688" s="2">
        <f>(16112*Table1[[#This Row],[Generation (TWh)]]*10^9)/10^6</f>
        <v>1829188.9151999997</v>
      </c>
      <c r="Q2688" s="2">
        <f>Table1[[#This Row],[Emission Factor (kg CO2/ mmBtu)]]*Table1[[#This Row],[Fuel Consumption (mmBtu)]]*10^3</f>
        <v>149073593194.47546</v>
      </c>
      <c r="R2688" s="2">
        <f>(Table1[[#This Row],[CO2 Emissions (g CO2)]])/(Table1[[#This Row],[Generation (TWh)]]*10^9)</f>
        <v>1313.0812862414339</v>
      </c>
    </row>
    <row r="2689" spans="1:18" hidden="1">
      <c r="A2689" t="s">
        <v>21</v>
      </c>
      <c r="B2689" t="s">
        <v>19</v>
      </c>
      <c r="C2689" t="str">
        <f>SUBSTITUTE(Table1[[#This Row],[Fuel]],", ",",")</f>
        <v>bioenergy: refuse (municipal and industrial wastes)</v>
      </c>
      <c r="D2689" t="s">
        <v>19</v>
      </c>
      <c r="G2689">
        <v>7.5</v>
      </c>
      <c r="H2689" t="s">
        <v>27</v>
      </c>
      <c r="I2689">
        <v>2018</v>
      </c>
      <c r="J2689" t="s">
        <v>21</v>
      </c>
      <c r="K2689">
        <v>37.331772999999998</v>
      </c>
      <c r="L2689">
        <v>121.52516199999999</v>
      </c>
      <c r="M2689" t="s">
        <v>102</v>
      </c>
      <c r="N2689" s="2">
        <f>Table1[[#This Row],[Capacity (MW)]]*8760*0.72*10^-6</f>
        <v>4.7303999999999999E-2</v>
      </c>
      <c r="O2689" s="2" cm="1">
        <f t="array" ref="O2689">AVERAGE(VLOOKUP(_xlfn.TEXTSPLIT(Table1[[#This Row],[Fuel (no space after comma)]], ","), FuelList_Final_EF!$A$2:$B$32, 2, FALSE))</f>
        <v>105.42962572482868</v>
      </c>
      <c r="P2689" s="2">
        <f>(16112*Table1[[#This Row],[Generation (TWh)]]*10^9)/10^6</f>
        <v>762162.04799999995</v>
      </c>
      <c r="Q2689" s="2">
        <f>Table1[[#This Row],[Emission Factor (kg CO2/ mmBtu)]]*Table1[[#This Row],[Fuel Consumption (mmBtu)]]*10^3</f>
        <v>80354459462.308914</v>
      </c>
      <c r="R2689" s="2">
        <f>(Table1[[#This Row],[CO2 Emissions (g CO2)]])/(Table1[[#This Row],[Generation (TWh)]]*10^9)</f>
        <v>1698.6821296784397</v>
      </c>
    </row>
    <row r="2690" spans="1:18" hidden="1">
      <c r="A2690" t="s">
        <v>21</v>
      </c>
      <c r="B2690" t="s">
        <v>19</v>
      </c>
      <c r="C2690" t="str">
        <f>SUBSTITUTE(Table1[[#This Row],[Fuel]],", ",",")</f>
        <v>bioenergy: refuse (municipal and industrial wastes)</v>
      </c>
      <c r="D2690" t="s">
        <v>19</v>
      </c>
      <c r="G2690">
        <v>7.5</v>
      </c>
      <c r="H2690" t="s">
        <v>27</v>
      </c>
      <c r="I2690">
        <v>2018</v>
      </c>
      <c r="J2690" t="s">
        <v>21</v>
      </c>
      <c r="K2690">
        <v>37.331772999999998</v>
      </c>
      <c r="L2690">
        <v>121.52516199999999</v>
      </c>
      <c r="M2690" t="s">
        <v>102</v>
      </c>
      <c r="N2690" s="2">
        <f>Table1[[#This Row],[Capacity (MW)]]*8760*0.72*10^-6</f>
        <v>4.7303999999999999E-2</v>
      </c>
      <c r="O2690" s="2" cm="1">
        <f t="array" ref="O2690">AVERAGE(VLOOKUP(_xlfn.TEXTSPLIT(Table1[[#This Row],[Fuel (no space after comma)]], ","), FuelList_Final_EF!$A$2:$B$32, 2, FALSE))</f>
        <v>105.42962572482868</v>
      </c>
      <c r="P2690" s="2">
        <f>(16112*Table1[[#This Row],[Generation (TWh)]]*10^9)/10^6</f>
        <v>762162.04799999995</v>
      </c>
      <c r="Q2690" s="2">
        <f>Table1[[#This Row],[Emission Factor (kg CO2/ mmBtu)]]*Table1[[#This Row],[Fuel Consumption (mmBtu)]]*10^3</f>
        <v>80354459462.308914</v>
      </c>
      <c r="R2690" s="2">
        <f>(Table1[[#This Row],[CO2 Emissions (g CO2)]])/(Table1[[#This Row],[Generation (TWh)]]*10^9)</f>
        <v>1698.6821296784397</v>
      </c>
    </row>
    <row r="2691" spans="1:18" hidden="1">
      <c r="A2691" t="s">
        <v>1339</v>
      </c>
      <c r="B2691" t="s">
        <v>19</v>
      </c>
      <c r="C2691" t="str">
        <f>SUBSTITUTE(Table1[[#This Row],[Fuel]],", ",",")</f>
        <v>bioenergy: refuse (municipal and industrial wastes)</v>
      </c>
      <c r="D2691" t="s">
        <v>19</v>
      </c>
      <c r="G2691">
        <v>12</v>
      </c>
      <c r="H2691" t="s">
        <v>27</v>
      </c>
      <c r="I2691">
        <v>2019</v>
      </c>
      <c r="J2691" t="s">
        <v>21</v>
      </c>
      <c r="K2691">
        <v>35.465029999999999</v>
      </c>
      <c r="L2691">
        <v>118.55037400000001</v>
      </c>
      <c r="M2691" t="s">
        <v>102</v>
      </c>
      <c r="N2691" s="2">
        <f>Table1[[#This Row],[Capacity (MW)]]*8760*0.72*10^-6</f>
        <v>7.5686399999999987E-2</v>
      </c>
      <c r="O2691" s="2" cm="1">
        <f t="array" ref="O2691">AVERAGE(VLOOKUP(_xlfn.TEXTSPLIT(Table1[[#This Row],[Fuel (no space after comma)]], ","), FuelList_Final_EF!$A$2:$B$32, 2, FALSE))</f>
        <v>105.42962572482868</v>
      </c>
      <c r="P2691" s="2">
        <f>(16112*Table1[[#This Row],[Generation (TWh)]]*10^9)/10^6</f>
        <v>1219459.2767999996</v>
      </c>
      <c r="Q2691" s="2">
        <f>Table1[[#This Row],[Emission Factor (kg CO2/ mmBtu)]]*Table1[[#This Row],[Fuel Consumption (mmBtu)]]*10^3</f>
        <v>128567135139.69423</v>
      </c>
      <c r="R2691" s="2">
        <f>(Table1[[#This Row],[CO2 Emissions (g CO2)]])/(Table1[[#This Row],[Generation (TWh)]]*10^9)</f>
        <v>1698.6821296784397</v>
      </c>
    </row>
    <row r="2692" spans="1:18" hidden="1">
      <c r="A2692" t="s">
        <v>21</v>
      </c>
      <c r="B2692" t="s">
        <v>19</v>
      </c>
      <c r="C2692" t="str">
        <f>SUBSTITUTE(Table1[[#This Row],[Fuel]],", ",",")</f>
        <v>bioenergy: refuse (municipal and industrial wastes)</v>
      </c>
      <c r="D2692" t="s">
        <v>19</v>
      </c>
      <c r="G2692">
        <v>15</v>
      </c>
      <c r="H2692" t="s">
        <v>27</v>
      </c>
      <c r="I2692">
        <v>2020</v>
      </c>
      <c r="J2692" t="s">
        <v>21</v>
      </c>
      <c r="K2692">
        <v>34.882406000000003</v>
      </c>
      <c r="L2692">
        <v>117.341607</v>
      </c>
      <c r="M2692" t="s">
        <v>102</v>
      </c>
      <c r="N2692" s="2">
        <f>Table1[[#This Row],[Capacity (MW)]]*8760*0.72*10^-6</f>
        <v>9.4607999999999998E-2</v>
      </c>
      <c r="O2692" s="2" cm="1">
        <f t="array" ref="O2692">AVERAGE(VLOOKUP(_xlfn.TEXTSPLIT(Table1[[#This Row],[Fuel (no space after comma)]], ","), FuelList_Final_EF!$A$2:$B$32, 2, FALSE))</f>
        <v>105.42962572482868</v>
      </c>
      <c r="P2692" s="2">
        <f>(16112*Table1[[#This Row],[Generation (TWh)]]*10^9)/10^6</f>
        <v>1524324.0959999999</v>
      </c>
      <c r="Q2692" s="2">
        <f>Table1[[#This Row],[Emission Factor (kg CO2/ mmBtu)]]*Table1[[#This Row],[Fuel Consumption (mmBtu)]]*10^3</f>
        <v>160708918924.61783</v>
      </c>
      <c r="R2692" s="2">
        <f>(Table1[[#This Row],[CO2 Emissions (g CO2)]])/(Table1[[#This Row],[Generation (TWh)]]*10^9)</f>
        <v>1698.6821296784397</v>
      </c>
    </row>
    <row r="2693" spans="1:18" hidden="1">
      <c r="A2693" t="s">
        <v>21</v>
      </c>
      <c r="B2693" t="s">
        <v>19</v>
      </c>
      <c r="C2693" t="str">
        <f>SUBSTITUTE(Table1[[#This Row],[Fuel]],", ",",")</f>
        <v>bioenergy: refuse (municipal and industrial wastes)</v>
      </c>
      <c r="D2693" t="s">
        <v>19</v>
      </c>
      <c r="G2693">
        <v>15</v>
      </c>
      <c r="H2693" t="s">
        <v>27</v>
      </c>
      <c r="I2693">
        <v>2020</v>
      </c>
      <c r="J2693" t="s">
        <v>21</v>
      </c>
      <c r="K2693">
        <v>34.882406000000003</v>
      </c>
      <c r="L2693">
        <v>117.341607</v>
      </c>
      <c r="M2693" t="s">
        <v>102</v>
      </c>
      <c r="N2693" s="2">
        <f>Table1[[#This Row],[Capacity (MW)]]*8760*0.72*10^-6</f>
        <v>9.4607999999999998E-2</v>
      </c>
      <c r="O2693" s="2" cm="1">
        <f t="array" ref="O2693">AVERAGE(VLOOKUP(_xlfn.TEXTSPLIT(Table1[[#This Row],[Fuel (no space after comma)]], ","), FuelList_Final_EF!$A$2:$B$32, 2, FALSE))</f>
        <v>105.42962572482868</v>
      </c>
      <c r="P2693" s="2">
        <f>(16112*Table1[[#This Row],[Generation (TWh)]]*10^9)/10^6</f>
        <v>1524324.0959999999</v>
      </c>
      <c r="Q2693" s="2">
        <f>Table1[[#This Row],[Emission Factor (kg CO2/ mmBtu)]]*Table1[[#This Row],[Fuel Consumption (mmBtu)]]*10^3</f>
        <v>160708918924.61783</v>
      </c>
      <c r="R2693" s="2">
        <f>(Table1[[#This Row],[CO2 Emissions (g CO2)]])/(Table1[[#This Row],[Generation (TWh)]]*10^9)</f>
        <v>1698.6821296784397</v>
      </c>
    </row>
    <row r="2694" spans="1:18" hidden="1">
      <c r="A2694" t="s">
        <v>21</v>
      </c>
      <c r="B2694" t="s">
        <v>19</v>
      </c>
      <c r="C2694" t="str">
        <f>SUBSTITUTE(Table1[[#This Row],[Fuel]],", ",",")</f>
        <v>bioenergy: refuse (municipal and industrial wastes)</v>
      </c>
      <c r="D2694" t="s">
        <v>19</v>
      </c>
      <c r="G2694">
        <v>10</v>
      </c>
      <c r="H2694" t="s">
        <v>27</v>
      </c>
      <c r="I2694">
        <v>2022</v>
      </c>
      <c r="J2694" t="s">
        <v>21</v>
      </c>
      <c r="K2694">
        <v>34.667715000000001</v>
      </c>
      <c r="L2694">
        <v>117.732923</v>
      </c>
      <c r="M2694" t="s">
        <v>102</v>
      </c>
      <c r="N2694" s="2">
        <f>Table1[[#This Row],[Capacity (MW)]]*8760*0.72*10^-6</f>
        <v>6.3072000000000003E-2</v>
      </c>
      <c r="O2694" s="2" cm="1">
        <f t="array" ref="O2694">AVERAGE(VLOOKUP(_xlfn.TEXTSPLIT(Table1[[#This Row],[Fuel (no space after comma)]], ","), FuelList_Final_EF!$A$2:$B$32, 2, FALSE))</f>
        <v>105.42962572482868</v>
      </c>
      <c r="P2694" s="2">
        <f>(16112*Table1[[#This Row],[Generation (TWh)]]*10^9)/10^6</f>
        <v>1016216.0640000001</v>
      </c>
      <c r="Q2694" s="2">
        <f>Table1[[#This Row],[Emission Factor (kg CO2/ mmBtu)]]*Table1[[#This Row],[Fuel Consumption (mmBtu)]]*10^3</f>
        <v>107139279283.07857</v>
      </c>
      <c r="R2694" s="2">
        <f>(Table1[[#This Row],[CO2 Emissions (g CO2)]])/(Table1[[#This Row],[Generation (TWh)]]*10^9)</f>
        <v>1698.6821296784401</v>
      </c>
    </row>
    <row r="2695" spans="1:18" hidden="1">
      <c r="A2695" t="s">
        <v>1123</v>
      </c>
      <c r="B2695" t="s">
        <v>19</v>
      </c>
      <c r="C2695" t="str">
        <f>SUBSTITUTE(Table1[[#This Row],[Fuel]],", ",",")</f>
        <v>bioenergy: refuse (municipal and industrial wastes)</v>
      </c>
      <c r="D2695" t="s">
        <v>19</v>
      </c>
      <c r="G2695">
        <v>12</v>
      </c>
      <c r="H2695" t="s">
        <v>27</v>
      </c>
      <c r="I2695">
        <v>2019</v>
      </c>
      <c r="J2695" t="s">
        <v>21</v>
      </c>
      <c r="K2695">
        <v>36.938240999999998</v>
      </c>
      <c r="L2695">
        <v>117.279448</v>
      </c>
      <c r="M2695" t="s">
        <v>102</v>
      </c>
      <c r="N2695" s="2">
        <f>Table1[[#This Row],[Capacity (MW)]]*8760*0.72*10^-6</f>
        <v>7.5686399999999987E-2</v>
      </c>
      <c r="O2695" s="2" cm="1">
        <f t="array" ref="O2695">AVERAGE(VLOOKUP(_xlfn.TEXTSPLIT(Table1[[#This Row],[Fuel (no space after comma)]], ","), FuelList_Final_EF!$A$2:$B$32, 2, FALSE))</f>
        <v>105.42962572482868</v>
      </c>
      <c r="P2695" s="2">
        <f>(16112*Table1[[#This Row],[Generation (TWh)]]*10^9)/10^6</f>
        <v>1219459.2767999996</v>
      </c>
      <c r="Q2695" s="2">
        <f>Table1[[#This Row],[Emission Factor (kg CO2/ mmBtu)]]*Table1[[#This Row],[Fuel Consumption (mmBtu)]]*10^3</f>
        <v>128567135139.69423</v>
      </c>
      <c r="R2695" s="2">
        <f>(Table1[[#This Row],[CO2 Emissions (g CO2)]])/(Table1[[#This Row],[Generation (TWh)]]*10^9)</f>
        <v>1698.6821296784397</v>
      </c>
    </row>
    <row r="2696" spans="1:18" hidden="1">
      <c r="A2696" t="s">
        <v>1123</v>
      </c>
      <c r="B2696" t="s">
        <v>19</v>
      </c>
      <c r="C2696" t="str">
        <f>SUBSTITUTE(Table1[[#This Row],[Fuel]],", ",",")</f>
        <v>bioenergy: refuse (municipal and industrial wastes)</v>
      </c>
      <c r="D2696" t="s">
        <v>19</v>
      </c>
      <c r="G2696">
        <v>12</v>
      </c>
      <c r="H2696" t="s">
        <v>27</v>
      </c>
      <c r="I2696">
        <v>2019</v>
      </c>
      <c r="J2696" t="s">
        <v>21</v>
      </c>
      <c r="K2696">
        <v>36.938240999999998</v>
      </c>
      <c r="L2696">
        <v>117.279448</v>
      </c>
      <c r="M2696" t="s">
        <v>102</v>
      </c>
      <c r="N2696" s="2">
        <f>Table1[[#This Row],[Capacity (MW)]]*8760*0.72*10^-6</f>
        <v>7.5686399999999987E-2</v>
      </c>
      <c r="O2696" s="2" cm="1">
        <f t="array" ref="O2696">AVERAGE(VLOOKUP(_xlfn.TEXTSPLIT(Table1[[#This Row],[Fuel (no space after comma)]], ","), FuelList_Final_EF!$A$2:$B$32, 2, FALSE))</f>
        <v>105.42962572482868</v>
      </c>
      <c r="P2696" s="2">
        <f>(16112*Table1[[#This Row],[Generation (TWh)]]*10^9)/10^6</f>
        <v>1219459.2767999996</v>
      </c>
      <c r="Q2696" s="2">
        <f>Table1[[#This Row],[Emission Factor (kg CO2/ mmBtu)]]*Table1[[#This Row],[Fuel Consumption (mmBtu)]]*10^3</f>
        <v>128567135139.69423</v>
      </c>
      <c r="R2696" s="2">
        <f>(Table1[[#This Row],[CO2 Emissions (g CO2)]])/(Table1[[#This Row],[Generation (TWh)]]*10^9)</f>
        <v>1698.6821296784397</v>
      </c>
    </row>
    <row r="2697" spans="1:18" hidden="1">
      <c r="A2697" t="s">
        <v>21</v>
      </c>
      <c r="B2697" t="s">
        <v>19</v>
      </c>
      <c r="C2697" t="str">
        <f>SUBSTITUTE(Table1[[#This Row],[Fuel]],", ",",")</f>
        <v>bioenergy: refuse (municipal and industrial wastes)</v>
      </c>
      <c r="D2697" t="s">
        <v>19</v>
      </c>
      <c r="G2697">
        <v>9</v>
      </c>
      <c r="H2697" t="s">
        <v>27</v>
      </c>
      <c r="I2697">
        <v>2020</v>
      </c>
      <c r="J2697" t="s">
        <v>21</v>
      </c>
      <c r="K2697">
        <v>36.054571000000003</v>
      </c>
      <c r="L2697">
        <v>119.20010000000001</v>
      </c>
      <c r="M2697" t="s">
        <v>102</v>
      </c>
      <c r="N2697" s="2">
        <f>Table1[[#This Row],[Capacity (MW)]]*8760*0.72*10^-6</f>
        <v>5.676479999999999E-2</v>
      </c>
      <c r="O2697" s="2" cm="1">
        <f t="array" ref="O2697">AVERAGE(VLOOKUP(_xlfn.TEXTSPLIT(Table1[[#This Row],[Fuel (no space after comma)]], ","), FuelList_Final_EF!$A$2:$B$32, 2, FALSE))</f>
        <v>105.42962572482868</v>
      </c>
      <c r="P2697" s="2">
        <f>(16112*Table1[[#This Row],[Generation (TWh)]]*10^9)/10^6</f>
        <v>914594.45759999985</v>
      </c>
      <c r="Q2697" s="2">
        <f>Table1[[#This Row],[Emission Factor (kg CO2/ mmBtu)]]*Table1[[#This Row],[Fuel Consumption (mmBtu)]]*10^3</f>
        <v>96425351354.770676</v>
      </c>
      <c r="R2697" s="2">
        <f>(Table1[[#This Row],[CO2 Emissions (g CO2)]])/(Table1[[#This Row],[Generation (TWh)]]*10^9)</f>
        <v>1698.6821296784397</v>
      </c>
    </row>
    <row r="2698" spans="1:18">
      <c r="A2698" t="s">
        <v>21</v>
      </c>
      <c r="B2698" t="s">
        <v>46</v>
      </c>
      <c r="C2698" t="str">
        <f>SUBSTITUTE(Table1[[#This Row],[Fuel]],", ",",")</f>
        <v>bioenergy: agricultural waste (solids)</v>
      </c>
      <c r="D2698" t="s">
        <v>46</v>
      </c>
      <c r="G2698">
        <v>10</v>
      </c>
      <c r="H2698" t="s">
        <v>53</v>
      </c>
      <c r="I2698" t="s">
        <v>21</v>
      </c>
      <c r="J2698" t="s">
        <v>21</v>
      </c>
      <c r="K2698">
        <v>37.042529000000002</v>
      </c>
      <c r="L2698">
        <v>118.05413799999999</v>
      </c>
      <c r="M2698" t="s">
        <v>102</v>
      </c>
      <c r="N2698" s="2">
        <f>Table1[[#This Row],[Capacity (MW)]]*8760*0.72*10^-6</f>
        <v>6.3072000000000003E-2</v>
      </c>
      <c r="O2698" s="2" cm="1">
        <f t="array" ref="O2698">AVERAGE(VLOOKUP(_xlfn.TEXTSPLIT(Table1[[#This Row],[Fuel (no space after comma)]], ","), FuelList_Final_EF!$A$2:$B$32, 2, FALSE))</f>
        <v>118.17</v>
      </c>
      <c r="P2698" s="2">
        <f>(16112*Table1[[#This Row],[Generation (TWh)]]*10^9)/10^6</f>
        <v>1016216.0640000001</v>
      </c>
      <c r="Q2698" s="2">
        <f>Table1[[#This Row],[Emission Factor (kg CO2/ mmBtu)]]*Table1[[#This Row],[Fuel Consumption (mmBtu)]]*10^3</f>
        <v>120086252282.88002</v>
      </c>
      <c r="R2698" s="2">
        <f>(Table1[[#This Row],[CO2 Emissions (g CO2)]])/(Table1[[#This Row],[Generation (TWh)]]*10^9)</f>
        <v>1903.9550400000003</v>
      </c>
    </row>
    <row r="2699" spans="1:18">
      <c r="A2699" t="s">
        <v>21</v>
      </c>
      <c r="B2699" t="s">
        <v>46</v>
      </c>
      <c r="C2699" t="str">
        <f>SUBSTITUTE(Table1[[#This Row],[Fuel]],", ",",")</f>
        <v>bioenergy: agricultural waste (solids)</v>
      </c>
      <c r="D2699" t="s">
        <v>46</v>
      </c>
      <c r="G2699">
        <v>20</v>
      </c>
      <c r="H2699" t="s">
        <v>53</v>
      </c>
      <c r="I2699" t="s">
        <v>21</v>
      </c>
      <c r="J2699" t="s">
        <v>21</v>
      </c>
      <c r="K2699">
        <v>37.042529000000002</v>
      </c>
      <c r="L2699">
        <v>118.05413799999999</v>
      </c>
      <c r="M2699" t="s">
        <v>102</v>
      </c>
      <c r="N2699" s="2">
        <f>Table1[[#This Row],[Capacity (MW)]]*8760*0.72*10^-6</f>
        <v>0.12614400000000001</v>
      </c>
      <c r="O2699" s="2" cm="1">
        <f t="array" ref="O2699">AVERAGE(VLOOKUP(_xlfn.TEXTSPLIT(Table1[[#This Row],[Fuel (no space after comma)]], ","), FuelList_Final_EF!$A$2:$B$32, 2, FALSE))</f>
        <v>118.17</v>
      </c>
      <c r="P2699" s="2">
        <f>(16112*Table1[[#This Row],[Generation (TWh)]]*10^9)/10^6</f>
        <v>2032432.1280000003</v>
      </c>
      <c r="Q2699" s="2">
        <f>Table1[[#This Row],[Emission Factor (kg CO2/ mmBtu)]]*Table1[[#This Row],[Fuel Consumption (mmBtu)]]*10^3</f>
        <v>240172504565.76004</v>
      </c>
      <c r="R2699" s="2">
        <f>(Table1[[#This Row],[CO2 Emissions (g CO2)]])/(Table1[[#This Row],[Generation (TWh)]]*10^9)</f>
        <v>1903.9550400000003</v>
      </c>
    </row>
    <row r="2700" spans="1:18" hidden="1">
      <c r="A2700" t="s">
        <v>21</v>
      </c>
      <c r="B2700" t="s">
        <v>41</v>
      </c>
      <c r="C2700" t="str">
        <f>SUBSTITUTE(Table1[[#This Row],[Fuel]],", ",",")</f>
        <v>bioenergy: refuse (municipal and industrial wastes),bioenergy: wastewater and sewage sludge (solids or biogas)</v>
      </c>
      <c r="D2700" t="s">
        <v>19</v>
      </c>
      <c r="E2700" t="s">
        <v>42</v>
      </c>
      <c r="G2700">
        <v>15</v>
      </c>
      <c r="H2700" t="s">
        <v>27</v>
      </c>
      <c r="I2700">
        <v>2013</v>
      </c>
      <c r="J2700" t="s">
        <v>21</v>
      </c>
      <c r="K2700">
        <v>36.598424999999999</v>
      </c>
      <c r="L2700">
        <v>117.835723</v>
      </c>
      <c r="M2700" t="s">
        <v>102</v>
      </c>
      <c r="N2700" s="2">
        <f>Table1[[#This Row],[Capacity (MW)]]*8760*0.72*10^-6</f>
        <v>9.4607999999999998E-2</v>
      </c>
      <c r="O2700" s="2" cm="1">
        <f t="array" ref="O2700">AVERAGE(VLOOKUP(_xlfn.TEXTSPLIT(Table1[[#This Row],[Fuel (no space after comma)]], ","), FuelList_Final_EF!$A$2:$B$32, 2, FALSE))</f>
        <v>81.497100685292565</v>
      </c>
      <c r="P2700" s="2">
        <f>(16112*Table1[[#This Row],[Generation (TWh)]]*10^9)/10^6</f>
        <v>1524324.0959999999</v>
      </c>
      <c r="Q2700" s="2">
        <f>Table1[[#This Row],[Emission Factor (kg CO2/ mmBtu)]]*Table1[[#This Row],[Fuel Consumption (mmBtu)]]*10^3</f>
        <v>124227994328.72955</v>
      </c>
      <c r="R2700" s="2">
        <f>(Table1[[#This Row],[CO2 Emissions (g CO2)]])/(Table1[[#This Row],[Generation (TWh)]]*10^9)</f>
        <v>1313.0812862414336</v>
      </c>
    </row>
    <row r="2701" spans="1:18" hidden="1">
      <c r="A2701" t="s">
        <v>21</v>
      </c>
      <c r="B2701" t="s">
        <v>41</v>
      </c>
      <c r="C2701" t="str">
        <f>SUBSTITUTE(Table1[[#This Row],[Fuel]],", ",",")</f>
        <v>bioenergy: refuse (municipal and industrial wastes),bioenergy: wastewater and sewage sludge (solids or biogas)</v>
      </c>
      <c r="D2701" t="s">
        <v>19</v>
      </c>
      <c r="E2701" t="s">
        <v>42</v>
      </c>
      <c r="G2701">
        <v>15</v>
      </c>
      <c r="H2701" t="s">
        <v>27</v>
      </c>
      <c r="I2701">
        <v>2013</v>
      </c>
      <c r="J2701" t="s">
        <v>21</v>
      </c>
      <c r="K2701">
        <v>36.598424999999999</v>
      </c>
      <c r="L2701">
        <v>117.835723</v>
      </c>
      <c r="M2701" t="s">
        <v>102</v>
      </c>
      <c r="N2701" s="2">
        <f>Table1[[#This Row],[Capacity (MW)]]*8760*0.72*10^-6</f>
        <v>9.4607999999999998E-2</v>
      </c>
      <c r="O2701" s="2" cm="1">
        <f t="array" ref="O2701">AVERAGE(VLOOKUP(_xlfn.TEXTSPLIT(Table1[[#This Row],[Fuel (no space after comma)]], ","), FuelList_Final_EF!$A$2:$B$32, 2, FALSE))</f>
        <v>81.497100685292565</v>
      </c>
      <c r="P2701" s="2">
        <f>(16112*Table1[[#This Row],[Generation (TWh)]]*10^9)/10^6</f>
        <v>1524324.0959999999</v>
      </c>
      <c r="Q2701" s="2">
        <f>Table1[[#This Row],[Emission Factor (kg CO2/ mmBtu)]]*Table1[[#This Row],[Fuel Consumption (mmBtu)]]*10^3</f>
        <v>124227994328.72955</v>
      </c>
      <c r="R2701" s="2">
        <f>(Table1[[#This Row],[CO2 Emissions (g CO2)]])/(Table1[[#This Row],[Generation (TWh)]]*10^9)</f>
        <v>1313.0812862414336</v>
      </c>
    </row>
    <row r="2702" spans="1:18" hidden="1">
      <c r="A2702" t="s">
        <v>21</v>
      </c>
      <c r="B2702" t="s">
        <v>19</v>
      </c>
      <c r="C2702" t="str">
        <f>SUBSTITUTE(Table1[[#This Row],[Fuel]],", ",",")</f>
        <v>bioenergy: refuse (municipal and industrial wastes)</v>
      </c>
      <c r="D2702" t="s">
        <v>19</v>
      </c>
      <c r="G2702">
        <v>15</v>
      </c>
      <c r="H2702" t="s">
        <v>27</v>
      </c>
      <c r="I2702">
        <v>2018</v>
      </c>
      <c r="J2702" t="s">
        <v>21</v>
      </c>
      <c r="K2702">
        <v>36.983899999999998</v>
      </c>
      <c r="L2702">
        <v>117.680769</v>
      </c>
      <c r="M2702" t="s">
        <v>102</v>
      </c>
      <c r="N2702" s="2">
        <f>Table1[[#This Row],[Capacity (MW)]]*8760*0.72*10^-6</f>
        <v>9.4607999999999998E-2</v>
      </c>
      <c r="O2702" s="2" cm="1">
        <f t="array" ref="O2702">AVERAGE(VLOOKUP(_xlfn.TEXTSPLIT(Table1[[#This Row],[Fuel (no space after comma)]], ","), FuelList_Final_EF!$A$2:$B$32, 2, FALSE))</f>
        <v>105.42962572482868</v>
      </c>
      <c r="P2702" s="2">
        <f>(16112*Table1[[#This Row],[Generation (TWh)]]*10^9)/10^6</f>
        <v>1524324.0959999999</v>
      </c>
      <c r="Q2702" s="2">
        <f>Table1[[#This Row],[Emission Factor (kg CO2/ mmBtu)]]*Table1[[#This Row],[Fuel Consumption (mmBtu)]]*10^3</f>
        <v>160708918924.61783</v>
      </c>
      <c r="R2702" s="2">
        <f>(Table1[[#This Row],[CO2 Emissions (g CO2)]])/(Table1[[#This Row],[Generation (TWh)]]*10^9)</f>
        <v>1698.6821296784397</v>
      </c>
    </row>
    <row r="2703" spans="1:18" hidden="1">
      <c r="A2703" t="s">
        <v>21</v>
      </c>
      <c r="B2703" t="s">
        <v>19</v>
      </c>
      <c r="C2703" t="str">
        <f>SUBSTITUTE(Table1[[#This Row],[Fuel]],", ",",")</f>
        <v>bioenergy: refuse (municipal and industrial wastes)</v>
      </c>
      <c r="D2703" t="s">
        <v>19</v>
      </c>
      <c r="G2703">
        <v>18</v>
      </c>
      <c r="H2703" t="s">
        <v>27</v>
      </c>
      <c r="I2703">
        <v>2017</v>
      </c>
      <c r="J2703" t="s">
        <v>21</v>
      </c>
      <c r="K2703">
        <v>31.357216000000001</v>
      </c>
      <c r="L2703">
        <v>121.123772</v>
      </c>
      <c r="M2703" t="s">
        <v>102</v>
      </c>
      <c r="N2703" s="2">
        <f>Table1[[#This Row],[Capacity (MW)]]*8760*0.72*10^-6</f>
        <v>0.11352959999999998</v>
      </c>
      <c r="O2703" s="2" cm="1">
        <f t="array" ref="O2703">AVERAGE(VLOOKUP(_xlfn.TEXTSPLIT(Table1[[#This Row],[Fuel (no space after comma)]], ","), FuelList_Final_EF!$A$2:$B$32, 2, FALSE))</f>
        <v>105.42962572482868</v>
      </c>
      <c r="P2703" s="2">
        <f>(16112*Table1[[#This Row],[Generation (TWh)]]*10^9)/10^6</f>
        <v>1829188.9151999997</v>
      </c>
      <c r="Q2703" s="2">
        <f>Table1[[#This Row],[Emission Factor (kg CO2/ mmBtu)]]*Table1[[#This Row],[Fuel Consumption (mmBtu)]]*10^3</f>
        <v>192850702709.54135</v>
      </c>
      <c r="R2703" s="2">
        <f>(Table1[[#This Row],[CO2 Emissions (g CO2)]])/(Table1[[#This Row],[Generation (TWh)]]*10^9)</f>
        <v>1698.6821296784397</v>
      </c>
    </row>
    <row r="2704" spans="1:18" hidden="1">
      <c r="A2704" t="s">
        <v>21</v>
      </c>
      <c r="B2704" t="s">
        <v>19</v>
      </c>
      <c r="C2704" t="str">
        <f>SUBSTITUTE(Table1[[#This Row],[Fuel]],", ",",")</f>
        <v>bioenergy: refuse (municipal and industrial wastes)</v>
      </c>
      <c r="D2704" t="s">
        <v>19</v>
      </c>
      <c r="G2704">
        <v>18</v>
      </c>
      <c r="H2704" t="s">
        <v>27</v>
      </c>
      <c r="I2704">
        <v>2017</v>
      </c>
      <c r="J2704" t="s">
        <v>21</v>
      </c>
      <c r="K2704">
        <v>31.357216000000001</v>
      </c>
      <c r="L2704">
        <v>121.123772</v>
      </c>
      <c r="M2704" t="s">
        <v>102</v>
      </c>
      <c r="N2704" s="2">
        <f>Table1[[#This Row],[Capacity (MW)]]*8760*0.72*10^-6</f>
        <v>0.11352959999999998</v>
      </c>
      <c r="O2704" s="2" cm="1">
        <f t="array" ref="O2704">AVERAGE(VLOOKUP(_xlfn.TEXTSPLIT(Table1[[#This Row],[Fuel (no space after comma)]], ","), FuelList_Final_EF!$A$2:$B$32, 2, FALSE))</f>
        <v>105.42962572482868</v>
      </c>
      <c r="P2704" s="2">
        <f>(16112*Table1[[#This Row],[Generation (TWh)]]*10^9)/10^6</f>
        <v>1829188.9151999997</v>
      </c>
      <c r="Q2704" s="2">
        <f>Table1[[#This Row],[Emission Factor (kg CO2/ mmBtu)]]*Table1[[#This Row],[Fuel Consumption (mmBtu)]]*10^3</f>
        <v>192850702709.54135</v>
      </c>
      <c r="R2704" s="2">
        <f>(Table1[[#This Row],[CO2 Emissions (g CO2)]])/(Table1[[#This Row],[Generation (TWh)]]*10^9)</f>
        <v>1698.6821296784397</v>
      </c>
    </row>
    <row r="2705" spans="1:18" hidden="1">
      <c r="A2705" t="s">
        <v>21</v>
      </c>
      <c r="B2705" t="s">
        <v>19</v>
      </c>
      <c r="C2705" t="str">
        <f>SUBSTITUTE(Table1[[#This Row],[Fuel]],", ",",")</f>
        <v>bioenergy: refuse (municipal and industrial wastes)</v>
      </c>
      <c r="D2705" t="s">
        <v>19</v>
      </c>
      <c r="G2705">
        <v>8.5</v>
      </c>
      <c r="H2705" t="s">
        <v>27</v>
      </c>
      <c r="I2705">
        <v>2002</v>
      </c>
      <c r="J2705" t="s">
        <v>21</v>
      </c>
      <c r="K2705">
        <v>31.157222999999998</v>
      </c>
      <c r="L2705">
        <v>121.54462599999999</v>
      </c>
      <c r="M2705" t="s">
        <v>102</v>
      </c>
      <c r="N2705" s="2">
        <f>Table1[[#This Row],[Capacity (MW)]]*8760*0.72*10^-6</f>
        <v>5.3611199999999998E-2</v>
      </c>
      <c r="O2705" s="2" cm="1">
        <f t="array" ref="O2705">AVERAGE(VLOOKUP(_xlfn.TEXTSPLIT(Table1[[#This Row],[Fuel (no space after comma)]], ","), FuelList_Final_EF!$A$2:$B$32, 2, FALSE))</f>
        <v>105.42962572482868</v>
      </c>
      <c r="P2705" s="2">
        <f>(16112*Table1[[#This Row],[Generation (TWh)]]*10^9)/10^6</f>
        <v>863783.65439999988</v>
      </c>
      <c r="Q2705" s="2">
        <f>Table1[[#This Row],[Emission Factor (kg CO2/ mmBtu)]]*Table1[[#This Row],[Fuel Consumption (mmBtu)]]*10^3</f>
        <v>91068387390.61676</v>
      </c>
      <c r="R2705" s="2">
        <f>(Table1[[#This Row],[CO2 Emissions (g CO2)]])/(Table1[[#This Row],[Generation (TWh)]]*10^9)</f>
        <v>1698.6821296784397</v>
      </c>
    </row>
    <row r="2706" spans="1:18" hidden="1">
      <c r="A2706" t="s">
        <v>21</v>
      </c>
      <c r="B2706" t="s">
        <v>19</v>
      </c>
      <c r="C2706" t="str">
        <f>SUBSTITUTE(Table1[[#This Row],[Fuel]],", ",",")</f>
        <v>bioenergy: refuse (municipal and industrial wastes)</v>
      </c>
      <c r="D2706" t="s">
        <v>19</v>
      </c>
      <c r="G2706">
        <v>8.5</v>
      </c>
      <c r="H2706" t="s">
        <v>27</v>
      </c>
      <c r="I2706">
        <v>2002</v>
      </c>
      <c r="J2706" t="s">
        <v>21</v>
      </c>
      <c r="K2706">
        <v>31.157222999999998</v>
      </c>
      <c r="L2706">
        <v>121.54462599999999</v>
      </c>
      <c r="M2706" t="s">
        <v>102</v>
      </c>
      <c r="N2706" s="2">
        <f>Table1[[#This Row],[Capacity (MW)]]*8760*0.72*10^-6</f>
        <v>5.3611199999999998E-2</v>
      </c>
      <c r="O2706" s="2" cm="1">
        <f t="array" ref="O2706">AVERAGE(VLOOKUP(_xlfn.TEXTSPLIT(Table1[[#This Row],[Fuel (no space after comma)]], ","), FuelList_Final_EF!$A$2:$B$32, 2, FALSE))</f>
        <v>105.42962572482868</v>
      </c>
      <c r="P2706" s="2">
        <f>(16112*Table1[[#This Row],[Generation (TWh)]]*10^9)/10^6</f>
        <v>863783.65439999988</v>
      </c>
      <c r="Q2706" s="2">
        <f>Table1[[#This Row],[Emission Factor (kg CO2/ mmBtu)]]*Table1[[#This Row],[Fuel Consumption (mmBtu)]]*10^3</f>
        <v>91068387390.61676</v>
      </c>
      <c r="R2706" s="2">
        <f>(Table1[[#This Row],[CO2 Emissions (g CO2)]])/(Table1[[#This Row],[Generation (TWh)]]*10^9)</f>
        <v>1698.6821296784397</v>
      </c>
    </row>
    <row r="2707" spans="1:18" hidden="1">
      <c r="A2707" t="s">
        <v>1340</v>
      </c>
      <c r="B2707" t="s">
        <v>19</v>
      </c>
      <c r="C2707" t="str">
        <f>SUBSTITUTE(Table1[[#This Row],[Fuel]],", ",",")</f>
        <v>bioenergy: refuse (municipal and industrial wastes)</v>
      </c>
      <c r="D2707" t="s">
        <v>19</v>
      </c>
      <c r="G2707">
        <v>15</v>
      </c>
      <c r="H2707" t="s">
        <v>27</v>
      </c>
      <c r="I2707">
        <v>2009</v>
      </c>
      <c r="J2707" t="s">
        <v>21</v>
      </c>
      <c r="K2707">
        <v>40.015099999999997</v>
      </c>
      <c r="L2707">
        <v>113.27719999999999</v>
      </c>
      <c r="M2707" t="s">
        <v>102</v>
      </c>
      <c r="N2707" s="2">
        <f>Table1[[#This Row],[Capacity (MW)]]*8760*0.72*10^-6</f>
        <v>9.4607999999999998E-2</v>
      </c>
      <c r="O2707" s="2" cm="1">
        <f t="array" ref="O2707">AVERAGE(VLOOKUP(_xlfn.TEXTSPLIT(Table1[[#This Row],[Fuel (no space after comma)]], ","), FuelList_Final_EF!$A$2:$B$32, 2, FALSE))</f>
        <v>105.42962572482868</v>
      </c>
      <c r="P2707" s="2">
        <f>(16112*Table1[[#This Row],[Generation (TWh)]]*10^9)/10^6</f>
        <v>1524324.0959999999</v>
      </c>
      <c r="Q2707" s="2">
        <f>Table1[[#This Row],[Emission Factor (kg CO2/ mmBtu)]]*Table1[[#This Row],[Fuel Consumption (mmBtu)]]*10^3</f>
        <v>160708918924.61783</v>
      </c>
      <c r="R2707" s="2">
        <f>(Table1[[#This Row],[CO2 Emissions (g CO2)]])/(Table1[[#This Row],[Generation (TWh)]]*10^9)</f>
        <v>1698.6821296784397</v>
      </c>
    </row>
    <row r="2708" spans="1:18" hidden="1">
      <c r="A2708" t="s">
        <v>1340</v>
      </c>
      <c r="B2708" t="s">
        <v>19</v>
      </c>
      <c r="C2708" t="str">
        <f>SUBSTITUTE(Table1[[#This Row],[Fuel]],", ",",")</f>
        <v>bioenergy: refuse (municipal and industrial wastes)</v>
      </c>
      <c r="D2708" t="s">
        <v>19</v>
      </c>
      <c r="G2708">
        <v>15</v>
      </c>
      <c r="H2708" t="s">
        <v>27</v>
      </c>
      <c r="I2708">
        <v>2009</v>
      </c>
      <c r="J2708" t="s">
        <v>21</v>
      </c>
      <c r="K2708">
        <v>40.015099999999997</v>
      </c>
      <c r="L2708">
        <v>113.27719999999999</v>
      </c>
      <c r="M2708" t="s">
        <v>102</v>
      </c>
      <c r="N2708" s="2">
        <f>Table1[[#This Row],[Capacity (MW)]]*8760*0.72*10^-6</f>
        <v>9.4607999999999998E-2</v>
      </c>
      <c r="O2708" s="2" cm="1">
        <f t="array" ref="O2708">AVERAGE(VLOOKUP(_xlfn.TEXTSPLIT(Table1[[#This Row],[Fuel (no space after comma)]], ","), FuelList_Final_EF!$A$2:$B$32, 2, FALSE))</f>
        <v>105.42962572482868</v>
      </c>
      <c r="P2708" s="2">
        <f>(16112*Table1[[#This Row],[Generation (TWh)]]*10^9)/10^6</f>
        <v>1524324.0959999999</v>
      </c>
      <c r="Q2708" s="2">
        <f>Table1[[#This Row],[Emission Factor (kg CO2/ mmBtu)]]*Table1[[#This Row],[Fuel Consumption (mmBtu)]]*10^3</f>
        <v>160708918924.61783</v>
      </c>
      <c r="R2708" s="2">
        <f>(Table1[[#This Row],[CO2 Emissions (g CO2)]])/(Table1[[#This Row],[Generation (TWh)]]*10^9)</f>
        <v>1698.6821296784397</v>
      </c>
    </row>
    <row r="2709" spans="1:18" hidden="1">
      <c r="A2709" t="s">
        <v>1340</v>
      </c>
      <c r="B2709" t="s">
        <v>19</v>
      </c>
      <c r="C2709" t="str">
        <f>SUBSTITUTE(Table1[[#This Row],[Fuel]],", ",",")</f>
        <v>bioenergy: refuse (municipal and industrial wastes)</v>
      </c>
      <c r="D2709" t="s">
        <v>19</v>
      </c>
      <c r="G2709">
        <v>15</v>
      </c>
      <c r="H2709" t="s">
        <v>27</v>
      </c>
      <c r="I2709">
        <v>2023</v>
      </c>
      <c r="J2709" t="s">
        <v>21</v>
      </c>
      <c r="K2709">
        <v>40.015099999999997</v>
      </c>
      <c r="L2709">
        <v>113.27719999999999</v>
      </c>
      <c r="M2709" t="s">
        <v>102</v>
      </c>
      <c r="N2709" s="2">
        <f>Table1[[#This Row],[Capacity (MW)]]*8760*0.72*10^-6</f>
        <v>9.4607999999999998E-2</v>
      </c>
      <c r="O2709" s="2" cm="1">
        <f t="array" ref="O2709">AVERAGE(VLOOKUP(_xlfn.TEXTSPLIT(Table1[[#This Row],[Fuel (no space after comma)]], ","), FuelList_Final_EF!$A$2:$B$32, 2, FALSE))</f>
        <v>105.42962572482868</v>
      </c>
      <c r="P2709" s="2">
        <f>(16112*Table1[[#This Row],[Generation (TWh)]]*10^9)/10^6</f>
        <v>1524324.0959999999</v>
      </c>
      <c r="Q2709" s="2">
        <f>Table1[[#This Row],[Emission Factor (kg CO2/ mmBtu)]]*Table1[[#This Row],[Fuel Consumption (mmBtu)]]*10^3</f>
        <v>160708918924.61783</v>
      </c>
      <c r="R2709" s="2">
        <f>(Table1[[#This Row],[CO2 Emissions (g CO2)]])/(Table1[[#This Row],[Generation (TWh)]]*10^9)</f>
        <v>1698.6821296784397</v>
      </c>
    </row>
    <row r="2710" spans="1:18" hidden="1">
      <c r="A2710" t="s">
        <v>21</v>
      </c>
      <c r="B2710" t="s">
        <v>19</v>
      </c>
      <c r="C2710" t="str">
        <f>SUBSTITUTE(Table1[[#This Row],[Fuel]],", ",",")</f>
        <v>bioenergy: refuse (municipal and industrial wastes)</v>
      </c>
      <c r="D2710" t="s">
        <v>19</v>
      </c>
      <c r="G2710">
        <v>7</v>
      </c>
      <c r="H2710" t="s">
        <v>27</v>
      </c>
      <c r="I2710">
        <v>2023</v>
      </c>
      <c r="J2710" t="s">
        <v>21</v>
      </c>
      <c r="K2710">
        <v>37.223455999999999</v>
      </c>
      <c r="L2710">
        <v>111.81151699999999</v>
      </c>
      <c r="M2710" t="s">
        <v>102</v>
      </c>
      <c r="N2710" s="2">
        <f>Table1[[#This Row],[Capacity (MW)]]*8760*0.72*10^-6</f>
        <v>4.4150399999999999E-2</v>
      </c>
      <c r="O2710" s="2" cm="1">
        <f t="array" ref="O2710">AVERAGE(VLOOKUP(_xlfn.TEXTSPLIT(Table1[[#This Row],[Fuel (no space after comma)]], ","), FuelList_Final_EF!$A$2:$B$32, 2, FALSE))</f>
        <v>105.42962572482868</v>
      </c>
      <c r="P2710" s="2">
        <f>(16112*Table1[[#This Row],[Generation (TWh)]]*10^9)/10^6</f>
        <v>711351.24479999999</v>
      </c>
      <c r="Q2710" s="2">
        <f>Table1[[#This Row],[Emission Factor (kg CO2/ mmBtu)]]*Table1[[#This Row],[Fuel Consumption (mmBtu)]]*10^3</f>
        <v>74997495498.154984</v>
      </c>
      <c r="R2710" s="2">
        <f>(Table1[[#This Row],[CO2 Emissions (g CO2)]])/(Table1[[#This Row],[Generation (TWh)]]*10^9)</f>
        <v>1698.6821296784397</v>
      </c>
    </row>
    <row r="2711" spans="1:18" hidden="1">
      <c r="A2711" t="s">
        <v>21</v>
      </c>
      <c r="B2711" t="s">
        <v>19</v>
      </c>
      <c r="C2711" t="str">
        <f>SUBSTITUTE(Table1[[#This Row],[Fuel]],", ",",")</f>
        <v>bioenergy: refuse (municipal and industrial wastes)</v>
      </c>
      <c r="D2711" t="s">
        <v>19</v>
      </c>
      <c r="G2711">
        <v>7</v>
      </c>
      <c r="H2711" t="s">
        <v>27</v>
      </c>
      <c r="I2711">
        <v>2023</v>
      </c>
      <c r="J2711" t="s">
        <v>21</v>
      </c>
      <c r="K2711">
        <v>37.223455999999999</v>
      </c>
      <c r="L2711">
        <v>111.81151699999999</v>
      </c>
      <c r="M2711" t="s">
        <v>102</v>
      </c>
      <c r="N2711" s="2">
        <f>Table1[[#This Row],[Capacity (MW)]]*8760*0.72*10^-6</f>
        <v>4.4150399999999999E-2</v>
      </c>
      <c r="O2711" s="2" cm="1">
        <f t="array" ref="O2711">AVERAGE(VLOOKUP(_xlfn.TEXTSPLIT(Table1[[#This Row],[Fuel (no space after comma)]], ","), FuelList_Final_EF!$A$2:$B$32, 2, FALSE))</f>
        <v>105.42962572482868</v>
      </c>
      <c r="P2711" s="2">
        <f>(16112*Table1[[#This Row],[Generation (TWh)]]*10^9)/10^6</f>
        <v>711351.24479999999</v>
      </c>
      <c r="Q2711" s="2">
        <f>Table1[[#This Row],[Emission Factor (kg CO2/ mmBtu)]]*Table1[[#This Row],[Fuel Consumption (mmBtu)]]*10^3</f>
        <v>74997495498.154984</v>
      </c>
      <c r="R2711" s="2">
        <f>(Table1[[#This Row],[CO2 Emissions (g CO2)]])/(Table1[[#This Row],[Generation (TWh)]]*10^9)</f>
        <v>1698.6821296784397</v>
      </c>
    </row>
    <row r="2712" spans="1:18" hidden="1">
      <c r="A2712" t="s">
        <v>21</v>
      </c>
      <c r="B2712" t="s">
        <v>105</v>
      </c>
      <c r="C2712" t="str">
        <f>SUBSTITUTE(Table1[[#This Row],[Fuel]],", ",",")</f>
        <v>bioenergy: agricultural waste (solids),bioenergy: wood &amp; other biomass (solids)</v>
      </c>
      <c r="D2712" t="s">
        <v>46</v>
      </c>
      <c r="E2712" t="s">
        <v>25</v>
      </c>
      <c r="G2712">
        <v>15</v>
      </c>
      <c r="H2712" t="s">
        <v>27</v>
      </c>
      <c r="I2712">
        <v>2020</v>
      </c>
      <c r="J2712" t="s">
        <v>21</v>
      </c>
      <c r="K2712">
        <v>35.741410999999999</v>
      </c>
      <c r="L2712">
        <v>112.868514</v>
      </c>
      <c r="M2712" t="s">
        <v>102</v>
      </c>
      <c r="N2712" s="2">
        <f>Table1[[#This Row],[Capacity (MW)]]*8760*0.72*10^-6</f>
        <v>9.4607999999999998E-2</v>
      </c>
      <c r="O2712" s="2" cm="1">
        <f t="array" ref="O2712">AVERAGE(VLOOKUP(_xlfn.TEXTSPLIT(Table1[[#This Row],[Fuel (no space after comma)]], ","), FuelList_Final_EF!$A$2:$B$32, 2, FALSE))</f>
        <v>105.985</v>
      </c>
      <c r="P2712" s="2">
        <f>(16112*Table1[[#This Row],[Generation (TWh)]]*10^9)/10^6</f>
        <v>1524324.0959999999</v>
      </c>
      <c r="Q2712" s="2">
        <f>Table1[[#This Row],[Emission Factor (kg CO2/ mmBtu)]]*Table1[[#This Row],[Fuel Consumption (mmBtu)]]*10^3</f>
        <v>161555489314.56</v>
      </c>
      <c r="R2712" s="2">
        <f>(Table1[[#This Row],[CO2 Emissions (g CO2)]])/(Table1[[#This Row],[Generation (TWh)]]*10^9)</f>
        <v>1707.63032</v>
      </c>
    </row>
    <row r="2713" spans="1:18" hidden="1">
      <c r="A2713" t="s">
        <v>21</v>
      </c>
      <c r="B2713" t="s">
        <v>19</v>
      </c>
      <c r="C2713" t="str">
        <f>SUBSTITUTE(Table1[[#This Row],[Fuel]],", ",",")</f>
        <v>bioenergy: refuse (municipal and industrial wastes)</v>
      </c>
      <c r="D2713" t="s">
        <v>19</v>
      </c>
      <c r="G2713">
        <v>10</v>
      </c>
      <c r="H2713" t="s">
        <v>27</v>
      </c>
      <c r="I2713">
        <v>2021</v>
      </c>
      <c r="J2713" t="s">
        <v>21</v>
      </c>
      <c r="K2713">
        <v>35.647112999999997</v>
      </c>
      <c r="L2713">
        <v>110.718732</v>
      </c>
      <c r="M2713" t="s">
        <v>102</v>
      </c>
      <c r="N2713" s="2">
        <f>Table1[[#This Row],[Capacity (MW)]]*8760*0.72*10^-6</f>
        <v>6.3072000000000003E-2</v>
      </c>
      <c r="O2713" s="2" cm="1">
        <f t="array" ref="O2713">AVERAGE(VLOOKUP(_xlfn.TEXTSPLIT(Table1[[#This Row],[Fuel (no space after comma)]], ","), FuelList_Final_EF!$A$2:$B$32, 2, FALSE))</f>
        <v>105.42962572482868</v>
      </c>
      <c r="P2713" s="2">
        <f>(16112*Table1[[#This Row],[Generation (TWh)]]*10^9)/10^6</f>
        <v>1016216.0640000001</v>
      </c>
      <c r="Q2713" s="2">
        <f>Table1[[#This Row],[Emission Factor (kg CO2/ mmBtu)]]*Table1[[#This Row],[Fuel Consumption (mmBtu)]]*10^3</f>
        <v>107139279283.07857</v>
      </c>
      <c r="R2713" s="2">
        <f>(Table1[[#This Row],[CO2 Emissions (g CO2)]])/(Table1[[#This Row],[Generation (TWh)]]*10^9)</f>
        <v>1698.6821296784401</v>
      </c>
    </row>
    <row r="2714" spans="1:18" hidden="1">
      <c r="A2714" t="s">
        <v>108</v>
      </c>
      <c r="B2714" t="s">
        <v>19</v>
      </c>
      <c r="C2714" t="str">
        <f>SUBSTITUTE(Table1[[#This Row],[Fuel]],", ",",")</f>
        <v>bioenergy: refuse (municipal and industrial wastes)</v>
      </c>
      <c r="D2714" t="s">
        <v>19</v>
      </c>
      <c r="G2714">
        <v>17.64</v>
      </c>
      <c r="H2714" t="s">
        <v>27</v>
      </c>
      <c r="I2714">
        <v>2023</v>
      </c>
      <c r="J2714" t="s">
        <v>21</v>
      </c>
      <c r="K2714">
        <v>39.795999999999999</v>
      </c>
      <c r="L2714">
        <v>113.2103</v>
      </c>
      <c r="M2714" t="s">
        <v>102</v>
      </c>
      <c r="N2714" s="2">
        <f>Table1[[#This Row],[Capacity (MW)]]*8760*0.72*10^-6</f>
        <v>0.11125900799999998</v>
      </c>
      <c r="O2714" s="2" cm="1">
        <f t="array" ref="O2714">AVERAGE(VLOOKUP(_xlfn.TEXTSPLIT(Table1[[#This Row],[Fuel (no space after comma)]], ","), FuelList_Final_EF!$A$2:$B$32, 2, FALSE))</f>
        <v>105.42962572482868</v>
      </c>
      <c r="P2714" s="2">
        <f>(16112*Table1[[#This Row],[Generation (TWh)]]*10^9)/10^6</f>
        <v>1792605.1368959998</v>
      </c>
      <c r="Q2714" s="2">
        <f>Table1[[#This Row],[Emission Factor (kg CO2/ mmBtu)]]*Table1[[#This Row],[Fuel Consumption (mmBtu)]]*10^3</f>
        <v>188993688655.35052</v>
      </c>
      <c r="R2714" s="2">
        <f>(Table1[[#This Row],[CO2 Emissions (g CO2)]])/(Table1[[#This Row],[Generation (TWh)]]*10^9)</f>
        <v>1698.6821296784397</v>
      </c>
    </row>
    <row r="2715" spans="1:18" hidden="1">
      <c r="A2715" t="s">
        <v>54</v>
      </c>
      <c r="B2715" t="s">
        <v>19</v>
      </c>
      <c r="C2715" t="str">
        <f>SUBSTITUTE(Table1[[#This Row],[Fuel]],", ",",")</f>
        <v>bioenergy: refuse (municipal and industrial wastes)</v>
      </c>
      <c r="D2715" t="s">
        <v>19</v>
      </c>
      <c r="G2715">
        <v>0.36</v>
      </c>
      <c r="H2715" t="s">
        <v>27</v>
      </c>
      <c r="I2715">
        <v>2023</v>
      </c>
      <c r="J2715" t="s">
        <v>21</v>
      </c>
      <c r="K2715">
        <v>39.795999999999999</v>
      </c>
      <c r="L2715">
        <v>113.2103</v>
      </c>
      <c r="M2715" t="s">
        <v>102</v>
      </c>
      <c r="N2715" s="2">
        <f>Table1[[#This Row],[Capacity (MW)]]*8760*0.72*10^-6</f>
        <v>2.2705919999999997E-3</v>
      </c>
      <c r="O2715" s="2" cm="1">
        <f t="array" ref="O2715">AVERAGE(VLOOKUP(_xlfn.TEXTSPLIT(Table1[[#This Row],[Fuel (no space after comma)]], ","), FuelList_Final_EF!$A$2:$B$32, 2, FALSE))</f>
        <v>105.42962572482868</v>
      </c>
      <c r="P2715" s="2">
        <f>(16112*Table1[[#This Row],[Generation (TWh)]]*10^9)/10^6</f>
        <v>36583.778303999992</v>
      </c>
      <c r="Q2715" s="2">
        <f>Table1[[#This Row],[Emission Factor (kg CO2/ mmBtu)]]*Table1[[#This Row],[Fuel Consumption (mmBtu)]]*10^3</f>
        <v>3857014054.1908269</v>
      </c>
      <c r="R2715" s="2">
        <f>(Table1[[#This Row],[CO2 Emissions (g CO2)]])/(Table1[[#This Row],[Generation (TWh)]]*10^9)</f>
        <v>1698.6821296784397</v>
      </c>
    </row>
    <row r="2716" spans="1:18" hidden="1">
      <c r="A2716" t="s">
        <v>21</v>
      </c>
      <c r="B2716" t="s">
        <v>19</v>
      </c>
      <c r="C2716" t="str">
        <f>SUBSTITUTE(Table1[[#This Row],[Fuel]],", ",",")</f>
        <v>bioenergy: refuse (municipal and industrial wastes)</v>
      </c>
      <c r="D2716" t="s">
        <v>19</v>
      </c>
      <c r="G2716">
        <v>15</v>
      </c>
      <c r="H2716" t="s">
        <v>27</v>
      </c>
      <c r="I2716">
        <v>2020</v>
      </c>
      <c r="J2716" t="s">
        <v>21</v>
      </c>
      <c r="K2716">
        <v>38.035761000000001</v>
      </c>
      <c r="L2716">
        <v>112.725525</v>
      </c>
      <c r="M2716" t="s">
        <v>102</v>
      </c>
      <c r="N2716" s="2">
        <f>Table1[[#This Row],[Capacity (MW)]]*8760*0.72*10^-6</f>
        <v>9.4607999999999998E-2</v>
      </c>
      <c r="O2716" s="2" cm="1">
        <f t="array" ref="O2716">AVERAGE(VLOOKUP(_xlfn.TEXTSPLIT(Table1[[#This Row],[Fuel (no space after comma)]], ","), FuelList_Final_EF!$A$2:$B$32, 2, FALSE))</f>
        <v>105.42962572482868</v>
      </c>
      <c r="P2716" s="2">
        <f>(16112*Table1[[#This Row],[Generation (TWh)]]*10^9)/10^6</f>
        <v>1524324.0959999999</v>
      </c>
      <c r="Q2716" s="2">
        <f>Table1[[#This Row],[Emission Factor (kg CO2/ mmBtu)]]*Table1[[#This Row],[Fuel Consumption (mmBtu)]]*10^3</f>
        <v>160708918924.61783</v>
      </c>
      <c r="R2716" s="2">
        <f>(Table1[[#This Row],[CO2 Emissions (g CO2)]])/(Table1[[#This Row],[Generation (TWh)]]*10^9)</f>
        <v>1698.6821296784397</v>
      </c>
    </row>
    <row r="2717" spans="1:18" hidden="1">
      <c r="A2717" t="s">
        <v>21</v>
      </c>
      <c r="B2717" t="s">
        <v>19</v>
      </c>
      <c r="C2717" t="str">
        <f>SUBSTITUTE(Table1[[#This Row],[Fuel]],", ",",")</f>
        <v>bioenergy: refuse (municipal and industrial wastes)</v>
      </c>
      <c r="D2717" t="s">
        <v>19</v>
      </c>
      <c r="G2717">
        <v>15</v>
      </c>
      <c r="H2717" t="s">
        <v>27</v>
      </c>
      <c r="I2717">
        <v>2020</v>
      </c>
      <c r="J2717" t="s">
        <v>21</v>
      </c>
      <c r="K2717">
        <v>38.035761000000001</v>
      </c>
      <c r="L2717">
        <v>112.725525</v>
      </c>
      <c r="M2717" t="s">
        <v>102</v>
      </c>
      <c r="N2717" s="2">
        <f>Table1[[#This Row],[Capacity (MW)]]*8760*0.72*10^-6</f>
        <v>9.4607999999999998E-2</v>
      </c>
      <c r="O2717" s="2" cm="1">
        <f t="array" ref="O2717">AVERAGE(VLOOKUP(_xlfn.TEXTSPLIT(Table1[[#This Row],[Fuel (no space after comma)]], ","), FuelList_Final_EF!$A$2:$B$32, 2, FALSE))</f>
        <v>105.42962572482868</v>
      </c>
      <c r="P2717" s="2">
        <f>(16112*Table1[[#This Row],[Generation (TWh)]]*10^9)/10^6</f>
        <v>1524324.0959999999</v>
      </c>
      <c r="Q2717" s="2">
        <f>Table1[[#This Row],[Emission Factor (kg CO2/ mmBtu)]]*Table1[[#This Row],[Fuel Consumption (mmBtu)]]*10^3</f>
        <v>160708918924.61783</v>
      </c>
      <c r="R2717" s="2">
        <f>(Table1[[#This Row],[CO2 Emissions (g CO2)]])/(Table1[[#This Row],[Generation (TWh)]]*10^9)</f>
        <v>1698.6821296784397</v>
      </c>
    </row>
    <row r="2718" spans="1:18" hidden="1">
      <c r="A2718" t="s">
        <v>21</v>
      </c>
      <c r="B2718" t="s">
        <v>19</v>
      </c>
      <c r="C2718" t="str">
        <f>SUBSTITUTE(Table1[[#This Row],[Fuel]],", ",",")</f>
        <v>bioenergy: refuse (municipal and industrial wastes)</v>
      </c>
      <c r="D2718" t="s">
        <v>19</v>
      </c>
      <c r="G2718">
        <v>12</v>
      </c>
      <c r="H2718" t="s">
        <v>27</v>
      </c>
      <c r="I2718">
        <v>2021</v>
      </c>
      <c r="J2718" t="s">
        <v>21</v>
      </c>
      <c r="K2718">
        <v>34.945309000000002</v>
      </c>
      <c r="L2718">
        <v>110.49021</v>
      </c>
      <c r="M2718" t="s">
        <v>102</v>
      </c>
      <c r="N2718" s="2">
        <f>Table1[[#This Row],[Capacity (MW)]]*8760*0.72*10^-6</f>
        <v>7.5686399999999987E-2</v>
      </c>
      <c r="O2718" s="2" cm="1">
        <f t="array" ref="O2718">AVERAGE(VLOOKUP(_xlfn.TEXTSPLIT(Table1[[#This Row],[Fuel (no space after comma)]], ","), FuelList_Final_EF!$A$2:$B$32, 2, FALSE))</f>
        <v>105.42962572482868</v>
      </c>
      <c r="P2718" s="2">
        <f>(16112*Table1[[#This Row],[Generation (TWh)]]*10^9)/10^6</f>
        <v>1219459.2767999996</v>
      </c>
      <c r="Q2718" s="2">
        <f>Table1[[#This Row],[Emission Factor (kg CO2/ mmBtu)]]*Table1[[#This Row],[Fuel Consumption (mmBtu)]]*10^3</f>
        <v>128567135139.69423</v>
      </c>
      <c r="R2718" s="2">
        <f>(Table1[[#This Row],[CO2 Emissions (g CO2)]])/(Table1[[#This Row],[Generation (TWh)]]*10^9)</f>
        <v>1698.6821296784397</v>
      </c>
    </row>
    <row r="2719" spans="1:18" hidden="1">
      <c r="A2719" t="s">
        <v>54</v>
      </c>
      <c r="B2719" t="s">
        <v>19</v>
      </c>
      <c r="C2719" t="str">
        <f>SUBSTITUTE(Table1[[#This Row],[Fuel]],", ",",")</f>
        <v>bioenergy: refuse (municipal and industrial wastes)</v>
      </c>
      <c r="D2719" t="s">
        <v>19</v>
      </c>
      <c r="G2719">
        <v>15</v>
      </c>
      <c r="H2719" t="s">
        <v>27</v>
      </c>
      <c r="I2719">
        <v>2003</v>
      </c>
      <c r="J2719" t="s">
        <v>21</v>
      </c>
      <c r="K2719">
        <v>22.4892</v>
      </c>
      <c r="L2719">
        <v>113.8724</v>
      </c>
      <c r="M2719" t="s">
        <v>102</v>
      </c>
      <c r="N2719" s="2">
        <f>Table1[[#This Row],[Capacity (MW)]]*8760*0.72*10^-6</f>
        <v>9.4607999999999998E-2</v>
      </c>
      <c r="O2719" s="2" cm="1">
        <f t="array" ref="O2719">AVERAGE(VLOOKUP(_xlfn.TEXTSPLIT(Table1[[#This Row],[Fuel (no space after comma)]], ","), FuelList_Final_EF!$A$2:$B$32, 2, FALSE))</f>
        <v>105.42962572482868</v>
      </c>
      <c r="P2719" s="2">
        <f>(16112*Table1[[#This Row],[Generation (TWh)]]*10^9)/10^6</f>
        <v>1524324.0959999999</v>
      </c>
      <c r="Q2719" s="2">
        <f>Table1[[#This Row],[Emission Factor (kg CO2/ mmBtu)]]*Table1[[#This Row],[Fuel Consumption (mmBtu)]]*10^3</f>
        <v>160708918924.61783</v>
      </c>
      <c r="R2719" s="2">
        <f>(Table1[[#This Row],[CO2 Emissions (g CO2)]])/(Table1[[#This Row],[Generation (TWh)]]*10^9)</f>
        <v>1698.6821296784397</v>
      </c>
    </row>
    <row r="2720" spans="1:18" hidden="1">
      <c r="A2720" t="s">
        <v>1311</v>
      </c>
      <c r="B2720" t="s">
        <v>19</v>
      </c>
      <c r="C2720" t="str">
        <f>SUBSTITUTE(Table1[[#This Row],[Fuel]],", ",",")</f>
        <v>bioenergy: refuse (municipal and industrial wastes)</v>
      </c>
      <c r="D2720" t="s">
        <v>19</v>
      </c>
      <c r="G2720">
        <v>18</v>
      </c>
      <c r="H2720" t="s">
        <v>27</v>
      </c>
      <c r="I2720">
        <v>2012</v>
      </c>
      <c r="J2720" t="s">
        <v>21</v>
      </c>
      <c r="K2720">
        <v>30.820439</v>
      </c>
      <c r="L2720">
        <v>104.232423</v>
      </c>
      <c r="M2720" t="s">
        <v>102</v>
      </c>
      <c r="N2720" s="2">
        <f>Table1[[#This Row],[Capacity (MW)]]*8760*0.72*10^-6</f>
        <v>0.11352959999999998</v>
      </c>
      <c r="O2720" s="2" cm="1">
        <f t="array" ref="O2720">AVERAGE(VLOOKUP(_xlfn.TEXTSPLIT(Table1[[#This Row],[Fuel (no space after comma)]], ","), FuelList_Final_EF!$A$2:$B$32, 2, FALSE))</f>
        <v>105.42962572482868</v>
      </c>
      <c r="P2720" s="2">
        <f>(16112*Table1[[#This Row],[Generation (TWh)]]*10^9)/10^6</f>
        <v>1829188.9151999997</v>
      </c>
      <c r="Q2720" s="2">
        <f>Table1[[#This Row],[Emission Factor (kg CO2/ mmBtu)]]*Table1[[#This Row],[Fuel Consumption (mmBtu)]]*10^3</f>
        <v>192850702709.54135</v>
      </c>
      <c r="R2720" s="2">
        <f>(Table1[[#This Row],[CO2 Emissions (g CO2)]])/(Table1[[#This Row],[Generation (TWh)]]*10^9)</f>
        <v>1698.6821296784397</v>
      </c>
    </row>
    <row r="2721" spans="1:18" hidden="1">
      <c r="A2721" t="s">
        <v>1311</v>
      </c>
      <c r="B2721" t="s">
        <v>19</v>
      </c>
      <c r="C2721" t="str">
        <f>SUBSTITUTE(Table1[[#This Row],[Fuel]],", ",",")</f>
        <v>bioenergy: refuse (municipal and industrial wastes)</v>
      </c>
      <c r="D2721" t="s">
        <v>19</v>
      </c>
      <c r="G2721">
        <v>18</v>
      </c>
      <c r="H2721" t="s">
        <v>27</v>
      </c>
      <c r="I2721">
        <v>2012</v>
      </c>
      <c r="J2721" t="s">
        <v>21</v>
      </c>
      <c r="K2721">
        <v>30.820439</v>
      </c>
      <c r="L2721">
        <v>104.232423</v>
      </c>
      <c r="M2721" t="s">
        <v>102</v>
      </c>
      <c r="N2721" s="2">
        <f>Table1[[#This Row],[Capacity (MW)]]*8760*0.72*10^-6</f>
        <v>0.11352959999999998</v>
      </c>
      <c r="O2721" s="2" cm="1">
        <f t="array" ref="O2721">AVERAGE(VLOOKUP(_xlfn.TEXTSPLIT(Table1[[#This Row],[Fuel (no space after comma)]], ","), FuelList_Final_EF!$A$2:$B$32, 2, FALSE))</f>
        <v>105.42962572482868</v>
      </c>
      <c r="P2721" s="2">
        <f>(16112*Table1[[#This Row],[Generation (TWh)]]*10^9)/10^6</f>
        <v>1829188.9151999997</v>
      </c>
      <c r="Q2721" s="2">
        <f>Table1[[#This Row],[Emission Factor (kg CO2/ mmBtu)]]*Table1[[#This Row],[Fuel Consumption (mmBtu)]]*10^3</f>
        <v>192850702709.54135</v>
      </c>
      <c r="R2721" s="2">
        <f>(Table1[[#This Row],[CO2 Emissions (g CO2)]])/(Table1[[#This Row],[Generation (TWh)]]*10^9)</f>
        <v>1698.6821296784397</v>
      </c>
    </row>
    <row r="2722" spans="1:18" hidden="1">
      <c r="A2722" t="s">
        <v>1142</v>
      </c>
      <c r="B2722" t="s">
        <v>19</v>
      </c>
      <c r="C2722" t="str">
        <f>SUBSTITUTE(Table1[[#This Row],[Fuel]],", ",",")</f>
        <v>bioenergy: refuse (municipal and industrial wastes)</v>
      </c>
      <c r="D2722" t="s">
        <v>19</v>
      </c>
      <c r="G2722">
        <v>25</v>
      </c>
      <c r="H2722" t="s">
        <v>27</v>
      </c>
      <c r="I2722">
        <v>2016</v>
      </c>
      <c r="J2722" t="s">
        <v>21</v>
      </c>
      <c r="K2722">
        <v>30.641432999999999</v>
      </c>
      <c r="L2722">
        <v>104.361715</v>
      </c>
      <c r="M2722" t="s">
        <v>102</v>
      </c>
      <c r="N2722" s="2">
        <f>Table1[[#This Row],[Capacity (MW)]]*8760*0.72*10^-6</f>
        <v>0.15767999999999999</v>
      </c>
      <c r="O2722" s="2" cm="1">
        <f t="array" ref="O2722">AVERAGE(VLOOKUP(_xlfn.TEXTSPLIT(Table1[[#This Row],[Fuel (no space after comma)]], ","), FuelList_Final_EF!$A$2:$B$32, 2, FALSE))</f>
        <v>105.42962572482868</v>
      </c>
      <c r="P2722" s="2">
        <f>(16112*Table1[[#This Row],[Generation (TWh)]]*10^9)/10^6</f>
        <v>2540540.16</v>
      </c>
      <c r="Q2722" s="2">
        <f>Table1[[#This Row],[Emission Factor (kg CO2/ mmBtu)]]*Table1[[#This Row],[Fuel Consumption (mmBtu)]]*10^3</f>
        <v>267848198207.69638</v>
      </c>
      <c r="R2722" s="2">
        <f>(Table1[[#This Row],[CO2 Emissions (g CO2)]])/(Table1[[#This Row],[Generation (TWh)]]*10^9)</f>
        <v>1698.6821296784397</v>
      </c>
    </row>
    <row r="2723" spans="1:18" hidden="1">
      <c r="A2723" t="s">
        <v>1142</v>
      </c>
      <c r="B2723" t="s">
        <v>19</v>
      </c>
      <c r="C2723" t="str">
        <f>SUBSTITUTE(Table1[[#This Row],[Fuel]],", ",",")</f>
        <v>bioenergy: refuse (municipal and industrial wastes)</v>
      </c>
      <c r="D2723" t="s">
        <v>19</v>
      </c>
      <c r="G2723">
        <v>25</v>
      </c>
      <c r="H2723" t="s">
        <v>27</v>
      </c>
      <c r="I2723">
        <v>2016</v>
      </c>
      <c r="J2723" t="s">
        <v>21</v>
      </c>
      <c r="K2723">
        <v>30.641432999999999</v>
      </c>
      <c r="L2723">
        <v>104.361715</v>
      </c>
      <c r="M2723" t="s">
        <v>102</v>
      </c>
      <c r="N2723" s="2">
        <f>Table1[[#This Row],[Capacity (MW)]]*8760*0.72*10^-6</f>
        <v>0.15767999999999999</v>
      </c>
      <c r="O2723" s="2" cm="1">
        <f t="array" ref="O2723">AVERAGE(VLOOKUP(_xlfn.TEXTSPLIT(Table1[[#This Row],[Fuel (no space after comma)]], ","), FuelList_Final_EF!$A$2:$B$32, 2, FALSE))</f>
        <v>105.42962572482868</v>
      </c>
      <c r="P2723" s="2">
        <f>(16112*Table1[[#This Row],[Generation (TWh)]]*10^9)/10^6</f>
        <v>2540540.16</v>
      </c>
      <c r="Q2723" s="2">
        <f>Table1[[#This Row],[Emission Factor (kg CO2/ mmBtu)]]*Table1[[#This Row],[Fuel Consumption (mmBtu)]]*10^3</f>
        <v>267848198207.69638</v>
      </c>
      <c r="R2723" s="2">
        <f>(Table1[[#This Row],[CO2 Emissions (g CO2)]])/(Table1[[#This Row],[Generation (TWh)]]*10^9)</f>
        <v>1698.6821296784397</v>
      </c>
    </row>
    <row r="2724" spans="1:18" hidden="1">
      <c r="A2724" t="s">
        <v>21</v>
      </c>
      <c r="B2724" t="s">
        <v>19</v>
      </c>
      <c r="C2724" t="str">
        <f>SUBSTITUTE(Table1[[#This Row],[Fuel]],", ",",")</f>
        <v>bioenergy: refuse (municipal and industrial wastes)</v>
      </c>
      <c r="D2724" t="s">
        <v>19</v>
      </c>
      <c r="G2724">
        <v>25</v>
      </c>
      <c r="H2724" t="s">
        <v>27</v>
      </c>
      <c r="I2724">
        <v>2022</v>
      </c>
      <c r="J2724" t="s">
        <v>21</v>
      </c>
      <c r="K2724">
        <v>31.109624</v>
      </c>
      <c r="L2724">
        <v>107.377295</v>
      </c>
      <c r="M2724" t="s">
        <v>102</v>
      </c>
      <c r="N2724" s="2">
        <f>Table1[[#This Row],[Capacity (MW)]]*8760*0.72*10^-6</f>
        <v>0.15767999999999999</v>
      </c>
      <c r="O2724" s="2" cm="1">
        <f t="array" ref="O2724">AVERAGE(VLOOKUP(_xlfn.TEXTSPLIT(Table1[[#This Row],[Fuel (no space after comma)]], ","), FuelList_Final_EF!$A$2:$B$32, 2, FALSE))</f>
        <v>105.42962572482868</v>
      </c>
      <c r="P2724" s="2">
        <f>(16112*Table1[[#This Row],[Generation (TWh)]]*10^9)/10^6</f>
        <v>2540540.16</v>
      </c>
      <c r="Q2724" s="2">
        <f>Table1[[#This Row],[Emission Factor (kg CO2/ mmBtu)]]*Table1[[#This Row],[Fuel Consumption (mmBtu)]]*10^3</f>
        <v>267848198207.69638</v>
      </c>
      <c r="R2724" s="2">
        <f>(Table1[[#This Row],[CO2 Emissions (g CO2)]])/(Table1[[#This Row],[Generation (TWh)]]*10^9)</f>
        <v>1698.6821296784397</v>
      </c>
    </row>
    <row r="2725" spans="1:18" hidden="1">
      <c r="A2725" t="s">
        <v>21</v>
      </c>
      <c r="B2725" t="s">
        <v>19</v>
      </c>
      <c r="C2725" t="str">
        <f>SUBSTITUTE(Table1[[#This Row],[Fuel]],", ",",")</f>
        <v>bioenergy: refuse (municipal and industrial wastes)</v>
      </c>
      <c r="D2725" t="s">
        <v>19</v>
      </c>
      <c r="G2725">
        <v>15</v>
      </c>
      <c r="H2725" t="s">
        <v>27</v>
      </c>
      <c r="I2725">
        <v>2022</v>
      </c>
      <c r="J2725" t="s">
        <v>21</v>
      </c>
      <c r="K2725">
        <v>26.568594000000001</v>
      </c>
      <c r="L2725">
        <v>102.427885</v>
      </c>
      <c r="M2725" t="s">
        <v>102</v>
      </c>
      <c r="N2725" s="2">
        <f>Table1[[#This Row],[Capacity (MW)]]*8760*0.72*10^-6</f>
        <v>9.4607999999999998E-2</v>
      </c>
      <c r="O2725" s="2" cm="1">
        <f t="array" ref="O2725">AVERAGE(VLOOKUP(_xlfn.TEXTSPLIT(Table1[[#This Row],[Fuel (no space after comma)]], ","), FuelList_Final_EF!$A$2:$B$32, 2, FALSE))</f>
        <v>105.42962572482868</v>
      </c>
      <c r="P2725" s="2">
        <f>(16112*Table1[[#This Row],[Generation (TWh)]]*10^9)/10^6</f>
        <v>1524324.0959999999</v>
      </c>
      <c r="Q2725" s="2">
        <f>Table1[[#This Row],[Emission Factor (kg CO2/ mmBtu)]]*Table1[[#This Row],[Fuel Consumption (mmBtu)]]*10^3</f>
        <v>160708918924.61783</v>
      </c>
      <c r="R2725" s="2">
        <f>(Table1[[#This Row],[CO2 Emissions (g CO2)]])/(Table1[[#This Row],[Generation (TWh)]]*10^9)</f>
        <v>1698.6821296784397</v>
      </c>
    </row>
    <row r="2726" spans="1:18" hidden="1">
      <c r="A2726" t="s">
        <v>21</v>
      </c>
      <c r="B2726" t="s">
        <v>19</v>
      </c>
      <c r="C2726" t="str">
        <f>SUBSTITUTE(Table1[[#This Row],[Fuel]],", ",",")</f>
        <v>bioenergy: refuse (municipal and industrial wastes)</v>
      </c>
      <c r="D2726" t="s">
        <v>19</v>
      </c>
      <c r="G2726">
        <v>18</v>
      </c>
      <c r="H2726" t="s">
        <v>27</v>
      </c>
      <c r="I2726">
        <v>2020</v>
      </c>
      <c r="J2726" t="s">
        <v>21</v>
      </c>
      <c r="K2726">
        <v>30.706012999999999</v>
      </c>
      <c r="L2726">
        <v>104.580409</v>
      </c>
      <c r="M2726" t="s">
        <v>102</v>
      </c>
      <c r="N2726" s="2">
        <f>Table1[[#This Row],[Capacity (MW)]]*8760*0.72*10^-6</f>
        <v>0.11352959999999998</v>
      </c>
      <c r="O2726" s="2" cm="1">
        <f t="array" ref="O2726">AVERAGE(VLOOKUP(_xlfn.TEXTSPLIT(Table1[[#This Row],[Fuel (no space after comma)]], ","), FuelList_Final_EF!$A$2:$B$32, 2, FALSE))</f>
        <v>105.42962572482868</v>
      </c>
      <c r="P2726" s="2">
        <f>(16112*Table1[[#This Row],[Generation (TWh)]]*10^9)/10^6</f>
        <v>1829188.9151999997</v>
      </c>
      <c r="Q2726" s="2">
        <f>Table1[[#This Row],[Emission Factor (kg CO2/ mmBtu)]]*Table1[[#This Row],[Fuel Consumption (mmBtu)]]*10^3</f>
        <v>192850702709.54135</v>
      </c>
      <c r="R2726" s="2">
        <f>(Table1[[#This Row],[CO2 Emissions (g CO2)]])/(Table1[[#This Row],[Generation (TWh)]]*10^9)</f>
        <v>1698.6821296784397</v>
      </c>
    </row>
    <row r="2727" spans="1:18" hidden="1">
      <c r="A2727" t="s">
        <v>21</v>
      </c>
      <c r="B2727" t="s">
        <v>19</v>
      </c>
      <c r="C2727" t="str">
        <f>SUBSTITUTE(Table1[[#This Row],[Fuel]],", ",",")</f>
        <v>bioenergy: refuse (municipal and industrial wastes)</v>
      </c>
      <c r="D2727" t="s">
        <v>19</v>
      </c>
      <c r="G2727">
        <v>15</v>
      </c>
      <c r="H2727" t="s">
        <v>27</v>
      </c>
      <c r="I2727">
        <v>2022</v>
      </c>
      <c r="J2727" t="s">
        <v>21</v>
      </c>
      <c r="K2727">
        <v>29.578250000000001</v>
      </c>
      <c r="L2727">
        <v>103.868497</v>
      </c>
      <c r="M2727" t="s">
        <v>102</v>
      </c>
      <c r="N2727" s="2">
        <f>Table1[[#This Row],[Capacity (MW)]]*8760*0.72*10^-6</f>
        <v>9.4607999999999998E-2</v>
      </c>
      <c r="O2727" s="2" cm="1">
        <f t="array" ref="O2727">AVERAGE(VLOOKUP(_xlfn.TEXTSPLIT(Table1[[#This Row],[Fuel (no space after comma)]], ","), FuelList_Final_EF!$A$2:$B$32, 2, FALSE))</f>
        <v>105.42962572482868</v>
      </c>
      <c r="P2727" s="2">
        <f>(16112*Table1[[#This Row],[Generation (TWh)]]*10^9)/10^6</f>
        <v>1524324.0959999999</v>
      </c>
      <c r="Q2727" s="2">
        <f>Table1[[#This Row],[Emission Factor (kg CO2/ mmBtu)]]*Table1[[#This Row],[Fuel Consumption (mmBtu)]]*10^3</f>
        <v>160708918924.61783</v>
      </c>
      <c r="R2727" s="2">
        <f>(Table1[[#This Row],[CO2 Emissions (g CO2)]])/(Table1[[#This Row],[Generation (TWh)]]*10^9)</f>
        <v>1698.6821296784397</v>
      </c>
    </row>
    <row r="2728" spans="1:18" hidden="1">
      <c r="A2728" t="s">
        <v>21</v>
      </c>
      <c r="B2728" t="s">
        <v>19</v>
      </c>
      <c r="C2728" t="str">
        <f>SUBSTITUTE(Table1[[#This Row],[Fuel]],", ",",")</f>
        <v>bioenergy: refuse (municipal and industrial wastes)</v>
      </c>
      <c r="D2728" t="s">
        <v>19</v>
      </c>
      <c r="G2728">
        <v>20</v>
      </c>
      <c r="H2728" t="s">
        <v>27</v>
      </c>
      <c r="I2728">
        <v>2019</v>
      </c>
      <c r="J2728" t="s">
        <v>21</v>
      </c>
      <c r="K2728">
        <v>29.578250000000001</v>
      </c>
      <c r="L2728">
        <v>103.868497</v>
      </c>
      <c r="M2728" t="s">
        <v>102</v>
      </c>
      <c r="N2728" s="2">
        <f>Table1[[#This Row],[Capacity (MW)]]*8760*0.72*10^-6</f>
        <v>0.12614400000000001</v>
      </c>
      <c r="O2728" s="2" cm="1">
        <f t="array" ref="O2728">AVERAGE(VLOOKUP(_xlfn.TEXTSPLIT(Table1[[#This Row],[Fuel (no space after comma)]], ","), FuelList_Final_EF!$A$2:$B$32, 2, FALSE))</f>
        <v>105.42962572482868</v>
      </c>
      <c r="P2728" s="2">
        <f>(16112*Table1[[#This Row],[Generation (TWh)]]*10^9)/10^6</f>
        <v>2032432.1280000003</v>
      </c>
      <c r="Q2728" s="2">
        <f>Table1[[#This Row],[Emission Factor (kg CO2/ mmBtu)]]*Table1[[#This Row],[Fuel Consumption (mmBtu)]]*10^3</f>
        <v>214278558566.15714</v>
      </c>
      <c r="R2728" s="2">
        <f>(Table1[[#This Row],[CO2 Emissions (g CO2)]])/(Table1[[#This Row],[Generation (TWh)]]*10^9)</f>
        <v>1698.6821296784401</v>
      </c>
    </row>
    <row r="2729" spans="1:18" hidden="1">
      <c r="A2729" t="s">
        <v>21</v>
      </c>
      <c r="B2729" t="s">
        <v>19</v>
      </c>
      <c r="C2729" t="str">
        <f>SUBSTITUTE(Table1[[#This Row],[Fuel]],", ",",")</f>
        <v>bioenergy: refuse (municipal and industrial wastes)</v>
      </c>
      <c r="D2729" t="s">
        <v>19</v>
      </c>
      <c r="G2729">
        <v>18</v>
      </c>
      <c r="H2729" t="s">
        <v>27</v>
      </c>
      <c r="I2729">
        <v>2021</v>
      </c>
      <c r="J2729" t="s">
        <v>21</v>
      </c>
      <c r="K2729">
        <v>31.309134</v>
      </c>
      <c r="L2729">
        <v>106.01422599999999</v>
      </c>
      <c r="M2729" t="s">
        <v>102</v>
      </c>
      <c r="N2729" s="2">
        <f>Table1[[#This Row],[Capacity (MW)]]*8760*0.72*10^-6</f>
        <v>0.11352959999999998</v>
      </c>
      <c r="O2729" s="2" cm="1">
        <f t="array" ref="O2729">AVERAGE(VLOOKUP(_xlfn.TEXTSPLIT(Table1[[#This Row],[Fuel (no space after comma)]], ","), FuelList_Final_EF!$A$2:$B$32, 2, FALSE))</f>
        <v>105.42962572482868</v>
      </c>
      <c r="P2729" s="2">
        <f>(16112*Table1[[#This Row],[Generation (TWh)]]*10^9)/10^6</f>
        <v>1829188.9151999997</v>
      </c>
      <c r="Q2729" s="2">
        <f>Table1[[#This Row],[Emission Factor (kg CO2/ mmBtu)]]*Table1[[#This Row],[Fuel Consumption (mmBtu)]]*10^3</f>
        <v>192850702709.54135</v>
      </c>
      <c r="R2729" s="2">
        <f>(Table1[[#This Row],[CO2 Emissions (g CO2)]])/(Table1[[#This Row],[Generation (TWh)]]*10^9)</f>
        <v>1698.6821296784397</v>
      </c>
    </row>
    <row r="2730" spans="1:18" hidden="1">
      <c r="A2730" t="s">
        <v>21</v>
      </c>
      <c r="B2730" t="s">
        <v>19</v>
      </c>
      <c r="C2730" t="str">
        <f>SUBSTITUTE(Table1[[#This Row],[Fuel]],", ",",")</f>
        <v>bioenergy: refuse (municipal and industrial wastes)</v>
      </c>
      <c r="D2730" t="s">
        <v>19</v>
      </c>
      <c r="G2730">
        <v>12</v>
      </c>
      <c r="H2730" t="s">
        <v>27</v>
      </c>
      <c r="I2730">
        <v>2014</v>
      </c>
      <c r="J2730" t="s">
        <v>21</v>
      </c>
      <c r="K2730">
        <v>30.599098000000001</v>
      </c>
      <c r="L2730">
        <v>106.044808</v>
      </c>
      <c r="M2730" t="s">
        <v>102</v>
      </c>
      <c r="N2730" s="2">
        <f>Table1[[#This Row],[Capacity (MW)]]*8760*0.72*10^-6</f>
        <v>7.5686399999999987E-2</v>
      </c>
      <c r="O2730" s="2" cm="1">
        <f t="array" ref="O2730">AVERAGE(VLOOKUP(_xlfn.TEXTSPLIT(Table1[[#This Row],[Fuel (no space after comma)]], ","), FuelList_Final_EF!$A$2:$B$32, 2, FALSE))</f>
        <v>105.42962572482868</v>
      </c>
      <c r="P2730" s="2">
        <f>(16112*Table1[[#This Row],[Generation (TWh)]]*10^9)/10^6</f>
        <v>1219459.2767999996</v>
      </c>
      <c r="Q2730" s="2">
        <f>Table1[[#This Row],[Emission Factor (kg CO2/ mmBtu)]]*Table1[[#This Row],[Fuel Consumption (mmBtu)]]*10^3</f>
        <v>128567135139.69423</v>
      </c>
      <c r="R2730" s="2">
        <f>(Table1[[#This Row],[CO2 Emissions (g CO2)]])/(Table1[[#This Row],[Generation (TWh)]]*10^9)</f>
        <v>1698.6821296784397</v>
      </c>
    </row>
    <row r="2731" spans="1:18" hidden="1">
      <c r="A2731" t="s">
        <v>21</v>
      </c>
      <c r="B2731" t="s">
        <v>19</v>
      </c>
      <c r="C2731" t="str">
        <f>SUBSTITUTE(Table1[[#This Row],[Fuel]],", ",",")</f>
        <v>bioenergy: refuse (municipal and industrial wastes)</v>
      </c>
      <c r="D2731" t="s">
        <v>19</v>
      </c>
      <c r="G2731">
        <v>12</v>
      </c>
      <c r="H2731" t="s">
        <v>27</v>
      </c>
      <c r="I2731">
        <v>2021</v>
      </c>
      <c r="J2731" t="s">
        <v>21</v>
      </c>
      <c r="K2731">
        <v>30.599098000000001</v>
      </c>
      <c r="L2731">
        <v>106.044808</v>
      </c>
      <c r="M2731" t="s">
        <v>102</v>
      </c>
      <c r="N2731" s="2">
        <f>Table1[[#This Row],[Capacity (MW)]]*8760*0.72*10^-6</f>
        <v>7.5686399999999987E-2</v>
      </c>
      <c r="O2731" s="2" cm="1">
        <f t="array" ref="O2731">AVERAGE(VLOOKUP(_xlfn.TEXTSPLIT(Table1[[#This Row],[Fuel (no space after comma)]], ","), FuelList_Final_EF!$A$2:$B$32, 2, FALSE))</f>
        <v>105.42962572482868</v>
      </c>
      <c r="P2731" s="2">
        <f>(16112*Table1[[#This Row],[Generation (TWh)]]*10^9)/10^6</f>
        <v>1219459.2767999996</v>
      </c>
      <c r="Q2731" s="2">
        <f>Table1[[#This Row],[Emission Factor (kg CO2/ mmBtu)]]*Table1[[#This Row],[Fuel Consumption (mmBtu)]]*10^3</f>
        <v>128567135139.69423</v>
      </c>
      <c r="R2731" s="2">
        <f>(Table1[[#This Row],[CO2 Emissions (g CO2)]])/(Table1[[#This Row],[Generation (TWh)]]*10^9)</f>
        <v>1698.6821296784397</v>
      </c>
    </row>
    <row r="2732" spans="1:18" hidden="1">
      <c r="A2732" t="s">
        <v>21</v>
      </c>
      <c r="B2732" t="s">
        <v>19</v>
      </c>
      <c r="C2732" t="str">
        <f>SUBSTITUTE(Table1[[#This Row],[Fuel]],", ",",")</f>
        <v>bioenergy: refuse (municipal and industrial wastes)</v>
      </c>
      <c r="D2732" t="s">
        <v>19</v>
      </c>
      <c r="G2732">
        <v>15</v>
      </c>
      <c r="H2732" t="s">
        <v>27</v>
      </c>
      <c r="I2732">
        <v>2018</v>
      </c>
      <c r="J2732" t="s">
        <v>21</v>
      </c>
      <c r="K2732">
        <v>26.459686999999999</v>
      </c>
      <c r="L2732">
        <v>101.857111</v>
      </c>
      <c r="M2732" t="s">
        <v>102</v>
      </c>
      <c r="N2732" s="2">
        <f>Table1[[#This Row],[Capacity (MW)]]*8760*0.72*10^-6</f>
        <v>9.4607999999999998E-2</v>
      </c>
      <c r="O2732" s="2" cm="1">
        <f t="array" ref="O2732">AVERAGE(VLOOKUP(_xlfn.TEXTSPLIT(Table1[[#This Row],[Fuel (no space after comma)]], ","), FuelList_Final_EF!$A$2:$B$32, 2, FALSE))</f>
        <v>105.42962572482868</v>
      </c>
      <c r="P2732" s="2">
        <f>(16112*Table1[[#This Row],[Generation (TWh)]]*10^9)/10^6</f>
        <v>1524324.0959999999</v>
      </c>
      <c r="Q2732" s="2">
        <f>Table1[[#This Row],[Emission Factor (kg CO2/ mmBtu)]]*Table1[[#This Row],[Fuel Consumption (mmBtu)]]*10^3</f>
        <v>160708918924.61783</v>
      </c>
      <c r="R2732" s="2">
        <f>(Table1[[#This Row],[CO2 Emissions (g CO2)]])/(Table1[[#This Row],[Generation (TWh)]]*10^9)</f>
        <v>1698.6821296784397</v>
      </c>
    </row>
    <row r="2733" spans="1:18" hidden="1">
      <c r="A2733" t="s">
        <v>21</v>
      </c>
      <c r="B2733" t="s">
        <v>19</v>
      </c>
      <c r="C2733" t="str">
        <f>SUBSTITUTE(Table1[[#This Row],[Fuel]],", ",",")</f>
        <v>bioenergy: refuse (municipal and industrial wastes)</v>
      </c>
      <c r="D2733" t="s">
        <v>19</v>
      </c>
      <c r="G2733">
        <v>20</v>
      </c>
      <c r="H2733" t="s">
        <v>27</v>
      </c>
      <c r="I2733">
        <v>2020</v>
      </c>
      <c r="J2733" t="s">
        <v>21</v>
      </c>
      <c r="K2733">
        <v>30.376486</v>
      </c>
      <c r="L2733">
        <v>103.54774</v>
      </c>
      <c r="M2733" t="s">
        <v>102</v>
      </c>
      <c r="N2733" s="2">
        <f>Table1[[#This Row],[Capacity (MW)]]*8760*0.72*10^-6</f>
        <v>0.12614400000000001</v>
      </c>
      <c r="O2733" s="2" cm="1">
        <f t="array" ref="O2733">AVERAGE(VLOOKUP(_xlfn.TEXTSPLIT(Table1[[#This Row],[Fuel (no space after comma)]], ","), FuelList_Final_EF!$A$2:$B$32, 2, FALSE))</f>
        <v>105.42962572482868</v>
      </c>
      <c r="P2733" s="2">
        <f>(16112*Table1[[#This Row],[Generation (TWh)]]*10^9)/10^6</f>
        <v>2032432.1280000003</v>
      </c>
      <c r="Q2733" s="2">
        <f>Table1[[#This Row],[Emission Factor (kg CO2/ mmBtu)]]*Table1[[#This Row],[Fuel Consumption (mmBtu)]]*10^3</f>
        <v>214278558566.15714</v>
      </c>
      <c r="R2733" s="2">
        <f>(Table1[[#This Row],[CO2 Emissions (g CO2)]])/(Table1[[#This Row],[Generation (TWh)]]*10^9)</f>
        <v>1698.6821296784401</v>
      </c>
    </row>
    <row r="2734" spans="1:18" hidden="1">
      <c r="A2734" t="s">
        <v>21</v>
      </c>
      <c r="B2734" t="s">
        <v>19</v>
      </c>
      <c r="C2734" t="str">
        <f>SUBSTITUTE(Table1[[#This Row],[Fuel]],", ",",")</f>
        <v>bioenergy: refuse (municipal and industrial wastes)</v>
      </c>
      <c r="D2734" t="s">
        <v>19</v>
      </c>
      <c r="G2734">
        <v>20</v>
      </c>
      <c r="H2734" t="s">
        <v>27</v>
      </c>
      <c r="I2734">
        <v>2020</v>
      </c>
      <c r="J2734" t="s">
        <v>21</v>
      </c>
      <c r="K2734">
        <v>30.376486</v>
      </c>
      <c r="L2734">
        <v>103.54774</v>
      </c>
      <c r="M2734" t="s">
        <v>102</v>
      </c>
      <c r="N2734" s="2">
        <f>Table1[[#This Row],[Capacity (MW)]]*8760*0.72*10^-6</f>
        <v>0.12614400000000001</v>
      </c>
      <c r="O2734" s="2" cm="1">
        <f t="array" ref="O2734">AVERAGE(VLOOKUP(_xlfn.TEXTSPLIT(Table1[[#This Row],[Fuel (no space after comma)]], ","), FuelList_Final_EF!$A$2:$B$32, 2, FALSE))</f>
        <v>105.42962572482868</v>
      </c>
      <c r="P2734" s="2">
        <f>(16112*Table1[[#This Row],[Generation (TWh)]]*10^9)/10^6</f>
        <v>2032432.1280000003</v>
      </c>
      <c r="Q2734" s="2">
        <f>Table1[[#This Row],[Emission Factor (kg CO2/ mmBtu)]]*Table1[[#This Row],[Fuel Consumption (mmBtu)]]*10^3</f>
        <v>214278558566.15714</v>
      </c>
      <c r="R2734" s="2">
        <f>(Table1[[#This Row],[CO2 Emissions (g CO2)]])/(Table1[[#This Row],[Generation (TWh)]]*10^9)</f>
        <v>1698.6821296784401</v>
      </c>
    </row>
    <row r="2735" spans="1:18" hidden="1">
      <c r="A2735" t="s">
        <v>21</v>
      </c>
      <c r="B2735" t="s">
        <v>19</v>
      </c>
      <c r="C2735" t="str">
        <f>SUBSTITUTE(Table1[[#This Row],[Fuel]],", ",",")</f>
        <v>bioenergy: refuse (municipal and industrial wastes)</v>
      </c>
      <c r="D2735" t="s">
        <v>19</v>
      </c>
      <c r="G2735">
        <v>25</v>
      </c>
      <c r="H2735" t="s">
        <v>27</v>
      </c>
      <c r="I2735">
        <v>2020</v>
      </c>
      <c r="J2735" t="s">
        <v>21</v>
      </c>
      <c r="K2735">
        <v>30.351223000000001</v>
      </c>
      <c r="L2735">
        <v>103.83116099999999</v>
      </c>
      <c r="M2735" t="s">
        <v>102</v>
      </c>
      <c r="N2735" s="2">
        <f>Table1[[#This Row],[Capacity (MW)]]*8760*0.72*10^-6</f>
        <v>0.15767999999999999</v>
      </c>
      <c r="O2735" s="2" cm="1">
        <f t="array" ref="O2735">AVERAGE(VLOOKUP(_xlfn.TEXTSPLIT(Table1[[#This Row],[Fuel (no space after comma)]], ","), FuelList_Final_EF!$A$2:$B$32, 2, FALSE))</f>
        <v>105.42962572482868</v>
      </c>
      <c r="P2735" s="2">
        <f>(16112*Table1[[#This Row],[Generation (TWh)]]*10^9)/10^6</f>
        <v>2540540.16</v>
      </c>
      <c r="Q2735" s="2">
        <f>Table1[[#This Row],[Emission Factor (kg CO2/ mmBtu)]]*Table1[[#This Row],[Fuel Consumption (mmBtu)]]*10^3</f>
        <v>267848198207.69638</v>
      </c>
      <c r="R2735" s="2">
        <f>(Table1[[#This Row],[CO2 Emissions (g CO2)]])/(Table1[[#This Row],[Generation (TWh)]]*10^9)</f>
        <v>1698.6821296784397</v>
      </c>
    </row>
    <row r="2736" spans="1:18" hidden="1">
      <c r="A2736" t="s">
        <v>21</v>
      </c>
      <c r="B2736" t="s">
        <v>19</v>
      </c>
      <c r="C2736" t="str">
        <f>SUBSTITUTE(Table1[[#This Row],[Fuel]],", ",",")</f>
        <v>bioenergy: refuse (municipal and industrial wastes)</v>
      </c>
      <c r="D2736" t="s">
        <v>19</v>
      </c>
      <c r="G2736">
        <v>25</v>
      </c>
      <c r="H2736" t="s">
        <v>27</v>
      </c>
      <c r="I2736">
        <v>2020</v>
      </c>
      <c r="J2736" t="s">
        <v>21</v>
      </c>
      <c r="K2736">
        <v>30.351223000000001</v>
      </c>
      <c r="L2736">
        <v>103.83116099999999</v>
      </c>
      <c r="M2736" t="s">
        <v>102</v>
      </c>
      <c r="N2736" s="2">
        <f>Table1[[#This Row],[Capacity (MW)]]*8760*0.72*10^-6</f>
        <v>0.15767999999999999</v>
      </c>
      <c r="O2736" s="2" cm="1">
        <f t="array" ref="O2736">AVERAGE(VLOOKUP(_xlfn.TEXTSPLIT(Table1[[#This Row],[Fuel (no space after comma)]], ","), FuelList_Final_EF!$A$2:$B$32, 2, FALSE))</f>
        <v>105.42962572482868</v>
      </c>
      <c r="P2736" s="2">
        <f>(16112*Table1[[#This Row],[Generation (TWh)]]*10^9)/10^6</f>
        <v>2540540.16</v>
      </c>
      <c r="Q2736" s="2">
        <f>Table1[[#This Row],[Emission Factor (kg CO2/ mmBtu)]]*Table1[[#This Row],[Fuel Consumption (mmBtu)]]*10^3</f>
        <v>267848198207.69638</v>
      </c>
      <c r="R2736" s="2">
        <f>(Table1[[#This Row],[CO2 Emissions (g CO2)]])/(Table1[[#This Row],[Generation (TWh)]]*10^9)</f>
        <v>1698.6821296784397</v>
      </c>
    </row>
    <row r="2737" spans="1:18" hidden="1">
      <c r="A2737" t="s">
        <v>21</v>
      </c>
      <c r="B2737" t="s">
        <v>19</v>
      </c>
      <c r="C2737" t="str">
        <f>SUBSTITUTE(Table1[[#This Row],[Fuel]],", ",",")</f>
        <v>bioenergy: refuse (municipal and industrial wastes)</v>
      </c>
      <c r="D2737" t="s">
        <v>19</v>
      </c>
      <c r="G2737">
        <v>7.5</v>
      </c>
      <c r="H2737" t="s">
        <v>27</v>
      </c>
      <c r="I2737">
        <v>2019</v>
      </c>
      <c r="J2737" t="s">
        <v>21</v>
      </c>
      <c r="K2737">
        <v>29.938157</v>
      </c>
      <c r="L2737">
        <v>103.12281</v>
      </c>
      <c r="M2737" t="s">
        <v>102</v>
      </c>
      <c r="N2737" s="2">
        <f>Table1[[#This Row],[Capacity (MW)]]*8760*0.72*10^-6</f>
        <v>4.7303999999999999E-2</v>
      </c>
      <c r="O2737" s="2" cm="1">
        <f t="array" ref="O2737">AVERAGE(VLOOKUP(_xlfn.TEXTSPLIT(Table1[[#This Row],[Fuel (no space after comma)]], ","), FuelList_Final_EF!$A$2:$B$32, 2, FALSE))</f>
        <v>105.42962572482868</v>
      </c>
      <c r="P2737" s="2">
        <f>(16112*Table1[[#This Row],[Generation (TWh)]]*10^9)/10^6</f>
        <v>762162.04799999995</v>
      </c>
      <c r="Q2737" s="2">
        <f>Table1[[#This Row],[Emission Factor (kg CO2/ mmBtu)]]*Table1[[#This Row],[Fuel Consumption (mmBtu)]]*10^3</f>
        <v>80354459462.308914</v>
      </c>
      <c r="R2737" s="2">
        <f>(Table1[[#This Row],[CO2 Emissions (g CO2)]])/(Table1[[#This Row],[Generation (TWh)]]*10^9)</f>
        <v>1698.6821296784397</v>
      </c>
    </row>
    <row r="2738" spans="1:18" hidden="1">
      <c r="A2738" t="s">
        <v>21</v>
      </c>
      <c r="B2738" t="s">
        <v>19</v>
      </c>
      <c r="C2738" t="str">
        <f>SUBSTITUTE(Table1[[#This Row],[Fuel]],", ",",")</f>
        <v>bioenergy: refuse (municipal and industrial wastes)</v>
      </c>
      <c r="D2738" t="s">
        <v>19</v>
      </c>
      <c r="G2738">
        <v>7.5</v>
      </c>
      <c r="H2738" t="s">
        <v>27</v>
      </c>
      <c r="I2738">
        <v>2019</v>
      </c>
      <c r="J2738" t="s">
        <v>21</v>
      </c>
      <c r="K2738">
        <v>29.938157</v>
      </c>
      <c r="L2738">
        <v>103.12281</v>
      </c>
      <c r="M2738" t="s">
        <v>102</v>
      </c>
      <c r="N2738" s="2">
        <f>Table1[[#This Row],[Capacity (MW)]]*8760*0.72*10^-6</f>
        <v>4.7303999999999999E-2</v>
      </c>
      <c r="O2738" s="2" cm="1">
        <f t="array" ref="O2738">AVERAGE(VLOOKUP(_xlfn.TEXTSPLIT(Table1[[#This Row],[Fuel (no space after comma)]], ","), FuelList_Final_EF!$A$2:$B$32, 2, FALSE))</f>
        <v>105.42962572482868</v>
      </c>
      <c r="P2738" s="2">
        <f>(16112*Table1[[#This Row],[Generation (TWh)]]*10^9)/10^6</f>
        <v>762162.04799999995</v>
      </c>
      <c r="Q2738" s="2">
        <f>Table1[[#This Row],[Emission Factor (kg CO2/ mmBtu)]]*Table1[[#This Row],[Fuel Consumption (mmBtu)]]*10^3</f>
        <v>80354459462.308914</v>
      </c>
      <c r="R2738" s="2">
        <f>(Table1[[#This Row],[CO2 Emissions (g CO2)]])/(Table1[[#This Row],[Generation (TWh)]]*10^9)</f>
        <v>1698.6821296784397</v>
      </c>
    </row>
    <row r="2739" spans="1:18" hidden="1">
      <c r="A2739" t="s">
        <v>21</v>
      </c>
      <c r="B2739" t="s">
        <v>19</v>
      </c>
      <c r="C2739" t="str">
        <f>SUBSTITUTE(Table1[[#This Row],[Fuel]],", ",",")</f>
        <v>bioenergy: refuse (municipal and industrial wastes)</v>
      </c>
      <c r="D2739" t="s">
        <v>19</v>
      </c>
      <c r="G2739">
        <v>6</v>
      </c>
      <c r="H2739" t="s">
        <v>27</v>
      </c>
      <c r="I2739">
        <v>2019</v>
      </c>
      <c r="J2739" t="s">
        <v>21</v>
      </c>
      <c r="K2739">
        <v>30.387533000000001</v>
      </c>
      <c r="L2739">
        <v>106.45975</v>
      </c>
      <c r="M2739" t="s">
        <v>102</v>
      </c>
      <c r="N2739" s="2">
        <f>Table1[[#This Row],[Capacity (MW)]]*8760*0.72*10^-6</f>
        <v>3.7843199999999994E-2</v>
      </c>
      <c r="O2739" s="2" cm="1">
        <f t="array" ref="O2739">AVERAGE(VLOOKUP(_xlfn.TEXTSPLIT(Table1[[#This Row],[Fuel (no space after comma)]], ","), FuelList_Final_EF!$A$2:$B$32, 2, FALSE))</f>
        <v>105.42962572482868</v>
      </c>
      <c r="P2739" s="2">
        <f>(16112*Table1[[#This Row],[Generation (TWh)]]*10^9)/10^6</f>
        <v>609729.63839999982</v>
      </c>
      <c r="Q2739" s="2">
        <f>Table1[[#This Row],[Emission Factor (kg CO2/ mmBtu)]]*Table1[[#This Row],[Fuel Consumption (mmBtu)]]*10^3</f>
        <v>64283567569.847115</v>
      </c>
      <c r="R2739" s="2">
        <f>(Table1[[#This Row],[CO2 Emissions (g CO2)]])/(Table1[[#This Row],[Generation (TWh)]]*10^9)</f>
        <v>1698.6821296784397</v>
      </c>
    </row>
    <row r="2740" spans="1:18" hidden="1">
      <c r="A2740" t="s">
        <v>21</v>
      </c>
      <c r="B2740" t="s">
        <v>19</v>
      </c>
      <c r="C2740" t="str">
        <f>SUBSTITUTE(Table1[[#This Row],[Fuel]],", ",",")</f>
        <v>bioenergy: refuse (municipal and industrial wastes)</v>
      </c>
      <c r="D2740" t="s">
        <v>19</v>
      </c>
      <c r="G2740">
        <v>12</v>
      </c>
      <c r="H2740" t="s">
        <v>27</v>
      </c>
      <c r="I2740">
        <v>2015</v>
      </c>
      <c r="J2740" t="s">
        <v>21</v>
      </c>
      <c r="K2740">
        <v>30.387533000000001</v>
      </c>
      <c r="L2740">
        <v>106.45975</v>
      </c>
      <c r="M2740" t="s">
        <v>102</v>
      </c>
      <c r="N2740" s="2">
        <f>Table1[[#This Row],[Capacity (MW)]]*8760*0.72*10^-6</f>
        <v>7.5686399999999987E-2</v>
      </c>
      <c r="O2740" s="2" cm="1">
        <f t="array" ref="O2740">AVERAGE(VLOOKUP(_xlfn.TEXTSPLIT(Table1[[#This Row],[Fuel (no space after comma)]], ","), FuelList_Final_EF!$A$2:$B$32, 2, FALSE))</f>
        <v>105.42962572482868</v>
      </c>
      <c r="P2740" s="2">
        <f>(16112*Table1[[#This Row],[Generation (TWh)]]*10^9)/10^6</f>
        <v>1219459.2767999996</v>
      </c>
      <c r="Q2740" s="2">
        <f>Table1[[#This Row],[Emission Factor (kg CO2/ mmBtu)]]*Table1[[#This Row],[Fuel Consumption (mmBtu)]]*10^3</f>
        <v>128567135139.69423</v>
      </c>
      <c r="R2740" s="2">
        <f>(Table1[[#This Row],[CO2 Emissions (g CO2)]])/(Table1[[#This Row],[Generation (TWh)]]*10^9)</f>
        <v>1698.6821296784397</v>
      </c>
    </row>
    <row r="2741" spans="1:18" hidden="1">
      <c r="A2741" t="s">
        <v>21</v>
      </c>
      <c r="B2741" t="s">
        <v>41</v>
      </c>
      <c r="C2741" t="str">
        <f>SUBSTITUTE(Table1[[#This Row],[Fuel]],", ",",")</f>
        <v>bioenergy: refuse (municipal and industrial wastes),bioenergy: wastewater and sewage sludge (solids or biogas)</v>
      </c>
      <c r="D2741" t="s">
        <v>19</v>
      </c>
      <c r="E2741" t="s">
        <v>42</v>
      </c>
      <c r="G2741">
        <v>20</v>
      </c>
      <c r="H2741" t="s">
        <v>27</v>
      </c>
      <c r="I2741">
        <v>2020</v>
      </c>
      <c r="J2741" t="s">
        <v>21</v>
      </c>
      <c r="K2741">
        <v>30.051483000000001</v>
      </c>
      <c r="L2741">
        <v>104.70477</v>
      </c>
      <c r="M2741" t="s">
        <v>102</v>
      </c>
      <c r="N2741" s="2">
        <f>Table1[[#This Row],[Capacity (MW)]]*8760*0.72*10^-6</f>
        <v>0.12614400000000001</v>
      </c>
      <c r="O2741" s="2" cm="1">
        <f t="array" ref="O2741">AVERAGE(VLOOKUP(_xlfn.TEXTSPLIT(Table1[[#This Row],[Fuel (no space after comma)]], ","), FuelList_Final_EF!$A$2:$B$32, 2, FALSE))</f>
        <v>81.497100685292565</v>
      </c>
      <c r="P2741" s="2">
        <f>(16112*Table1[[#This Row],[Generation (TWh)]]*10^9)/10^6</f>
        <v>2032432.1280000003</v>
      </c>
      <c r="Q2741" s="2">
        <f>Table1[[#This Row],[Emission Factor (kg CO2/ mmBtu)]]*Table1[[#This Row],[Fuel Consumption (mmBtu)]]*10^3</f>
        <v>165637325771.63943</v>
      </c>
      <c r="R2741" s="2">
        <f>(Table1[[#This Row],[CO2 Emissions (g CO2)]])/(Table1[[#This Row],[Generation (TWh)]]*10^9)</f>
        <v>1313.0812862414339</v>
      </c>
    </row>
    <row r="2742" spans="1:18" hidden="1">
      <c r="A2742" t="s">
        <v>1161</v>
      </c>
      <c r="B2742" t="s">
        <v>19</v>
      </c>
      <c r="C2742" t="str">
        <f>SUBSTITUTE(Table1[[#This Row],[Fuel]],", ",",")</f>
        <v>bioenergy: refuse (municipal and industrial wastes)</v>
      </c>
      <c r="D2742" t="s">
        <v>19</v>
      </c>
      <c r="G2742">
        <v>15</v>
      </c>
      <c r="H2742" t="s">
        <v>27</v>
      </c>
      <c r="I2742">
        <v>2022</v>
      </c>
      <c r="J2742" t="s">
        <v>21</v>
      </c>
      <c r="K2742">
        <v>21.3398</v>
      </c>
      <c r="L2742">
        <v>105.8357</v>
      </c>
      <c r="M2742" t="s">
        <v>326</v>
      </c>
      <c r="N2742" s="2">
        <f>Table1[[#This Row],[Capacity (MW)]]*8760*0.72*10^-6</f>
        <v>9.4607999999999998E-2</v>
      </c>
      <c r="O2742" s="2" cm="1">
        <f t="array" ref="O2742">AVERAGE(VLOOKUP(_xlfn.TEXTSPLIT(Table1[[#This Row],[Fuel (no space after comma)]], ","), FuelList_Final_EF!$A$2:$B$32, 2, FALSE))</f>
        <v>105.42962572482868</v>
      </c>
      <c r="P2742" s="2">
        <f>(16112*Table1[[#This Row],[Generation (TWh)]]*10^9)/10^6</f>
        <v>1524324.0959999999</v>
      </c>
      <c r="Q2742" s="2">
        <f>Table1[[#This Row],[Emission Factor (kg CO2/ mmBtu)]]*Table1[[#This Row],[Fuel Consumption (mmBtu)]]*10^3</f>
        <v>160708918924.61783</v>
      </c>
      <c r="R2742" s="2">
        <f>(Table1[[#This Row],[CO2 Emissions (g CO2)]])/(Table1[[#This Row],[Generation (TWh)]]*10^9)</f>
        <v>1698.6821296784397</v>
      </c>
    </row>
    <row r="2743" spans="1:18" hidden="1">
      <c r="A2743" t="s">
        <v>1341</v>
      </c>
      <c r="B2743" t="s">
        <v>46</v>
      </c>
      <c r="C2743" t="str">
        <f>SUBSTITUTE(Table1[[#This Row],[Fuel]],", ",",")</f>
        <v>bioenergy: agricultural waste (solids)</v>
      </c>
      <c r="D2743" t="s">
        <v>46</v>
      </c>
      <c r="G2743">
        <v>17</v>
      </c>
      <c r="H2743" t="s">
        <v>27</v>
      </c>
      <c r="I2743">
        <v>2006</v>
      </c>
      <c r="J2743" t="s">
        <v>21</v>
      </c>
      <c r="K2743">
        <v>19.378730879999999</v>
      </c>
      <c r="L2743">
        <v>74.838717250000002</v>
      </c>
      <c r="M2743" t="s">
        <v>66</v>
      </c>
      <c r="N2743" s="2">
        <f>Table1[[#This Row],[Capacity (MW)]]*8760*0.72*10^-6</f>
        <v>0.1072224</v>
      </c>
      <c r="O2743" s="2" cm="1">
        <f t="array" ref="O2743">AVERAGE(VLOOKUP(_xlfn.TEXTSPLIT(Table1[[#This Row],[Fuel (no space after comma)]], ","), FuelList_Final_EF!$A$2:$B$32, 2, FALSE))</f>
        <v>118.17</v>
      </c>
      <c r="P2743" s="2">
        <f>(16112*Table1[[#This Row],[Generation (TWh)]]*10^9)/10^6</f>
        <v>1727567.3087999998</v>
      </c>
      <c r="Q2743" s="2">
        <f>Table1[[#This Row],[Emission Factor (kg CO2/ mmBtu)]]*Table1[[#This Row],[Fuel Consumption (mmBtu)]]*10^3</f>
        <v>204146628880.89597</v>
      </c>
      <c r="R2743" s="2">
        <f>(Table1[[#This Row],[CO2 Emissions (g CO2)]])/(Table1[[#This Row],[Generation (TWh)]]*10^9)</f>
        <v>1903.9550399999996</v>
      </c>
    </row>
    <row r="2744" spans="1:18" hidden="1">
      <c r="A2744" t="s">
        <v>398</v>
      </c>
      <c r="B2744" t="s">
        <v>25</v>
      </c>
      <c r="C2744" t="str">
        <f>SUBSTITUTE(Table1[[#This Row],[Fuel]],", ",",")</f>
        <v>bioenergy: wood &amp; other biomass (solids)</v>
      </c>
      <c r="D2744" t="s">
        <v>25</v>
      </c>
      <c r="G2744">
        <v>27</v>
      </c>
      <c r="H2744" t="s">
        <v>27</v>
      </c>
      <c r="I2744">
        <v>2022</v>
      </c>
      <c r="J2744" t="s">
        <v>21</v>
      </c>
      <c r="K2744">
        <v>-13.0015</v>
      </c>
      <c r="L2744">
        <v>-55.946199999999997</v>
      </c>
      <c r="M2744" t="s">
        <v>49</v>
      </c>
      <c r="N2744" s="2">
        <f>Table1[[#This Row],[Capacity (MW)]]*8760*0.72*10^-6</f>
        <v>0.17029439999999998</v>
      </c>
      <c r="O2744" s="2" cm="1">
        <f t="array" ref="O2744">AVERAGE(VLOOKUP(_xlfn.TEXTSPLIT(Table1[[#This Row],[Fuel (no space after comma)]], ","), FuelList_Final_EF!$A$2:$B$32, 2, FALSE))</f>
        <v>93.8</v>
      </c>
      <c r="P2744" s="2">
        <f>(16112*Table1[[#This Row],[Generation (TWh)]]*10^9)/10^6</f>
        <v>2743783.3727999995</v>
      </c>
      <c r="Q2744" s="2">
        <f>Table1[[#This Row],[Emission Factor (kg CO2/ mmBtu)]]*Table1[[#This Row],[Fuel Consumption (mmBtu)]]*10^3</f>
        <v>257366880368.63995</v>
      </c>
      <c r="R2744" s="2">
        <f>(Table1[[#This Row],[CO2 Emissions (g CO2)]])/(Table1[[#This Row],[Generation (TWh)]]*10^9)</f>
        <v>1511.3055999999999</v>
      </c>
    </row>
    <row r="2745" spans="1:18" hidden="1">
      <c r="A2745" t="s">
        <v>398</v>
      </c>
      <c r="B2745" t="s">
        <v>25</v>
      </c>
      <c r="C2745" t="str">
        <f>SUBSTITUTE(Table1[[#This Row],[Fuel]],", ",",")</f>
        <v>bioenergy: wood &amp; other biomass (solids)</v>
      </c>
      <c r="D2745" t="s">
        <v>25</v>
      </c>
      <c r="G2745">
        <v>28</v>
      </c>
      <c r="H2745" t="s">
        <v>27</v>
      </c>
      <c r="I2745">
        <v>2022</v>
      </c>
      <c r="J2745" t="s">
        <v>21</v>
      </c>
      <c r="K2745">
        <v>-13.0015</v>
      </c>
      <c r="L2745">
        <v>-55.946199999999997</v>
      </c>
      <c r="M2745" t="s">
        <v>49</v>
      </c>
      <c r="N2745" s="2">
        <f>Table1[[#This Row],[Capacity (MW)]]*8760*0.72*10^-6</f>
        <v>0.1766016</v>
      </c>
      <c r="O2745" s="2" cm="1">
        <f t="array" ref="O2745">AVERAGE(VLOOKUP(_xlfn.TEXTSPLIT(Table1[[#This Row],[Fuel (no space after comma)]], ","), FuelList_Final_EF!$A$2:$B$32, 2, FALSE))</f>
        <v>93.8</v>
      </c>
      <c r="P2745" s="2">
        <f>(16112*Table1[[#This Row],[Generation (TWh)]]*10^9)/10^6</f>
        <v>2845404.9791999999</v>
      </c>
      <c r="Q2745" s="2">
        <f>Table1[[#This Row],[Emission Factor (kg CO2/ mmBtu)]]*Table1[[#This Row],[Fuel Consumption (mmBtu)]]*10^3</f>
        <v>266898987048.95999</v>
      </c>
      <c r="R2745" s="2">
        <f>(Table1[[#This Row],[CO2 Emissions (g CO2)]])/(Table1[[#This Row],[Generation (TWh)]]*10^9)</f>
        <v>1511.3055999999999</v>
      </c>
    </row>
    <row r="2746" spans="1:18" hidden="1">
      <c r="A2746" t="s">
        <v>1342</v>
      </c>
      <c r="B2746" t="s">
        <v>25</v>
      </c>
      <c r="C2746" t="str">
        <f>SUBSTITUTE(Table1[[#This Row],[Fuel]],", ",",")</f>
        <v>bioenergy: wood &amp; other biomass (solids)</v>
      </c>
      <c r="D2746" t="s">
        <v>25</v>
      </c>
      <c r="G2746">
        <v>7.9</v>
      </c>
      <c r="H2746" t="s">
        <v>27</v>
      </c>
      <c r="I2746">
        <v>2017</v>
      </c>
      <c r="J2746" t="s">
        <v>21</v>
      </c>
      <c r="K2746">
        <v>37.560000010000003</v>
      </c>
      <c r="L2746">
        <v>126.9961</v>
      </c>
      <c r="M2746" t="s">
        <v>333</v>
      </c>
      <c r="N2746" s="2">
        <f>Table1[[#This Row],[Capacity (MW)]]*8760*0.72*10^-6</f>
        <v>4.9826879999999997E-2</v>
      </c>
      <c r="O2746" s="2" cm="1">
        <f t="array" ref="O2746">AVERAGE(VLOOKUP(_xlfn.TEXTSPLIT(Table1[[#This Row],[Fuel (no space after comma)]], ","), FuelList_Final_EF!$A$2:$B$32, 2, FALSE))</f>
        <v>93.8</v>
      </c>
      <c r="P2746" s="2">
        <f>(16112*Table1[[#This Row],[Generation (TWh)]]*10^9)/10^6</f>
        <v>802810.6905599999</v>
      </c>
      <c r="Q2746" s="2">
        <f>Table1[[#This Row],[Emission Factor (kg CO2/ mmBtu)]]*Table1[[#This Row],[Fuel Consumption (mmBtu)]]*10^3</f>
        <v>75303642774.527985</v>
      </c>
      <c r="R2746" s="2">
        <f>(Table1[[#This Row],[CO2 Emissions (g CO2)]])/(Table1[[#This Row],[Generation (TWh)]]*10^9)</f>
        <v>1511.3055999999997</v>
      </c>
    </row>
    <row r="2747" spans="1:18" hidden="1">
      <c r="A2747" t="s">
        <v>1342</v>
      </c>
      <c r="B2747" t="s">
        <v>25</v>
      </c>
      <c r="C2747" t="str">
        <f>SUBSTITUTE(Table1[[#This Row],[Fuel]],", ",",")</f>
        <v>bioenergy: wood &amp; other biomass (solids)</v>
      </c>
      <c r="D2747" t="s">
        <v>25</v>
      </c>
      <c r="G2747">
        <v>8.1999999999999993</v>
      </c>
      <c r="H2747" t="s">
        <v>27</v>
      </c>
      <c r="I2747">
        <v>2019</v>
      </c>
      <c r="J2747" t="s">
        <v>21</v>
      </c>
      <c r="K2747">
        <v>37.560000010000003</v>
      </c>
      <c r="L2747">
        <v>126.9961</v>
      </c>
      <c r="M2747" t="s">
        <v>333</v>
      </c>
      <c r="N2747" s="2">
        <f>Table1[[#This Row],[Capacity (MW)]]*8760*0.72*10^-6</f>
        <v>5.1719040000000001E-2</v>
      </c>
      <c r="O2747" s="2" cm="1">
        <f t="array" ref="O2747">AVERAGE(VLOOKUP(_xlfn.TEXTSPLIT(Table1[[#This Row],[Fuel (no space after comma)]], ","), FuelList_Final_EF!$A$2:$B$32, 2, FALSE))</f>
        <v>93.8</v>
      </c>
      <c r="P2747" s="2">
        <f>(16112*Table1[[#This Row],[Generation (TWh)]]*10^9)/10^6</f>
        <v>833297.17247999995</v>
      </c>
      <c r="Q2747" s="2">
        <f>Table1[[#This Row],[Emission Factor (kg CO2/ mmBtu)]]*Table1[[#This Row],[Fuel Consumption (mmBtu)]]*10^3</f>
        <v>78163274778.623993</v>
      </c>
      <c r="R2747" s="2">
        <f>(Table1[[#This Row],[CO2 Emissions (g CO2)]])/(Table1[[#This Row],[Generation (TWh)]]*10^9)</f>
        <v>1511.3055999999999</v>
      </c>
    </row>
    <row r="2748" spans="1:18" hidden="1">
      <c r="A2748" t="s">
        <v>1343</v>
      </c>
      <c r="B2748" t="s">
        <v>25</v>
      </c>
      <c r="C2748" t="str">
        <f>SUBSTITUTE(Table1[[#This Row],[Fuel]],", ",",")</f>
        <v>bioenergy: wood &amp; other biomass (solids)</v>
      </c>
      <c r="D2748" t="s">
        <v>25</v>
      </c>
      <c r="G2748">
        <v>3</v>
      </c>
      <c r="H2748" t="s">
        <v>27</v>
      </c>
      <c r="I2748">
        <v>2014</v>
      </c>
      <c r="J2748" t="s">
        <v>21</v>
      </c>
      <c r="K2748">
        <v>35.155099999999997</v>
      </c>
      <c r="L2748">
        <v>126.8356</v>
      </c>
      <c r="M2748" t="s">
        <v>333</v>
      </c>
      <c r="N2748" s="2">
        <f>Table1[[#This Row],[Capacity (MW)]]*8760*0.72*10^-6</f>
        <v>1.8921599999999997E-2</v>
      </c>
      <c r="O2748" s="2" cm="1">
        <f t="array" ref="O2748">AVERAGE(VLOOKUP(_xlfn.TEXTSPLIT(Table1[[#This Row],[Fuel (no space after comma)]], ","), FuelList_Final_EF!$A$2:$B$32, 2, FALSE))</f>
        <v>93.8</v>
      </c>
      <c r="P2748" s="2">
        <f>(16112*Table1[[#This Row],[Generation (TWh)]]*10^9)/10^6</f>
        <v>304864.81919999991</v>
      </c>
      <c r="Q2748" s="2">
        <f>Table1[[#This Row],[Emission Factor (kg CO2/ mmBtu)]]*Table1[[#This Row],[Fuel Consumption (mmBtu)]]*10^3</f>
        <v>28596320040.959991</v>
      </c>
      <c r="R2748" s="2">
        <f>(Table1[[#This Row],[CO2 Emissions (g CO2)]])/(Table1[[#This Row],[Generation (TWh)]]*10^9)</f>
        <v>1511.3055999999999</v>
      </c>
    </row>
    <row r="2749" spans="1:18">
      <c r="A2749" t="s">
        <v>1344</v>
      </c>
      <c r="B2749" t="s">
        <v>46</v>
      </c>
      <c r="C2749" t="str">
        <f>SUBSTITUTE(Table1[[#This Row],[Fuel]],", ",",")</f>
        <v>bioenergy: agricultural waste (solids)</v>
      </c>
      <c r="D2749" t="s">
        <v>46</v>
      </c>
      <c r="G2749">
        <v>24</v>
      </c>
      <c r="H2749" t="s">
        <v>27</v>
      </c>
      <c r="I2749" t="s">
        <v>21</v>
      </c>
      <c r="J2749" t="s">
        <v>21</v>
      </c>
      <c r="K2749">
        <v>-25.54815572</v>
      </c>
      <c r="L2749">
        <v>152.7169308</v>
      </c>
      <c r="M2749" t="s">
        <v>235</v>
      </c>
      <c r="N2749" s="2">
        <f>Table1[[#This Row],[Capacity (MW)]]*8760*0.72*10^-6</f>
        <v>0.15137279999999997</v>
      </c>
      <c r="O2749" s="2" cm="1">
        <f t="array" ref="O2749">AVERAGE(VLOOKUP(_xlfn.TEXTSPLIT(Table1[[#This Row],[Fuel (no space after comma)]], ","), FuelList_Final_EF!$A$2:$B$32, 2, FALSE))</f>
        <v>118.17</v>
      </c>
      <c r="P2749" s="2">
        <f>(16112*Table1[[#This Row],[Generation (TWh)]]*10^9)/10^6</f>
        <v>2438918.5535999993</v>
      </c>
      <c r="Q2749" s="2">
        <f>Table1[[#This Row],[Emission Factor (kg CO2/ mmBtu)]]*Table1[[#This Row],[Fuel Consumption (mmBtu)]]*10^3</f>
        <v>288207005478.91193</v>
      </c>
      <c r="R2749" s="2">
        <f>(Table1[[#This Row],[CO2 Emissions (g CO2)]])/(Table1[[#This Row],[Generation (TWh)]]*10^9)</f>
        <v>1903.9550399999998</v>
      </c>
    </row>
    <row r="2750" spans="1:18">
      <c r="A2750" t="s">
        <v>1015</v>
      </c>
      <c r="B2750" t="s">
        <v>134</v>
      </c>
      <c r="C2750" t="str">
        <f>SUBSTITUTE(Table1[[#This Row],[Fuel]],", ",",")</f>
        <v>bioenergy: unknown,fossil gas: natural gas</v>
      </c>
      <c r="D2750" t="s">
        <v>96</v>
      </c>
      <c r="E2750" t="s">
        <v>69</v>
      </c>
      <c r="G2750">
        <v>25</v>
      </c>
      <c r="H2750" t="s">
        <v>27</v>
      </c>
      <c r="I2750" t="s">
        <v>21</v>
      </c>
      <c r="J2750" t="s">
        <v>21</v>
      </c>
      <c r="K2750">
        <v>61.264600000000002</v>
      </c>
      <c r="L2750">
        <v>24.023499999999999</v>
      </c>
      <c r="M2750" t="s">
        <v>28</v>
      </c>
      <c r="N2750" s="2">
        <f>Table1[[#This Row],[Capacity (MW)]]*8760*0.72*10^-6</f>
        <v>0.15767999999999999</v>
      </c>
      <c r="O2750" s="2" cm="1">
        <f t="array" ref="O2750">AVERAGE(VLOOKUP(_xlfn.TEXTSPLIT(Table1[[#This Row],[Fuel (no space after comma)]], ","), FuelList_Final_EF!$A$2:$B$32, 2, FALSE))</f>
        <v>62.922803008799328</v>
      </c>
      <c r="P2750" s="2">
        <f>(16112*Table1[[#This Row],[Generation (TWh)]]*10^9)/10^6</f>
        <v>2540540.16</v>
      </c>
      <c r="Q2750" s="2">
        <f>Table1[[#This Row],[Emission Factor (kg CO2/ mmBtu)]]*Table1[[#This Row],[Fuel Consumption (mmBtu)]]*10^3</f>
        <v>159857908023.62354</v>
      </c>
      <c r="R2750" s="2">
        <f>(Table1[[#This Row],[CO2 Emissions (g CO2)]])/(Table1[[#This Row],[Generation (TWh)]]*10^9)</f>
        <v>1013.8122020777748</v>
      </c>
    </row>
    <row r="2751" spans="1:18" hidden="1">
      <c r="A2751" t="s">
        <v>21</v>
      </c>
      <c r="B2751" t="s">
        <v>19</v>
      </c>
      <c r="C2751" t="str">
        <f>SUBSTITUTE(Table1[[#This Row],[Fuel]],", ",",")</f>
        <v>bioenergy: refuse (municipal and industrial wastes)</v>
      </c>
      <c r="D2751" t="s">
        <v>19</v>
      </c>
      <c r="G2751">
        <v>10</v>
      </c>
      <c r="H2751" t="s">
        <v>27</v>
      </c>
      <c r="I2751">
        <v>2019</v>
      </c>
      <c r="J2751" t="s">
        <v>21</v>
      </c>
      <c r="K2751">
        <v>39.228917000000003</v>
      </c>
      <c r="L2751">
        <v>117.341432</v>
      </c>
      <c r="M2751" t="s">
        <v>102</v>
      </c>
      <c r="N2751" s="2">
        <f>Table1[[#This Row],[Capacity (MW)]]*8760*0.72*10^-6</f>
        <v>6.3072000000000003E-2</v>
      </c>
      <c r="O2751" s="2" cm="1">
        <f t="array" ref="O2751">AVERAGE(VLOOKUP(_xlfn.TEXTSPLIT(Table1[[#This Row],[Fuel (no space after comma)]], ","), FuelList_Final_EF!$A$2:$B$32, 2, FALSE))</f>
        <v>105.42962572482868</v>
      </c>
      <c r="P2751" s="2">
        <f>(16112*Table1[[#This Row],[Generation (TWh)]]*10^9)/10^6</f>
        <v>1016216.0640000001</v>
      </c>
      <c r="Q2751" s="2">
        <f>Table1[[#This Row],[Emission Factor (kg CO2/ mmBtu)]]*Table1[[#This Row],[Fuel Consumption (mmBtu)]]*10^3</f>
        <v>107139279283.07857</v>
      </c>
      <c r="R2751" s="2">
        <f>(Table1[[#This Row],[CO2 Emissions (g CO2)]])/(Table1[[#This Row],[Generation (TWh)]]*10^9)</f>
        <v>1698.6821296784401</v>
      </c>
    </row>
    <row r="2752" spans="1:18" hidden="1">
      <c r="A2752" t="s">
        <v>21</v>
      </c>
      <c r="B2752" t="s">
        <v>19</v>
      </c>
      <c r="C2752" t="str">
        <f>SUBSTITUTE(Table1[[#This Row],[Fuel]],", ",",")</f>
        <v>bioenergy: refuse (municipal and industrial wastes)</v>
      </c>
      <c r="D2752" t="s">
        <v>19</v>
      </c>
      <c r="G2752">
        <v>10</v>
      </c>
      <c r="H2752" t="s">
        <v>27</v>
      </c>
      <c r="I2752">
        <v>2019</v>
      </c>
      <c r="J2752" t="s">
        <v>21</v>
      </c>
      <c r="K2752">
        <v>39.228917000000003</v>
      </c>
      <c r="L2752">
        <v>117.341432</v>
      </c>
      <c r="M2752" t="s">
        <v>102</v>
      </c>
      <c r="N2752" s="2">
        <f>Table1[[#This Row],[Capacity (MW)]]*8760*0.72*10^-6</f>
        <v>6.3072000000000003E-2</v>
      </c>
      <c r="O2752" s="2" cm="1">
        <f t="array" ref="O2752">AVERAGE(VLOOKUP(_xlfn.TEXTSPLIT(Table1[[#This Row],[Fuel (no space after comma)]], ","), FuelList_Final_EF!$A$2:$B$32, 2, FALSE))</f>
        <v>105.42962572482868</v>
      </c>
      <c r="P2752" s="2">
        <f>(16112*Table1[[#This Row],[Generation (TWh)]]*10^9)/10^6</f>
        <v>1016216.0640000001</v>
      </c>
      <c r="Q2752" s="2">
        <f>Table1[[#This Row],[Emission Factor (kg CO2/ mmBtu)]]*Table1[[#This Row],[Fuel Consumption (mmBtu)]]*10^3</f>
        <v>107139279283.07857</v>
      </c>
      <c r="R2752" s="2">
        <f>(Table1[[#This Row],[CO2 Emissions (g CO2)]])/(Table1[[#This Row],[Generation (TWh)]]*10^9)</f>
        <v>1698.6821296784401</v>
      </c>
    </row>
    <row r="2753" spans="1:18" hidden="1">
      <c r="A2753" t="s">
        <v>21</v>
      </c>
      <c r="B2753" t="s">
        <v>19</v>
      </c>
      <c r="C2753" t="str">
        <f>SUBSTITUTE(Table1[[#This Row],[Fuel]],", ",",")</f>
        <v>bioenergy: refuse (municipal and industrial wastes)</v>
      </c>
      <c r="D2753" t="s">
        <v>19</v>
      </c>
      <c r="G2753">
        <v>20</v>
      </c>
      <c r="H2753" t="s">
        <v>27</v>
      </c>
      <c r="I2753">
        <v>2020</v>
      </c>
      <c r="J2753" t="s">
        <v>21</v>
      </c>
      <c r="K2753">
        <v>38.825079000000002</v>
      </c>
      <c r="L2753">
        <v>116.937849</v>
      </c>
      <c r="M2753" t="s">
        <v>102</v>
      </c>
      <c r="N2753" s="2">
        <f>Table1[[#This Row],[Capacity (MW)]]*8760*0.72*10^-6</f>
        <v>0.12614400000000001</v>
      </c>
      <c r="O2753" s="2" cm="1">
        <f t="array" ref="O2753">AVERAGE(VLOOKUP(_xlfn.TEXTSPLIT(Table1[[#This Row],[Fuel (no space after comma)]], ","), FuelList_Final_EF!$A$2:$B$32, 2, FALSE))</f>
        <v>105.42962572482868</v>
      </c>
      <c r="P2753" s="2">
        <f>(16112*Table1[[#This Row],[Generation (TWh)]]*10^9)/10^6</f>
        <v>2032432.1280000003</v>
      </c>
      <c r="Q2753" s="2">
        <f>Table1[[#This Row],[Emission Factor (kg CO2/ mmBtu)]]*Table1[[#This Row],[Fuel Consumption (mmBtu)]]*10^3</f>
        <v>214278558566.15714</v>
      </c>
      <c r="R2753" s="2">
        <f>(Table1[[#This Row],[CO2 Emissions (g CO2)]])/(Table1[[#This Row],[Generation (TWh)]]*10^9)</f>
        <v>1698.6821296784401</v>
      </c>
    </row>
    <row r="2754" spans="1:18" hidden="1">
      <c r="A2754" t="s">
        <v>21</v>
      </c>
      <c r="B2754" t="s">
        <v>19</v>
      </c>
      <c r="C2754" t="str">
        <f>SUBSTITUTE(Table1[[#This Row],[Fuel]],", ",",")</f>
        <v>bioenergy: refuse (municipal and industrial wastes)</v>
      </c>
      <c r="D2754" t="s">
        <v>19</v>
      </c>
      <c r="G2754">
        <v>12</v>
      </c>
      <c r="H2754" t="s">
        <v>27</v>
      </c>
      <c r="I2754">
        <v>2005</v>
      </c>
      <c r="J2754" t="s">
        <v>21</v>
      </c>
      <c r="K2754">
        <v>39.049551999999998</v>
      </c>
      <c r="L2754">
        <v>117.297241</v>
      </c>
      <c r="M2754" t="s">
        <v>102</v>
      </c>
      <c r="N2754" s="2">
        <f>Table1[[#This Row],[Capacity (MW)]]*8760*0.72*10^-6</f>
        <v>7.5686399999999987E-2</v>
      </c>
      <c r="O2754" s="2" cm="1">
        <f t="array" ref="O2754">AVERAGE(VLOOKUP(_xlfn.TEXTSPLIT(Table1[[#This Row],[Fuel (no space after comma)]], ","), FuelList_Final_EF!$A$2:$B$32, 2, FALSE))</f>
        <v>105.42962572482868</v>
      </c>
      <c r="P2754" s="2">
        <f>(16112*Table1[[#This Row],[Generation (TWh)]]*10^9)/10^6</f>
        <v>1219459.2767999996</v>
      </c>
      <c r="Q2754" s="2">
        <f>Table1[[#This Row],[Emission Factor (kg CO2/ mmBtu)]]*Table1[[#This Row],[Fuel Consumption (mmBtu)]]*10^3</f>
        <v>128567135139.69423</v>
      </c>
      <c r="R2754" s="2">
        <f>(Table1[[#This Row],[CO2 Emissions (g CO2)]])/(Table1[[#This Row],[Generation (TWh)]]*10^9)</f>
        <v>1698.6821296784397</v>
      </c>
    </row>
    <row r="2755" spans="1:18" hidden="1">
      <c r="A2755" t="s">
        <v>21</v>
      </c>
      <c r="B2755" t="s">
        <v>19</v>
      </c>
      <c r="C2755" t="str">
        <f>SUBSTITUTE(Table1[[#This Row],[Fuel]],", ",",")</f>
        <v>bioenergy: refuse (municipal and industrial wastes)</v>
      </c>
      <c r="D2755" t="s">
        <v>19</v>
      </c>
      <c r="G2755">
        <v>12</v>
      </c>
      <c r="H2755" t="s">
        <v>27</v>
      </c>
      <c r="I2755">
        <v>2005</v>
      </c>
      <c r="J2755" t="s">
        <v>21</v>
      </c>
      <c r="K2755">
        <v>39.049551999999998</v>
      </c>
      <c r="L2755">
        <v>117.297241</v>
      </c>
      <c r="M2755" t="s">
        <v>102</v>
      </c>
      <c r="N2755" s="2">
        <f>Table1[[#This Row],[Capacity (MW)]]*8760*0.72*10^-6</f>
        <v>7.5686399999999987E-2</v>
      </c>
      <c r="O2755" s="2" cm="1">
        <f t="array" ref="O2755">AVERAGE(VLOOKUP(_xlfn.TEXTSPLIT(Table1[[#This Row],[Fuel (no space after comma)]], ","), FuelList_Final_EF!$A$2:$B$32, 2, FALSE))</f>
        <v>105.42962572482868</v>
      </c>
      <c r="P2755" s="2">
        <f>(16112*Table1[[#This Row],[Generation (TWh)]]*10^9)/10^6</f>
        <v>1219459.2767999996</v>
      </c>
      <c r="Q2755" s="2">
        <f>Table1[[#This Row],[Emission Factor (kg CO2/ mmBtu)]]*Table1[[#This Row],[Fuel Consumption (mmBtu)]]*10^3</f>
        <v>128567135139.69423</v>
      </c>
      <c r="R2755" s="2">
        <f>(Table1[[#This Row],[CO2 Emissions (g CO2)]])/(Table1[[#This Row],[Generation (TWh)]]*10^9)</f>
        <v>1698.6821296784397</v>
      </c>
    </row>
    <row r="2756" spans="1:18" hidden="1">
      <c r="A2756" t="s">
        <v>21</v>
      </c>
      <c r="B2756" t="s">
        <v>19</v>
      </c>
      <c r="C2756" t="str">
        <f>SUBSTITUTE(Table1[[#This Row],[Fuel]],", ",",")</f>
        <v>bioenergy: refuse (municipal and industrial wastes)</v>
      </c>
      <c r="D2756" t="s">
        <v>19</v>
      </c>
      <c r="G2756">
        <v>9</v>
      </c>
      <c r="H2756" t="s">
        <v>27</v>
      </c>
      <c r="I2756">
        <v>2018</v>
      </c>
      <c r="J2756" t="s">
        <v>21</v>
      </c>
      <c r="K2756">
        <v>39.431752000000003</v>
      </c>
      <c r="L2756">
        <v>117.75270399999999</v>
      </c>
      <c r="M2756" t="s">
        <v>102</v>
      </c>
      <c r="N2756" s="2">
        <f>Table1[[#This Row],[Capacity (MW)]]*8760*0.72*10^-6</f>
        <v>5.676479999999999E-2</v>
      </c>
      <c r="O2756" s="2" cm="1">
        <f t="array" ref="O2756">AVERAGE(VLOOKUP(_xlfn.TEXTSPLIT(Table1[[#This Row],[Fuel (no space after comma)]], ","), FuelList_Final_EF!$A$2:$B$32, 2, FALSE))</f>
        <v>105.42962572482868</v>
      </c>
      <c r="P2756" s="2">
        <f>(16112*Table1[[#This Row],[Generation (TWh)]]*10^9)/10^6</f>
        <v>914594.45759999985</v>
      </c>
      <c r="Q2756" s="2">
        <f>Table1[[#This Row],[Emission Factor (kg CO2/ mmBtu)]]*Table1[[#This Row],[Fuel Consumption (mmBtu)]]*10^3</f>
        <v>96425351354.770676</v>
      </c>
      <c r="R2756" s="2">
        <f>(Table1[[#This Row],[CO2 Emissions (g CO2)]])/(Table1[[#This Row],[Generation (TWh)]]*10^9)</f>
        <v>1698.6821296784397</v>
      </c>
    </row>
    <row r="2757" spans="1:18" hidden="1">
      <c r="A2757" t="s">
        <v>21</v>
      </c>
      <c r="B2757" t="s">
        <v>46</v>
      </c>
      <c r="C2757" t="str">
        <f>SUBSTITUTE(Table1[[#This Row],[Fuel]],", ",",")</f>
        <v>bioenergy: agricultural waste (solids)</v>
      </c>
      <c r="D2757" t="s">
        <v>46</v>
      </c>
      <c r="G2757">
        <v>15</v>
      </c>
      <c r="H2757" t="s">
        <v>27</v>
      </c>
      <c r="I2757">
        <v>2017</v>
      </c>
      <c r="J2757" t="s">
        <v>21</v>
      </c>
      <c r="K2757">
        <v>39.431752000000003</v>
      </c>
      <c r="L2757">
        <v>117.75270399999999</v>
      </c>
      <c r="M2757" t="s">
        <v>102</v>
      </c>
      <c r="N2757" s="2">
        <f>Table1[[#This Row],[Capacity (MW)]]*8760*0.72*10^-6</f>
        <v>9.4607999999999998E-2</v>
      </c>
      <c r="O2757" s="2" cm="1">
        <f t="array" ref="O2757">AVERAGE(VLOOKUP(_xlfn.TEXTSPLIT(Table1[[#This Row],[Fuel (no space after comma)]], ","), FuelList_Final_EF!$A$2:$B$32, 2, FALSE))</f>
        <v>118.17</v>
      </c>
      <c r="P2757" s="2">
        <f>(16112*Table1[[#This Row],[Generation (TWh)]]*10^9)/10^6</f>
        <v>1524324.0959999999</v>
      </c>
      <c r="Q2757" s="2">
        <f>Table1[[#This Row],[Emission Factor (kg CO2/ mmBtu)]]*Table1[[#This Row],[Fuel Consumption (mmBtu)]]*10^3</f>
        <v>180129378424.31998</v>
      </c>
      <c r="R2757" s="2">
        <f>(Table1[[#This Row],[CO2 Emissions (g CO2)]])/(Table1[[#This Row],[Generation (TWh)]]*10^9)</f>
        <v>1903.9550399999998</v>
      </c>
    </row>
    <row r="2758" spans="1:18" hidden="1">
      <c r="A2758" t="s">
        <v>21</v>
      </c>
      <c r="B2758" t="s">
        <v>46</v>
      </c>
      <c r="C2758" t="str">
        <f>SUBSTITUTE(Table1[[#This Row],[Fuel]],", ",",")</f>
        <v>bioenergy: agricultural waste (solids)</v>
      </c>
      <c r="D2758" t="s">
        <v>46</v>
      </c>
      <c r="G2758">
        <v>15</v>
      </c>
      <c r="H2758" t="s">
        <v>27</v>
      </c>
      <c r="I2758">
        <v>2017</v>
      </c>
      <c r="J2758" t="s">
        <v>21</v>
      </c>
      <c r="K2758">
        <v>39.431752000000003</v>
      </c>
      <c r="L2758">
        <v>117.75270399999999</v>
      </c>
      <c r="M2758" t="s">
        <v>102</v>
      </c>
      <c r="N2758" s="2">
        <f>Table1[[#This Row],[Capacity (MW)]]*8760*0.72*10^-6</f>
        <v>9.4607999999999998E-2</v>
      </c>
      <c r="O2758" s="2" cm="1">
        <f t="array" ref="O2758">AVERAGE(VLOOKUP(_xlfn.TEXTSPLIT(Table1[[#This Row],[Fuel (no space after comma)]], ","), FuelList_Final_EF!$A$2:$B$32, 2, FALSE))</f>
        <v>118.17</v>
      </c>
      <c r="P2758" s="2">
        <f>(16112*Table1[[#This Row],[Generation (TWh)]]*10^9)/10^6</f>
        <v>1524324.0959999999</v>
      </c>
      <c r="Q2758" s="2">
        <f>Table1[[#This Row],[Emission Factor (kg CO2/ mmBtu)]]*Table1[[#This Row],[Fuel Consumption (mmBtu)]]*10^3</f>
        <v>180129378424.31998</v>
      </c>
      <c r="R2758" s="2">
        <f>(Table1[[#This Row],[CO2 Emissions (g CO2)]])/(Table1[[#This Row],[Generation (TWh)]]*10^9)</f>
        <v>1903.9550399999998</v>
      </c>
    </row>
    <row r="2759" spans="1:18">
      <c r="A2759" t="s">
        <v>21</v>
      </c>
      <c r="B2759" t="s">
        <v>19</v>
      </c>
      <c r="C2759" t="str">
        <f>SUBSTITUTE(Table1[[#This Row],[Fuel]],", ",",")</f>
        <v>bioenergy: refuse (municipal and industrial wastes)</v>
      </c>
      <c r="D2759" t="s">
        <v>19</v>
      </c>
      <c r="G2759">
        <v>12</v>
      </c>
      <c r="H2759" t="s">
        <v>97</v>
      </c>
      <c r="I2759" t="s">
        <v>21</v>
      </c>
      <c r="J2759" t="s">
        <v>21</v>
      </c>
      <c r="K2759">
        <v>39.570464999999999</v>
      </c>
      <c r="L2759">
        <v>116.916983</v>
      </c>
      <c r="M2759" t="s">
        <v>102</v>
      </c>
      <c r="N2759" s="2">
        <f>Table1[[#This Row],[Capacity (MW)]]*8760*0.72*10^-6</f>
        <v>7.5686399999999987E-2</v>
      </c>
      <c r="O2759" s="2" cm="1">
        <f t="array" ref="O2759">AVERAGE(VLOOKUP(_xlfn.TEXTSPLIT(Table1[[#This Row],[Fuel (no space after comma)]], ","), FuelList_Final_EF!$A$2:$B$32, 2, FALSE))</f>
        <v>105.42962572482868</v>
      </c>
      <c r="P2759" s="2">
        <f>(16112*Table1[[#This Row],[Generation (TWh)]]*10^9)/10^6</f>
        <v>1219459.2767999996</v>
      </c>
      <c r="Q2759" s="2">
        <f>Table1[[#This Row],[Emission Factor (kg CO2/ mmBtu)]]*Table1[[#This Row],[Fuel Consumption (mmBtu)]]*10^3</f>
        <v>128567135139.69423</v>
      </c>
      <c r="R2759" s="2">
        <f>(Table1[[#This Row],[CO2 Emissions (g CO2)]])/(Table1[[#This Row],[Generation (TWh)]]*10^9)</f>
        <v>1698.6821296784397</v>
      </c>
    </row>
    <row r="2760" spans="1:18" hidden="1">
      <c r="A2760" t="s">
        <v>21</v>
      </c>
      <c r="B2760" t="s">
        <v>19</v>
      </c>
      <c r="C2760" t="str">
        <f>SUBSTITUTE(Table1[[#This Row],[Fuel]],", ",",")</f>
        <v>bioenergy: refuse (municipal and industrial wastes)</v>
      </c>
      <c r="D2760" t="s">
        <v>19</v>
      </c>
      <c r="G2760">
        <v>18</v>
      </c>
      <c r="H2760" t="s">
        <v>27</v>
      </c>
      <c r="I2760">
        <v>2021</v>
      </c>
      <c r="J2760" t="s">
        <v>21</v>
      </c>
      <c r="K2760">
        <v>39.570464999999999</v>
      </c>
      <c r="L2760">
        <v>116.916983</v>
      </c>
      <c r="M2760" t="s">
        <v>102</v>
      </c>
      <c r="N2760" s="2">
        <f>Table1[[#This Row],[Capacity (MW)]]*8760*0.72*10^-6</f>
        <v>0.11352959999999998</v>
      </c>
      <c r="O2760" s="2" cm="1">
        <f t="array" ref="O2760">AVERAGE(VLOOKUP(_xlfn.TEXTSPLIT(Table1[[#This Row],[Fuel (no space after comma)]], ","), FuelList_Final_EF!$A$2:$B$32, 2, FALSE))</f>
        <v>105.42962572482868</v>
      </c>
      <c r="P2760" s="2">
        <f>(16112*Table1[[#This Row],[Generation (TWh)]]*10^9)/10^6</f>
        <v>1829188.9151999997</v>
      </c>
      <c r="Q2760" s="2">
        <f>Table1[[#This Row],[Emission Factor (kg CO2/ mmBtu)]]*Table1[[#This Row],[Fuel Consumption (mmBtu)]]*10^3</f>
        <v>192850702709.54135</v>
      </c>
      <c r="R2760" s="2">
        <f>(Table1[[#This Row],[CO2 Emissions (g CO2)]])/(Table1[[#This Row],[Generation (TWh)]]*10^9)</f>
        <v>1698.6821296784397</v>
      </c>
    </row>
    <row r="2761" spans="1:18" hidden="1">
      <c r="A2761" t="s">
        <v>1345</v>
      </c>
      <c r="B2761" t="s">
        <v>25</v>
      </c>
      <c r="C2761" t="str">
        <f>SUBSTITUTE(Table1[[#This Row],[Fuel]],", ",",")</f>
        <v>bioenergy: wood &amp; other biomass (solids)</v>
      </c>
      <c r="D2761" t="s">
        <v>25</v>
      </c>
      <c r="G2761">
        <v>12.5</v>
      </c>
      <c r="H2761" t="s">
        <v>53</v>
      </c>
      <c r="I2761">
        <v>2025</v>
      </c>
      <c r="J2761" t="s">
        <v>21</v>
      </c>
      <c r="K2761">
        <v>4.6121930999999998</v>
      </c>
      <c r="L2761">
        <v>-72.928153499999993</v>
      </c>
      <c r="M2761" t="s">
        <v>365</v>
      </c>
      <c r="N2761" s="2">
        <f>Table1[[#This Row],[Capacity (MW)]]*8760*0.72*10^-6</f>
        <v>7.8839999999999993E-2</v>
      </c>
      <c r="O2761" s="2" cm="1">
        <f t="array" ref="O2761">AVERAGE(VLOOKUP(_xlfn.TEXTSPLIT(Table1[[#This Row],[Fuel (no space after comma)]], ","), FuelList_Final_EF!$A$2:$B$32, 2, FALSE))</f>
        <v>93.8</v>
      </c>
      <c r="P2761" s="2">
        <f>(16112*Table1[[#This Row],[Generation (TWh)]]*10^9)/10^6</f>
        <v>1270270.08</v>
      </c>
      <c r="Q2761" s="2">
        <f>Table1[[#This Row],[Emission Factor (kg CO2/ mmBtu)]]*Table1[[#This Row],[Fuel Consumption (mmBtu)]]*10^3</f>
        <v>119151333504.00002</v>
      </c>
      <c r="R2761" s="2">
        <f>(Table1[[#This Row],[CO2 Emissions (g CO2)]])/(Table1[[#This Row],[Generation (TWh)]]*10^9)</f>
        <v>1511.3056000000001</v>
      </c>
    </row>
    <row r="2762" spans="1:18" hidden="1">
      <c r="A2762" t="s">
        <v>1346</v>
      </c>
      <c r="B2762" t="s">
        <v>25</v>
      </c>
      <c r="C2762" t="str">
        <f>SUBSTITUTE(Table1[[#This Row],[Fuel]],", ",",")</f>
        <v>bioenergy: wood &amp; other biomass (solids)</v>
      </c>
      <c r="D2762" t="s">
        <v>25</v>
      </c>
      <c r="G2762">
        <v>12.5</v>
      </c>
      <c r="H2762" t="s">
        <v>53</v>
      </c>
      <c r="I2762">
        <v>2025</v>
      </c>
      <c r="J2762" t="s">
        <v>21</v>
      </c>
      <c r="K2762">
        <v>4.6121930999999998</v>
      </c>
      <c r="L2762">
        <v>-72.928153499999993</v>
      </c>
      <c r="M2762" t="s">
        <v>365</v>
      </c>
      <c r="N2762" s="2">
        <f>Table1[[#This Row],[Capacity (MW)]]*8760*0.72*10^-6</f>
        <v>7.8839999999999993E-2</v>
      </c>
      <c r="O2762" s="2" cm="1">
        <f t="array" ref="O2762">AVERAGE(VLOOKUP(_xlfn.TEXTSPLIT(Table1[[#This Row],[Fuel (no space after comma)]], ","), FuelList_Final_EF!$A$2:$B$32, 2, FALSE))</f>
        <v>93.8</v>
      </c>
      <c r="P2762" s="2">
        <f>(16112*Table1[[#This Row],[Generation (TWh)]]*10^9)/10^6</f>
        <v>1270270.08</v>
      </c>
      <c r="Q2762" s="2">
        <f>Table1[[#This Row],[Emission Factor (kg CO2/ mmBtu)]]*Table1[[#This Row],[Fuel Consumption (mmBtu)]]*10^3</f>
        <v>119151333504.00002</v>
      </c>
      <c r="R2762" s="2">
        <f>(Table1[[#This Row],[CO2 Emissions (g CO2)]])/(Table1[[#This Row],[Generation (TWh)]]*10^9)</f>
        <v>1511.3056000000001</v>
      </c>
    </row>
    <row r="2763" spans="1:18" hidden="1">
      <c r="A2763" t="s">
        <v>21</v>
      </c>
      <c r="B2763" t="s">
        <v>19</v>
      </c>
      <c r="C2763" t="str">
        <f>SUBSTITUTE(Table1[[#This Row],[Fuel]],", ",",")</f>
        <v>bioenergy: refuse (municipal and industrial wastes)</v>
      </c>
      <c r="D2763" t="s">
        <v>19</v>
      </c>
      <c r="G2763">
        <v>15</v>
      </c>
      <c r="H2763" t="s">
        <v>27</v>
      </c>
      <c r="I2763">
        <v>2023</v>
      </c>
      <c r="J2763" t="s">
        <v>21</v>
      </c>
      <c r="K2763">
        <v>39.519376000000001</v>
      </c>
      <c r="L2763">
        <v>76.391914</v>
      </c>
      <c r="M2763" t="s">
        <v>102</v>
      </c>
      <c r="N2763" s="2">
        <f>Table1[[#This Row],[Capacity (MW)]]*8760*0.72*10^-6</f>
        <v>9.4607999999999998E-2</v>
      </c>
      <c r="O2763" s="2" cm="1">
        <f t="array" ref="O2763">AVERAGE(VLOOKUP(_xlfn.TEXTSPLIT(Table1[[#This Row],[Fuel (no space after comma)]], ","), FuelList_Final_EF!$A$2:$B$32, 2, FALSE))</f>
        <v>105.42962572482868</v>
      </c>
      <c r="P2763" s="2">
        <f>(16112*Table1[[#This Row],[Generation (TWh)]]*10^9)/10^6</f>
        <v>1524324.0959999999</v>
      </c>
      <c r="Q2763" s="2">
        <f>Table1[[#This Row],[Emission Factor (kg CO2/ mmBtu)]]*Table1[[#This Row],[Fuel Consumption (mmBtu)]]*10^3</f>
        <v>160708918924.61783</v>
      </c>
      <c r="R2763" s="2">
        <f>(Table1[[#This Row],[CO2 Emissions (g CO2)]])/(Table1[[#This Row],[Generation (TWh)]]*10^9)</f>
        <v>1698.6821296784397</v>
      </c>
    </row>
    <row r="2764" spans="1:18" hidden="1">
      <c r="A2764" t="s">
        <v>21</v>
      </c>
      <c r="B2764" t="s">
        <v>19</v>
      </c>
      <c r="C2764" t="str">
        <f>SUBSTITUTE(Table1[[#This Row],[Fuel]],", ",",")</f>
        <v>bioenergy: refuse (municipal and industrial wastes)</v>
      </c>
      <c r="D2764" t="s">
        <v>19</v>
      </c>
      <c r="G2764">
        <v>10</v>
      </c>
      <c r="H2764" t="s">
        <v>27</v>
      </c>
      <c r="I2764">
        <v>2021</v>
      </c>
      <c r="J2764" t="s">
        <v>21</v>
      </c>
      <c r="K2764">
        <v>41.753590000000003</v>
      </c>
      <c r="L2764">
        <v>83.147378000000003</v>
      </c>
      <c r="M2764" t="s">
        <v>102</v>
      </c>
      <c r="N2764" s="2">
        <f>Table1[[#This Row],[Capacity (MW)]]*8760*0.72*10^-6</f>
        <v>6.3072000000000003E-2</v>
      </c>
      <c r="O2764" s="2" cm="1">
        <f t="array" ref="O2764">AVERAGE(VLOOKUP(_xlfn.TEXTSPLIT(Table1[[#This Row],[Fuel (no space after comma)]], ","), FuelList_Final_EF!$A$2:$B$32, 2, FALSE))</f>
        <v>105.42962572482868</v>
      </c>
      <c r="P2764" s="2">
        <f>(16112*Table1[[#This Row],[Generation (TWh)]]*10^9)/10^6</f>
        <v>1016216.0640000001</v>
      </c>
      <c r="Q2764" s="2">
        <f>Table1[[#This Row],[Emission Factor (kg CO2/ mmBtu)]]*Table1[[#This Row],[Fuel Consumption (mmBtu)]]*10^3</f>
        <v>107139279283.07857</v>
      </c>
      <c r="R2764" s="2">
        <f>(Table1[[#This Row],[CO2 Emissions (g CO2)]])/(Table1[[#This Row],[Generation (TWh)]]*10^9)</f>
        <v>1698.6821296784401</v>
      </c>
    </row>
    <row r="2765" spans="1:18" hidden="1">
      <c r="A2765" t="s">
        <v>21</v>
      </c>
      <c r="B2765" t="s">
        <v>19</v>
      </c>
      <c r="C2765" t="str">
        <f>SUBSTITUTE(Table1[[#This Row],[Fuel]],", ",",")</f>
        <v>bioenergy: refuse (municipal and industrial wastes)</v>
      </c>
      <c r="D2765" t="s">
        <v>19</v>
      </c>
      <c r="G2765">
        <v>6</v>
      </c>
      <c r="H2765" t="s">
        <v>27</v>
      </c>
      <c r="I2765">
        <v>2022</v>
      </c>
      <c r="J2765" t="s">
        <v>21</v>
      </c>
      <c r="K2765">
        <v>24.666937000000001</v>
      </c>
      <c r="L2765">
        <v>102.99844400000001</v>
      </c>
      <c r="M2765" t="s">
        <v>102</v>
      </c>
      <c r="N2765" s="2">
        <f>Table1[[#This Row],[Capacity (MW)]]*8760*0.72*10^-6</f>
        <v>3.7843199999999994E-2</v>
      </c>
      <c r="O2765" s="2" cm="1">
        <f t="array" ref="O2765">AVERAGE(VLOOKUP(_xlfn.TEXTSPLIT(Table1[[#This Row],[Fuel (no space after comma)]], ","), FuelList_Final_EF!$A$2:$B$32, 2, FALSE))</f>
        <v>105.42962572482868</v>
      </c>
      <c r="P2765" s="2">
        <f>(16112*Table1[[#This Row],[Generation (TWh)]]*10^9)/10^6</f>
        <v>609729.63839999982</v>
      </c>
      <c r="Q2765" s="2">
        <f>Table1[[#This Row],[Emission Factor (kg CO2/ mmBtu)]]*Table1[[#This Row],[Fuel Consumption (mmBtu)]]*10^3</f>
        <v>64283567569.847115</v>
      </c>
      <c r="R2765" s="2">
        <f>(Table1[[#This Row],[CO2 Emissions (g CO2)]])/(Table1[[#This Row],[Generation (TWh)]]*10^9)</f>
        <v>1698.6821296784397</v>
      </c>
    </row>
    <row r="2766" spans="1:18" hidden="1">
      <c r="A2766" t="s">
        <v>21</v>
      </c>
      <c r="B2766" t="s">
        <v>19</v>
      </c>
      <c r="C2766" t="str">
        <f>SUBSTITUTE(Table1[[#This Row],[Fuel]],", ",",")</f>
        <v>bioenergy: refuse (municipal and industrial wastes)</v>
      </c>
      <c r="D2766" t="s">
        <v>19</v>
      </c>
      <c r="G2766">
        <v>18</v>
      </c>
      <c r="H2766" t="s">
        <v>27</v>
      </c>
      <c r="I2766">
        <v>2023</v>
      </c>
      <c r="J2766" t="s">
        <v>21</v>
      </c>
      <c r="K2766">
        <v>21.968361999999999</v>
      </c>
      <c r="L2766">
        <v>100.63942299999999</v>
      </c>
      <c r="M2766" t="s">
        <v>102</v>
      </c>
      <c r="N2766" s="2">
        <f>Table1[[#This Row],[Capacity (MW)]]*8760*0.72*10^-6</f>
        <v>0.11352959999999998</v>
      </c>
      <c r="O2766" s="2" cm="1">
        <f t="array" ref="O2766">AVERAGE(VLOOKUP(_xlfn.TEXTSPLIT(Table1[[#This Row],[Fuel (no space after comma)]], ","), FuelList_Final_EF!$A$2:$B$32, 2, FALSE))</f>
        <v>105.42962572482868</v>
      </c>
      <c r="P2766" s="2">
        <f>(16112*Table1[[#This Row],[Generation (TWh)]]*10^9)/10^6</f>
        <v>1829188.9151999997</v>
      </c>
      <c r="Q2766" s="2">
        <f>Table1[[#This Row],[Emission Factor (kg CO2/ mmBtu)]]*Table1[[#This Row],[Fuel Consumption (mmBtu)]]*10^3</f>
        <v>192850702709.54135</v>
      </c>
      <c r="R2766" s="2">
        <f>(Table1[[#This Row],[CO2 Emissions (g CO2)]])/(Table1[[#This Row],[Generation (TWh)]]*10^9)</f>
        <v>1698.6821296784397</v>
      </c>
    </row>
    <row r="2767" spans="1:18" hidden="1">
      <c r="A2767" t="s">
        <v>21</v>
      </c>
      <c r="B2767" t="s">
        <v>19</v>
      </c>
      <c r="C2767" t="str">
        <f>SUBSTITUTE(Table1[[#This Row],[Fuel]],", ",",")</f>
        <v>bioenergy: refuse (municipal and industrial wastes)</v>
      </c>
      <c r="D2767" t="s">
        <v>19</v>
      </c>
      <c r="G2767">
        <v>12</v>
      </c>
      <c r="H2767" t="s">
        <v>27</v>
      </c>
      <c r="I2767">
        <v>2011</v>
      </c>
      <c r="J2767" t="s">
        <v>21</v>
      </c>
      <c r="K2767">
        <v>24.850107999999999</v>
      </c>
      <c r="L2767">
        <v>102.543173</v>
      </c>
      <c r="M2767" t="s">
        <v>102</v>
      </c>
      <c r="N2767" s="2">
        <f>Table1[[#This Row],[Capacity (MW)]]*8760*0.72*10^-6</f>
        <v>7.5686399999999987E-2</v>
      </c>
      <c r="O2767" s="2" cm="1">
        <f t="array" ref="O2767">AVERAGE(VLOOKUP(_xlfn.TEXTSPLIT(Table1[[#This Row],[Fuel (no space after comma)]], ","), FuelList_Final_EF!$A$2:$B$32, 2, FALSE))</f>
        <v>105.42962572482868</v>
      </c>
      <c r="P2767" s="2">
        <f>(16112*Table1[[#This Row],[Generation (TWh)]]*10^9)/10^6</f>
        <v>1219459.2767999996</v>
      </c>
      <c r="Q2767" s="2">
        <f>Table1[[#This Row],[Emission Factor (kg CO2/ mmBtu)]]*Table1[[#This Row],[Fuel Consumption (mmBtu)]]*10^3</f>
        <v>128567135139.69423</v>
      </c>
      <c r="R2767" s="2">
        <f>(Table1[[#This Row],[CO2 Emissions (g CO2)]])/(Table1[[#This Row],[Generation (TWh)]]*10^9)</f>
        <v>1698.6821296784397</v>
      </c>
    </row>
    <row r="2768" spans="1:18" hidden="1">
      <c r="A2768" t="s">
        <v>21</v>
      </c>
      <c r="B2768" t="s">
        <v>19</v>
      </c>
      <c r="C2768" t="str">
        <f>SUBSTITUTE(Table1[[#This Row],[Fuel]],", ",",")</f>
        <v>bioenergy: refuse (municipal and industrial wastes)</v>
      </c>
      <c r="D2768" t="s">
        <v>19</v>
      </c>
      <c r="G2768">
        <v>12</v>
      </c>
      <c r="H2768" t="s">
        <v>27</v>
      </c>
      <c r="I2768">
        <v>2011</v>
      </c>
      <c r="J2768" t="s">
        <v>21</v>
      </c>
      <c r="K2768">
        <v>24.850107999999999</v>
      </c>
      <c r="L2768">
        <v>102.543173</v>
      </c>
      <c r="M2768" t="s">
        <v>102</v>
      </c>
      <c r="N2768" s="2">
        <f>Table1[[#This Row],[Capacity (MW)]]*8760*0.72*10^-6</f>
        <v>7.5686399999999987E-2</v>
      </c>
      <c r="O2768" s="2" cm="1">
        <f t="array" ref="O2768">AVERAGE(VLOOKUP(_xlfn.TEXTSPLIT(Table1[[#This Row],[Fuel (no space after comma)]], ","), FuelList_Final_EF!$A$2:$B$32, 2, FALSE))</f>
        <v>105.42962572482868</v>
      </c>
      <c r="P2768" s="2">
        <f>(16112*Table1[[#This Row],[Generation (TWh)]]*10^9)/10^6</f>
        <v>1219459.2767999996</v>
      </c>
      <c r="Q2768" s="2">
        <f>Table1[[#This Row],[Emission Factor (kg CO2/ mmBtu)]]*Table1[[#This Row],[Fuel Consumption (mmBtu)]]*10^3</f>
        <v>128567135139.69423</v>
      </c>
      <c r="R2768" s="2">
        <f>(Table1[[#This Row],[CO2 Emissions (g CO2)]])/(Table1[[#This Row],[Generation (TWh)]]*10^9)</f>
        <v>1698.6821296784397</v>
      </c>
    </row>
    <row r="2769" spans="1:18" hidden="1">
      <c r="A2769" t="s">
        <v>21</v>
      </c>
      <c r="B2769" t="s">
        <v>19</v>
      </c>
      <c r="C2769" t="str">
        <f>SUBSTITUTE(Table1[[#This Row],[Fuel]],", ",",")</f>
        <v>bioenergy: refuse (municipal and industrial wastes)</v>
      </c>
      <c r="D2769" t="s">
        <v>19</v>
      </c>
      <c r="G2769">
        <v>12</v>
      </c>
      <c r="H2769" t="s">
        <v>27</v>
      </c>
      <c r="I2769">
        <v>2022</v>
      </c>
      <c r="J2769" t="s">
        <v>21</v>
      </c>
      <c r="K2769">
        <v>24.850107999999999</v>
      </c>
      <c r="L2769">
        <v>102.543173</v>
      </c>
      <c r="M2769" t="s">
        <v>102</v>
      </c>
      <c r="N2769" s="2">
        <f>Table1[[#This Row],[Capacity (MW)]]*8760*0.72*10^-6</f>
        <v>7.5686399999999987E-2</v>
      </c>
      <c r="O2769" s="2" cm="1">
        <f t="array" ref="O2769">AVERAGE(VLOOKUP(_xlfn.TEXTSPLIT(Table1[[#This Row],[Fuel (no space after comma)]], ","), FuelList_Final_EF!$A$2:$B$32, 2, FALSE))</f>
        <v>105.42962572482868</v>
      </c>
      <c r="P2769" s="2">
        <f>(16112*Table1[[#This Row],[Generation (TWh)]]*10^9)/10^6</f>
        <v>1219459.2767999996</v>
      </c>
      <c r="Q2769" s="2">
        <f>Table1[[#This Row],[Emission Factor (kg CO2/ mmBtu)]]*Table1[[#This Row],[Fuel Consumption (mmBtu)]]*10^3</f>
        <v>128567135139.69423</v>
      </c>
      <c r="R2769" s="2">
        <f>(Table1[[#This Row],[CO2 Emissions (g CO2)]])/(Table1[[#This Row],[Generation (TWh)]]*10^9)</f>
        <v>1698.6821296784397</v>
      </c>
    </row>
    <row r="2770" spans="1:18" hidden="1">
      <c r="A2770" t="s">
        <v>21</v>
      </c>
      <c r="B2770" t="s">
        <v>19</v>
      </c>
      <c r="C2770" t="str">
        <f>SUBSTITUTE(Table1[[#This Row],[Fuel]],", ",",")</f>
        <v>bioenergy: refuse (municipal and industrial wastes)</v>
      </c>
      <c r="D2770" t="s">
        <v>19</v>
      </c>
      <c r="G2770">
        <v>6</v>
      </c>
      <c r="H2770" t="s">
        <v>27</v>
      </c>
      <c r="I2770">
        <v>2021</v>
      </c>
      <c r="J2770" t="s">
        <v>21</v>
      </c>
      <c r="K2770">
        <v>24.999348000000001</v>
      </c>
      <c r="L2770">
        <v>104.462068</v>
      </c>
      <c r="M2770" t="s">
        <v>102</v>
      </c>
      <c r="N2770" s="2">
        <f>Table1[[#This Row],[Capacity (MW)]]*8760*0.72*10^-6</f>
        <v>3.7843199999999994E-2</v>
      </c>
      <c r="O2770" s="2" cm="1">
        <f t="array" ref="O2770">AVERAGE(VLOOKUP(_xlfn.TEXTSPLIT(Table1[[#This Row],[Fuel (no space after comma)]], ","), FuelList_Final_EF!$A$2:$B$32, 2, FALSE))</f>
        <v>105.42962572482868</v>
      </c>
      <c r="P2770" s="2">
        <f>(16112*Table1[[#This Row],[Generation (TWh)]]*10^9)/10^6</f>
        <v>609729.63839999982</v>
      </c>
      <c r="Q2770" s="2">
        <f>Table1[[#This Row],[Emission Factor (kg CO2/ mmBtu)]]*Table1[[#This Row],[Fuel Consumption (mmBtu)]]*10^3</f>
        <v>64283567569.847115</v>
      </c>
      <c r="R2770" s="2">
        <f>(Table1[[#This Row],[CO2 Emissions (g CO2)]])/(Table1[[#This Row],[Generation (TWh)]]*10^9)</f>
        <v>1698.6821296784397</v>
      </c>
    </row>
    <row r="2771" spans="1:18" hidden="1">
      <c r="A2771" t="s">
        <v>21</v>
      </c>
      <c r="B2771" t="s">
        <v>19</v>
      </c>
      <c r="C2771" t="str">
        <f>SUBSTITUTE(Table1[[#This Row],[Fuel]],", ",",")</f>
        <v>bioenergy: refuse (municipal and industrial wastes)</v>
      </c>
      <c r="D2771" t="s">
        <v>19</v>
      </c>
      <c r="G2771">
        <v>6</v>
      </c>
      <c r="H2771" t="s">
        <v>27</v>
      </c>
      <c r="I2771">
        <v>2021</v>
      </c>
      <c r="J2771" t="s">
        <v>21</v>
      </c>
      <c r="K2771">
        <v>24.445345</v>
      </c>
      <c r="L2771">
        <v>98.422758999999999</v>
      </c>
      <c r="M2771" t="s">
        <v>102</v>
      </c>
      <c r="N2771" s="2">
        <f>Table1[[#This Row],[Capacity (MW)]]*8760*0.72*10^-6</f>
        <v>3.7843199999999994E-2</v>
      </c>
      <c r="O2771" s="2" cm="1">
        <f t="array" ref="O2771">AVERAGE(VLOOKUP(_xlfn.TEXTSPLIT(Table1[[#This Row],[Fuel (no space after comma)]], ","), FuelList_Final_EF!$A$2:$B$32, 2, FALSE))</f>
        <v>105.42962572482868</v>
      </c>
      <c r="P2771" s="2">
        <f>(16112*Table1[[#This Row],[Generation (TWh)]]*10^9)/10^6</f>
        <v>609729.63839999982</v>
      </c>
      <c r="Q2771" s="2">
        <f>Table1[[#This Row],[Emission Factor (kg CO2/ mmBtu)]]*Table1[[#This Row],[Fuel Consumption (mmBtu)]]*10^3</f>
        <v>64283567569.847115</v>
      </c>
      <c r="R2771" s="2">
        <f>(Table1[[#This Row],[CO2 Emissions (g CO2)]])/(Table1[[#This Row],[Generation (TWh)]]*10^9)</f>
        <v>1698.6821296784397</v>
      </c>
    </row>
    <row r="2772" spans="1:18" hidden="1">
      <c r="A2772" t="s">
        <v>21</v>
      </c>
      <c r="B2772" t="s">
        <v>19</v>
      </c>
      <c r="C2772" t="str">
        <f>SUBSTITUTE(Table1[[#This Row],[Fuel]],", ",",")</f>
        <v>bioenergy: refuse (municipal and industrial wastes)</v>
      </c>
      <c r="D2772" t="s">
        <v>19</v>
      </c>
      <c r="G2772">
        <v>15</v>
      </c>
      <c r="H2772" t="s">
        <v>27</v>
      </c>
      <c r="I2772">
        <v>2021</v>
      </c>
      <c r="J2772" t="s">
        <v>21</v>
      </c>
      <c r="K2772">
        <v>24.053062000000001</v>
      </c>
      <c r="L2772">
        <v>97.869404000000003</v>
      </c>
      <c r="M2772" t="s">
        <v>102</v>
      </c>
      <c r="N2772" s="2">
        <f>Table1[[#This Row],[Capacity (MW)]]*8760*0.72*10^-6</f>
        <v>9.4607999999999998E-2</v>
      </c>
      <c r="O2772" s="2" cm="1">
        <f t="array" ref="O2772">AVERAGE(VLOOKUP(_xlfn.TEXTSPLIT(Table1[[#This Row],[Fuel (no space after comma)]], ","), FuelList_Final_EF!$A$2:$B$32, 2, FALSE))</f>
        <v>105.42962572482868</v>
      </c>
      <c r="P2772" s="2">
        <f>(16112*Table1[[#This Row],[Generation (TWh)]]*10^9)/10^6</f>
        <v>1524324.0959999999</v>
      </c>
      <c r="Q2772" s="2">
        <f>Table1[[#This Row],[Emission Factor (kg CO2/ mmBtu)]]*Table1[[#This Row],[Fuel Consumption (mmBtu)]]*10^3</f>
        <v>160708918924.61783</v>
      </c>
      <c r="R2772" s="2">
        <f>(Table1[[#This Row],[CO2 Emissions (g CO2)]])/(Table1[[#This Row],[Generation (TWh)]]*10^9)</f>
        <v>1698.6821296784397</v>
      </c>
    </row>
    <row r="2773" spans="1:18" hidden="1">
      <c r="A2773" t="s">
        <v>21</v>
      </c>
      <c r="B2773" t="s">
        <v>19</v>
      </c>
      <c r="C2773" t="str">
        <f>SUBSTITUTE(Table1[[#This Row],[Fuel]],", ",",")</f>
        <v>bioenergy: refuse (municipal and industrial wastes)</v>
      </c>
      <c r="D2773" t="s">
        <v>19</v>
      </c>
      <c r="G2773">
        <v>6</v>
      </c>
      <c r="H2773" t="s">
        <v>27</v>
      </c>
      <c r="I2773">
        <v>2019</v>
      </c>
      <c r="J2773" t="s">
        <v>21</v>
      </c>
      <c r="K2773">
        <v>25.307706</v>
      </c>
      <c r="L2773">
        <v>103.165465</v>
      </c>
      <c r="M2773" t="s">
        <v>102</v>
      </c>
      <c r="N2773" s="2">
        <f>Table1[[#This Row],[Capacity (MW)]]*8760*0.72*10^-6</f>
        <v>3.7843199999999994E-2</v>
      </c>
      <c r="O2773" s="2" cm="1">
        <f t="array" ref="O2773">AVERAGE(VLOOKUP(_xlfn.TEXTSPLIT(Table1[[#This Row],[Fuel (no space after comma)]], ","), FuelList_Final_EF!$A$2:$B$32, 2, FALSE))</f>
        <v>105.42962572482868</v>
      </c>
      <c r="P2773" s="2">
        <f>(16112*Table1[[#This Row],[Generation (TWh)]]*10^9)/10^6</f>
        <v>609729.63839999982</v>
      </c>
      <c r="Q2773" s="2">
        <f>Table1[[#This Row],[Emission Factor (kg CO2/ mmBtu)]]*Table1[[#This Row],[Fuel Consumption (mmBtu)]]*10^3</f>
        <v>64283567569.847115</v>
      </c>
      <c r="R2773" s="2">
        <f>(Table1[[#This Row],[CO2 Emissions (g CO2)]])/(Table1[[#This Row],[Generation (TWh)]]*10^9)</f>
        <v>1698.6821296784397</v>
      </c>
    </row>
    <row r="2774" spans="1:18" hidden="1">
      <c r="A2774" t="s">
        <v>21</v>
      </c>
      <c r="B2774" t="s">
        <v>19</v>
      </c>
      <c r="C2774" t="str">
        <f>SUBSTITUTE(Table1[[#This Row],[Fuel]],", ",",")</f>
        <v>bioenergy: refuse (municipal and industrial wastes)</v>
      </c>
      <c r="D2774" t="s">
        <v>19</v>
      </c>
      <c r="G2774">
        <v>15</v>
      </c>
      <c r="H2774" t="s">
        <v>27</v>
      </c>
      <c r="I2774">
        <v>2023</v>
      </c>
      <c r="J2774" t="s">
        <v>21</v>
      </c>
      <c r="K2774">
        <v>25.307706</v>
      </c>
      <c r="L2774">
        <v>103.165465</v>
      </c>
      <c r="M2774" t="s">
        <v>102</v>
      </c>
      <c r="N2774" s="2">
        <f>Table1[[#This Row],[Capacity (MW)]]*8760*0.72*10^-6</f>
        <v>9.4607999999999998E-2</v>
      </c>
      <c r="O2774" s="2" cm="1">
        <f t="array" ref="O2774">AVERAGE(VLOOKUP(_xlfn.TEXTSPLIT(Table1[[#This Row],[Fuel (no space after comma)]], ","), FuelList_Final_EF!$A$2:$B$32, 2, FALSE))</f>
        <v>105.42962572482868</v>
      </c>
      <c r="P2774" s="2">
        <f>(16112*Table1[[#This Row],[Generation (TWh)]]*10^9)/10^6</f>
        <v>1524324.0959999999</v>
      </c>
      <c r="Q2774" s="2">
        <f>Table1[[#This Row],[Emission Factor (kg CO2/ mmBtu)]]*Table1[[#This Row],[Fuel Consumption (mmBtu)]]*10^3</f>
        <v>160708918924.61783</v>
      </c>
      <c r="R2774" s="2">
        <f>(Table1[[#This Row],[CO2 Emissions (g CO2)]])/(Table1[[#This Row],[Generation (TWh)]]*10^9)</f>
        <v>1698.6821296784397</v>
      </c>
    </row>
    <row r="2775" spans="1:18" hidden="1">
      <c r="A2775" t="s">
        <v>21</v>
      </c>
      <c r="B2775" t="s">
        <v>19</v>
      </c>
      <c r="C2775" t="str">
        <f>SUBSTITUTE(Table1[[#This Row],[Fuel]],", ",",")</f>
        <v>bioenergy: refuse (municipal and industrial wastes)</v>
      </c>
      <c r="D2775" t="s">
        <v>19</v>
      </c>
      <c r="G2775">
        <v>6</v>
      </c>
      <c r="H2775" t="s">
        <v>27</v>
      </c>
      <c r="I2775">
        <v>2020</v>
      </c>
      <c r="J2775" t="s">
        <v>21</v>
      </c>
      <c r="K2775">
        <v>25.375973999999999</v>
      </c>
      <c r="L2775">
        <v>98.467838</v>
      </c>
      <c r="M2775" t="s">
        <v>102</v>
      </c>
      <c r="N2775" s="2">
        <f>Table1[[#This Row],[Capacity (MW)]]*8760*0.72*10^-6</f>
        <v>3.7843199999999994E-2</v>
      </c>
      <c r="O2775" s="2" cm="1">
        <f t="array" ref="O2775">AVERAGE(VLOOKUP(_xlfn.TEXTSPLIT(Table1[[#This Row],[Fuel (no space after comma)]], ","), FuelList_Final_EF!$A$2:$B$32, 2, FALSE))</f>
        <v>105.42962572482868</v>
      </c>
      <c r="P2775" s="2">
        <f>(16112*Table1[[#This Row],[Generation (TWh)]]*10^9)/10^6</f>
        <v>609729.63839999982</v>
      </c>
      <c r="Q2775" s="2">
        <f>Table1[[#This Row],[Emission Factor (kg CO2/ mmBtu)]]*Table1[[#This Row],[Fuel Consumption (mmBtu)]]*10^3</f>
        <v>64283567569.847115</v>
      </c>
      <c r="R2775" s="2">
        <f>(Table1[[#This Row],[CO2 Emissions (g CO2)]])/(Table1[[#This Row],[Generation (TWh)]]*10^9)</f>
        <v>1698.6821296784397</v>
      </c>
    </row>
    <row r="2776" spans="1:18" hidden="1">
      <c r="A2776" t="s">
        <v>21</v>
      </c>
      <c r="B2776" t="s">
        <v>19</v>
      </c>
      <c r="C2776" t="str">
        <f>SUBSTITUTE(Table1[[#This Row],[Fuel]],", ",",")</f>
        <v>bioenergy: refuse (municipal and industrial wastes)</v>
      </c>
      <c r="D2776" t="s">
        <v>19</v>
      </c>
      <c r="G2776">
        <v>6</v>
      </c>
      <c r="H2776" t="s">
        <v>27</v>
      </c>
      <c r="I2776">
        <v>2017</v>
      </c>
      <c r="J2776" t="s">
        <v>21</v>
      </c>
      <c r="K2776">
        <v>23.715171000000002</v>
      </c>
      <c r="L2776">
        <v>104.182444</v>
      </c>
      <c r="M2776" t="s">
        <v>102</v>
      </c>
      <c r="N2776" s="2">
        <f>Table1[[#This Row],[Capacity (MW)]]*8760*0.72*10^-6</f>
        <v>3.7843199999999994E-2</v>
      </c>
      <c r="O2776" s="2" cm="1">
        <f t="array" ref="O2776">AVERAGE(VLOOKUP(_xlfn.TEXTSPLIT(Table1[[#This Row],[Fuel (no space after comma)]], ","), FuelList_Final_EF!$A$2:$B$32, 2, FALSE))</f>
        <v>105.42962572482868</v>
      </c>
      <c r="P2776" s="2">
        <f>(16112*Table1[[#This Row],[Generation (TWh)]]*10^9)/10^6</f>
        <v>609729.63839999982</v>
      </c>
      <c r="Q2776" s="2">
        <f>Table1[[#This Row],[Emission Factor (kg CO2/ mmBtu)]]*Table1[[#This Row],[Fuel Consumption (mmBtu)]]*10^3</f>
        <v>64283567569.847115</v>
      </c>
      <c r="R2776" s="2">
        <f>(Table1[[#This Row],[CO2 Emissions (g CO2)]])/(Table1[[#This Row],[Generation (TWh)]]*10^9)</f>
        <v>1698.6821296784397</v>
      </c>
    </row>
    <row r="2777" spans="1:18" hidden="1">
      <c r="A2777" t="s">
        <v>541</v>
      </c>
      <c r="B2777" t="s">
        <v>19</v>
      </c>
      <c r="C2777" t="str">
        <f>SUBSTITUTE(Table1[[#This Row],[Fuel]],", ",",")</f>
        <v>bioenergy: refuse (municipal and industrial wastes)</v>
      </c>
      <c r="D2777" t="s">
        <v>19</v>
      </c>
      <c r="G2777">
        <v>15</v>
      </c>
      <c r="H2777" t="s">
        <v>27</v>
      </c>
      <c r="I2777">
        <v>2021</v>
      </c>
      <c r="J2777" t="s">
        <v>21</v>
      </c>
      <c r="K2777">
        <v>27.228200000000001</v>
      </c>
      <c r="L2777">
        <v>103.620965</v>
      </c>
      <c r="M2777" t="s">
        <v>102</v>
      </c>
      <c r="N2777" s="2">
        <f>Table1[[#This Row],[Capacity (MW)]]*8760*0.72*10^-6</f>
        <v>9.4607999999999998E-2</v>
      </c>
      <c r="O2777" s="2" cm="1">
        <f t="array" ref="O2777">AVERAGE(VLOOKUP(_xlfn.TEXTSPLIT(Table1[[#This Row],[Fuel (no space after comma)]], ","), FuelList_Final_EF!$A$2:$B$32, 2, FALSE))</f>
        <v>105.42962572482868</v>
      </c>
      <c r="P2777" s="2">
        <f>(16112*Table1[[#This Row],[Generation (TWh)]]*10^9)/10^6</f>
        <v>1524324.0959999999</v>
      </c>
      <c r="Q2777" s="2">
        <f>Table1[[#This Row],[Emission Factor (kg CO2/ mmBtu)]]*Table1[[#This Row],[Fuel Consumption (mmBtu)]]*10^3</f>
        <v>160708918924.61783</v>
      </c>
      <c r="R2777" s="2">
        <f>(Table1[[#This Row],[CO2 Emissions (g CO2)]])/(Table1[[#This Row],[Generation (TWh)]]*10^9)</f>
        <v>1698.6821296784397</v>
      </c>
    </row>
    <row r="2778" spans="1:18" hidden="1">
      <c r="A2778" t="s">
        <v>21</v>
      </c>
      <c r="B2778" t="s">
        <v>19</v>
      </c>
      <c r="C2778" t="str">
        <f>SUBSTITUTE(Table1[[#This Row],[Fuel]],", ",",")</f>
        <v>bioenergy: refuse (municipal and industrial wastes)</v>
      </c>
      <c r="D2778" t="s">
        <v>19</v>
      </c>
      <c r="G2778">
        <v>12</v>
      </c>
      <c r="H2778" t="s">
        <v>27</v>
      </c>
      <c r="I2778">
        <v>2021</v>
      </c>
      <c r="J2778" t="s">
        <v>21</v>
      </c>
      <c r="K2778">
        <v>27.593205999999999</v>
      </c>
      <c r="L2778">
        <v>104.80415000000001</v>
      </c>
      <c r="M2778" t="s">
        <v>102</v>
      </c>
      <c r="N2778" s="2">
        <f>Table1[[#This Row],[Capacity (MW)]]*8760*0.72*10^-6</f>
        <v>7.5686399999999987E-2</v>
      </c>
      <c r="O2778" s="2" cm="1">
        <f t="array" ref="O2778">AVERAGE(VLOOKUP(_xlfn.TEXTSPLIT(Table1[[#This Row],[Fuel (no space after comma)]], ","), FuelList_Final_EF!$A$2:$B$32, 2, FALSE))</f>
        <v>105.42962572482868</v>
      </c>
      <c r="P2778" s="2">
        <f>(16112*Table1[[#This Row],[Generation (TWh)]]*10^9)/10^6</f>
        <v>1219459.2767999996</v>
      </c>
      <c r="Q2778" s="2">
        <f>Table1[[#This Row],[Emission Factor (kg CO2/ mmBtu)]]*Table1[[#This Row],[Fuel Consumption (mmBtu)]]*10^3</f>
        <v>128567135139.69423</v>
      </c>
      <c r="R2778" s="2">
        <f>(Table1[[#This Row],[CO2 Emissions (g CO2)]])/(Table1[[#This Row],[Generation (TWh)]]*10^9)</f>
        <v>1698.6821296784397</v>
      </c>
    </row>
    <row r="2779" spans="1:18" hidden="1">
      <c r="A2779" t="s">
        <v>752</v>
      </c>
      <c r="B2779" t="s">
        <v>19</v>
      </c>
      <c r="C2779" t="str">
        <f>SUBSTITUTE(Table1[[#This Row],[Fuel]],", ",",")</f>
        <v>bioenergy: refuse (municipal and industrial wastes)</v>
      </c>
      <c r="D2779" t="s">
        <v>19</v>
      </c>
      <c r="G2779">
        <v>9</v>
      </c>
      <c r="H2779" t="s">
        <v>27</v>
      </c>
      <c r="I2779">
        <v>2011</v>
      </c>
      <c r="J2779" t="s">
        <v>21</v>
      </c>
      <c r="K2779">
        <v>27.521467999999999</v>
      </c>
      <c r="L2779">
        <v>120.483709</v>
      </c>
      <c r="M2779" t="s">
        <v>102</v>
      </c>
      <c r="N2779" s="2">
        <f>Table1[[#This Row],[Capacity (MW)]]*8760*0.72*10^-6</f>
        <v>5.676479999999999E-2</v>
      </c>
      <c r="O2779" s="2" cm="1">
        <f t="array" ref="O2779">AVERAGE(VLOOKUP(_xlfn.TEXTSPLIT(Table1[[#This Row],[Fuel (no space after comma)]], ","), FuelList_Final_EF!$A$2:$B$32, 2, FALSE))</f>
        <v>105.42962572482868</v>
      </c>
      <c r="P2779" s="2">
        <f>(16112*Table1[[#This Row],[Generation (TWh)]]*10^9)/10^6</f>
        <v>914594.45759999985</v>
      </c>
      <c r="Q2779" s="2">
        <f>Table1[[#This Row],[Emission Factor (kg CO2/ mmBtu)]]*Table1[[#This Row],[Fuel Consumption (mmBtu)]]*10^3</f>
        <v>96425351354.770676</v>
      </c>
      <c r="R2779" s="2">
        <f>(Table1[[#This Row],[CO2 Emissions (g CO2)]])/(Table1[[#This Row],[Generation (TWh)]]*10^9)</f>
        <v>1698.6821296784397</v>
      </c>
    </row>
    <row r="2780" spans="1:18" hidden="1">
      <c r="A2780" t="s">
        <v>752</v>
      </c>
      <c r="B2780" t="s">
        <v>19</v>
      </c>
      <c r="C2780" t="str">
        <f>SUBSTITUTE(Table1[[#This Row],[Fuel]],", ",",")</f>
        <v>bioenergy: refuse (municipal and industrial wastes)</v>
      </c>
      <c r="D2780" t="s">
        <v>19</v>
      </c>
      <c r="G2780">
        <v>25</v>
      </c>
      <c r="H2780" t="s">
        <v>27</v>
      </c>
      <c r="I2780">
        <v>2017</v>
      </c>
      <c r="J2780" t="s">
        <v>21</v>
      </c>
      <c r="K2780">
        <v>27.521467999999999</v>
      </c>
      <c r="L2780">
        <v>120.483709</v>
      </c>
      <c r="M2780" t="s">
        <v>102</v>
      </c>
      <c r="N2780" s="2">
        <f>Table1[[#This Row],[Capacity (MW)]]*8760*0.72*10^-6</f>
        <v>0.15767999999999999</v>
      </c>
      <c r="O2780" s="2" cm="1">
        <f t="array" ref="O2780">AVERAGE(VLOOKUP(_xlfn.TEXTSPLIT(Table1[[#This Row],[Fuel (no space after comma)]], ","), FuelList_Final_EF!$A$2:$B$32, 2, FALSE))</f>
        <v>105.42962572482868</v>
      </c>
      <c r="P2780" s="2">
        <f>(16112*Table1[[#This Row],[Generation (TWh)]]*10^9)/10^6</f>
        <v>2540540.16</v>
      </c>
      <c r="Q2780" s="2">
        <f>Table1[[#This Row],[Emission Factor (kg CO2/ mmBtu)]]*Table1[[#This Row],[Fuel Consumption (mmBtu)]]*10^3</f>
        <v>267848198207.69638</v>
      </c>
      <c r="R2780" s="2">
        <f>(Table1[[#This Row],[CO2 Emissions (g CO2)]])/(Table1[[#This Row],[Generation (TWh)]]*10^9)</f>
        <v>1698.6821296784397</v>
      </c>
    </row>
    <row r="2781" spans="1:18" hidden="1">
      <c r="A2781" t="s">
        <v>21</v>
      </c>
      <c r="B2781" t="s">
        <v>19</v>
      </c>
      <c r="C2781" t="str">
        <f>SUBSTITUTE(Table1[[#This Row],[Fuel]],", ",",")</f>
        <v>bioenergy: refuse (municipal and industrial wastes)</v>
      </c>
      <c r="D2781" t="s">
        <v>19</v>
      </c>
      <c r="G2781">
        <v>3</v>
      </c>
      <c r="H2781" t="s">
        <v>27</v>
      </c>
      <c r="I2781">
        <v>2008</v>
      </c>
      <c r="J2781" t="s">
        <v>21</v>
      </c>
      <c r="K2781">
        <v>31.082623000000002</v>
      </c>
      <c r="L2781">
        <v>119.93293300000001</v>
      </c>
      <c r="M2781" t="s">
        <v>102</v>
      </c>
      <c r="N2781" s="2">
        <f>Table1[[#This Row],[Capacity (MW)]]*8760*0.72*10^-6</f>
        <v>1.8921599999999997E-2</v>
      </c>
      <c r="O2781" s="2" cm="1">
        <f t="array" ref="O2781">AVERAGE(VLOOKUP(_xlfn.TEXTSPLIT(Table1[[#This Row],[Fuel (no space after comma)]], ","), FuelList_Final_EF!$A$2:$B$32, 2, FALSE))</f>
        <v>105.42962572482868</v>
      </c>
      <c r="P2781" s="2">
        <f>(16112*Table1[[#This Row],[Generation (TWh)]]*10^9)/10^6</f>
        <v>304864.81919999991</v>
      </c>
      <c r="Q2781" s="2">
        <f>Table1[[#This Row],[Emission Factor (kg CO2/ mmBtu)]]*Table1[[#This Row],[Fuel Consumption (mmBtu)]]*10^3</f>
        <v>32141783784.923557</v>
      </c>
      <c r="R2781" s="2">
        <f>(Table1[[#This Row],[CO2 Emissions (g CO2)]])/(Table1[[#This Row],[Generation (TWh)]]*10^9)</f>
        <v>1698.6821296784397</v>
      </c>
    </row>
    <row r="2782" spans="1:18" hidden="1">
      <c r="A2782" t="s">
        <v>21</v>
      </c>
      <c r="B2782" t="s">
        <v>19</v>
      </c>
      <c r="C2782" t="str">
        <f>SUBSTITUTE(Table1[[#This Row],[Fuel]],", ",",")</f>
        <v>bioenergy: refuse (municipal and industrial wastes)</v>
      </c>
      <c r="D2782" t="s">
        <v>19</v>
      </c>
      <c r="G2782">
        <v>6</v>
      </c>
      <c r="H2782" t="s">
        <v>27</v>
      </c>
      <c r="I2782">
        <v>2008</v>
      </c>
      <c r="J2782" t="s">
        <v>21</v>
      </c>
      <c r="K2782">
        <v>31.082623000000002</v>
      </c>
      <c r="L2782">
        <v>119.93293300000001</v>
      </c>
      <c r="M2782" t="s">
        <v>102</v>
      </c>
      <c r="N2782" s="2">
        <f>Table1[[#This Row],[Capacity (MW)]]*8760*0.72*10^-6</f>
        <v>3.7843199999999994E-2</v>
      </c>
      <c r="O2782" s="2" cm="1">
        <f t="array" ref="O2782">AVERAGE(VLOOKUP(_xlfn.TEXTSPLIT(Table1[[#This Row],[Fuel (no space after comma)]], ","), FuelList_Final_EF!$A$2:$B$32, 2, FALSE))</f>
        <v>105.42962572482868</v>
      </c>
      <c r="P2782" s="2">
        <f>(16112*Table1[[#This Row],[Generation (TWh)]]*10^9)/10^6</f>
        <v>609729.63839999982</v>
      </c>
      <c r="Q2782" s="2">
        <f>Table1[[#This Row],[Emission Factor (kg CO2/ mmBtu)]]*Table1[[#This Row],[Fuel Consumption (mmBtu)]]*10^3</f>
        <v>64283567569.847115</v>
      </c>
      <c r="R2782" s="2">
        <f>(Table1[[#This Row],[CO2 Emissions (g CO2)]])/(Table1[[#This Row],[Generation (TWh)]]*10^9)</f>
        <v>1698.6821296784397</v>
      </c>
    </row>
    <row r="2783" spans="1:18" hidden="1">
      <c r="A2783" t="s">
        <v>1277</v>
      </c>
      <c r="B2783" t="s">
        <v>19</v>
      </c>
      <c r="C2783" t="str">
        <f>SUBSTITUTE(Table1[[#This Row],[Fuel]],", ",",")</f>
        <v>bioenergy: refuse (municipal and industrial wastes)</v>
      </c>
      <c r="D2783" t="s">
        <v>19</v>
      </c>
      <c r="G2783">
        <v>12</v>
      </c>
      <c r="H2783" t="s">
        <v>27</v>
      </c>
      <c r="I2783">
        <v>2009</v>
      </c>
      <c r="J2783" t="s">
        <v>21</v>
      </c>
      <c r="K2783">
        <v>30.152097999999999</v>
      </c>
      <c r="L2783">
        <v>121.53008699999999</v>
      </c>
      <c r="M2783" t="s">
        <v>102</v>
      </c>
      <c r="N2783" s="2">
        <f>Table1[[#This Row],[Capacity (MW)]]*8760*0.72*10^-6</f>
        <v>7.5686399999999987E-2</v>
      </c>
      <c r="O2783" s="2" cm="1">
        <f t="array" ref="O2783">AVERAGE(VLOOKUP(_xlfn.TEXTSPLIT(Table1[[#This Row],[Fuel (no space after comma)]], ","), FuelList_Final_EF!$A$2:$B$32, 2, FALSE))</f>
        <v>105.42962572482868</v>
      </c>
      <c r="P2783" s="2">
        <f>(16112*Table1[[#This Row],[Generation (TWh)]]*10^9)/10^6</f>
        <v>1219459.2767999996</v>
      </c>
      <c r="Q2783" s="2">
        <f>Table1[[#This Row],[Emission Factor (kg CO2/ mmBtu)]]*Table1[[#This Row],[Fuel Consumption (mmBtu)]]*10^3</f>
        <v>128567135139.69423</v>
      </c>
      <c r="R2783" s="2">
        <f>(Table1[[#This Row],[CO2 Emissions (g CO2)]])/(Table1[[#This Row],[Generation (TWh)]]*10^9)</f>
        <v>1698.6821296784397</v>
      </c>
    </row>
    <row r="2784" spans="1:18" hidden="1">
      <c r="A2784" t="s">
        <v>1277</v>
      </c>
      <c r="B2784" t="s">
        <v>19</v>
      </c>
      <c r="C2784" t="str">
        <f>SUBSTITUTE(Table1[[#This Row],[Fuel]],", ",",")</f>
        <v>bioenergy: refuse (municipal and industrial wastes)</v>
      </c>
      <c r="D2784" t="s">
        <v>19</v>
      </c>
      <c r="G2784">
        <v>12</v>
      </c>
      <c r="H2784" t="s">
        <v>27</v>
      </c>
      <c r="I2784">
        <v>2009</v>
      </c>
      <c r="J2784" t="s">
        <v>21</v>
      </c>
      <c r="K2784">
        <v>30.152097999999999</v>
      </c>
      <c r="L2784">
        <v>121.53008699999999</v>
      </c>
      <c r="M2784" t="s">
        <v>102</v>
      </c>
      <c r="N2784" s="2">
        <f>Table1[[#This Row],[Capacity (MW)]]*8760*0.72*10^-6</f>
        <v>7.5686399999999987E-2</v>
      </c>
      <c r="O2784" s="2" cm="1">
        <f t="array" ref="O2784">AVERAGE(VLOOKUP(_xlfn.TEXTSPLIT(Table1[[#This Row],[Fuel (no space after comma)]], ","), FuelList_Final_EF!$A$2:$B$32, 2, FALSE))</f>
        <v>105.42962572482868</v>
      </c>
      <c r="P2784" s="2">
        <f>(16112*Table1[[#This Row],[Generation (TWh)]]*10^9)/10^6</f>
        <v>1219459.2767999996</v>
      </c>
      <c r="Q2784" s="2">
        <f>Table1[[#This Row],[Emission Factor (kg CO2/ mmBtu)]]*Table1[[#This Row],[Fuel Consumption (mmBtu)]]*10^3</f>
        <v>128567135139.69423</v>
      </c>
      <c r="R2784" s="2">
        <f>(Table1[[#This Row],[CO2 Emissions (g CO2)]])/(Table1[[#This Row],[Generation (TWh)]]*10^9)</f>
        <v>1698.6821296784397</v>
      </c>
    </row>
    <row r="2785" spans="1:18" hidden="1">
      <c r="A2785" t="s">
        <v>21</v>
      </c>
      <c r="B2785" t="s">
        <v>19</v>
      </c>
      <c r="C2785" t="str">
        <f>SUBSTITUTE(Table1[[#This Row],[Fuel]],", ",",")</f>
        <v>bioenergy: refuse (municipal and industrial wastes)</v>
      </c>
      <c r="D2785" t="s">
        <v>19</v>
      </c>
      <c r="G2785">
        <v>7.5</v>
      </c>
      <c r="H2785" t="s">
        <v>27</v>
      </c>
      <c r="I2785">
        <v>2004</v>
      </c>
      <c r="J2785" t="s">
        <v>21</v>
      </c>
      <c r="K2785">
        <v>30.153908999999999</v>
      </c>
      <c r="L2785">
        <v>120.163004</v>
      </c>
      <c r="M2785" t="s">
        <v>102</v>
      </c>
      <c r="N2785" s="2">
        <f>Table1[[#This Row],[Capacity (MW)]]*8760*0.72*10^-6</f>
        <v>4.7303999999999999E-2</v>
      </c>
      <c r="O2785" s="2" cm="1">
        <f t="array" ref="O2785">AVERAGE(VLOOKUP(_xlfn.TEXTSPLIT(Table1[[#This Row],[Fuel (no space after comma)]], ","), FuelList_Final_EF!$A$2:$B$32, 2, FALSE))</f>
        <v>105.42962572482868</v>
      </c>
      <c r="P2785" s="2">
        <f>(16112*Table1[[#This Row],[Generation (TWh)]]*10^9)/10^6</f>
        <v>762162.04799999995</v>
      </c>
      <c r="Q2785" s="2">
        <f>Table1[[#This Row],[Emission Factor (kg CO2/ mmBtu)]]*Table1[[#This Row],[Fuel Consumption (mmBtu)]]*10^3</f>
        <v>80354459462.308914</v>
      </c>
      <c r="R2785" s="2">
        <f>(Table1[[#This Row],[CO2 Emissions (g CO2)]])/(Table1[[#This Row],[Generation (TWh)]]*10^9)</f>
        <v>1698.6821296784397</v>
      </c>
    </row>
    <row r="2786" spans="1:18" hidden="1">
      <c r="A2786" t="s">
        <v>21</v>
      </c>
      <c r="B2786" t="s">
        <v>19</v>
      </c>
      <c r="C2786" t="str">
        <f>SUBSTITUTE(Table1[[#This Row],[Fuel]],", ",",")</f>
        <v>bioenergy: refuse (municipal and industrial wastes)</v>
      </c>
      <c r="D2786" t="s">
        <v>19</v>
      </c>
      <c r="G2786">
        <v>12</v>
      </c>
      <c r="H2786" t="s">
        <v>27</v>
      </c>
      <c r="I2786">
        <v>2007</v>
      </c>
      <c r="J2786" t="s">
        <v>21</v>
      </c>
      <c r="K2786">
        <v>30.102397</v>
      </c>
      <c r="L2786">
        <v>120.266092</v>
      </c>
      <c r="M2786" t="s">
        <v>102</v>
      </c>
      <c r="N2786" s="2">
        <f>Table1[[#This Row],[Capacity (MW)]]*8760*0.72*10^-6</f>
        <v>7.5686399999999987E-2</v>
      </c>
      <c r="O2786" s="2" cm="1">
        <f t="array" ref="O2786">AVERAGE(VLOOKUP(_xlfn.TEXTSPLIT(Table1[[#This Row],[Fuel (no space after comma)]], ","), FuelList_Final_EF!$A$2:$B$32, 2, FALSE))</f>
        <v>105.42962572482868</v>
      </c>
      <c r="P2786" s="2">
        <f>(16112*Table1[[#This Row],[Generation (TWh)]]*10^9)/10^6</f>
        <v>1219459.2767999996</v>
      </c>
      <c r="Q2786" s="2">
        <f>Table1[[#This Row],[Emission Factor (kg CO2/ mmBtu)]]*Table1[[#This Row],[Fuel Consumption (mmBtu)]]*10^3</f>
        <v>128567135139.69423</v>
      </c>
      <c r="R2786" s="2">
        <f>(Table1[[#This Row],[CO2 Emissions (g CO2)]])/(Table1[[#This Row],[Generation (TWh)]]*10^9)</f>
        <v>1698.6821296784397</v>
      </c>
    </row>
    <row r="2787" spans="1:18" hidden="1">
      <c r="A2787" t="s">
        <v>21</v>
      </c>
      <c r="B2787" t="s">
        <v>19</v>
      </c>
      <c r="C2787" t="str">
        <f>SUBSTITUTE(Table1[[#This Row],[Fuel]],", ",",")</f>
        <v>bioenergy: refuse (municipal and industrial wastes)</v>
      </c>
      <c r="D2787" t="s">
        <v>19</v>
      </c>
      <c r="G2787">
        <v>12</v>
      </c>
      <c r="H2787" t="s">
        <v>27</v>
      </c>
      <c r="I2787">
        <v>2007</v>
      </c>
      <c r="J2787" t="s">
        <v>21</v>
      </c>
      <c r="K2787">
        <v>30.102397</v>
      </c>
      <c r="L2787">
        <v>120.266092</v>
      </c>
      <c r="M2787" t="s">
        <v>102</v>
      </c>
      <c r="N2787" s="2">
        <f>Table1[[#This Row],[Capacity (MW)]]*8760*0.72*10^-6</f>
        <v>7.5686399999999987E-2</v>
      </c>
      <c r="O2787" s="2" cm="1">
        <f t="array" ref="O2787">AVERAGE(VLOOKUP(_xlfn.TEXTSPLIT(Table1[[#This Row],[Fuel (no space after comma)]], ","), FuelList_Final_EF!$A$2:$B$32, 2, FALSE))</f>
        <v>105.42962572482868</v>
      </c>
      <c r="P2787" s="2">
        <f>(16112*Table1[[#This Row],[Generation (TWh)]]*10^9)/10^6</f>
        <v>1219459.2767999996</v>
      </c>
      <c r="Q2787" s="2">
        <f>Table1[[#This Row],[Emission Factor (kg CO2/ mmBtu)]]*Table1[[#This Row],[Fuel Consumption (mmBtu)]]*10^3</f>
        <v>128567135139.69423</v>
      </c>
      <c r="R2787" s="2">
        <f>(Table1[[#This Row],[CO2 Emissions (g CO2)]])/(Table1[[#This Row],[Generation (TWh)]]*10^9)</f>
        <v>1698.6821296784397</v>
      </c>
    </row>
    <row r="2788" spans="1:18" hidden="1">
      <c r="A2788" t="s">
        <v>514</v>
      </c>
      <c r="B2788" t="s">
        <v>19</v>
      </c>
      <c r="C2788" t="str">
        <f>SUBSTITUTE(Table1[[#This Row],[Fuel]],", ",",")</f>
        <v>bioenergy: refuse (municipal and industrial wastes)</v>
      </c>
      <c r="D2788" t="s">
        <v>19</v>
      </c>
      <c r="G2788">
        <v>10</v>
      </c>
      <c r="H2788" t="s">
        <v>27</v>
      </c>
      <c r="I2788">
        <v>2021</v>
      </c>
      <c r="J2788" t="s">
        <v>21</v>
      </c>
      <c r="K2788">
        <v>28.816718000000002</v>
      </c>
      <c r="L2788">
        <v>118.644684</v>
      </c>
      <c r="M2788" t="s">
        <v>102</v>
      </c>
      <c r="N2788" s="2">
        <f>Table1[[#This Row],[Capacity (MW)]]*8760*0.72*10^-6</f>
        <v>6.3072000000000003E-2</v>
      </c>
      <c r="O2788" s="2" cm="1">
        <f t="array" ref="O2788">AVERAGE(VLOOKUP(_xlfn.TEXTSPLIT(Table1[[#This Row],[Fuel (no space after comma)]], ","), FuelList_Final_EF!$A$2:$B$32, 2, FALSE))</f>
        <v>105.42962572482868</v>
      </c>
      <c r="P2788" s="2">
        <f>(16112*Table1[[#This Row],[Generation (TWh)]]*10^9)/10^6</f>
        <v>1016216.0640000001</v>
      </c>
      <c r="Q2788" s="2">
        <f>Table1[[#This Row],[Emission Factor (kg CO2/ mmBtu)]]*Table1[[#This Row],[Fuel Consumption (mmBtu)]]*10^3</f>
        <v>107139279283.07857</v>
      </c>
      <c r="R2788" s="2">
        <f>(Table1[[#This Row],[CO2 Emissions (g CO2)]])/(Table1[[#This Row],[Generation (TWh)]]*10^9)</f>
        <v>1698.6821296784401</v>
      </c>
    </row>
    <row r="2789" spans="1:18" hidden="1">
      <c r="A2789" t="s">
        <v>127</v>
      </c>
      <c r="B2789" t="s">
        <v>19</v>
      </c>
      <c r="C2789" t="str">
        <f>SUBSTITUTE(Table1[[#This Row],[Fuel]],", ",",")</f>
        <v>bioenergy: refuse (municipal and industrial wastes)</v>
      </c>
      <c r="D2789" t="s">
        <v>19</v>
      </c>
      <c r="G2789">
        <v>12</v>
      </c>
      <c r="H2789" t="s">
        <v>27</v>
      </c>
      <c r="I2789">
        <v>2022</v>
      </c>
      <c r="J2789" t="s">
        <v>21</v>
      </c>
      <c r="K2789">
        <v>28.652550000000002</v>
      </c>
      <c r="L2789">
        <v>120.126976</v>
      </c>
      <c r="M2789" t="s">
        <v>102</v>
      </c>
      <c r="N2789" s="2">
        <f>Table1[[#This Row],[Capacity (MW)]]*8760*0.72*10^-6</f>
        <v>7.5686399999999987E-2</v>
      </c>
      <c r="O2789" s="2" cm="1">
        <f t="array" ref="O2789">AVERAGE(VLOOKUP(_xlfn.TEXTSPLIT(Table1[[#This Row],[Fuel (no space after comma)]], ","), FuelList_Final_EF!$A$2:$B$32, 2, FALSE))</f>
        <v>105.42962572482868</v>
      </c>
      <c r="P2789" s="2">
        <f>(16112*Table1[[#This Row],[Generation (TWh)]]*10^9)/10^6</f>
        <v>1219459.2767999996</v>
      </c>
      <c r="Q2789" s="2">
        <f>Table1[[#This Row],[Emission Factor (kg CO2/ mmBtu)]]*Table1[[#This Row],[Fuel Consumption (mmBtu)]]*10^3</f>
        <v>128567135139.69423</v>
      </c>
      <c r="R2789" s="2">
        <f>(Table1[[#This Row],[CO2 Emissions (g CO2)]])/(Table1[[#This Row],[Generation (TWh)]]*10^9)</f>
        <v>1698.6821296784397</v>
      </c>
    </row>
    <row r="2790" spans="1:18" hidden="1">
      <c r="A2790" t="s">
        <v>21</v>
      </c>
      <c r="B2790" t="s">
        <v>19</v>
      </c>
      <c r="C2790" t="str">
        <f>SUBSTITUTE(Table1[[#This Row],[Fuel]],", ",",")</f>
        <v>bioenergy: refuse (municipal and industrial wastes)</v>
      </c>
      <c r="D2790" t="s">
        <v>19</v>
      </c>
      <c r="G2790">
        <v>7.5</v>
      </c>
      <c r="H2790" t="s">
        <v>27</v>
      </c>
      <c r="I2790">
        <v>2013</v>
      </c>
      <c r="J2790" t="s">
        <v>21</v>
      </c>
      <c r="K2790">
        <v>29.292627</v>
      </c>
      <c r="L2790">
        <v>119.42483</v>
      </c>
      <c r="M2790" t="s">
        <v>102</v>
      </c>
      <c r="N2790" s="2">
        <f>Table1[[#This Row],[Capacity (MW)]]*8760*0.72*10^-6</f>
        <v>4.7303999999999999E-2</v>
      </c>
      <c r="O2790" s="2" cm="1">
        <f t="array" ref="O2790">AVERAGE(VLOOKUP(_xlfn.TEXTSPLIT(Table1[[#This Row],[Fuel (no space after comma)]], ","), FuelList_Final_EF!$A$2:$B$32, 2, FALSE))</f>
        <v>105.42962572482868</v>
      </c>
      <c r="P2790" s="2">
        <f>(16112*Table1[[#This Row],[Generation (TWh)]]*10^9)/10^6</f>
        <v>762162.04799999995</v>
      </c>
      <c r="Q2790" s="2">
        <f>Table1[[#This Row],[Emission Factor (kg CO2/ mmBtu)]]*Table1[[#This Row],[Fuel Consumption (mmBtu)]]*10^3</f>
        <v>80354459462.308914</v>
      </c>
      <c r="R2790" s="2">
        <f>(Table1[[#This Row],[CO2 Emissions (g CO2)]])/(Table1[[#This Row],[Generation (TWh)]]*10^9)</f>
        <v>1698.6821296784397</v>
      </c>
    </row>
    <row r="2791" spans="1:18" hidden="1">
      <c r="A2791" t="s">
        <v>21</v>
      </c>
      <c r="B2791" t="s">
        <v>19</v>
      </c>
      <c r="C2791" t="str">
        <f>SUBSTITUTE(Table1[[#This Row],[Fuel]],", ",",")</f>
        <v>bioenergy: refuse (municipal and industrial wastes)</v>
      </c>
      <c r="D2791" t="s">
        <v>19</v>
      </c>
      <c r="G2791">
        <v>7.5</v>
      </c>
      <c r="H2791" t="s">
        <v>27</v>
      </c>
      <c r="I2791">
        <v>2018</v>
      </c>
      <c r="J2791" t="s">
        <v>21</v>
      </c>
      <c r="K2791">
        <v>29.292627</v>
      </c>
      <c r="L2791">
        <v>119.42483</v>
      </c>
      <c r="M2791" t="s">
        <v>102</v>
      </c>
      <c r="N2791" s="2">
        <f>Table1[[#This Row],[Capacity (MW)]]*8760*0.72*10^-6</f>
        <v>4.7303999999999999E-2</v>
      </c>
      <c r="O2791" s="2" cm="1">
        <f t="array" ref="O2791">AVERAGE(VLOOKUP(_xlfn.TEXTSPLIT(Table1[[#This Row],[Fuel (no space after comma)]], ","), FuelList_Final_EF!$A$2:$B$32, 2, FALSE))</f>
        <v>105.42962572482868</v>
      </c>
      <c r="P2791" s="2">
        <f>(16112*Table1[[#This Row],[Generation (TWh)]]*10^9)/10^6</f>
        <v>762162.04799999995</v>
      </c>
      <c r="Q2791" s="2">
        <f>Table1[[#This Row],[Emission Factor (kg CO2/ mmBtu)]]*Table1[[#This Row],[Fuel Consumption (mmBtu)]]*10^3</f>
        <v>80354459462.308914</v>
      </c>
      <c r="R2791" s="2">
        <f>(Table1[[#This Row],[CO2 Emissions (g CO2)]])/(Table1[[#This Row],[Generation (TWh)]]*10^9)</f>
        <v>1698.6821296784397</v>
      </c>
    </row>
    <row r="2792" spans="1:18" hidden="1">
      <c r="A2792" t="s">
        <v>21</v>
      </c>
      <c r="B2792" t="s">
        <v>19</v>
      </c>
      <c r="C2792" t="str">
        <f>SUBSTITUTE(Table1[[#This Row],[Fuel]],", ",",")</f>
        <v>bioenergy: refuse (municipal and industrial wastes)</v>
      </c>
      <c r="D2792" t="s">
        <v>19</v>
      </c>
      <c r="G2792">
        <v>12</v>
      </c>
      <c r="H2792" t="s">
        <v>27</v>
      </c>
      <c r="I2792">
        <v>2012</v>
      </c>
      <c r="J2792" t="s">
        <v>21</v>
      </c>
      <c r="K2792">
        <v>28.819503000000001</v>
      </c>
      <c r="L2792">
        <v>121.209795</v>
      </c>
      <c r="M2792" t="s">
        <v>102</v>
      </c>
      <c r="N2792" s="2">
        <f>Table1[[#This Row],[Capacity (MW)]]*8760*0.72*10^-6</f>
        <v>7.5686399999999987E-2</v>
      </c>
      <c r="O2792" s="2" cm="1">
        <f t="array" ref="O2792">AVERAGE(VLOOKUP(_xlfn.TEXTSPLIT(Table1[[#This Row],[Fuel (no space after comma)]], ","), FuelList_Final_EF!$A$2:$B$32, 2, FALSE))</f>
        <v>105.42962572482868</v>
      </c>
      <c r="P2792" s="2">
        <f>(16112*Table1[[#This Row],[Generation (TWh)]]*10^9)/10^6</f>
        <v>1219459.2767999996</v>
      </c>
      <c r="Q2792" s="2">
        <f>Table1[[#This Row],[Emission Factor (kg CO2/ mmBtu)]]*Table1[[#This Row],[Fuel Consumption (mmBtu)]]*10^3</f>
        <v>128567135139.69423</v>
      </c>
      <c r="R2792" s="2">
        <f>(Table1[[#This Row],[CO2 Emissions (g CO2)]])/(Table1[[#This Row],[Generation (TWh)]]*10^9)</f>
        <v>1698.6821296784397</v>
      </c>
    </row>
    <row r="2793" spans="1:18" hidden="1">
      <c r="A2793" t="s">
        <v>21</v>
      </c>
      <c r="B2793" t="s">
        <v>19</v>
      </c>
      <c r="C2793" t="str">
        <f>SUBSTITUTE(Table1[[#This Row],[Fuel]],", ",",")</f>
        <v>bioenergy: refuse (municipal and industrial wastes)</v>
      </c>
      <c r="D2793" t="s">
        <v>19</v>
      </c>
      <c r="G2793">
        <v>18</v>
      </c>
      <c r="H2793" t="s">
        <v>27</v>
      </c>
      <c r="I2793">
        <v>2021</v>
      </c>
      <c r="J2793" t="s">
        <v>21</v>
      </c>
      <c r="K2793">
        <v>28.819503000000001</v>
      </c>
      <c r="L2793">
        <v>121.209795</v>
      </c>
      <c r="M2793" t="s">
        <v>102</v>
      </c>
      <c r="N2793" s="2">
        <f>Table1[[#This Row],[Capacity (MW)]]*8760*0.72*10^-6</f>
        <v>0.11352959999999998</v>
      </c>
      <c r="O2793" s="2" cm="1">
        <f t="array" ref="O2793">AVERAGE(VLOOKUP(_xlfn.TEXTSPLIT(Table1[[#This Row],[Fuel (no space after comma)]], ","), FuelList_Final_EF!$A$2:$B$32, 2, FALSE))</f>
        <v>105.42962572482868</v>
      </c>
      <c r="P2793" s="2">
        <f>(16112*Table1[[#This Row],[Generation (TWh)]]*10^9)/10^6</f>
        <v>1829188.9151999997</v>
      </c>
      <c r="Q2793" s="2">
        <f>Table1[[#This Row],[Emission Factor (kg CO2/ mmBtu)]]*Table1[[#This Row],[Fuel Consumption (mmBtu)]]*10^3</f>
        <v>192850702709.54135</v>
      </c>
      <c r="R2793" s="2">
        <f>(Table1[[#This Row],[CO2 Emissions (g CO2)]])/(Table1[[#This Row],[Generation (TWh)]]*10^9)</f>
        <v>1698.6821296784397</v>
      </c>
    </row>
    <row r="2794" spans="1:18" hidden="1">
      <c r="A2794" t="s">
        <v>21</v>
      </c>
      <c r="B2794" t="s">
        <v>19</v>
      </c>
      <c r="C2794" t="str">
        <f>SUBSTITUTE(Table1[[#This Row],[Fuel]],", ",",")</f>
        <v>bioenergy: refuse (municipal and industrial wastes)</v>
      </c>
      <c r="D2794" t="s">
        <v>19</v>
      </c>
      <c r="G2794">
        <v>12</v>
      </c>
      <c r="H2794" t="s">
        <v>27</v>
      </c>
      <c r="I2794">
        <v>2015</v>
      </c>
      <c r="J2794" t="s">
        <v>21</v>
      </c>
      <c r="K2794">
        <v>29.905187000000002</v>
      </c>
      <c r="L2794">
        <v>122.113795</v>
      </c>
      <c r="M2794" t="s">
        <v>102</v>
      </c>
      <c r="N2794" s="2">
        <f>Table1[[#This Row],[Capacity (MW)]]*8760*0.72*10^-6</f>
        <v>7.5686399999999987E-2</v>
      </c>
      <c r="O2794" s="2" cm="1">
        <f t="array" ref="O2794">AVERAGE(VLOOKUP(_xlfn.TEXTSPLIT(Table1[[#This Row],[Fuel (no space after comma)]], ","), FuelList_Final_EF!$A$2:$B$32, 2, FALSE))</f>
        <v>105.42962572482868</v>
      </c>
      <c r="P2794" s="2">
        <f>(16112*Table1[[#This Row],[Generation (TWh)]]*10^9)/10^6</f>
        <v>1219459.2767999996</v>
      </c>
      <c r="Q2794" s="2">
        <f>Table1[[#This Row],[Emission Factor (kg CO2/ mmBtu)]]*Table1[[#This Row],[Fuel Consumption (mmBtu)]]*10^3</f>
        <v>128567135139.69423</v>
      </c>
      <c r="R2794" s="2">
        <f>(Table1[[#This Row],[CO2 Emissions (g CO2)]])/(Table1[[#This Row],[Generation (TWh)]]*10^9)</f>
        <v>1698.6821296784397</v>
      </c>
    </row>
    <row r="2795" spans="1:18" hidden="1">
      <c r="A2795" t="s">
        <v>21</v>
      </c>
      <c r="B2795" t="s">
        <v>19</v>
      </c>
      <c r="C2795" t="str">
        <f>SUBSTITUTE(Table1[[#This Row],[Fuel]],", ",",")</f>
        <v>bioenergy: refuse (municipal and industrial wastes)</v>
      </c>
      <c r="D2795" t="s">
        <v>19</v>
      </c>
      <c r="G2795">
        <v>20</v>
      </c>
      <c r="H2795" t="s">
        <v>27</v>
      </c>
      <c r="I2795">
        <v>2014</v>
      </c>
      <c r="J2795" t="s">
        <v>21</v>
      </c>
      <c r="K2795">
        <v>29.905187000000002</v>
      </c>
      <c r="L2795">
        <v>122.113795</v>
      </c>
      <c r="M2795" t="s">
        <v>102</v>
      </c>
      <c r="N2795" s="2">
        <f>Table1[[#This Row],[Capacity (MW)]]*8760*0.72*10^-6</f>
        <v>0.12614400000000001</v>
      </c>
      <c r="O2795" s="2" cm="1">
        <f t="array" ref="O2795">AVERAGE(VLOOKUP(_xlfn.TEXTSPLIT(Table1[[#This Row],[Fuel (no space after comma)]], ","), FuelList_Final_EF!$A$2:$B$32, 2, FALSE))</f>
        <v>105.42962572482868</v>
      </c>
      <c r="P2795" s="2">
        <f>(16112*Table1[[#This Row],[Generation (TWh)]]*10^9)/10^6</f>
        <v>2032432.1280000003</v>
      </c>
      <c r="Q2795" s="2">
        <f>Table1[[#This Row],[Emission Factor (kg CO2/ mmBtu)]]*Table1[[#This Row],[Fuel Consumption (mmBtu)]]*10^3</f>
        <v>214278558566.15714</v>
      </c>
      <c r="R2795" s="2">
        <f>(Table1[[#This Row],[CO2 Emissions (g CO2)]])/(Table1[[#This Row],[Generation (TWh)]]*10^9)</f>
        <v>1698.6821296784401</v>
      </c>
    </row>
    <row r="2796" spans="1:18" hidden="1">
      <c r="A2796" t="s">
        <v>752</v>
      </c>
      <c r="B2796" t="s">
        <v>19</v>
      </c>
      <c r="C2796" t="str">
        <f>SUBSTITUTE(Table1[[#This Row],[Fuel]],", ",",")</f>
        <v>bioenergy: refuse (municipal and industrial wastes)</v>
      </c>
      <c r="D2796" t="s">
        <v>19</v>
      </c>
      <c r="G2796">
        <v>6</v>
      </c>
      <c r="H2796" t="s">
        <v>27</v>
      </c>
      <c r="I2796">
        <v>2021</v>
      </c>
      <c r="J2796" t="s">
        <v>21</v>
      </c>
      <c r="K2796">
        <v>29.079029999999999</v>
      </c>
      <c r="L2796">
        <v>120.438472</v>
      </c>
      <c r="M2796" t="s">
        <v>102</v>
      </c>
      <c r="N2796" s="2">
        <f>Table1[[#This Row],[Capacity (MW)]]*8760*0.72*10^-6</f>
        <v>3.7843199999999994E-2</v>
      </c>
      <c r="O2796" s="2" cm="1">
        <f t="array" ref="O2796">AVERAGE(VLOOKUP(_xlfn.TEXTSPLIT(Table1[[#This Row],[Fuel (no space after comma)]], ","), FuelList_Final_EF!$A$2:$B$32, 2, FALSE))</f>
        <v>105.42962572482868</v>
      </c>
      <c r="P2796" s="2">
        <f>(16112*Table1[[#This Row],[Generation (TWh)]]*10^9)/10^6</f>
        <v>609729.63839999982</v>
      </c>
      <c r="Q2796" s="2">
        <f>Table1[[#This Row],[Emission Factor (kg CO2/ mmBtu)]]*Table1[[#This Row],[Fuel Consumption (mmBtu)]]*10^3</f>
        <v>64283567569.847115</v>
      </c>
      <c r="R2796" s="2">
        <f>(Table1[[#This Row],[CO2 Emissions (g CO2)]])/(Table1[[#This Row],[Generation (TWh)]]*10^9)</f>
        <v>1698.6821296784397</v>
      </c>
    </row>
    <row r="2797" spans="1:18" hidden="1">
      <c r="A2797" t="s">
        <v>752</v>
      </c>
      <c r="B2797" t="s">
        <v>19</v>
      </c>
      <c r="C2797" t="str">
        <f>SUBSTITUTE(Table1[[#This Row],[Fuel]],", ",",")</f>
        <v>bioenergy: refuse (municipal and industrial wastes)</v>
      </c>
      <c r="D2797" t="s">
        <v>19</v>
      </c>
      <c r="G2797">
        <v>6</v>
      </c>
      <c r="H2797" t="s">
        <v>27</v>
      </c>
      <c r="I2797">
        <v>2013</v>
      </c>
      <c r="J2797" t="s">
        <v>21</v>
      </c>
      <c r="K2797">
        <v>27.718788</v>
      </c>
      <c r="L2797">
        <v>120.699656</v>
      </c>
      <c r="M2797" t="s">
        <v>102</v>
      </c>
      <c r="N2797" s="2">
        <f>Table1[[#This Row],[Capacity (MW)]]*8760*0.72*10^-6</f>
        <v>3.7843199999999994E-2</v>
      </c>
      <c r="O2797" s="2" cm="1">
        <f t="array" ref="O2797">AVERAGE(VLOOKUP(_xlfn.TEXTSPLIT(Table1[[#This Row],[Fuel (no space after comma)]], ","), FuelList_Final_EF!$A$2:$B$32, 2, FALSE))</f>
        <v>105.42962572482868</v>
      </c>
      <c r="P2797" s="2">
        <f>(16112*Table1[[#This Row],[Generation (TWh)]]*10^9)/10^6</f>
        <v>609729.63839999982</v>
      </c>
      <c r="Q2797" s="2">
        <f>Table1[[#This Row],[Emission Factor (kg CO2/ mmBtu)]]*Table1[[#This Row],[Fuel Consumption (mmBtu)]]*10^3</f>
        <v>64283567569.847115</v>
      </c>
      <c r="R2797" s="2">
        <f>(Table1[[#This Row],[CO2 Emissions (g CO2)]])/(Table1[[#This Row],[Generation (TWh)]]*10^9)</f>
        <v>1698.6821296784397</v>
      </c>
    </row>
    <row r="2798" spans="1:18" hidden="1">
      <c r="A2798" t="s">
        <v>752</v>
      </c>
      <c r="B2798" t="s">
        <v>19</v>
      </c>
      <c r="C2798" t="str">
        <f>SUBSTITUTE(Table1[[#This Row],[Fuel]],", ",",")</f>
        <v>bioenergy: refuse (municipal and industrial wastes)</v>
      </c>
      <c r="D2798" t="s">
        <v>19</v>
      </c>
      <c r="G2798">
        <v>15</v>
      </c>
      <c r="H2798" t="s">
        <v>27</v>
      </c>
      <c r="I2798">
        <v>2013</v>
      </c>
      <c r="J2798" t="s">
        <v>21</v>
      </c>
      <c r="K2798">
        <v>27.718788</v>
      </c>
      <c r="L2798">
        <v>120.699656</v>
      </c>
      <c r="M2798" t="s">
        <v>102</v>
      </c>
      <c r="N2798" s="2">
        <f>Table1[[#This Row],[Capacity (MW)]]*8760*0.72*10^-6</f>
        <v>9.4607999999999998E-2</v>
      </c>
      <c r="O2798" s="2" cm="1">
        <f t="array" ref="O2798">AVERAGE(VLOOKUP(_xlfn.TEXTSPLIT(Table1[[#This Row],[Fuel (no space after comma)]], ","), FuelList_Final_EF!$A$2:$B$32, 2, FALSE))</f>
        <v>105.42962572482868</v>
      </c>
      <c r="P2798" s="2">
        <f>(16112*Table1[[#This Row],[Generation (TWh)]]*10^9)/10^6</f>
        <v>1524324.0959999999</v>
      </c>
      <c r="Q2798" s="2">
        <f>Table1[[#This Row],[Emission Factor (kg CO2/ mmBtu)]]*Table1[[#This Row],[Fuel Consumption (mmBtu)]]*10^3</f>
        <v>160708918924.61783</v>
      </c>
      <c r="R2798" s="2">
        <f>(Table1[[#This Row],[CO2 Emissions (g CO2)]])/(Table1[[#This Row],[Generation (TWh)]]*10^9)</f>
        <v>1698.6821296784397</v>
      </c>
    </row>
    <row r="2799" spans="1:18" hidden="1">
      <c r="A2799" t="s">
        <v>752</v>
      </c>
      <c r="B2799" t="s">
        <v>19</v>
      </c>
      <c r="C2799" t="str">
        <f>SUBSTITUTE(Table1[[#This Row],[Fuel]],", ",",")</f>
        <v>bioenergy: refuse (municipal and industrial wastes)</v>
      </c>
      <c r="D2799" t="s">
        <v>19</v>
      </c>
      <c r="G2799">
        <v>25</v>
      </c>
      <c r="H2799" t="s">
        <v>27</v>
      </c>
      <c r="I2799">
        <v>2018</v>
      </c>
      <c r="J2799" t="s">
        <v>21</v>
      </c>
      <c r="K2799">
        <v>27.718788</v>
      </c>
      <c r="L2799">
        <v>120.699656</v>
      </c>
      <c r="M2799" t="s">
        <v>102</v>
      </c>
      <c r="N2799" s="2">
        <f>Table1[[#This Row],[Capacity (MW)]]*8760*0.72*10^-6</f>
        <v>0.15767999999999999</v>
      </c>
      <c r="O2799" s="2" cm="1">
        <f t="array" ref="O2799">AVERAGE(VLOOKUP(_xlfn.TEXTSPLIT(Table1[[#This Row],[Fuel (no space after comma)]], ","), FuelList_Final_EF!$A$2:$B$32, 2, FALSE))</f>
        <v>105.42962572482868</v>
      </c>
      <c r="P2799" s="2">
        <f>(16112*Table1[[#This Row],[Generation (TWh)]]*10^9)/10^6</f>
        <v>2540540.16</v>
      </c>
      <c r="Q2799" s="2">
        <f>Table1[[#This Row],[Emission Factor (kg CO2/ mmBtu)]]*Table1[[#This Row],[Fuel Consumption (mmBtu)]]*10^3</f>
        <v>267848198207.69638</v>
      </c>
      <c r="R2799" s="2">
        <f>(Table1[[#This Row],[CO2 Emissions (g CO2)]])/(Table1[[#This Row],[Generation (TWh)]]*10^9)</f>
        <v>1698.6821296784397</v>
      </c>
    </row>
    <row r="2800" spans="1:18">
      <c r="A2800" t="s">
        <v>21</v>
      </c>
      <c r="B2800" t="s">
        <v>19</v>
      </c>
      <c r="C2800" t="str">
        <f>SUBSTITUTE(Table1[[#This Row],[Fuel]],", ",",")</f>
        <v>bioenergy: refuse (municipal and industrial wastes)</v>
      </c>
      <c r="D2800" t="s">
        <v>19</v>
      </c>
      <c r="G2800">
        <v>12</v>
      </c>
      <c r="H2800" t="s">
        <v>53</v>
      </c>
      <c r="I2800" t="s">
        <v>21</v>
      </c>
      <c r="J2800" t="s">
        <v>21</v>
      </c>
      <c r="K2800">
        <v>27.675325000000001</v>
      </c>
      <c r="L2800">
        <v>120.682906</v>
      </c>
      <c r="M2800" t="s">
        <v>102</v>
      </c>
      <c r="N2800" s="2">
        <f>Table1[[#This Row],[Capacity (MW)]]*8760*0.72*10^-6</f>
        <v>7.5686399999999987E-2</v>
      </c>
      <c r="O2800" s="2" cm="1">
        <f t="array" ref="O2800">AVERAGE(VLOOKUP(_xlfn.TEXTSPLIT(Table1[[#This Row],[Fuel (no space after comma)]], ","), FuelList_Final_EF!$A$2:$B$32, 2, FALSE))</f>
        <v>105.42962572482868</v>
      </c>
      <c r="P2800" s="2">
        <f>(16112*Table1[[#This Row],[Generation (TWh)]]*10^9)/10^6</f>
        <v>1219459.2767999996</v>
      </c>
      <c r="Q2800" s="2">
        <f>Table1[[#This Row],[Emission Factor (kg CO2/ mmBtu)]]*Table1[[#This Row],[Fuel Consumption (mmBtu)]]*10^3</f>
        <v>128567135139.69423</v>
      </c>
      <c r="R2800" s="2">
        <f>(Table1[[#This Row],[CO2 Emissions (g CO2)]])/(Table1[[#This Row],[Generation (TWh)]]*10^9)</f>
        <v>1698.6821296784397</v>
      </c>
    </row>
    <row r="2801" spans="1:18" hidden="1">
      <c r="A2801" t="s">
        <v>21</v>
      </c>
      <c r="B2801" t="s">
        <v>19</v>
      </c>
      <c r="C2801" t="str">
        <f>SUBSTITUTE(Table1[[#This Row],[Fuel]],", ",",")</f>
        <v>bioenergy: refuse (municipal and industrial wastes)</v>
      </c>
      <c r="D2801" t="s">
        <v>19</v>
      </c>
      <c r="G2801">
        <v>15</v>
      </c>
      <c r="H2801" t="s">
        <v>27</v>
      </c>
      <c r="I2801">
        <v>2020</v>
      </c>
      <c r="J2801" t="s">
        <v>21</v>
      </c>
      <c r="K2801">
        <v>27.675325000000001</v>
      </c>
      <c r="L2801">
        <v>120.682906</v>
      </c>
      <c r="M2801" t="s">
        <v>102</v>
      </c>
      <c r="N2801" s="2">
        <f>Table1[[#This Row],[Capacity (MW)]]*8760*0.72*10^-6</f>
        <v>9.4607999999999998E-2</v>
      </c>
      <c r="O2801" s="2" cm="1">
        <f t="array" ref="O2801">AVERAGE(VLOOKUP(_xlfn.TEXTSPLIT(Table1[[#This Row],[Fuel (no space after comma)]], ","), FuelList_Final_EF!$A$2:$B$32, 2, FALSE))</f>
        <v>105.42962572482868</v>
      </c>
      <c r="P2801" s="2">
        <f>(16112*Table1[[#This Row],[Generation (TWh)]]*10^9)/10^6</f>
        <v>1524324.0959999999</v>
      </c>
      <c r="Q2801" s="2">
        <f>Table1[[#This Row],[Emission Factor (kg CO2/ mmBtu)]]*Table1[[#This Row],[Fuel Consumption (mmBtu)]]*10^3</f>
        <v>160708918924.61783</v>
      </c>
      <c r="R2801" s="2">
        <f>(Table1[[#This Row],[CO2 Emissions (g CO2)]])/(Table1[[#This Row],[Generation (TWh)]]*10^9)</f>
        <v>1698.6821296784397</v>
      </c>
    </row>
    <row r="2802" spans="1:18" hidden="1">
      <c r="A2802" t="s">
        <v>21</v>
      </c>
      <c r="B2802" t="s">
        <v>19</v>
      </c>
      <c r="C2802" t="str">
        <f>SUBSTITUTE(Table1[[#This Row],[Fuel]],", ",",")</f>
        <v>bioenergy: refuse (municipal and industrial wastes)</v>
      </c>
      <c r="D2802" t="s">
        <v>19</v>
      </c>
      <c r="G2802">
        <v>15</v>
      </c>
      <c r="H2802" t="s">
        <v>27</v>
      </c>
      <c r="I2802">
        <v>2020</v>
      </c>
      <c r="J2802" t="s">
        <v>21</v>
      </c>
      <c r="K2802">
        <v>27.675325000000001</v>
      </c>
      <c r="L2802">
        <v>120.682906</v>
      </c>
      <c r="M2802" t="s">
        <v>102</v>
      </c>
      <c r="N2802" s="2">
        <f>Table1[[#This Row],[Capacity (MW)]]*8760*0.72*10^-6</f>
        <v>9.4607999999999998E-2</v>
      </c>
      <c r="O2802" s="2" cm="1">
        <f t="array" ref="O2802">AVERAGE(VLOOKUP(_xlfn.TEXTSPLIT(Table1[[#This Row],[Fuel (no space after comma)]], ","), FuelList_Final_EF!$A$2:$B$32, 2, FALSE))</f>
        <v>105.42962572482868</v>
      </c>
      <c r="P2802" s="2">
        <f>(16112*Table1[[#This Row],[Generation (TWh)]]*10^9)/10^6</f>
        <v>1524324.0959999999</v>
      </c>
      <c r="Q2802" s="2">
        <f>Table1[[#This Row],[Emission Factor (kg CO2/ mmBtu)]]*Table1[[#This Row],[Fuel Consumption (mmBtu)]]*10^3</f>
        <v>160708918924.61783</v>
      </c>
      <c r="R2802" s="2">
        <f>(Table1[[#This Row],[CO2 Emissions (g CO2)]])/(Table1[[#This Row],[Generation (TWh)]]*10^9)</f>
        <v>1698.6821296784397</v>
      </c>
    </row>
    <row r="2803" spans="1:18" hidden="1">
      <c r="A2803" t="s">
        <v>21</v>
      </c>
      <c r="B2803" t="s">
        <v>19</v>
      </c>
      <c r="C2803" t="str">
        <f>SUBSTITUTE(Table1[[#This Row],[Fuel]],", ",",")</f>
        <v>bioenergy: refuse (municipal and industrial wastes)</v>
      </c>
      <c r="D2803" t="s">
        <v>19</v>
      </c>
      <c r="G2803">
        <v>12</v>
      </c>
      <c r="H2803" t="s">
        <v>27</v>
      </c>
      <c r="I2803">
        <v>2012</v>
      </c>
      <c r="J2803" t="s">
        <v>21</v>
      </c>
      <c r="K2803">
        <v>28.548893</v>
      </c>
      <c r="L2803">
        <v>121.548239</v>
      </c>
      <c r="M2803" t="s">
        <v>102</v>
      </c>
      <c r="N2803" s="2">
        <f>Table1[[#This Row],[Capacity (MW)]]*8760*0.72*10^-6</f>
        <v>7.5686399999999987E-2</v>
      </c>
      <c r="O2803" s="2" cm="1">
        <f t="array" ref="O2803">AVERAGE(VLOOKUP(_xlfn.TEXTSPLIT(Table1[[#This Row],[Fuel (no space after comma)]], ","), FuelList_Final_EF!$A$2:$B$32, 2, FALSE))</f>
        <v>105.42962572482868</v>
      </c>
      <c r="P2803" s="2">
        <f>(16112*Table1[[#This Row],[Generation (TWh)]]*10^9)/10^6</f>
        <v>1219459.2767999996</v>
      </c>
      <c r="Q2803" s="2">
        <f>Table1[[#This Row],[Emission Factor (kg CO2/ mmBtu)]]*Table1[[#This Row],[Fuel Consumption (mmBtu)]]*10^3</f>
        <v>128567135139.69423</v>
      </c>
      <c r="R2803" s="2">
        <f>(Table1[[#This Row],[CO2 Emissions (g CO2)]])/(Table1[[#This Row],[Generation (TWh)]]*10^9)</f>
        <v>1698.6821296784397</v>
      </c>
    </row>
    <row r="2804" spans="1:18" hidden="1">
      <c r="A2804" t="s">
        <v>21</v>
      </c>
      <c r="B2804" t="s">
        <v>19</v>
      </c>
      <c r="C2804" t="str">
        <f>SUBSTITUTE(Table1[[#This Row],[Fuel]],", ",",")</f>
        <v>bioenergy: refuse (municipal and industrial wastes)</v>
      </c>
      <c r="D2804" t="s">
        <v>19</v>
      </c>
      <c r="G2804">
        <v>12</v>
      </c>
      <c r="H2804" t="s">
        <v>27</v>
      </c>
      <c r="I2804">
        <v>2012</v>
      </c>
      <c r="J2804" t="s">
        <v>21</v>
      </c>
      <c r="K2804">
        <v>28.548893</v>
      </c>
      <c r="L2804">
        <v>121.548239</v>
      </c>
      <c r="M2804" t="s">
        <v>102</v>
      </c>
      <c r="N2804" s="2">
        <f>Table1[[#This Row],[Capacity (MW)]]*8760*0.72*10^-6</f>
        <v>7.5686399999999987E-2</v>
      </c>
      <c r="O2804" s="2" cm="1">
        <f t="array" ref="O2804">AVERAGE(VLOOKUP(_xlfn.TEXTSPLIT(Table1[[#This Row],[Fuel (no space after comma)]], ","), FuelList_Final_EF!$A$2:$B$32, 2, FALSE))</f>
        <v>105.42962572482868</v>
      </c>
      <c r="P2804" s="2">
        <f>(16112*Table1[[#This Row],[Generation (TWh)]]*10^9)/10^6</f>
        <v>1219459.2767999996</v>
      </c>
      <c r="Q2804" s="2">
        <f>Table1[[#This Row],[Emission Factor (kg CO2/ mmBtu)]]*Table1[[#This Row],[Fuel Consumption (mmBtu)]]*10^3</f>
        <v>128567135139.69423</v>
      </c>
      <c r="R2804" s="2">
        <f>(Table1[[#This Row],[CO2 Emissions (g CO2)]])/(Table1[[#This Row],[Generation (TWh)]]*10^9)</f>
        <v>1698.6821296784397</v>
      </c>
    </row>
    <row r="2805" spans="1:18" hidden="1">
      <c r="A2805" t="s">
        <v>21</v>
      </c>
      <c r="B2805" t="s">
        <v>19</v>
      </c>
      <c r="C2805" t="str">
        <f>SUBSTITUTE(Table1[[#This Row],[Fuel]],", ",",")</f>
        <v>bioenergy: refuse (municipal and industrial wastes)</v>
      </c>
      <c r="D2805" t="s">
        <v>19</v>
      </c>
      <c r="G2805">
        <v>12</v>
      </c>
      <c r="H2805" t="s">
        <v>27</v>
      </c>
      <c r="I2805">
        <v>2017</v>
      </c>
      <c r="J2805" t="s">
        <v>21</v>
      </c>
      <c r="K2805">
        <v>28.548893</v>
      </c>
      <c r="L2805">
        <v>121.548239</v>
      </c>
      <c r="M2805" t="s">
        <v>102</v>
      </c>
      <c r="N2805" s="2">
        <f>Table1[[#This Row],[Capacity (MW)]]*8760*0.72*10^-6</f>
        <v>7.5686399999999987E-2</v>
      </c>
      <c r="O2805" s="2" cm="1">
        <f t="array" ref="O2805">AVERAGE(VLOOKUP(_xlfn.TEXTSPLIT(Table1[[#This Row],[Fuel (no space after comma)]], ","), FuelList_Final_EF!$A$2:$B$32, 2, FALSE))</f>
        <v>105.42962572482868</v>
      </c>
      <c r="P2805" s="2">
        <f>(16112*Table1[[#This Row],[Generation (TWh)]]*10^9)/10^6</f>
        <v>1219459.2767999996</v>
      </c>
      <c r="Q2805" s="2">
        <f>Table1[[#This Row],[Emission Factor (kg CO2/ mmBtu)]]*Table1[[#This Row],[Fuel Consumption (mmBtu)]]*10^3</f>
        <v>128567135139.69423</v>
      </c>
      <c r="R2805" s="2">
        <f>(Table1[[#This Row],[CO2 Emissions (g CO2)]])/(Table1[[#This Row],[Generation (TWh)]]*10^9)</f>
        <v>1698.6821296784397</v>
      </c>
    </row>
    <row r="2806" spans="1:18" hidden="1">
      <c r="A2806" t="s">
        <v>21</v>
      </c>
      <c r="B2806" t="s">
        <v>19</v>
      </c>
      <c r="C2806" t="str">
        <f>SUBSTITUTE(Table1[[#This Row],[Fuel]],", ",",")</f>
        <v>bioenergy: refuse (municipal and industrial wastes)</v>
      </c>
      <c r="D2806" t="s">
        <v>19</v>
      </c>
      <c r="G2806">
        <v>18</v>
      </c>
      <c r="H2806" t="s">
        <v>27</v>
      </c>
      <c r="I2806">
        <v>2020</v>
      </c>
      <c r="J2806" t="s">
        <v>21</v>
      </c>
      <c r="K2806">
        <v>28.548893</v>
      </c>
      <c r="L2806">
        <v>121.548239</v>
      </c>
      <c r="M2806" t="s">
        <v>102</v>
      </c>
      <c r="N2806" s="2">
        <f>Table1[[#This Row],[Capacity (MW)]]*8760*0.72*10^-6</f>
        <v>0.11352959999999998</v>
      </c>
      <c r="O2806" s="2" cm="1">
        <f t="array" ref="O2806">AVERAGE(VLOOKUP(_xlfn.TEXTSPLIT(Table1[[#This Row],[Fuel (no space after comma)]], ","), FuelList_Final_EF!$A$2:$B$32, 2, FALSE))</f>
        <v>105.42962572482868</v>
      </c>
      <c r="P2806" s="2">
        <f>(16112*Table1[[#This Row],[Generation (TWh)]]*10^9)/10^6</f>
        <v>1829188.9151999997</v>
      </c>
      <c r="Q2806" s="2">
        <f>Table1[[#This Row],[Emission Factor (kg CO2/ mmBtu)]]*Table1[[#This Row],[Fuel Consumption (mmBtu)]]*10^3</f>
        <v>192850702709.54135</v>
      </c>
      <c r="R2806" s="2">
        <f>(Table1[[#This Row],[CO2 Emissions (g CO2)]])/(Table1[[#This Row],[Generation (TWh)]]*10^9)</f>
        <v>1698.6821296784397</v>
      </c>
    </row>
    <row r="2807" spans="1:18" hidden="1">
      <c r="A2807" t="s">
        <v>21</v>
      </c>
      <c r="B2807" t="s">
        <v>19</v>
      </c>
      <c r="C2807" t="str">
        <f>SUBSTITUTE(Table1[[#This Row],[Fuel]],", ",",")</f>
        <v>bioenergy: refuse (municipal and industrial wastes)</v>
      </c>
      <c r="D2807" t="s">
        <v>19</v>
      </c>
      <c r="G2807">
        <v>18</v>
      </c>
      <c r="H2807" t="s">
        <v>27</v>
      </c>
      <c r="I2807">
        <v>2020</v>
      </c>
      <c r="J2807" t="s">
        <v>21</v>
      </c>
      <c r="K2807">
        <v>28.548893</v>
      </c>
      <c r="L2807">
        <v>121.548239</v>
      </c>
      <c r="M2807" t="s">
        <v>102</v>
      </c>
      <c r="N2807" s="2">
        <f>Table1[[#This Row],[Capacity (MW)]]*8760*0.72*10^-6</f>
        <v>0.11352959999999998</v>
      </c>
      <c r="O2807" s="2" cm="1">
        <f t="array" ref="O2807">AVERAGE(VLOOKUP(_xlfn.TEXTSPLIT(Table1[[#This Row],[Fuel (no space after comma)]], ","), FuelList_Final_EF!$A$2:$B$32, 2, FALSE))</f>
        <v>105.42962572482868</v>
      </c>
      <c r="P2807" s="2">
        <f>(16112*Table1[[#This Row],[Generation (TWh)]]*10^9)/10^6</f>
        <v>1829188.9151999997</v>
      </c>
      <c r="Q2807" s="2">
        <f>Table1[[#This Row],[Emission Factor (kg CO2/ mmBtu)]]*Table1[[#This Row],[Fuel Consumption (mmBtu)]]*10^3</f>
        <v>192850702709.54135</v>
      </c>
      <c r="R2807" s="2">
        <f>(Table1[[#This Row],[CO2 Emissions (g CO2)]])/(Table1[[#This Row],[Generation (TWh)]]*10^9)</f>
        <v>1698.6821296784397</v>
      </c>
    </row>
    <row r="2808" spans="1:18" hidden="1">
      <c r="A2808" t="s">
        <v>21</v>
      </c>
      <c r="B2808" t="s">
        <v>19</v>
      </c>
      <c r="C2808" t="str">
        <f>SUBSTITUTE(Table1[[#This Row],[Fuel]],", ",",")</f>
        <v>bioenergy: refuse (municipal and industrial wastes)</v>
      </c>
      <c r="D2808" t="s">
        <v>19</v>
      </c>
      <c r="G2808">
        <v>7.5</v>
      </c>
      <c r="H2808" t="s">
        <v>27</v>
      </c>
      <c r="I2808">
        <v>2020</v>
      </c>
      <c r="J2808" t="s">
        <v>21</v>
      </c>
      <c r="K2808">
        <v>30.535183</v>
      </c>
      <c r="L2808">
        <v>120.398022</v>
      </c>
      <c r="M2808" t="s">
        <v>102</v>
      </c>
      <c r="N2808" s="2">
        <f>Table1[[#This Row],[Capacity (MW)]]*8760*0.72*10^-6</f>
        <v>4.7303999999999999E-2</v>
      </c>
      <c r="O2808" s="2" cm="1">
        <f t="array" ref="O2808">AVERAGE(VLOOKUP(_xlfn.TEXTSPLIT(Table1[[#This Row],[Fuel (no space after comma)]], ","), FuelList_Final_EF!$A$2:$B$32, 2, FALSE))</f>
        <v>105.42962572482868</v>
      </c>
      <c r="P2808" s="2">
        <f>(16112*Table1[[#This Row],[Generation (TWh)]]*10^9)/10^6</f>
        <v>762162.04799999995</v>
      </c>
      <c r="Q2808" s="2">
        <f>Table1[[#This Row],[Emission Factor (kg CO2/ mmBtu)]]*Table1[[#This Row],[Fuel Consumption (mmBtu)]]*10^3</f>
        <v>80354459462.308914</v>
      </c>
      <c r="R2808" s="2">
        <f>(Table1[[#This Row],[CO2 Emissions (g CO2)]])/(Table1[[#This Row],[Generation (TWh)]]*10^9)</f>
        <v>1698.6821296784397</v>
      </c>
    </row>
    <row r="2809" spans="1:18" hidden="1">
      <c r="A2809" t="s">
        <v>21</v>
      </c>
      <c r="B2809" t="s">
        <v>19</v>
      </c>
      <c r="C2809" t="str">
        <f>SUBSTITUTE(Table1[[#This Row],[Fuel]],", ",",")</f>
        <v>bioenergy: refuse (municipal and industrial wastes)</v>
      </c>
      <c r="D2809" t="s">
        <v>19</v>
      </c>
      <c r="G2809">
        <v>15</v>
      </c>
      <c r="H2809" t="s">
        <v>27</v>
      </c>
      <c r="I2809">
        <v>2020</v>
      </c>
      <c r="J2809" t="s">
        <v>21</v>
      </c>
      <c r="K2809">
        <v>30.535183</v>
      </c>
      <c r="L2809">
        <v>120.398022</v>
      </c>
      <c r="M2809" t="s">
        <v>102</v>
      </c>
      <c r="N2809" s="2">
        <f>Table1[[#This Row],[Capacity (MW)]]*8760*0.72*10^-6</f>
        <v>9.4607999999999998E-2</v>
      </c>
      <c r="O2809" s="2" cm="1">
        <f t="array" ref="O2809">AVERAGE(VLOOKUP(_xlfn.TEXTSPLIT(Table1[[#This Row],[Fuel (no space after comma)]], ","), FuelList_Final_EF!$A$2:$B$32, 2, FALSE))</f>
        <v>105.42962572482868</v>
      </c>
      <c r="P2809" s="2">
        <f>(16112*Table1[[#This Row],[Generation (TWh)]]*10^9)/10^6</f>
        <v>1524324.0959999999</v>
      </c>
      <c r="Q2809" s="2">
        <f>Table1[[#This Row],[Emission Factor (kg CO2/ mmBtu)]]*Table1[[#This Row],[Fuel Consumption (mmBtu)]]*10^3</f>
        <v>160708918924.61783</v>
      </c>
      <c r="R2809" s="2">
        <f>(Table1[[#This Row],[CO2 Emissions (g CO2)]])/(Table1[[#This Row],[Generation (TWh)]]*10^9)</f>
        <v>1698.6821296784397</v>
      </c>
    </row>
    <row r="2810" spans="1:18" hidden="1">
      <c r="A2810" t="s">
        <v>21</v>
      </c>
      <c r="B2810" t="s">
        <v>19</v>
      </c>
      <c r="C2810" t="str">
        <f>SUBSTITUTE(Table1[[#This Row],[Fuel]],", ",",")</f>
        <v>bioenergy: refuse (municipal and industrial wastes)</v>
      </c>
      <c r="D2810" t="s">
        <v>19</v>
      </c>
      <c r="G2810">
        <v>15</v>
      </c>
      <c r="H2810" t="s">
        <v>27</v>
      </c>
      <c r="I2810">
        <v>2020</v>
      </c>
      <c r="J2810" t="s">
        <v>21</v>
      </c>
      <c r="K2810">
        <v>30.535183</v>
      </c>
      <c r="L2810">
        <v>120.398022</v>
      </c>
      <c r="M2810" t="s">
        <v>102</v>
      </c>
      <c r="N2810" s="2">
        <f>Table1[[#This Row],[Capacity (MW)]]*8760*0.72*10^-6</f>
        <v>9.4607999999999998E-2</v>
      </c>
      <c r="O2810" s="2" cm="1">
        <f t="array" ref="O2810">AVERAGE(VLOOKUP(_xlfn.TEXTSPLIT(Table1[[#This Row],[Fuel (no space after comma)]], ","), FuelList_Final_EF!$A$2:$B$32, 2, FALSE))</f>
        <v>105.42962572482868</v>
      </c>
      <c r="P2810" s="2">
        <f>(16112*Table1[[#This Row],[Generation (TWh)]]*10^9)/10^6</f>
        <v>1524324.0959999999</v>
      </c>
      <c r="Q2810" s="2">
        <f>Table1[[#This Row],[Emission Factor (kg CO2/ mmBtu)]]*Table1[[#This Row],[Fuel Consumption (mmBtu)]]*10^3</f>
        <v>160708918924.61783</v>
      </c>
      <c r="R2810" s="2">
        <f>(Table1[[#This Row],[CO2 Emissions (g CO2)]])/(Table1[[#This Row],[Generation (TWh)]]*10^9)</f>
        <v>1698.6821296784397</v>
      </c>
    </row>
    <row r="2811" spans="1:18" hidden="1">
      <c r="A2811" t="s">
        <v>21</v>
      </c>
      <c r="B2811" t="s">
        <v>41</v>
      </c>
      <c r="C2811" t="str">
        <f>SUBSTITUTE(Table1[[#This Row],[Fuel]],", ",",")</f>
        <v>bioenergy: refuse (municipal and industrial wastes),bioenergy: wastewater and sewage sludge (solids or biogas)</v>
      </c>
      <c r="D2811" t="s">
        <v>19</v>
      </c>
      <c r="E2811" t="s">
        <v>42</v>
      </c>
      <c r="G2811">
        <v>12</v>
      </c>
      <c r="H2811" t="s">
        <v>27</v>
      </c>
      <c r="I2811">
        <v>2021</v>
      </c>
      <c r="J2811" t="s">
        <v>21</v>
      </c>
      <c r="K2811">
        <v>27.782444000000002</v>
      </c>
      <c r="L2811">
        <v>120.13461100000001</v>
      </c>
      <c r="M2811" t="s">
        <v>102</v>
      </c>
      <c r="N2811" s="2">
        <f>Table1[[#This Row],[Capacity (MW)]]*8760*0.72*10^-6</f>
        <v>7.5686399999999987E-2</v>
      </c>
      <c r="O2811" s="2" cm="1">
        <f t="array" ref="O2811">AVERAGE(VLOOKUP(_xlfn.TEXTSPLIT(Table1[[#This Row],[Fuel (no space after comma)]], ","), FuelList_Final_EF!$A$2:$B$32, 2, FALSE))</f>
        <v>81.497100685292565</v>
      </c>
      <c r="P2811" s="2">
        <f>(16112*Table1[[#This Row],[Generation (TWh)]]*10^9)/10^6</f>
        <v>1219459.2767999996</v>
      </c>
      <c r="Q2811" s="2">
        <f>Table1[[#This Row],[Emission Factor (kg CO2/ mmBtu)]]*Table1[[#This Row],[Fuel Consumption (mmBtu)]]*10^3</f>
        <v>99382395462.983627</v>
      </c>
      <c r="R2811" s="2">
        <f>(Table1[[#This Row],[CO2 Emissions (g CO2)]])/(Table1[[#This Row],[Generation (TWh)]]*10^9)</f>
        <v>1313.0812862414336</v>
      </c>
    </row>
    <row r="2812" spans="1:18">
      <c r="A2812" t="s">
        <v>21</v>
      </c>
      <c r="B2812" t="s">
        <v>42</v>
      </c>
      <c r="C2812" t="str">
        <f>SUBSTITUTE(Table1[[#This Row],[Fuel]],", ",",")</f>
        <v>bioenergy: wastewater and sewage sludge (solids or biogas)</v>
      </c>
      <c r="D2812" t="s">
        <v>42</v>
      </c>
      <c r="G2812">
        <v>15</v>
      </c>
      <c r="H2812" t="s">
        <v>53</v>
      </c>
      <c r="I2812" t="s">
        <v>21</v>
      </c>
      <c r="J2812" t="s">
        <v>21</v>
      </c>
      <c r="K2812">
        <v>27.815753000000001</v>
      </c>
      <c r="L2812">
        <v>120.782702</v>
      </c>
      <c r="M2812" t="s">
        <v>102</v>
      </c>
      <c r="N2812" s="2">
        <f>Table1[[#This Row],[Capacity (MW)]]*8760*0.72*10^-6</f>
        <v>9.4607999999999998E-2</v>
      </c>
      <c r="O2812" s="2" cm="1">
        <f t="array" ref="O2812">AVERAGE(VLOOKUP(_xlfn.TEXTSPLIT(Table1[[#This Row],[Fuel (no space after comma)]], ","), FuelList_Final_EF!$A$2:$B$32, 2, FALSE))</f>
        <v>57.564575645756456</v>
      </c>
      <c r="P2812" s="2">
        <f>(16112*Table1[[#This Row],[Generation (TWh)]]*10^9)/10^6</f>
        <v>1524324.0959999999</v>
      </c>
      <c r="Q2812" s="2">
        <f>Table1[[#This Row],[Emission Factor (kg CO2/ mmBtu)]]*Table1[[#This Row],[Fuel Consumption (mmBtu)]]*10^3</f>
        <v>87747069732.841309</v>
      </c>
      <c r="R2812" s="2">
        <f>(Table1[[#This Row],[CO2 Emissions (g CO2)]])/(Table1[[#This Row],[Generation (TWh)]]*10^9)</f>
        <v>927.48044280442787</v>
      </c>
    </row>
    <row r="2813" spans="1:18">
      <c r="A2813" t="s">
        <v>21</v>
      </c>
      <c r="B2813" t="s">
        <v>42</v>
      </c>
      <c r="C2813" t="str">
        <f>SUBSTITUTE(Table1[[#This Row],[Fuel]],", ",",")</f>
        <v>bioenergy: wastewater and sewage sludge (solids or biogas)</v>
      </c>
      <c r="D2813" t="s">
        <v>42</v>
      </c>
      <c r="G2813">
        <v>15</v>
      </c>
      <c r="H2813" t="s">
        <v>53</v>
      </c>
      <c r="I2813" t="s">
        <v>21</v>
      </c>
      <c r="J2813" t="s">
        <v>21</v>
      </c>
      <c r="K2813">
        <v>27.815753000000001</v>
      </c>
      <c r="L2813">
        <v>120.782702</v>
      </c>
      <c r="M2813" t="s">
        <v>102</v>
      </c>
      <c r="N2813" s="2">
        <f>Table1[[#This Row],[Capacity (MW)]]*8760*0.72*10^-6</f>
        <v>9.4607999999999998E-2</v>
      </c>
      <c r="O2813" s="2" cm="1">
        <f t="array" ref="O2813">AVERAGE(VLOOKUP(_xlfn.TEXTSPLIT(Table1[[#This Row],[Fuel (no space after comma)]], ","), FuelList_Final_EF!$A$2:$B$32, 2, FALSE))</f>
        <v>57.564575645756456</v>
      </c>
      <c r="P2813" s="2">
        <f>(16112*Table1[[#This Row],[Generation (TWh)]]*10^9)/10^6</f>
        <v>1524324.0959999999</v>
      </c>
      <c r="Q2813" s="2">
        <f>Table1[[#This Row],[Emission Factor (kg CO2/ mmBtu)]]*Table1[[#This Row],[Fuel Consumption (mmBtu)]]*10^3</f>
        <v>87747069732.841309</v>
      </c>
      <c r="R2813" s="2">
        <f>(Table1[[#This Row],[CO2 Emissions (g CO2)]])/(Table1[[#This Row],[Generation (TWh)]]*10^9)</f>
        <v>927.48044280442787</v>
      </c>
    </row>
    <row r="2814" spans="1:18" hidden="1">
      <c r="A2814" t="s">
        <v>21</v>
      </c>
      <c r="B2814" t="s">
        <v>42</v>
      </c>
      <c r="C2814" t="str">
        <f>SUBSTITUTE(Table1[[#This Row],[Fuel]],", ",",")</f>
        <v>bioenergy: wastewater and sewage sludge (solids or biogas)</v>
      </c>
      <c r="D2814" t="s">
        <v>42</v>
      </c>
      <c r="G2814">
        <v>18</v>
      </c>
      <c r="H2814" t="s">
        <v>27</v>
      </c>
      <c r="I2814">
        <v>2015</v>
      </c>
      <c r="J2814" t="s">
        <v>21</v>
      </c>
      <c r="K2814">
        <v>27.815753000000001</v>
      </c>
      <c r="L2814">
        <v>120.782702</v>
      </c>
      <c r="M2814" t="s">
        <v>102</v>
      </c>
      <c r="N2814" s="2">
        <f>Table1[[#This Row],[Capacity (MW)]]*8760*0.72*10^-6</f>
        <v>0.11352959999999998</v>
      </c>
      <c r="O2814" s="2" cm="1">
        <f t="array" ref="O2814">AVERAGE(VLOOKUP(_xlfn.TEXTSPLIT(Table1[[#This Row],[Fuel (no space after comma)]], ","), FuelList_Final_EF!$A$2:$B$32, 2, FALSE))</f>
        <v>57.564575645756456</v>
      </c>
      <c r="P2814" s="2">
        <f>(16112*Table1[[#This Row],[Generation (TWh)]]*10^9)/10^6</f>
        <v>1829188.9151999997</v>
      </c>
      <c r="Q2814" s="2">
        <f>Table1[[#This Row],[Emission Factor (kg CO2/ mmBtu)]]*Table1[[#This Row],[Fuel Consumption (mmBtu)]]*10^3</f>
        <v>105296483679.40958</v>
      </c>
      <c r="R2814" s="2">
        <f>(Table1[[#This Row],[CO2 Emissions (g CO2)]])/(Table1[[#This Row],[Generation (TWh)]]*10^9)</f>
        <v>927.48044280442798</v>
      </c>
    </row>
    <row r="2815" spans="1:18" hidden="1">
      <c r="A2815" t="s">
        <v>21</v>
      </c>
      <c r="B2815" t="s">
        <v>19</v>
      </c>
      <c r="C2815" t="str">
        <f>SUBSTITUTE(Table1[[#This Row],[Fuel]],", ",",")</f>
        <v>bioenergy: refuse (municipal and industrial wastes)</v>
      </c>
      <c r="D2815" t="s">
        <v>19</v>
      </c>
      <c r="G2815">
        <v>25</v>
      </c>
      <c r="H2815" t="s">
        <v>27</v>
      </c>
      <c r="I2815">
        <v>2018</v>
      </c>
      <c r="J2815" t="s">
        <v>21</v>
      </c>
      <c r="K2815">
        <v>27.815753000000001</v>
      </c>
      <c r="L2815">
        <v>120.782702</v>
      </c>
      <c r="M2815" t="s">
        <v>102</v>
      </c>
      <c r="N2815" s="2">
        <f>Table1[[#This Row],[Capacity (MW)]]*8760*0.72*10^-6</f>
        <v>0.15767999999999999</v>
      </c>
      <c r="O2815" s="2" cm="1">
        <f t="array" ref="O2815">AVERAGE(VLOOKUP(_xlfn.TEXTSPLIT(Table1[[#This Row],[Fuel (no space after comma)]], ","), FuelList_Final_EF!$A$2:$B$32, 2, FALSE))</f>
        <v>105.42962572482868</v>
      </c>
      <c r="P2815" s="2">
        <f>(16112*Table1[[#This Row],[Generation (TWh)]]*10^9)/10^6</f>
        <v>2540540.16</v>
      </c>
      <c r="Q2815" s="2">
        <f>Table1[[#This Row],[Emission Factor (kg CO2/ mmBtu)]]*Table1[[#This Row],[Fuel Consumption (mmBtu)]]*10^3</f>
        <v>267848198207.69638</v>
      </c>
      <c r="R2815" s="2">
        <f>(Table1[[#This Row],[CO2 Emissions (g CO2)]])/(Table1[[#This Row],[Generation (TWh)]]*10^9)</f>
        <v>1698.6821296784397</v>
      </c>
    </row>
    <row r="2816" spans="1:18" hidden="1">
      <c r="A2816" t="s">
        <v>752</v>
      </c>
      <c r="B2816" t="s">
        <v>19</v>
      </c>
      <c r="C2816" t="str">
        <f>SUBSTITUTE(Table1[[#This Row],[Fuel]],", ",",")</f>
        <v>bioenergy: refuse (municipal and industrial wastes)</v>
      </c>
      <c r="D2816" t="s">
        <v>19</v>
      </c>
      <c r="G2816">
        <v>6</v>
      </c>
      <c r="H2816" t="s">
        <v>27</v>
      </c>
      <c r="I2816">
        <v>2005</v>
      </c>
      <c r="J2816" t="s">
        <v>21</v>
      </c>
      <c r="K2816">
        <v>27.89864</v>
      </c>
      <c r="L2816">
        <v>120.79017399999999</v>
      </c>
      <c r="M2816" t="s">
        <v>102</v>
      </c>
      <c r="N2816" s="2">
        <f>Table1[[#This Row],[Capacity (MW)]]*8760*0.72*10^-6</f>
        <v>3.7843199999999994E-2</v>
      </c>
      <c r="O2816" s="2" cm="1">
        <f t="array" ref="O2816">AVERAGE(VLOOKUP(_xlfn.TEXTSPLIT(Table1[[#This Row],[Fuel (no space after comma)]], ","), FuelList_Final_EF!$A$2:$B$32, 2, FALSE))</f>
        <v>105.42962572482868</v>
      </c>
      <c r="P2816" s="2">
        <f>(16112*Table1[[#This Row],[Generation (TWh)]]*10^9)/10^6</f>
        <v>609729.63839999982</v>
      </c>
      <c r="Q2816" s="2">
        <f>Table1[[#This Row],[Emission Factor (kg CO2/ mmBtu)]]*Table1[[#This Row],[Fuel Consumption (mmBtu)]]*10^3</f>
        <v>64283567569.847115</v>
      </c>
      <c r="R2816" s="2">
        <f>(Table1[[#This Row],[CO2 Emissions (g CO2)]])/(Table1[[#This Row],[Generation (TWh)]]*10^9)</f>
        <v>1698.6821296784397</v>
      </c>
    </row>
    <row r="2817" spans="1:18" hidden="1">
      <c r="A2817" t="s">
        <v>752</v>
      </c>
      <c r="B2817" t="s">
        <v>19</v>
      </c>
      <c r="C2817" t="str">
        <f>SUBSTITUTE(Table1[[#This Row],[Fuel]],", ",",")</f>
        <v>bioenergy: refuse (municipal and industrial wastes)</v>
      </c>
      <c r="D2817" t="s">
        <v>19</v>
      </c>
      <c r="G2817">
        <v>12</v>
      </c>
      <c r="H2817" t="s">
        <v>27</v>
      </c>
      <c r="I2817">
        <v>2005</v>
      </c>
      <c r="J2817" t="s">
        <v>21</v>
      </c>
      <c r="K2817">
        <v>27.89864</v>
      </c>
      <c r="L2817">
        <v>120.79017399999999</v>
      </c>
      <c r="M2817" t="s">
        <v>102</v>
      </c>
      <c r="N2817" s="2">
        <f>Table1[[#This Row],[Capacity (MW)]]*8760*0.72*10^-6</f>
        <v>7.5686399999999987E-2</v>
      </c>
      <c r="O2817" s="2" cm="1">
        <f t="array" ref="O2817">AVERAGE(VLOOKUP(_xlfn.TEXTSPLIT(Table1[[#This Row],[Fuel (no space after comma)]], ","), FuelList_Final_EF!$A$2:$B$32, 2, FALSE))</f>
        <v>105.42962572482868</v>
      </c>
      <c r="P2817" s="2">
        <f>(16112*Table1[[#This Row],[Generation (TWh)]]*10^9)/10^6</f>
        <v>1219459.2767999996</v>
      </c>
      <c r="Q2817" s="2">
        <f>Table1[[#This Row],[Emission Factor (kg CO2/ mmBtu)]]*Table1[[#This Row],[Fuel Consumption (mmBtu)]]*10^3</f>
        <v>128567135139.69423</v>
      </c>
      <c r="R2817" s="2">
        <f>(Table1[[#This Row],[CO2 Emissions (g CO2)]])/(Table1[[#This Row],[Generation (TWh)]]*10^9)</f>
        <v>1698.6821296784397</v>
      </c>
    </row>
    <row r="2818" spans="1:18" hidden="1">
      <c r="A2818" t="s">
        <v>752</v>
      </c>
      <c r="B2818" t="s">
        <v>19</v>
      </c>
      <c r="C2818" t="str">
        <f>SUBSTITUTE(Table1[[#This Row],[Fuel]],", ",",")</f>
        <v>bioenergy: refuse (municipal and industrial wastes)</v>
      </c>
      <c r="D2818" t="s">
        <v>19</v>
      </c>
      <c r="G2818">
        <v>12</v>
      </c>
      <c r="H2818" t="s">
        <v>27</v>
      </c>
      <c r="I2818">
        <v>2016</v>
      </c>
      <c r="J2818" t="s">
        <v>21</v>
      </c>
      <c r="K2818">
        <v>27.89864</v>
      </c>
      <c r="L2818">
        <v>120.79017399999999</v>
      </c>
      <c r="M2818" t="s">
        <v>102</v>
      </c>
      <c r="N2818" s="2">
        <f>Table1[[#This Row],[Capacity (MW)]]*8760*0.72*10^-6</f>
        <v>7.5686399999999987E-2</v>
      </c>
      <c r="O2818" s="2" cm="1">
        <f t="array" ref="O2818">AVERAGE(VLOOKUP(_xlfn.TEXTSPLIT(Table1[[#This Row],[Fuel (no space after comma)]], ","), FuelList_Final_EF!$A$2:$B$32, 2, FALSE))</f>
        <v>105.42962572482868</v>
      </c>
      <c r="P2818" s="2">
        <f>(16112*Table1[[#This Row],[Generation (TWh)]]*10^9)/10^6</f>
        <v>1219459.2767999996</v>
      </c>
      <c r="Q2818" s="2">
        <f>Table1[[#This Row],[Emission Factor (kg CO2/ mmBtu)]]*Table1[[#This Row],[Fuel Consumption (mmBtu)]]*10^3</f>
        <v>128567135139.69423</v>
      </c>
      <c r="R2818" s="2">
        <f>(Table1[[#This Row],[CO2 Emissions (g CO2)]])/(Table1[[#This Row],[Generation (TWh)]]*10^9)</f>
        <v>1698.6821296784397</v>
      </c>
    </row>
    <row r="2819" spans="1:18" hidden="1">
      <c r="A2819" t="s">
        <v>752</v>
      </c>
      <c r="B2819" t="s">
        <v>19</v>
      </c>
      <c r="C2819" t="str">
        <f>SUBSTITUTE(Table1[[#This Row],[Fuel]],", ",",")</f>
        <v>bioenergy: refuse (municipal and industrial wastes)</v>
      </c>
      <c r="D2819" t="s">
        <v>19</v>
      </c>
      <c r="G2819">
        <v>25</v>
      </c>
      <c r="H2819" t="s">
        <v>27</v>
      </c>
      <c r="I2819">
        <v>2016</v>
      </c>
      <c r="J2819" t="s">
        <v>21</v>
      </c>
      <c r="K2819">
        <v>27.89864</v>
      </c>
      <c r="L2819">
        <v>120.79017399999999</v>
      </c>
      <c r="M2819" t="s">
        <v>102</v>
      </c>
      <c r="N2819" s="2">
        <f>Table1[[#This Row],[Capacity (MW)]]*8760*0.72*10^-6</f>
        <v>0.15767999999999999</v>
      </c>
      <c r="O2819" s="2" cm="1">
        <f t="array" ref="O2819">AVERAGE(VLOOKUP(_xlfn.TEXTSPLIT(Table1[[#This Row],[Fuel (no space after comma)]], ","), FuelList_Final_EF!$A$2:$B$32, 2, FALSE))</f>
        <v>105.42962572482868</v>
      </c>
      <c r="P2819" s="2">
        <f>(16112*Table1[[#This Row],[Generation (TWh)]]*10^9)/10^6</f>
        <v>2540540.16</v>
      </c>
      <c r="Q2819" s="2">
        <f>Table1[[#This Row],[Emission Factor (kg CO2/ mmBtu)]]*Table1[[#This Row],[Fuel Consumption (mmBtu)]]*10^3</f>
        <v>267848198207.69638</v>
      </c>
      <c r="R2819" s="2">
        <f>(Table1[[#This Row],[CO2 Emissions (g CO2)]])/(Table1[[#This Row],[Generation (TWh)]]*10^9)</f>
        <v>1698.6821296784397</v>
      </c>
    </row>
    <row r="2820" spans="1:18" hidden="1">
      <c r="A2820" t="s">
        <v>752</v>
      </c>
      <c r="B2820" t="s">
        <v>19</v>
      </c>
      <c r="C2820" t="str">
        <f>SUBSTITUTE(Table1[[#This Row],[Fuel]],", ",",")</f>
        <v>bioenergy: refuse (municipal and industrial wastes)</v>
      </c>
      <c r="D2820" t="s">
        <v>19</v>
      </c>
      <c r="G2820">
        <v>6</v>
      </c>
      <c r="H2820" t="s">
        <v>27</v>
      </c>
      <c r="I2820">
        <v>2003</v>
      </c>
      <c r="J2820" t="s">
        <v>21</v>
      </c>
      <c r="K2820">
        <v>28.136493999999999</v>
      </c>
      <c r="L2820">
        <v>120.549537</v>
      </c>
      <c r="M2820" t="s">
        <v>102</v>
      </c>
      <c r="N2820" s="2">
        <f>Table1[[#This Row],[Capacity (MW)]]*8760*0.72*10^-6</f>
        <v>3.7843199999999994E-2</v>
      </c>
      <c r="O2820" s="2" cm="1">
        <f t="array" ref="O2820">AVERAGE(VLOOKUP(_xlfn.TEXTSPLIT(Table1[[#This Row],[Fuel (no space after comma)]], ","), FuelList_Final_EF!$A$2:$B$32, 2, FALSE))</f>
        <v>105.42962572482868</v>
      </c>
      <c r="P2820" s="2">
        <f>(16112*Table1[[#This Row],[Generation (TWh)]]*10^9)/10^6</f>
        <v>609729.63839999982</v>
      </c>
      <c r="Q2820" s="2">
        <f>Table1[[#This Row],[Emission Factor (kg CO2/ mmBtu)]]*Table1[[#This Row],[Fuel Consumption (mmBtu)]]*10^3</f>
        <v>64283567569.847115</v>
      </c>
      <c r="R2820" s="2">
        <f>(Table1[[#This Row],[CO2 Emissions (g CO2)]])/(Table1[[#This Row],[Generation (TWh)]]*10^9)</f>
        <v>1698.6821296784397</v>
      </c>
    </row>
    <row r="2821" spans="1:18" hidden="1">
      <c r="A2821" t="s">
        <v>752</v>
      </c>
      <c r="B2821" t="s">
        <v>19</v>
      </c>
      <c r="C2821" t="str">
        <f>SUBSTITUTE(Table1[[#This Row],[Fuel]],", ",",")</f>
        <v>bioenergy: refuse (municipal and industrial wastes)</v>
      </c>
      <c r="D2821" t="s">
        <v>19</v>
      </c>
      <c r="G2821">
        <v>6</v>
      </c>
      <c r="H2821" t="s">
        <v>27</v>
      </c>
      <c r="I2821">
        <v>2003</v>
      </c>
      <c r="J2821" t="s">
        <v>21</v>
      </c>
      <c r="K2821">
        <v>28.136493999999999</v>
      </c>
      <c r="L2821">
        <v>120.549537</v>
      </c>
      <c r="M2821" t="s">
        <v>102</v>
      </c>
      <c r="N2821" s="2">
        <f>Table1[[#This Row],[Capacity (MW)]]*8760*0.72*10^-6</f>
        <v>3.7843199999999994E-2</v>
      </c>
      <c r="O2821" s="2" cm="1">
        <f t="array" ref="O2821">AVERAGE(VLOOKUP(_xlfn.TEXTSPLIT(Table1[[#This Row],[Fuel (no space after comma)]], ","), FuelList_Final_EF!$A$2:$B$32, 2, FALSE))</f>
        <v>105.42962572482868</v>
      </c>
      <c r="P2821" s="2">
        <f>(16112*Table1[[#This Row],[Generation (TWh)]]*10^9)/10^6</f>
        <v>609729.63839999982</v>
      </c>
      <c r="Q2821" s="2">
        <f>Table1[[#This Row],[Emission Factor (kg CO2/ mmBtu)]]*Table1[[#This Row],[Fuel Consumption (mmBtu)]]*10^3</f>
        <v>64283567569.847115</v>
      </c>
      <c r="R2821" s="2">
        <f>(Table1[[#This Row],[CO2 Emissions (g CO2)]])/(Table1[[#This Row],[Generation (TWh)]]*10^9)</f>
        <v>1698.6821296784397</v>
      </c>
    </row>
    <row r="2822" spans="1:18" hidden="1">
      <c r="A2822" t="s">
        <v>752</v>
      </c>
      <c r="B2822" t="s">
        <v>19</v>
      </c>
      <c r="C2822" t="str">
        <f>SUBSTITUTE(Table1[[#This Row],[Fuel]],", ",",")</f>
        <v>bioenergy: refuse (municipal and industrial wastes)</v>
      </c>
      <c r="D2822" t="s">
        <v>19</v>
      </c>
      <c r="G2822">
        <v>12</v>
      </c>
      <c r="H2822" t="s">
        <v>27</v>
      </c>
      <c r="I2822">
        <v>2011</v>
      </c>
      <c r="J2822" t="s">
        <v>21</v>
      </c>
      <c r="K2822">
        <v>28.136493999999999</v>
      </c>
      <c r="L2822">
        <v>120.549537</v>
      </c>
      <c r="M2822" t="s">
        <v>102</v>
      </c>
      <c r="N2822" s="2">
        <f>Table1[[#This Row],[Capacity (MW)]]*8760*0.72*10^-6</f>
        <v>7.5686399999999987E-2</v>
      </c>
      <c r="O2822" s="2" cm="1">
        <f t="array" ref="O2822">AVERAGE(VLOOKUP(_xlfn.TEXTSPLIT(Table1[[#This Row],[Fuel (no space after comma)]], ","), FuelList_Final_EF!$A$2:$B$32, 2, FALSE))</f>
        <v>105.42962572482868</v>
      </c>
      <c r="P2822" s="2">
        <f>(16112*Table1[[#This Row],[Generation (TWh)]]*10^9)/10^6</f>
        <v>1219459.2767999996</v>
      </c>
      <c r="Q2822" s="2">
        <f>Table1[[#This Row],[Emission Factor (kg CO2/ mmBtu)]]*Table1[[#This Row],[Fuel Consumption (mmBtu)]]*10^3</f>
        <v>128567135139.69423</v>
      </c>
      <c r="R2822" s="2">
        <f>(Table1[[#This Row],[CO2 Emissions (g CO2)]])/(Table1[[#This Row],[Generation (TWh)]]*10^9)</f>
        <v>1698.6821296784397</v>
      </c>
    </row>
    <row r="2823" spans="1:18" hidden="1">
      <c r="A2823" t="s">
        <v>752</v>
      </c>
      <c r="B2823" t="s">
        <v>19</v>
      </c>
      <c r="C2823" t="str">
        <f>SUBSTITUTE(Table1[[#This Row],[Fuel]],", ",",")</f>
        <v>bioenergy: refuse (municipal and industrial wastes)</v>
      </c>
      <c r="D2823" t="s">
        <v>19</v>
      </c>
      <c r="G2823">
        <v>12</v>
      </c>
      <c r="H2823" t="s">
        <v>27</v>
      </c>
      <c r="I2823">
        <v>2011</v>
      </c>
      <c r="J2823" t="s">
        <v>21</v>
      </c>
      <c r="K2823">
        <v>28.136493999999999</v>
      </c>
      <c r="L2823">
        <v>120.549537</v>
      </c>
      <c r="M2823" t="s">
        <v>102</v>
      </c>
      <c r="N2823" s="2">
        <f>Table1[[#This Row],[Capacity (MW)]]*8760*0.72*10^-6</f>
        <v>7.5686399999999987E-2</v>
      </c>
      <c r="O2823" s="2" cm="1">
        <f t="array" ref="O2823">AVERAGE(VLOOKUP(_xlfn.TEXTSPLIT(Table1[[#This Row],[Fuel (no space after comma)]], ","), FuelList_Final_EF!$A$2:$B$32, 2, FALSE))</f>
        <v>105.42962572482868</v>
      </c>
      <c r="P2823" s="2">
        <f>(16112*Table1[[#This Row],[Generation (TWh)]]*10^9)/10^6</f>
        <v>1219459.2767999996</v>
      </c>
      <c r="Q2823" s="2">
        <f>Table1[[#This Row],[Emission Factor (kg CO2/ mmBtu)]]*Table1[[#This Row],[Fuel Consumption (mmBtu)]]*10^3</f>
        <v>128567135139.69423</v>
      </c>
      <c r="R2823" s="2">
        <f>(Table1[[#This Row],[CO2 Emissions (g CO2)]])/(Table1[[#This Row],[Generation (TWh)]]*10^9)</f>
        <v>1698.6821296784397</v>
      </c>
    </row>
    <row r="2824" spans="1:18" hidden="1">
      <c r="A2824" t="s">
        <v>21</v>
      </c>
      <c r="B2824" t="s">
        <v>19</v>
      </c>
      <c r="C2824" t="str">
        <f>SUBSTITUTE(Table1[[#This Row],[Fuel]],", ",",")</f>
        <v>bioenergy: refuse (municipal and industrial wastes)</v>
      </c>
      <c r="D2824" t="s">
        <v>19</v>
      </c>
      <c r="G2824">
        <v>12</v>
      </c>
      <c r="H2824" t="s">
        <v>27</v>
      </c>
      <c r="I2824">
        <v>2019</v>
      </c>
      <c r="J2824" t="s">
        <v>21</v>
      </c>
      <c r="K2824">
        <v>28.975435000000001</v>
      </c>
      <c r="L2824">
        <v>119.797741</v>
      </c>
      <c r="M2824" t="s">
        <v>102</v>
      </c>
      <c r="N2824" s="2">
        <f>Table1[[#This Row],[Capacity (MW)]]*8760*0.72*10^-6</f>
        <v>7.5686399999999987E-2</v>
      </c>
      <c r="O2824" s="2" cm="1">
        <f t="array" ref="O2824">AVERAGE(VLOOKUP(_xlfn.TEXTSPLIT(Table1[[#This Row],[Fuel (no space after comma)]], ","), FuelList_Final_EF!$A$2:$B$32, 2, FALSE))</f>
        <v>105.42962572482868</v>
      </c>
      <c r="P2824" s="2">
        <f>(16112*Table1[[#This Row],[Generation (TWh)]]*10^9)/10^6</f>
        <v>1219459.2767999996</v>
      </c>
      <c r="Q2824" s="2">
        <f>Table1[[#This Row],[Emission Factor (kg CO2/ mmBtu)]]*Table1[[#This Row],[Fuel Consumption (mmBtu)]]*10^3</f>
        <v>128567135139.69423</v>
      </c>
      <c r="R2824" s="2">
        <f>(Table1[[#This Row],[CO2 Emissions (g CO2)]])/(Table1[[#This Row],[Generation (TWh)]]*10^9)</f>
        <v>1698.6821296784397</v>
      </c>
    </row>
    <row r="2825" spans="1:18" hidden="1">
      <c r="A2825" t="s">
        <v>21</v>
      </c>
      <c r="B2825" t="s">
        <v>19</v>
      </c>
      <c r="C2825" t="str">
        <f>SUBSTITUTE(Table1[[#This Row],[Fuel]],", ",",")</f>
        <v>bioenergy: refuse (municipal and industrial wastes)</v>
      </c>
      <c r="D2825" t="s">
        <v>19</v>
      </c>
      <c r="G2825">
        <v>12</v>
      </c>
      <c r="H2825" t="s">
        <v>27</v>
      </c>
      <c r="I2825">
        <v>2019</v>
      </c>
      <c r="J2825" t="s">
        <v>21</v>
      </c>
      <c r="K2825">
        <v>28.975435000000001</v>
      </c>
      <c r="L2825">
        <v>119.797741</v>
      </c>
      <c r="M2825" t="s">
        <v>102</v>
      </c>
      <c r="N2825" s="2">
        <f>Table1[[#This Row],[Capacity (MW)]]*8760*0.72*10^-6</f>
        <v>7.5686399999999987E-2</v>
      </c>
      <c r="O2825" s="2" cm="1">
        <f t="array" ref="O2825">AVERAGE(VLOOKUP(_xlfn.TEXTSPLIT(Table1[[#This Row],[Fuel (no space after comma)]], ","), FuelList_Final_EF!$A$2:$B$32, 2, FALSE))</f>
        <v>105.42962572482868</v>
      </c>
      <c r="P2825" s="2">
        <f>(16112*Table1[[#This Row],[Generation (TWh)]]*10^9)/10^6</f>
        <v>1219459.2767999996</v>
      </c>
      <c r="Q2825" s="2">
        <f>Table1[[#This Row],[Emission Factor (kg CO2/ mmBtu)]]*Table1[[#This Row],[Fuel Consumption (mmBtu)]]*10^3</f>
        <v>128567135139.69423</v>
      </c>
      <c r="R2825" s="2">
        <f>(Table1[[#This Row],[CO2 Emissions (g CO2)]])/(Table1[[#This Row],[Generation (TWh)]]*10^9)</f>
        <v>1698.6821296784397</v>
      </c>
    </row>
    <row r="2826" spans="1:18" hidden="1">
      <c r="A2826" t="s">
        <v>21</v>
      </c>
      <c r="B2826" t="s">
        <v>19</v>
      </c>
      <c r="C2826" t="str">
        <f>SUBSTITUTE(Table1[[#This Row],[Fuel]],", ",",")</f>
        <v>bioenergy: refuse (municipal and industrial wastes)</v>
      </c>
      <c r="D2826" t="s">
        <v>19</v>
      </c>
      <c r="G2826">
        <v>12</v>
      </c>
      <c r="H2826" t="s">
        <v>27</v>
      </c>
      <c r="I2826">
        <v>2021</v>
      </c>
      <c r="J2826" t="s">
        <v>21</v>
      </c>
      <c r="K2826">
        <v>29.358070999999999</v>
      </c>
      <c r="L2826">
        <v>121.9213</v>
      </c>
      <c r="M2826" t="s">
        <v>102</v>
      </c>
      <c r="N2826" s="2">
        <f>Table1[[#This Row],[Capacity (MW)]]*8760*0.72*10^-6</f>
        <v>7.5686399999999987E-2</v>
      </c>
      <c r="O2826" s="2" cm="1">
        <f t="array" ref="O2826">AVERAGE(VLOOKUP(_xlfn.TEXTSPLIT(Table1[[#This Row],[Fuel (no space after comma)]], ","), FuelList_Final_EF!$A$2:$B$32, 2, FALSE))</f>
        <v>105.42962572482868</v>
      </c>
      <c r="P2826" s="2">
        <f>(16112*Table1[[#This Row],[Generation (TWh)]]*10^9)/10^6</f>
        <v>1219459.2767999996</v>
      </c>
      <c r="Q2826" s="2">
        <f>Table1[[#This Row],[Emission Factor (kg CO2/ mmBtu)]]*Table1[[#This Row],[Fuel Consumption (mmBtu)]]*10^3</f>
        <v>128567135139.69423</v>
      </c>
      <c r="R2826" s="2">
        <f>(Table1[[#This Row],[CO2 Emissions (g CO2)]])/(Table1[[#This Row],[Generation (TWh)]]*10^9)</f>
        <v>1698.6821296784397</v>
      </c>
    </row>
    <row r="2827" spans="1:18" hidden="1">
      <c r="A2827" t="s">
        <v>21</v>
      </c>
      <c r="B2827" t="s">
        <v>19</v>
      </c>
      <c r="C2827" t="str">
        <f>SUBSTITUTE(Table1[[#This Row],[Fuel]],", ",",")</f>
        <v>bioenergy: refuse (municipal and industrial wastes)</v>
      </c>
      <c r="D2827" t="s">
        <v>19</v>
      </c>
      <c r="G2827">
        <v>12</v>
      </c>
      <c r="H2827" t="s">
        <v>27</v>
      </c>
      <c r="I2827">
        <v>2014</v>
      </c>
      <c r="J2827" t="s">
        <v>21</v>
      </c>
      <c r="K2827">
        <v>28.059203</v>
      </c>
      <c r="L2827">
        <v>120.70390500000001</v>
      </c>
      <c r="M2827" t="s">
        <v>102</v>
      </c>
      <c r="N2827" s="2">
        <f>Table1[[#This Row],[Capacity (MW)]]*8760*0.72*10^-6</f>
        <v>7.5686399999999987E-2</v>
      </c>
      <c r="O2827" s="2" cm="1">
        <f t="array" ref="O2827">AVERAGE(VLOOKUP(_xlfn.TEXTSPLIT(Table1[[#This Row],[Fuel (no space after comma)]], ","), FuelList_Final_EF!$A$2:$B$32, 2, FALSE))</f>
        <v>105.42962572482868</v>
      </c>
      <c r="P2827" s="2">
        <f>(16112*Table1[[#This Row],[Generation (TWh)]]*10^9)/10^6</f>
        <v>1219459.2767999996</v>
      </c>
      <c r="Q2827" s="2">
        <f>Table1[[#This Row],[Emission Factor (kg CO2/ mmBtu)]]*Table1[[#This Row],[Fuel Consumption (mmBtu)]]*10^3</f>
        <v>128567135139.69423</v>
      </c>
      <c r="R2827" s="2">
        <f>(Table1[[#This Row],[CO2 Emissions (g CO2)]])/(Table1[[#This Row],[Generation (TWh)]]*10^9)</f>
        <v>1698.6821296784397</v>
      </c>
    </row>
    <row r="2828" spans="1:18" hidden="1">
      <c r="A2828" t="s">
        <v>21</v>
      </c>
      <c r="B2828" t="s">
        <v>19</v>
      </c>
      <c r="C2828" t="str">
        <f>SUBSTITUTE(Table1[[#This Row],[Fuel]],", ",",")</f>
        <v>bioenergy: refuse (municipal and industrial wastes)</v>
      </c>
      <c r="D2828" t="s">
        <v>19</v>
      </c>
      <c r="G2828">
        <v>18</v>
      </c>
      <c r="H2828" t="s">
        <v>27</v>
      </c>
      <c r="I2828">
        <v>2021</v>
      </c>
      <c r="J2828" t="s">
        <v>21</v>
      </c>
      <c r="K2828">
        <v>28.059203</v>
      </c>
      <c r="L2828">
        <v>120.70390500000001</v>
      </c>
      <c r="M2828" t="s">
        <v>102</v>
      </c>
      <c r="N2828" s="2">
        <f>Table1[[#This Row],[Capacity (MW)]]*8760*0.72*10^-6</f>
        <v>0.11352959999999998</v>
      </c>
      <c r="O2828" s="2" cm="1">
        <f t="array" ref="O2828">AVERAGE(VLOOKUP(_xlfn.TEXTSPLIT(Table1[[#This Row],[Fuel (no space after comma)]], ","), FuelList_Final_EF!$A$2:$B$32, 2, FALSE))</f>
        <v>105.42962572482868</v>
      </c>
      <c r="P2828" s="2">
        <f>(16112*Table1[[#This Row],[Generation (TWh)]]*10^9)/10^6</f>
        <v>1829188.9151999997</v>
      </c>
      <c r="Q2828" s="2">
        <f>Table1[[#This Row],[Emission Factor (kg CO2/ mmBtu)]]*Table1[[#This Row],[Fuel Consumption (mmBtu)]]*10^3</f>
        <v>192850702709.54135</v>
      </c>
      <c r="R2828" s="2">
        <f>(Table1[[#This Row],[CO2 Emissions (g CO2)]])/(Table1[[#This Row],[Generation (TWh)]]*10^9)</f>
        <v>1698.6821296784397</v>
      </c>
    </row>
    <row r="2829" spans="1:18" hidden="1">
      <c r="A2829" t="s">
        <v>21</v>
      </c>
      <c r="B2829" t="s">
        <v>19</v>
      </c>
      <c r="C2829" t="str">
        <f>SUBSTITUTE(Table1[[#This Row],[Fuel]],", ",",")</f>
        <v>bioenergy: refuse (municipal and industrial wastes)</v>
      </c>
      <c r="D2829" t="s">
        <v>19</v>
      </c>
      <c r="G2829">
        <v>12</v>
      </c>
      <c r="H2829" t="s">
        <v>27</v>
      </c>
      <c r="I2829">
        <v>2014</v>
      </c>
      <c r="J2829" t="s">
        <v>21</v>
      </c>
      <c r="K2829">
        <v>28.059425999999998</v>
      </c>
      <c r="L2829">
        <v>120.862674</v>
      </c>
      <c r="M2829" t="s">
        <v>102</v>
      </c>
      <c r="N2829" s="2">
        <f>Table1[[#This Row],[Capacity (MW)]]*8760*0.72*10^-6</f>
        <v>7.5686399999999987E-2</v>
      </c>
      <c r="O2829" s="2" cm="1">
        <f t="array" ref="O2829">AVERAGE(VLOOKUP(_xlfn.TEXTSPLIT(Table1[[#This Row],[Fuel (no space after comma)]], ","), FuelList_Final_EF!$A$2:$B$32, 2, FALSE))</f>
        <v>105.42962572482868</v>
      </c>
      <c r="P2829" s="2">
        <f>(16112*Table1[[#This Row],[Generation (TWh)]]*10^9)/10^6</f>
        <v>1219459.2767999996</v>
      </c>
      <c r="Q2829" s="2">
        <f>Table1[[#This Row],[Emission Factor (kg CO2/ mmBtu)]]*Table1[[#This Row],[Fuel Consumption (mmBtu)]]*10^3</f>
        <v>128567135139.69423</v>
      </c>
      <c r="R2829" s="2">
        <f>(Table1[[#This Row],[CO2 Emissions (g CO2)]])/(Table1[[#This Row],[Generation (TWh)]]*10^9)</f>
        <v>1698.6821296784397</v>
      </c>
    </row>
    <row r="2830" spans="1:18" hidden="1">
      <c r="A2830" t="s">
        <v>21</v>
      </c>
      <c r="B2830" t="s">
        <v>19</v>
      </c>
      <c r="C2830" t="str">
        <f>SUBSTITUTE(Table1[[#This Row],[Fuel]],", ",",")</f>
        <v>bioenergy: refuse (municipal and industrial wastes)</v>
      </c>
      <c r="D2830" t="s">
        <v>19</v>
      </c>
      <c r="G2830">
        <v>12</v>
      </c>
      <c r="H2830" t="s">
        <v>27</v>
      </c>
      <c r="I2830">
        <v>2014</v>
      </c>
      <c r="J2830" t="s">
        <v>21</v>
      </c>
      <c r="K2830">
        <v>28.059425999999998</v>
      </c>
      <c r="L2830">
        <v>120.862674</v>
      </c>
      <c r="M2830" t="s">
        <v>102</v>
      </c>
      <c r="N2830" s="2">
        <f>Table1[[#This Row],[Capacity (MW)]]*8760*0.72*10^-6</f>
        <v>7.5686399999999987E-2</v>
      </c>
      <c r="O2830" s="2" cm="1">
        <f t="array" ref="O2830">AVERAGE(VLOOKUP(_xlfn.TEXTSPLIT(Table1[[#This Row],[Fuel (no space after comma)]], ","), FuelList_Final_EF!$A$2:$B$32, 2, FALSE))</f>
        <v>105.42962572482868</v>
      </c>
      <c r="P2830" s="2">
        <f>(16112*Table1[[#This Row],[Generation (TWh)]]*10^9)/10^6</f>
        <v>1219459.2767999996</v>
      </c>
      <c r="Q2830" s="2">
        <f>Table1[[#This Row],[Emission Factor (kg CO2/ mmBtu)]]*Table1[[#This Row],[Fuel Consumption (mmBtu)]]*10^3</f>
        <v>128567135139.69423</v>
      </c>
      <c r="R2830" s="2">
        <f>(Table1[[#This Row],[CO2 Emissions (g CO2)]])/(Table1[[#This Row],[Generation (TWh)]]*10^9)</f>
        <v>1698.6821296784397</v>
      </c>
    </row>
    <row r="2831" spans="1:18" hidden="1">
      <c r="A2831" t="s">
        <v>21</v>
      </c>
      <c r="B2831" t="s">
        <v>19</v>
      </c>
      <c r="C2831" t="str">
        <f>SUBSTITUTE(Table1[[#This Row],[Fuel]],", ",",")</f>
        <v>bioenergy: refuse (municipal and industrial wastes)</v>
      </c>
      <c r="D2831" t="s">
        <v>19</v>
      </c>
      <c r="G2831">
        <v>7.5</v>
      </c>
      <c r="H2831" t="s">
        <v>27</v>
      </c>
      <c r="I2831">
        <v>2011</v>
      </c>
      <c r="J2831" t="s">
        <v>21</v>
      </c>
      <c r="K2831">
        <v>29.968129999999999</v>
      </c>
      <c r="L2831">
        <v>122.088179</v>
      </c>
      <c r="M2831" t="s">
        <v>102</v>
      </c>
      <c r="N2831" s="2">
        <f>Table1[[#This Row],[Capacity (MW)]]*8760*0.72*10^-6</f>
        <v>4.7303999999999999E-2</v>
      </c>
      <c r="O2831" s="2" cm="1">
        <f t="array" ref="O2831">AVERAGE(VLOOKUP(_xlfn.TEXTSPLIT(Table1[[#This Row],[Fuel (no space after comma)]], ","), FuelList_Final_EF!$A$2:$B$32, 2, FALSE))</f>
        <v>105.42962572482868</v>
      </c>
      <c r="P2831" s="2">
        <f>(16112*Table1[[#This Row],[Generation (TWh)]]*10^9)/10^6</f>
        <v>762162.04799999995</v>
      </c>
      <c r="Q2831" s="2">
        <f>Table1[[#This Row],[Emission Factor (kg CO2/ mmBtu)]]*Table1[[#This Row],[Fuel Consumption (mmBtu)]]*10^3</f>
        <v>80354459462.308914</v>
      </c>
      <c r="R2831" s="2">
        <f>(Table1[[#This Row],[CO2 Emissions (g CO2)]])/(Table1[[#This Row],[Generation (TWh)]]*10^9)</f>
        <v>1698.6821296784397</v>
      </c>
    </row>
    <row r="2832" spans="1:18" hidden="1">
      <c r="A2832" t="s">
        <v>21</v>
      </c>
      <c r="B2832" t="s">
        <v>19</v>
      </c>
      <c r="C2832" t="str">
        <f>SUBSTITUTE(Table1[[#This Row],[Fuel]],", ",",")</f>
        <v>bioenergy: refuse (municipal and industrial wastes)</v>
      </c>
      <c r="D2832" t="s">
        <v>19</v>
      </c>
      <c r="G2832">
        <v>7.5</v>
      </c>
      <c r="H2832" t="s">
        <v>27</v>
      </c>
      <c r="I2832">
        <v>2011</v>
      </c>
      <c r="J2832" t="s">
        <v>21</v>
      </c>
      <c r="K2832">
        <v>29.968129999999999</v>
      </c>
      <c r="L2832">
        <v>122.088179</v>
      </c>
      <c r="M2832" t="s">
        <v>102</v>
      </c>
      <c r="N2832" s="2">
        <f>Table1[[#This Row],[Capacity (MW)]]*8760*0.72*10^-6</f>
        <v>4.7303999999999999E-2</v>
      </c>
      <c r="O2832" s="2" cm="1">
        <f t="array" ref="O2832">AVERAGE(VLOOKUP(_xlfn.TEXTSPLIT(Table1[[#This Row],[Fuel (no space after comma)]], ","), FuelList_Final_EF!$A$2:$B$32, 2, FALSE))</f>
        <v>105.42962572482868</v>
      </c>
      <c r="P2832" s="2">
        <f>(16112*Table1[[#This Row],[Generation (TWh)]]*10^9)/10^6</f>
        <v>762162.04799999995</v>
      </c>
      <c r="Q2832" s="2">
        <f>Table1[[#This Row],[Emission Factor (kg CO2/ mmBtu)]]*Table1[[#This Row],[Fuel Consumption (mmBtu)]]*10^3</f>
        <v>80354459462.308914</v>
      </c>
      <c r="R2832" s="2">
        <f>(Table1[[#This Row],[CO2 Emissions (g CO2)]])/(Table1[[#This Row],[Generation (TWh)]]*10^9)</f>
        <v>1698.6821296784397</v>
      </c>
    </row>
    <row r="2833" spans="1:18" hidden="1">
      <c r="A2833" t="s">
        <v>21</v>
      </c>
      <c r="B2833" t="s">
        <v>19</v>
      </c>
      <c r="C2833" t="str">
        <f>SUBSTITUTE(Table1[[#This Row],[Fuel]],", ",",")</f>
        <v>bioenergy: refuse (municipal and industrial wastes)</v>
      </c>
      <c r="D2833" t="s">
        <v>19</v>
      </c>
      <c r="G2833">
        <v>12</v>
      </c>
      <c r="H2833" t="s">
        <v>27</v>
      </c>
      <c r="I2833">
        <v>2020</v>
      </c>
      <c r="J2833" t="s">
        <v>21</v>
      </c>
      <c r="K2833">
        <v>29.968129999999999</v>
      </c>
      <c r="L2833">
        <v>122.088179</v>
      </c>
      <c r="M2833" t="s">
        <v>102</v>
      </c>
      <c r="N2833" s="2">
        <f>Table1[[#This Row],[Capacity (MW)]]*8760*0.72*10^-6</f>
        <v>7.5686399999999987E-2</v>
      </c>
      <c r="O2833" s="2" cm="1">
        <f t="array" ref="O2833">AVERAGE(VLOOKUP(_xlfn.TEXTSPLIT(Table1[[#This Row],[Fuel (no space after comma)]], ","), FuelList_Final_EF!$A$2:$B$32, 2, FALSE))</f>
        <v>105.42962572482868</v>
      </c>
      <c r="P2833" s="2">
        <f>(16112*Table1[[#This Row],[Generation (TWh)]]*10^9)/10^6</f>
        <v>1219459.2767999996</v>
      </c>
      <c r="Q2833" s="2">
        <f>Table1[[#This Row],[Emission Factor (kg CO2/ mmBtu)]]*Table1[[#This Row],[Fuel Consumption (mmBtu)]]*10^3</f>
        <v>128567135139.69423</v>
      </c>
      <c r="R2833" s="2">
        <f>(Table1[[#This Row],[CO2 Emissions (g CO2)]])/(Table1[[#This Row],[Generation (TWh)]]*10^9)</f>
        <v>1698.6821296784397</v>
      </c>
    </row>
    <row r="2834" spans="1:18" hidden="1">
      <c r="A2834" t="s">
        <v>21</v>
      </c>
      <c r="B2834" t="s">
        <v>19</v>
      </c>
      <c r="C2834" t="str">
        <f>SUBSTITUTE(Table1[[#This Row],[Fuel]],", ",",")</f>
        <v>bioenergy: refuse (municipal and industrial wastes)</v>
      </c>
      <c r="D2834" t="s">
        <v>19</v>
      </c>
      <c r="G2834">
        <v>12</v>
      </c>
      <c r="H2834" t="s">
        <v>27</v>
      </c>
      <c r="I2834">
        <v>2005</v>
      </c>
      <c r="J2834" t="s">
        <v>21</v>
      </c>
      <c r="K2834">
        <v>29.751992999999999</v>
      </c>
      <c r="L2834">
        <v>120.210072</v>
      </c>
      <c r="M2834" t="s">
        <v>102</v>
      </c>
      <c r="N2834" s="2">
        <f>Table1[[#This Row],[Capacity (MW)]]*8760*0.72*10^-6</f>
        <v>7.5686399999999987E-2</v>
      </c>
      <c r="O2834" s="2" cm="1">
        <f t="array" ref="O2834">AVERAGE(VLOOKUP(_xlfn.TEXTSPLIT(Table1[[#This Row],[Fuel (no space after comma)]], ","), FuelList_Final_EF!$A$2:$B$32, 2, FALSE))</f>
        <v>105.42962572482868</v>
      </c>
      <c r="P2834" s="2">
        <f>(16112*Table1[[#This Row],[Generation (TWh)]]*10^9)/10^6</f>
        <v>1219459.2767999996</v>
      </c>
      <c r="Q2834" s="2">
        <f>Table1[[#This Row],[Emission Factor (kg CO2/ mmBtu)]]*Table1[[#This Row],[Fuel Consumption (mmBtu)]]*10^3</f>
        <v>128567135139.69423</v>
      </c>
      <c r="R2834" s="2">
        <f>(Table1[[#This Row],[CO2 Emissions (g CO2)]])/(Table1[[#This Row],[Generation (TWh)]]*10^9)</f>
        <v>1698.6821296784397</v>
      </c>
    </row>
    <row r="2835" spans="1:18" hidden="1">
      <c r="A2835" t="s">
        <v>21</v>
      </c>
      <c r="B2835" t="s">
        <v>19</v>
      </c>
      <c r="C2835" t="str">
        <f>SUBSTITUTE(Table1[[#This Row],[Fuel]],", ",",")</f>
        <v>bioenergy: refuse (municipal and industrial wastes)</v>
      </c>
      <c r="D2835" t="s">
        <v>19</v>
      </c>
      <c r="G2835">
        <v>12</v>
      </c>
      <c r="H2835" t="s">
        <v>27</v>
      </c>
      <c r="I2835">
        <v>2005</v>
      </c>
      <c r="J2835" t="s">
        <v>21</v>
      </c>
      <c r="K2835">
        <v>29.751992999999999</v>
      </c>
      <c r="L2835">
        <v>120.210072</v>
      </c>
      <c r="M2835" t="s">
        <v>102</v>
      </c>
      <c r="N2835" s="2">
        <f>Table1[[#This Row],[Capacity (MW)]]*8760*0.72*10^-6</f>
        <v>7.5686399999999987E-2</v>
      </c>
      <c r="O2835" s="2" cm="1">
        <f t="array" ref="O2835">AVERAGE(VLOOKUP(_xlfn.TEXTSPLIT(Table1[[#This Row],[Fuel (no space after comma)]], ","), FuelList_Final_EF!$A$2:$B$32, 2, FALSE))</f>
        <v>105.42962572482868</v>
      </c>
      <c r="P2835" s="2">
        <f>(16112*Table1[[#This Row],[Generation (TWh)]]*10^9)/10^6</f>
        <v>1219459.2767999996</v>
      </c>
      <c r="Q2835" s="2">
        <f>Table1[[#This Row],[Emission Factor (kg CO2/ mmBtu)]]*Table1[[#This Row],[Fuel Consumption (mmBtu)]]*10^3</f>
        <v>128567135139.69423</v>
      </c>
      <c r="R2835" s="2">
        <f>(Table1[[#This Row],[CO2 Emissions (g CO2)]])/(Table1[[#This Row],[Generation (TWh)]]*10^9)</f>
        <v>1698.6821296784397</v>
      </c>
    </row>
    <row r="2836" spans="1:18" hidden="1">
      <c r="A2836" t="s">
        <v>21</v>
      </c>
      <c r="B2836" t="s">
        <v>19</v>
      </c>
      <c r="C2836" t="str">
        <f>SUBSTITUTE(Table1[[#This Row],[Fuel]],", ",",")</f>
        <v>bioenergy: refuse (municipal and industrial wastes)</v>
      </c>
      <c r="D2836" t="s">
        <v>19</v>
      </c>
      <c r="G2836">
        <v>25</v>
      </c>
      <c r="H2836" t="s">
        <v>27</v>
      </c>
      <c r="I2836">
        <v>2019</v>
      </c>
      <c r="J2836" t="s">
        <v>21</v>
      </c>
      <c r="K2836">
        <v>29.751992999999999</v>
      </c>
      <c r="L2836">
        <v>120.210072</v>
      </c>
      <c r="M2836" t="s">
        <v>102</v>
      </c>
      <c r="N2836" s="2">
        <f>Table1[[#This Row],[Capacity (MW)]]*8760*0.72*10^-6</f>
        <v>0.15767999999999999</v>
      </c>
      <c r="O2836" s="2" cm="1">
        <f t="array" ref="O2836">AVERAGE(VLOOKUP(_xlfn.TEXTSPLIT(Table1[[#This Row],[Fuel (no space after comma)]], ","), FuelList_Final_EF!$A$2:$B$32, 2, FALSE))</f>
        <v>105.42962572482868</v>
      </c>
      <c r="P2836" s="2">
        <f>(16112*Table1[[#This Row],[Generation (TWh)]]*10^9)/10^6</f>
        <v>2540540.16</v>
      </c>
      <c r="Q2836" s="2">
        <f>Table1[[#This Row],[Emission Factor (kg CO2/ mmBtu)]]*Table1[[#This Row],[Fuel Consumption (mmBtu)]]*10^3</f>
        <v>267848198207.69638</v>
      </c>
      <c r="R2836" s="2">
        <f>(Table1[[#This Row],[CO2 Emissions (g CO2)]])/(Table1[[#This Row],[Generation (TWh)]]*10^9)</f>
        <v>1698.6821296784397</v>
      </c>
    </row>
    <row r="2837" spans="1:18" hidden="1">
      <c r="A2837" t="s">
        <v>21</v>
      </c>
      <c r="B2837" t="s">
        <v>19</v>
      </c>
      <c r="C2837" t="str">
        <f>SUBSTITUTE(Table1[[#This Row],[Fuel]],", ",",")</f>
        <v>bioenergy: refuse (municipal and industrial wastes)</v>
      </c>
      <c r="D2837" t="s">
        <v>19</v>
      </c>
      <c r="G2837">
        <v>25</v>
      </c>
      <c r="H2837" t="s">
        <v>27</v>
      </c>
      <c r="I2837">
        <v>2019</v>
      </c>
      <c r="J2837" t="s">
        <v>21</v>
      </c>
      <c r="K2837">
        <v>29.751992999999999</v>
      </c>
      <c r="L2837">
        <v>120.210072</v>
      </c>
      <c r="M2837" t="s">
        <v>102</v>
      </c>
      <c r="N2837" s="2">
        <f>Table1[[#This Row],[Capacity (MW)]]*8760*0.72*10^-6</f>
        <v>0.15767999999999999</v>
      </c>
      <c r="O2837" s="2" cm="1">
        <f t="array" ref="O2837">AVERAGE(VLOOKUP(_xlfn.TEXTSPLIT(Table1[[#This Row],[Fuel (no space after comma)]], ","), FuelList_Final_EF!$A$2:$B$32, 2, FALSE))</f>
        <v>105.42962572482868</v>
      </c>
      <c r="P2837" s="2">
        <f>(16112*Table1[[#This Row],[Generation (TWh)]]*10^9)/10^6</f>
        <v>2540540.16</v>
      </c>
      <c r="Q2837" s="2">
        <f>Table1[[#This Row],[Emission Factor (kg CO2/ mmBtu)]]*Table1[[#This Row],[Fuel Consumption (mmBtu)]]*10^3</f>
        <v>267848198207.69638</v>
      </c>
      <c r="R2837" s="2">
        <f>(Table1[[#This Row],[CO2 Emissions (g CO2)]])/(Table1[[#This Row],[Generation (TWh)]]*10^9)</f>
        <v>1698.6821296784397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75832-A6AB-4072-A6C4-950364DE9DFF}">
  <dimension ref="A1:D32"/>
  <sheetViews>
    <sheetView topLeftCell="A7" zoomScale="69" workbookViewId="0">
      <selection activeCell="C2" sqref="C2"/>
    </sheetView>
  </sheetViews>
  <sheetFormatPr defaultRowHeight="14.45"/>
  <cols>
    <col min="1" max="1" width="51.42578125" bestFit="1" customWidth="1"/>
    <col min="2" max="2" width="29" bestFit="1" customWidth="1"/>
    <col min="3" max="3" width="89.5703125" bestFit="1" customWidth="1"/>
    <col min="4" max="4" width="30.140625" bestFit="1" customWidth="1"/>
  </cols>
  <sheetData>
    <row r="1" spans="1:4">
      <c r="A1" s="3" t="s">
        <v>1</v>
      </c>
      <c r="B1" s="3" t="s">
        <v>14</v>
      </c>
      <c r="C1" s="3" t="s">
        <v>1347</v>
      </c>
      <c r="D1" s="3" t="s">
        <v>1348</v>
      </c>
    </row>
    <row r="2" spans="1:4">
      <c r="A2" t="str" cm="1">
        <f t="array" ref="A2:A32">_xlfn.UNIQUE(FuelList_IntermediateStep!A2:A58)</f>
        <v>bioenergy: refuse (municipal and industrial wastes)</v>
      </c>
      <c r="B2" s="2">
        <f>100000/948.5</f>
        <v>105.42962572482868</v>
      </c>
      <c r="C2" s="4" t="s">
        <v>1349</v>
      </c>
      <c r="D2" t="s">
        <v>1350</v>
      </c>
    </row>
    <row r="3" spans="1:4">
      <c r="A3" t="str">
        <v>bioenergy: wood &amp; other biomass (solids)</v>
      </c>
      <c r="B3" s="2">
        <v>93.8</v>
      </c>
      <c r="C3" s="4" t="s">
        <v>1351</v>
      </c>
    </row>
    <row r="4" spans="1:4">
      <c r="A4" t="str">
        <v>bioenergy: biodiesel</v>
      </c>
      <c r="B4" s="2">
        <v>73.84</v>
      </c>
      <c r="C4" s="4" t="s">
        <v>1352</v>
      </c>
    </row>
    <row r="5" spans="1:4">
      <c r="A5" t="str">
        <v>bioenergy: agricultural waste (biogas)</v>
      </c>
      <c r="B5" s="2">
        <v>52.07</v>
      </c>
      <c r="C5" s="4" t="s">
        <v>1353</v>
      </c>
    </row>
    <row r="6" spans="1:4">
      <c r="A6" t="str">
        <v>bioenergy: agricultural waste (solids)</v>
      </c>
      <c r="B6" s="2">
        <v>118.17</v>
      </c>
      <c r="C6" s="4" t="s">
        <v>1353</v>
      </c>
    </row>
    <row r="7" spans="1:4">
      <c r="A7" t="str">
        <v>bioenergy: paper mill wastes</v>
      </c>
      <c r="B7" s="2">
        <f>95300/948.5</f>
        <v>100.47443331576173</v>
      </c>
      <c r="C7" s="4" t="s">
        <v>1349</v>
      </c>
    </row>
    <row r="8" spans="1:4">
      <c r="A8" t="str">
        <v>bioenergy: agricultural waste (unknown)</v>
      </c>
      <c r="B8" s="2">
        <f>AVERAGE(B5,B6,B13)</f>
        <v>72.350251273941311</v>
      </c>
      <c r="C8" t="s">
        <v>1354</v>
      </c>
    </row>
    <row r="9" spans="1:4">
      <c r="A9" t="str">
        <v>bioenergy: unknown</v>
      </c>
      <c r="B9" s="2">
        <f>AVERAGE(B2,B3,B4,B5,B6,B7,B10,B11,B12,B13,B14,B15,B17)</f>
        <v>72.785606017598653</v>
      </c>
      <c r="C9" t="s">
        <v>1355</v>
      </c>
    </row>
    <row r="10" spans="1:4">
      <c r="A10" t="str">
        <v>bioenergy: refuse (syngas)</v>
      </c>
      <c r="B10" s="2">
        <f>44400/948.5</f>
        <v>46.81075382182393</v>
      </c>
      <c r="C10" s="4" t="s">
        <v>1349</v>
      </c>
      <c r="D10" t="s">
        <v>1356</v>
      </c>
    </row>
    <row r="11" spans="1:4">
      <c r="A11" t="str">
        <v>bioenergy: refuse (landfill gas)</v>
      </c>
      <c r="B11" s="2">
        <v>52.07</v>
      </c>
      <c r="C11" s="4" t="s">
        <v>1351</v>
      </c>
    </row>
    <row r="12" spans="1:4">
      <c r="A12" t="str">
        <v>bioenergy: wastewater and sewage sludge (solids or biogas)</v>
      </c>
      <c r="B12" s="2">
        <f>54600/948.5</f>
        <v>57.564575645756456</v>
      </c>
      <c r="C12" s="4" t="s">
        <v>1349</v>
      </c>
      <c r="D12" t="s">
        <v>1357</v>
      </c>
    </row>
    <row r="13" spans="1:4">
      <c r="A13" t="str">
        <v>bioenergy: agricultural waste (syngas)</v>
      </c>
      <c r="B13" s="2">
        <f>44400/948.5</f>
        <v>46.81075382182393</v>
      </c>
      <c r="C13" s="4" t="s">
        <v>1349</v>
      </c>
      <c r="D13" t="s">
        <v>1356</v>
      </c>
    </row>
    <row r="14" spans="1:4">
      <c r="A14" t="str">
        <v>bioenergy: wood &amp; other biomass (biocoal)</v>
      </c>
      <c r="B14" s="2">
        <f>79600/948.5</f>
        <v>83.92198207696363</v>
      </c>
      <c r="C14" s="4" t="s">
        <v>1349</v>
      </c>
      <c r="D14" t="s">
        <v>1358</v>
      </c>
    </row>
    <row r="15" spans="1:4">
      <c r="A15" t="str">
        <v>bioenergy: ethanol</v>
      </c>
      <c r="B15" s="2">
        <v>68.44</v>
      </c>
      <c r="C15" s="4" t="s">
        <v>1351</v>
      </c>
    </row>
    <row r="16" spans="1:4" hidden="1">
      <c r="A16">
        <v>0</v>
      </c>
    </row>
    <row r="17" spans="1:4">
      <c r="A17" t="str">
        <v>bioenergy: wood &amp; other biomass (syngas)</v>
      </c>
      <c r="B17" s="2">
        <f>44400/948.5</f>
        <v>46.81075382182393</v>
      </c>
      <c r="C17" s="4" t="s">
        <v>1349</v>
      </c>
      <c r="D17" t="s">
        <v>1356</v>
      </c>
    </row>
    <row r="18" spans="1:4">
      <c r="A18" t="str">
        <v>fossil liquids: waste/other oil</v>
      </c>
      <c r="B18" s="2">
        <f>73300/948.5</f>
        <v>77.279915656299423</v>
      </c>
      <c r="C18" s="4" t="s">
        <v>1349</v>
      </c>
    </row>
    <row r="19" spans="1:4">
      <c r="A19" t="str">
        <v>coal: unknown</v>
      </c>
      <c r="B19" s="2">
        <f>AVERAGE(B21,B23,B28,B29)</f>
        <v>101.1070110701107</v>
      </c>
      <c r="C19" t="s">
        <v>1359</v>
      </c>
    </row>
    <row r="20" spans="1:4">
      <c r="A20" t="str">
        <v>fossil gas: natural gas</v>
      </c>
      <c r="B20" s="2">
        <v>53.06</v>
      </c>
      <c r="C20" s="4" t="s">
        <v>1351</v>
      </c>
    </row>
    <row r="21" spans="1:4">
      <c r="A21" t="str">
        <v>coal: bituminous</v>
      </c>
      <c r="B21" s="2">
        <f>94600/948.5</f>
        <v>99.736425935687933</v>
      </c>
      <c r="C21" s="4" t="s">
        <v>1349</v>
      </c>
    </row>
    <row r="22" spans="1:4">
      <c r="A22" t="str">
        <v>fossil liquids: heavy fuel oil</v>
      </c>
      <c r="B22" s="2">
        <f>77400/948.5</f>
        <v>81.602530311017389</v>
      </c>
      <c r="C22" s="4" t="s">
        <v>1360</v>
      </c>
    </row>
    <row r="23" spans="1:4">
      <c r="A23" t="str">
        <v>coal: subbituminous</v>
      </c>
      <c r="B23" s="2">
        <f>96100/948.5</f>
        <v>101.31787032156036</v>
      </c>
      <c r="C23" s="4" t="s">
        <v>1349</v>
      </c>
    </row>
    <row r="24" spans="1:4">
      <c r="A24" t="str">
        <v>other: other</v>
      </c>
      <c r="B24" s="2">
        <f>AVERAGE(B32)</f>
        <v>85.97</v>
      </c>
      <c r="C24" t="s">
        <v>1361</v>
      </c>
    </row>
    <row r="25" spans="1:4">
      <c r="A25" t="str">
        <v>fossil liquids: petroleum coke</v>
      </c>
      <c r="B25" s="2">
        <v>102.41</v>
      </c>
      <c r="C25" s="4" t="s">
        <v>1351</v>
      </c>
    </row>
    <row r="26" spans="1:4">
      <c r="A26" t="str">
        <v>fossil liquids: unknown</v>
      </c>
      <c r="B26" s="2">
        <f>AVERAGE(B18,B22,B25,B27)</f>
        <v>84.84978206627234</v>
      </c>
      <c r="C26" t="s">
        <v>1362</v>
      </c>
    </row>
    <row r="27" spans="1:4">
      <c r="A27" t="str">
        <v>fossil liquids: fuel oil</v>
      </c>
      <c r="B27" s="2">
        <f>0.2665/0.003412</f>
        <v>78.106682297772565</v>
      </c>
      <c r="C27" s="4" t="s">
        <v>1363</v>
      </c>
    </row>
    <row r="28" spans="1:4">
      <c r="A28" t="str">
        <v>coal: anthracite</v>
      </c>
      <c r="B28" s="2">
        <f>98300/948.5</f>
        <v>103.63732208750659</v>
      </c>
      <c r="C28" s="4" t="s">
        <v>1349</v>
      </c>
    </row>
    <row r="29" spans="1:4">
      <c r="A29" t="str">
        <v>coal: waste coal</v>
      </c>
      <c r="B29" s="2">
        <f>94600/948.5</f>
        <v>99.736425935687933</v>
      </c>
      <c r="C29" s="4" t="s">
        <v>1349</v>
      </c>
    </row>
    <row r="30" spans="1:4">
      <c r="A30" t="str">
        <v>fossil gas: unknown</v>
      </c>
      <c r="B30" s="2">
        <f>AVERAGE(B20,B31)</f>
        <v>60.37290985767001</v>
      </c>
      <c r="C30" t="s">
        <v>1364</v>
      </c>
    </row>
    <row r="31" spans="1:4">
      <c r="A31" t="str">
        <v>fossil gas: lng</v>
      </c>
      <c r="B31" s="2">
        <f>64200/948.5</f>
        <v>67.685819715340017</v>
      </c>
      <c r="C31" s="4" t="s">
        <v>1349</v>
      </c>
    </row>
    <row r="32" spans="1:4">
      <c r="A32" t="str">
        <v>other: tires</v>
      </c>
      <c r="B32" s="2">
        <v>85.97</v>
      </c>
      <c r="C32" s="4" t="s">
        <v>1349</v>
      </c>
    </row>
  </sheetData>
  <hyperlinks>
    <hyperlink ref="C2" r:id="rId1" xr:uid="{922760CC-7506-46ED-835F-7373339F27EF}"/>
    <hyperlink ref="C3" r:id="rId2" xr:uid="{1708E79F-F7EA-4396-A1A6-D5EB6B4517A0}"/>
    <hyperlink ref="C4" r:id="rId3" xr:uid="{6E212CCA-DC25-4B5B-9646-F12A61820916}"/>
    <hyperlink ref="C7" r:id="rId4" xr:uid="{7C11AAC7-27E9-4DB5-9FA5-562721675FDA}"/>
    <hyperlink ref="C5" r:id="rId5" xr:uid="{CA75C32E-C257-4FED-A246-9DA6FD13EF27}"/>
    <hyperlink ref="C6" r:id="rId6" xr:uid="{283FCBDD-EBF6-4ACC-84AA-9AB681DAD22D}"/>
    <hyperlink ref="C10" r:id="rId7" xr:uid="{E8077ECC-01A3-4D14-A222-C7F60D224BE0}"/>
    <hyperlink ref="C11" r:id="rId8" xr:uid="{E24C57A5-46F3-42FB-A960-78BC37A6D5F7}"/>
    <hyperlink ref="C12" r:id="rId9" xr:uid="{938269C7-F8C2-4EF4-8BBD-F412F827056D}"/>
    <hyperlink ref="C13" r:id="rId10" xr:uid="{AC152506-FE29-41AF-8090-6A36EFA1047F}"/>
    <hyperlink ref="C14" r:id="rId11" xr:uid="{2EDDAB38-1D63-4477-9E38-8C9C727D05D4}"/>
    <hyperlink ref="C15" r:id="rId12" xr:uid="{1CA61EE7-C525-4B96-8020-5C14C479B0E7}"/>
    <hyperlink ref="C17" r:id="rId13" xr:uid="{5C7629FA-A137-4110-8BA7-F3AD2CC3B959}"/>
    <hyperlink ref="C18" r:id="rId14" xr:uid="{93D5C3ED-E4F7-4265-B75B-77606488522B}"/>
    <hyperlink ref="C20" r:id="rId15" xr:uid="{1CF8CD04-A193-478D-8645-D0A05DA25857}"/>
    <hyperlink ref="C25" r:id="rId16" xr:uid="{CB4094E6-7BD6-460A-B856-DC5F2C00BB52}"/>
    <hyperlink ref="C21" r:id="rId17" xr:uid="{E1075D3B-6B2A-4C17-8F04-DDA3D235182D}"/>
    <hyperlink ref="C23" r:id="rId18" xr:uid="{D0FA2CE9-7D36-4E3B-9B30-3DF3FBB6D398}"/>
    <hyperlink ref="C28" r:id="rId19" xr:uid="{E082A29A-FAA9-4CBD-883F-4A2199C714BC}"/>
    <hyperlink ref="C29" r:id="rId20" xr:uid="{A7088503-8CEB-4BC7-832C-AD4F7AE7E120}"/>
    <hyperlink ref="C31" r:id="rId21" xr:uid="{F5088ABE-52E6-48E4-BE67-5A2A68A7F0AB}"/>
    <hyperlink ref="C32" r:id="rId22" xr:uid="{003F0ECE-062B-4F7F-BC1F-3B7EF72F24B0}"/>
    <hyperlink ref="C27" r:id="rId23" xr:uid="{12B13C65-C3A7-4E7F-A9AB-7A82D00F8282}"/>
    <hyperlink ref="C22" r:id="rId24" xr:uid="{F82ECF40-9A96-410C-8717-936ACAB4BB3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D05CC-73A6-4373-BED9-6B8D19B39B4A}">
  <dimension ref="A1:A58"/>
  <sheetViews>
    <sheetView workbookViewId="0">
      <selection activeCell="F24" sqref="F24"/>
    </sheetView>
  </sheetViews>
  <sheetFormatPr defaultRowHeight="14.45"/>
  <cols>
    <col min="1" max="1" width="51.42578125" bestFit="1" customWidth="1"/>
  </cols>
  <sheetData>
    <row r="1" spans="1:1">
      <c r="A1" s="3" t="s">
        <v>1365</v>
      </c>
    </row>
    <row r="2" spans="1:1">
      <c r="A2" t="str" cm="1">
        <f t="array" ref="A2:A15">_xlfn.UNIQUE(Bioenergy_Data!D2:D2837)</f>
        <v>bioenergy: refuse (municipal and industrial wastes)</v>
      </c>
    </row>
    <row r="3" spans="1:1">
      <c r="A3" t="str">
        <v>bioenergy: wood &amp; other biomass (solids)</v>
      </c>
    </row>
    <row r="4" spans="1:1">
      <c r="A4" t="str">
        <v>bioenergy: biodiesel</v>
      </c>
    </row>
    <row r="5" spans="1:1">
      <c r="A5" t="str">
        <v>bioenergy: agricultural waste (biogas)</v>
      </c>
    </row>
    <row r="6" spans="1:1">
      <c r="A6" t="str">
        <v>bioenergy: agricultural waste (solids)</v>
      </c>
    </row>
    <row r="7" spans="1:1">
      <c r="A7" t="str">
        <v>bioenergy: paper mill wastes</v>
      </c>
    </row>
    <row r="8" spans="1:1">
      <c r="A8" t="str">
        <v>bioenergy: agricultural waste (unknown)</v>
      </c>
    </row>
    <row r="9" spans="1:1">
      <c r="A9" t="str">
        <v>bioenergy: unknown</v>
      </c>
    </row>
    <row r="10" spans="1:1">
      <c r="A10" t="str">
        <v>bioenergy: refuse (syngas)</v>
      </c>
    </row>
    <row r="11" spans="1:1">
      <c r="A11" t="str">
        <v>bioenergy: refuse (landfill gas)</v>
      </c>
    </row>
    <row r="12" spans="1:1">
      <c r="A12" t="str">
        <v>bioenergy: wastewater and sewage sludge (solids or biogas)</v>
      </c>
    </row>
    <row r="13" spans="1:1">
      <c r="A13" t="str">
        <v>bioenergy: agricultural waste (syngas)</v>
      </c>
    </row>
    <row r="14" spans="1:1">
      <c r="A14" t="str">
        <v>bioenergy: wood &amp; other biomass (biocoal)</v>
      </c>
    </row>
    <row r="15" spans="1:1">
      <c r="A15" t="str">
        <v>bioenergy: ethanol</v>
      </c>
    </row>
    <row r="16" spans="1:1">
      <c r="A16" cm="1">
        <f t="array" ref="A16:A38">_xlfn.UNIQUE(Bioenergy_Data!E2:E2837)</f>
        <v>0</v>
      </c>
    </row>
    <row r="17" spans="1:1">
      <c r="A17" t="str">
        <v>bioenergy: wood &amp; other biomass (syngas)</v>
      </c>
    </row>
    <row r="18" spans="1:1">
      <c r="A18" t="str">
        <v>fossil liquids: waste/other oil</v>
      </c>
    </row>
    <row r="19" spans="1:1">
      <c r="A19" t="str">
        <v>bioenergy: wastewater and sewage sludge (solids or biogas)</v>
      </c>
    </row>
    <row r="20" spans="1:1">
      <c r="A20" t="str">
        <v>bioenergy: wood &amp; other biomass (solids)</v>
      </c>
    </row>
    <row r="21" spans="1:1">
      <c r="A21" t="str">
        <v>coal: unknown</v>
      </c>
    </row>
    <row r="22" spans="1:1">
      <c r="A22" t="str">
        <v>fossil gas: natural gas</v>
      </c>
    </row>
    <row r="23" spans="1:1">
      <c r="A23" t="str">
        <v>coal: bituminous</v>
      </c>
    </row>
    <row r="24" spans="1:1">
      <c r="A24" t="str">
        <v>fossil liquids: heavy fuel oil</v>
      </c>
    </row>
    <row r="25" spans="1:1">
      <c r="A25" t="str">
        <v>coal: subbituminous</v>
      </c>
    </row>
    <row r="26" spans="1:1">
      <c r="A26" t="str">
        <v>bioenergy: refuse (municipal and industrial wastes)</v>
      </c>
    </row>
    <row r="27" spans="1:1">
      <c r="A27" t="str">
        <v>bioenergy: agricultural waste (solids)</v>
      </c>
    </row>
    <row r="28" spans="1:1">
      <c r="A28" t="str">
        <v>other: other</v>
      </c>
    </row>
    <row r="29" spans="1:1">
      <c r="A29" t="str">
        <v>bioenergy: paper mill wastes</v>
      </c>
    </row>
    <row r="30" spans="1:1">
      <c r="A30" t="str">
        <v>fossil liquids: petroleum coke</v>
      </c>
    </row>
    <row r="31" spans="1:1">
      <c r="A31" t="str">
        <v>fossil liquids: unknown</v>
      </c>
    </row>
    <row r="32" spans="1:1">
      <c r="A32" t="str">
        <v>bioenergy: biodiesel</v>
      </c>
    </row>
    <row r="33" spans="1:1">
      <c r="A33" t="str">
        <v>bioenergy: unknown</v>
      </c>
    </row>
    <row r="34" spans="1:1">
      <c r="A34" t="str">
        <v>fossil liquids: fuel oil</v>
      </c>
    </row>
    <row r="35" spans="1:1">
      <c r="A35" t="str">
        <v>coal: anthracite</v>
      </c>
    </row>
    <row r="36" spans="1:1">
      <c r="A36" t="str">
        <v>coal: waste coal</v>
      </c>
    </row>
    <row r="37" spans="1:1">
      <c r="A37" t="str">
        <v>fossil gas: unknown</v>
      </c>
    </row>
    <row r="38" spans="1:1">
      <c r="A38" t="str">
        <v>bioenergy: refuse (landfill gas)</v>
      </c>
    </row>
    <row r="39" spans="1:1">
      <c r="A39" cm="1">
        <f t="array" ref="A39:A58">_xlfn.UNIQUE(Bioenergy_Data!F2:F2837)</f>
        <v>0</v>
      </c>
    </row>
    <row r="40" spans="1:1">
      <c r="A40" t="str">
        <v>bioenergy: wastewater and sewage sludge (solids or biogas)</v>
      </c>
    </row>
    <row r="41" spans="1:1">
      <c r="A41" t="str">
        <v>fossil gas: natural gas</v>
      </c>
    </row>
    <row r="42" spans="1:1">
      <c r="A42" t="str">
        <v>fossil liquids: heavy fuel oil</v>
      </c>
    </row>
    <row r="43" spans="1:1">
      <c r="A43" t="str">
        <v>coal: unknown</v>
      </c>
    </row>
    <row r="44" spans="1:1">
      <c r="A44" t="str">
        <v>fossil liquids: unknown</v>
      </c>
    </row>
    <row r="45" spans="1:1">
      <c r="A45" t="str">
        <v>fossil gas: unknown</v>
      </c>
    </row>
    <row r="46" spans="1:1">
      <c r="A46" t="str">
        <v>coal: bituminous</v>
      </c>
    </row>
    <row r="47" spans="1:1">
      <c r="A47" t="str">
        <v>other: other</v>
      </c>
    </row>
    <row r="48" spans="1:1">
      <c r="A48" t="str">
        <v>fossil liquids: waste/other oil</v>
      </c>
    </row>
    <row r="49" spans="1:1">
      <c r="A49" t="str">
        <v>bioenergy: wood &amp; other biomass (solids)</v>
      </c>
    </row>
    <row r="50" spans="1:1">
      <c r="A50" t="str">
        <v>fossil liquids: fuel oil</v>
      </c>
    </row>
    <row r="51" spans="1:1">
      <c r="A51" t="str">
        <v>bioenergy: agricultural waste (solids)</v>
      </c>
    </row>
    <row r="52" spans="1:1">
      <c r="A52" t="str">
        <v>bioenergy: biodiesel</v>
      </c>
    </row>
    <row r="53" spans="1:1">
      <c r="A53" t="str">
        <v>coal: anthracite</v>
      </c>
    </row>
    <row r="54" spans="1:1">
      <c r="A54" t="str">
        <v>fossil gas: lng</v>
      </c>
    </row>
    <row r="55" spans="1:1">
      <c r="A55" t="str">
        <v>bioenergy: unknown</v>
      </c>
    </row>
    <row r="56" spans="1:1">
      <c r="A56" t="str">
        <v>bioenergy: agricultural waste (unknown)</v>
      </c>
    </row>
    <row r="57" spans="1:1">
      <c r="A57" t="str">
        <v>other: tires</v>
      </c>
    </row>
    <row r="58" spans="1:1">
      <c r="A58" t="str">
        <v>bioenergy: refuse (municipal and industrial wastes)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2f74820-4832-4a7b-b1de-17ca2cd8370c" xsi:nil="true"/>
    <lcf76f155ced4ddcb4097134ff3c332f xmlns="6012bb88-c444-42f6-a967-44e660fee95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FF527841002E948AA43A42680DB1ED3" ma:contentTypeVersion="10" ma:contentTypeDescription="Opret et nyt dokument." ma:contentTypeScope="" ma:versionID="e66463715d7003f18d00284f63861ffd">
  <xsd:schema xmlns:xsd="http://www.w3.org/2001/XMLSchema" xmlns:xs="http://www.w3.org/2001/XMLSchema" xmlns:p="http://schemas.microsoft.com/office/2006/metadata/properties" xmlns:ns2="6012bb88-c444-42f6-a967-44e660fee95b" xmlns:ns3="82f74820-4832-4a7b-b1de-17ca2cd8370c" targetNamespace="http://schemas.microsoft.com/office/2006/metadata/properties" ma:root="true" ma:fieldsID="1bcafa8cbe111a90691f1c0e9f8ba6ab" ns2:_="" ns3:_="">
    <xsd:import namespace="6012bb88-c444-42f6-a967-44e660fee95b"/>
    <xsd:import namespace="82f74820-4832-4a7b-b1de-17ca2cd837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12bb88-c444-42f6-a967-44e660fee9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ledmærker" ma:readOnly="false" ma:fieldId="{5cf76f15-5ced-4ddc-b409-7134ff3c332f}" ma:taxonomyMulti="true" ma:sspId="b2102423-6c9a-45d0-aa71-0069027da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f74820-4832-4a7b-b1de-17ca2cd8370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3bc9665-4a67-4b0b-b186-5b5084e3c287}" ma:internalName="TaxCatchAll" ma:showField="CatchAllData" ma:web="82f74820-4832-4a7b-b1de-17ca2cd837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61866B1-D737-45AA-9581-8807D9729821}"/>
</file>

<file path=customXml/itemProps2.xml><?xml version="1.0" encoding="utf-8"?>
<ds:datastoreItem xmlns:ds="http://schemas.openxmlformats.org/officeDocument/2006/customXml" ds:itemID="{4C5B7CFD-029E-45F9-8E53-2D8823A47212}"/>
</file>

<file path=customXml/itemProps3.xml><?xml version="1.0" encoding="utf-8"?>
<ds:datastoreItem xmlns:ds="http://schemas.openxmlformats.org/officeDocument/2006/customXml" ds:itemID="{F26A5D27-3E43-423C-BA5B-311556FE21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Jorge Andres Ruiz Rada</cp:lastModifiedBy>
  <cp:revision/>
  <dcterms:created xsi:type="dcterms:W3CDTF">2025-04-07T08:24:14Z</dcterms:created>
  <dcterms:modified xsi:type="dcterms:W3CDTF">2025-04-14T09:26:45Z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0x010100FFF527841002E948AA43A42680DB1ED3</vt:lpwstr>
  </property>
  <property fmtid="{D5CDD505-2E9C-101B-9397-08002B2CF9AE}" pid="3" name="MediaServiceImageTags">
    <vt:lpwstr/>
  </property>
</Properties>
</file>