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tudk.sharepoint.com/sites/42576-group15_A2A/Delte dokumenter/Main/NORDEA_Data/2_stage/data_cleaned_7_4_25/"/>
    </mc:Choice>
  </mc:AlternateContent>
  <xr:revisionPtr revIDLastSave="21" documentId="11_2006A5F13EDD96F10DF44D41FC3B90D878E41668" xr6:coauthVersionLast="47" xr6:coauthVersionMax="47" xr10:uidLastSave="{BC868901-B287-4956-B778-7D15DC7A4767}"/>
  <bookViews>
    <workbookView xWindow="0" yWindow="0" windowWidth="9600" windowHeight="10800" xr2:uid="{00000000-000D-0000-FFFF-FFFF00000000}"/>
  </bookViews>
  <sheets>
    <sheet name="Geothermal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</calcChain>
</file>

<file path=xl/sharedStrings.xml><?xml version="1.0" encoding="utf-8"?>
<sst xmlns="http://schemas.openxmlformats.org/spreadsheetml/2006/main" count="3345" uniqueCount="208">
  <si>
    <t>Owner</t>
  </si>
  <si>
    <t>Technology</t>
  </si>
  <si>
    <t>Capacity (MW)</t>
  </si>
  <si>
    <t>Status</t>
  </si>
  <si>
    <t>Start Year</t>
  </si>
  <si>
    <t>Retired Year</t>
  </si>
  <si>
    <t>Latitude</t>
  </si>
  <si>
    <t>Longitude</t>
  </si>
  <si>
    <t>Country/Area</t>
  </si>
  <si>
    <t>lageo</t>
  </si>
  <si>
    <t>flash steam - single</t>
  </si>
  <si>
    <t>operating</t>
  </si>
  <si>
    <t>N/A</t>
  </si>
  <si>
    <t>el salvador</t>
  </si>
  <si>
    <t>frontier energy</t>
  </si>
  <si>
    <t>binary cycle</t>
  </si>
  <si>
    <t>pre-construction</t>
  </si>
  <si>
    <t>kenya</t>
  </si>
  <si>
    <t>zorlu enerji</t>
  </si>
  <si>
    <t>flash steam - double</t>
  </si>
  <si>
    <t>türkiye</t>
  </si>
  <si>
    <t>unknown type</t>
  </si>
  <si>
    <t>ethiopian electric power (eep)</t>
  </si>
  <si>
    <t>construction</t>
  </si>
  <si>
    <t>ethiopia</t>
  </si>
  <si>
    <t>energy development corp (edc)</t>
  </si>
  <si>
    <t>philippines</t>
  </si>
  <si>
    <t>arrow resources development</t>
  </si>
  <si>
    <t>cancelled - inferred 4 y</t>
  </si>
  <si>
    <t>indonesia</t>
  </si>
  <si>
    <t>enel green power</t>
  </si>
  <si>
    <t>dry steam</t>
  </si>
  <si>
    <t>italy</t>
  </si>
  <si>
    <t>pt sintesa green energy</t>
  </si>
  <si>
    <t>geothermal development company (gdc)</t>
  </si>
  <si>
    <t>pt nirwana suci abadi</t>
  </si>
  <si>
    <t>pt trinergy mandiri international</t>
  </si>
  <si>
    <t>pan pacific power phillippines corp</t>
  </si>
  <si>
    <t>calpine corp</t>
  </si>
  <si>
    <t>united states</t>
  </si>
  <si>
    <t>biliran geothermal inc</t>
  </si>
  <si>
    <t>orkuveita reykjavikur</t>
  </si>
  <si>
    <t>iceland</t>
  </si>
  <si>
    <t>landsvirkjun</t>
  </si>
  <si>
    <t>black rock geothermal llc</t>
  </si>
  <si>
    <t>n/a</t>
  </si>
  <si>
    <t>pt medco power indonesia</t>
  </si>
  <si>
    <t>ormat technology inc</t>
  </si>
  <si>
    <t>altarock energy</t>
  </si>
  <si>
    <t>pacificorp</t>
  </si>
  <si>
    <t>flash steam - unknown</t>
  </si>
  <si>
    <t>cancelled</t>
  </si>
  <si>
    <t>costa rican electricity institute (ice)</t>
  </si>
  <si>
    <t>costa rica</t>
  </si>
  <si>
    <t>baseload clean energy partners</t>
  </si>
  <si>
    <t>gids consult ltd</t>
  </si>
  <si>
    <t>uganda</t>
  </si>
  <si>
    <t>peru</t>
  </si>
  <si>
    <t>geysers power co llc</t>
  </si>
  <si>
    <t>fervo energy</t>
  </si>
  <si>
    <t>egs</t>
  </si>
  <si>
    <t>polaris energy nicaragua</t>
  </si>
  <si>
    <t>nicaragua</t>
  </si>
  <si>
    <t>empresa nicaragüense de electricidad (enel)</t>
  </si>
  <si>
    <t>calenergy operating corp</t>
  </si>
  <si>
    <t>empresa nacional del petróleo</t>
  </si>
  <si>
    <t>chile</t>
  </si>
  <si>
    <t>enel chile</t>
  </si>
  <si>
    <t>comision federal de electricidad</t>
  </si>
  <si>
    <t>mexico</t>
  </si>
  <si>
    <t>corporación eléctrica del ecuador (celec ep)</t>
  </si>
  <si>
    <t>ecuador</t>
  </si>
  <si>
    <t>east bay community energy (ebce)</t>
  </si>
  <si>
    <t>shelved</t>
  </si>
  <si>
    <t>reykjavik geothermal</t>
  </si>
  <si>
    <t>infraco africa</t>
  </si>
  <si>
    <t>berkeley energy</t>
  </si>
  <si>
    <t>atlantica sustainable infrastructure</t>
  </si>
  <si>
    <t>nevada geothermal power co</t>
  </si>
  <si>
    <t>announced</t>
  </si>
  <si>
    <t>philippine geothermal production company inc</t>
  </si>
  <si>
    <t>star energy geothermal</t>
  </si>
  <si>
    <t>pt geo dipa energi (gde)</t>
  </si>
  <si>
    <t>mb holding</t>
  </si>
  <si>
    <t>olkaria ecocloud</t>
  </si>
  <si>
    <t>mogan enerji yatirim holding</t>
  </si>
  <si>
    <t>hs orka</t>
  </si>
  <si>
    <t>elmore north geothermal llc</t>
  </si>
  <si>
    <t>deep earth energy production corp. (deep)</t>
  </si>
  <si>
    <t>canada</t>
  </si>
  <si>
    <t>gurmat electric generation</t>
  </si>
  <si>
    <t>greeneco enerji elektrik üretim as</t>
  </si>
  <si>
    <t>hitay energy holdings</t>
  </si>
  <si>
    <t>shelved - inferred 2 y</t>
  </si>
  <si>
    <t>star energy group plc</t>
  </si>
  <si>
    <t>electricity generating public co ltd (egco)</t>
  </si>
  <si>
    <t>ac energy and infrastructure corp</t>
  </si>
  <si>
    <t>pt resources jaya teknik management</t>
  </si>
  <si>
    <t>pt wijaya karya</t>
  </si>
  <si>
    <t>pt jasa sarana</t>
  </si>
  <si>
    <t>kyushu electric power</t>
  </si>
  <si>
    <t>japan</t>
  </si>
  <si>
    <t>controlled thermal resource</t>
  </si>
  <si>
    <t>flash steam - triple</t>
  </si>
  <si>
    <t>pertamina geothermal energy</t>
  </si>
  <si>
    <t>energysource</t>
  </si>
  <si>
    <t>tohoku electric power co inc</t>
  </si>
  <si>
    <t>aragorn power and energy corp</t>
  </si>
  <si>
    <t>sumes geopower ag</t>
  </si>
  <si>
    <t>armenia</t>
  </si>
  <si>
    <t>aae systems inc</t>
  </si>
  <si>
    <t>mercury nz ltd</t>
  </si>
  <si>
    <t>new zealand</t>
  </si>
  <si>
    <t>pt pln (persero)</t>
  </si>
  <si>
    <t>empresa nacional de electricidad sa (ende)</t>
  </si>
  <si>
    <t>bolivia</t>
  </si>
  <si>
    <t>geios next gen hybrid geothermal solution</t>
  </si>
  <si>
    <t>laos</t>
  </si>
  <si>
    <t>lao development and investment (ldic)</t>
  </si>
  <si>
    <t>newcrest mining limited</t>
  </si>
  <si>
    <t>papua new guinea</t>
  </si>
  <si>
    <t>scopenergy ltd</t>
  </si>
  <si>
    <t>australia</t>
  </si>
  <si>
    <t>aboitizpower corp</t>
  </si>
  <si>
    <t>ounalashka corp (occp)</t>
  </si>
  <si>
    <t>maspo energy as</t>
  </si>
  <si>
    <t>meager creek development corp</t>
  </si>
  <si>
    <t>tuaropaki power company</t>
  </si>
  <si>
    <t>disnorte dissur</t>
  </si>
  <si>
    <t>morton bay geothermal llc</t>
  </si>
  <si>
    <t>clean rock renewable energy resources corp</t>
  </si>
  <si>
    <t>eoll and gas co inc</t>
  </si>
  <si>
    <t>pt okha hutomo satrya</t>
  </si>
  <si>
    <t>sumitomo corp</t>
  </si>
  <si>
    <t>engie</t>
  </si>
  <si>
    <t>pt supreme energy</t>
  </si>
  <si>
    <t>inpex corp</t>
  </si>
  <si>
    <t>rushydro</t>
  </si>
  <si>
    <t>russia</t>
  </si>
  <si>
    <t>mothballed</t>
  </si>
  <si>
    <t>baker hughers</t>
  </si>
  <si>
    <t>colombia</t>
  </si>
  <si>
    <t>ecopetrol sa</t>
  </si>
  <si>
    <t>central hidroeléctrica de caldas (chec)</t>
  </si>
  <si>
    <t>nevis island administration (nia)</t>
  </si>
  <si>
    <t>saint kitts and nevis</t>
  </si>
  <si>
    <t>nevis electric company limited (nevlec)</t>
  </si>
  <si>
    <t>tgp dixie development company</t>
  </si>
  <si>
    <t>tauhara north 2 trust</t>
  </si>
  <si>
    <t>mighty river power</t>
  </si>
  <si>
    <t>top energy ltd</t>
  </si>
  <si>
    <t>oakridge international</t>
  </si>
  <si>
    <t>pt bakrie power</t>
  </si>
  <si>
    <t>tanzania geothermal development company (tgdc)</t>
  </si>
  <si>
    <t>tanzania</t>
  </si>
  <si>
    <t>contact energy ltd</t>
  </si>
  <si>
    <t>kenya electricity generating company plc</t>
  </si>
  <si>
    <t>celikler holding</t>
  </si>
  <si>
    <t>cyrq energy</t>
  </si>
  <si>
    <t>honduras</t>
  </si>
  <si>
    <t>puna geothermal venture</t>
  </si>
  <si>
    <t>marubeni corp</t>
  </si>
  <si>
    <t>pt sintesa banten geothermal</t>
  </si>
  <si>
    <t>government of dominica</t>
  </si>
  <si>
    <t>dominica</t>
  </si>
  <si>
    <t>sanko enerji san tic as</t>
  </si>
  <si>
    <t>güriş holding as</t>
  </si>
  <si>
    <t>sarulla operations ltd</t>
  </si>
  <si>
    <t>ks orka renewables pte ltd</t>
  </si>
  <si>
    <t>sosian energy</t>
  </si>
  <si>
    <t>repower energy development corp</t>
  </si>
  <si>
    <t>proprietors of taheke 8c and adjoining blocks inc</t>
  </si>
  <si>
    <t>eastland generation</t>
  </si>
  <si>
    <t>ski construction group inc</t>
  </si>
  <si>
    <t>terra gen</t>
  </si>
  <si>
    <t>anglo mgh energy</t>
  </si>
  <si>
    <t>bangladesh</t>
  </si>
  <si>
    <t>meridiam</t>
  </si>
  <si>
    <t>zhejiang kaishan pressure vessel co ltd</t>
  </si>
  <si>
    <t>hungary</t>
  </si>
  <si>
    <t>turkeler energy</t>
  </si>
  <si>
    <t>yuzawa geothermal power generation corp</t>
  </si>
  <si>
    <t>amedee gethrm venture i lp</t>
  </si>
  <si>
    <t>guadeloupe</t>
  </si>
  <si>
    <t>google</t>
  </si>
  <si>
    <t>chevron new energies</t>
  </si>
  <si>
    <t>eavor technologies inc</t>
  </si>
  <si>
    <t>lightning dock geothermal hi 01 llc</t>
  </si>
  <si>
    <t>petrogreen energy corp (pgec)</t>
  </si>
  <si>
    <t>montserrat</t>
  </si>
  <si>
    <t>hokkaido electric power co inc</t>
  </si>
  <si>
    <t>us geothermal inc</t>
  </si>
  <si>
    <t>eda renováveis sa</t>
  </si>
  <si>
    <t>portugal</t>
  </si>
  <si>
    <t>slovakia</t>
  </si>
  <si>
    <t>usg nevada llc</t>
  </si>
  <si>
    <t>orcal geothermal inc</t>
  </si>
  <si>
    <t>amor 9 llc</t>
  </si>
  <si>
    <t>steamboat development corp</t>
  </si>
  <si>
    <t>kawerau a8d ahu whenua trust</t>
  </si>
  <si>
    <t>thermo no 1 be 01 llc</t>
  </si>
  <si>
    <t>deh tai lp</t>
  </si>
  <si>
    <t>tungsten mountain</t>
  </si>
  <si>
    <t>united kingdom</t>
  </si>
  <si>
    <t>open mountain energy llc</t>
  </si>
  <si>
    <t>Generation (TWh)</t>
  </si>
  <si>
    <t>Emissions (g CO2)</t>
  </si>
  <si>
    <t>Carbon Intensity (g CO2/ 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</si>
</sst>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0050B-0272-474F-A8B8-98B651D0BB2E}" name="Table1" displayName="Table1" ref="A1:L633" totalsRowShown="0" headerRowDxfId="3" headerRowBorderDxfId="4" tableBorderDxfId="5">
  <autoFilter ref="A1:L633" xr:uid="{2E30050B-0272-474F-A8B8-98B651D0BB2E}"/>
  <tableColumns count="12">
    <tableColumn id="1" xr3:uid="{F2914513-8571-4E0D-9D8E-848FBA24F408}" name="Owner"/>
    <tableColumn id="2" xr3:uid="{D5F1D07E-07FE-434E-8436-B75193FE3915}" name="Technology"/>
    <tableColumn id="3" xr3:uid="{81E7130E-515C-486F-BE59-207D0AE6469C}" name="Capacity (MW)"/>
    <tableColumn id="4" xr3:uid="{E326C341-6D15-4B92-8407-5A361CFEDCDC}" name="Status"/>
    <tableColumn id="5" xr3:uid="{944D8721-F0A4-4EA9-B9F7-856A1EB5DBFE}" name="Start Year"/>
    <tableColumn id="6" xr3:uid="{50F5AAA3-6780-495C-8DE2-D6640158EA22}" name="Retired Year"/>
    <tableColumn id="7" xr3:uid="{B6595BE8-DF2E-41D6-AC64-38E7D004D8FB}" name="Latitude"/>
    <tableColumn id="8" xr3:uid="{A56FB566-51F1-4ED0-A271-7E0F0474FE7A}" name="Longitude"/>
    <tableColumn id="9" xr3:uid="{311780F4-16A8-45A3-8FBD-E3B25B126BF0}" name="Country/Area"/>
    <tableColumn id="10" xr3:uid="{83F2EFDC-5187-4C27-9981-A1F7ED6DF7EC}" name="Generation (TWh)" dataDxfId="0">
      <calculatedColumnFormula>Table1[[#This Row],[Capacity (MW)]]*8760*0.82*10^-6</calculatedColumnFormula>
    </tableColumn>
    <tableColumn id="11" xr3:uid="{B0C21614-8F2C-4BD5-8DD2-AB294936B1C5}" name="Emissions (g CO2)" dataDxfId="1">
      <calculatedColumnFormula>0</calculatedColumnFormula>
    </tableColumn>
    <tableColumn id="12" xr3:uid="{786FE1F6-5D15-42F5-BD9B-44286ABCE67D}" name="Carbon Intensity (g CO2/ kWh)" dataDxfId="2">
      <calculatedColumnFormula>0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3"/>
  <sheetViews>
    <sheetView tabSelected="1" topLeftCell="G1" workbookViewId="0">
      <selection activeCell="L11" sqref="L11"/>
    </sheetView>
  </sheetViews>
  <sheetFormatPr defaultRowHeight="14.5" x14ac:dyDescent="0.35"/>
  <cols>
    <col min="2" max="2" width="12.26953125" customWidth="1"/>
    <col min="3" max="3" width="15.1796875" customWidth="1"/>
    <col min="5" max="5" width="11.08984375" customWidth="1"/>
    <col min="6" max="6" width="13.08984375" customWidth="1"/>
    <col min="7" max="7" width="9.7265625" customWidth="1"/>
    <col min="8" max="8" width="11.08984375" customWidth="1"/>
    <col min="9" max="9" width="14.26953125" customWidth="1"/>
    <col min="10" max="10" width="20.54296875" bestFit="1" customWidth="1"/>
    <col min="11" max="11" width="20.1796875" bestFit="1" customWidth="1"/>
    <col min="12" max="12" width="31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205</v>
      </c>
      <c r="K1" s="1" t="s">
        <v>206</v>
      </c>
      <c r="L1" s="1" t="s">
        <v>207</v>
      </c>
    </row>
    <row r="2" spans="1:12" x14ac:dyDescent="0.35">
      <c r="A2" t="s">
        <v>9</v>
      </c>
      <c r="B2" t="s">
        <v>10</v>
      </c>
      <c r="C2">
        <v>35</v>
      </c>
      <c r="D2" t="s">
        <v>11</v>
      </c>
      <c r="E2">
        <v>1980</v>
      </c>
      <c r="F2" t="s">
        <v>12</v>
      </c>
      <c r="G2">
        <v>13.920199999999999</v>
      </c>
      <c r="H2">
        <v>-89.817400000000006</v>
      </c>
      <c r="I2" t="s">
        <v>13</v>
      </c>
      <c r="J2" s="2">
        <f>Table1[[#This Row],[Capacity (MW)]]*8760*0.82*10^-6</f>
        <v>0.25141199999999997</v>
      </c>
      <c r="K2">
        <f>0</f>
        <v>0</v>
      </c>
      <c r="L2">
        <f>0</f>
        <v>0</v>
      </c>
    </row>
    <row r="3" spans="1:12" x14ac:dyDescent="0.35">
      <c r="A3" t="s">
        <v>9</v>
      </c>
      <c r="B3" t="s">
        <v>10</v>
      </c>
      <c r="C3">
        <v>30</v>
      </c>
      <c r="D3" t="s">
        <v>11</v>
      </c>
      <c r="E3">
        <v>1975</v>
      </c>
      <c r="F3" t="s">
        <v>12</v>
      </c>
      <c r="G3">
        <v>13.920199999999999</v>
      </c>
      <c r="H3">
        <v>-89.817400000000006</v>
      </c>
      <c r="I3" t="s">
        <v>13</v>
      </c>
      <c r="J3" s="2">
        <f>Table1[[#This Row],[Capacity (MW)]]*8760*0.82*10^-6</f>
        <v>0.21549599999999999</v>
      </c>
      <c r="K3">
        <f>0</f>
        <v>0</v>
      </c>
      <c r="L3">
        <f>0</f>
        <v>0</v>
      </c>
    </row>
    <row r="4" spans="1:12" x14ac:dyDescent="0.35">
      <c r="A4" t="s">
        <v>9</v>
      </c>
      <c r="B4" t="s">
        <v>10</v>
      </c>
      <c r="C4">
        <v>30</v>
      </c>
      <c r="D4" t="s">
        <v>11</v>
      </c>
      <c r="E4">
        <v>1976</v>
      </c>
      <c r="F4" t="s">
        <v>12</v>
      </c>
      <c r="G4">
        <v>13.920199999999999</v>
      </c>
      <c r="H4">
        <v>-89.817400000000006</v>
      </c>
      <c r="I4" t="s">
        <v>13</v>
      </c>
      <c r="J4" s="2">
        <f>Table1[[#This Row],[Capacity (MW)]]*8760*0.82*10^-6</f>
        <v>0.21549599999999999</v>
      </c>
      <c r="K4">
        <f>0</f>
        <v>0</v>
      </c>
      <c r="L4">
        <f>0</f>
        <v>0</v>
      </c>
    </row>
    <row r="5" spans="1:12" x14ac:dyDescent="0.35">
      <c r="A5" t="s">
        <v>14</v>
      </c>
      <c r="B5" t="s">
        <v>15</v>
      </c>
      <c r="C5">
        <v>70</v>
      </c>
      <c r="D5" t="s">
        <v>16</v>
      </c>
      <c r="E5">
        <v>2025</v>
      </c>
      <c r="F5" t="s">
        <v>12</v>
      </c>
      <c r="G5">
        <v>-0.3024</v>
      </c>
      <c r="H5">
        <v>36.080500000000001</v>
      </c>
      <c r="I5" t="s">
        <v>17</v>
      </c>
      <c r="J5" s="2">
        <f>Table1[[#This Row],[Capacity (MW)]]*8760*0.82*10^-6</f>
        <v>0.50282399999999994</v>
      </c>
      <c r="K5">
        <f>0</f>
        <v>0</v>
      </c>
      <c r="L5">
        <f>0</f>
        <v>0</v>
      </c>
    </row>
    <row r="6" spans="1:12" x14ac:dyDescent="0.35">
      <c r="A6" t="s">
        <v>14</v>
      </c>
      <c r="B6" t="s">
        <v>15</v>
      </c>
      <c r="C6">
        <v>70</v>
      </c>
      <c r="D6" t="s">
        <v>16</v>
      </c>
      <c r="E6">
        <v>2025</v>
      </c>
      <c r="F6" t="s">
        <v>12</v>
      </c>
      <c r="G6">
        <v>-0.3024</v>
      </c>
      <c r="H6">
        <v>36.080500000000001</v>
      </c>
      <c r="I6" t="s">
        <v>17</v>
      </c>
      <c r="J6" s="2">
        <f>Table1[[#This Row],[Capacity (MW)]]*8760*0.82*10^-6</f>
        <v>0.50282399999999994</v>
      </c>
      <c r="K6">
        <f>0</f>
        <v>0</v>
      </c>
      <c r="L6">
        <f>0</f>
        <v>0</v>
      </c>
    </row>
    <row r="7" spans="1:12" x14ac:dyDescent="0.35">
      <c r="A7" t="s">
        <v>18</v>
      </c>
      <c r="B7" t="s">
        <v>19</v>
      </c>
      <c r="C7">
        <v>45</v>
      </c>
      <c r="D7" t="s">
        <v>11</v>
      </c>
      <c r="E7">
        <v>2015</v>
      </c>
      <c r="F7" t="s">
        <v>12</v>
      </c>
      <c r="G7">
        <v>38.400199999999998</v>
      </c>
      <c r="H7">
        <v>28.431100000000001</v>
      </c>
      <c r="I7" t="s">
        <v>20</v>
      </c>
      <c r="J7" s="2">
        <f>Table1[[#This Row],[Capacity (MW)]]*8760*0.82*10^-6</f>
        <v>0.32324399999999998</v>
      </c>
      <c r="K7">
        <f>0</f>
        <v>0</v>
      </c>
      <c r="L7">
        <f>0</f>
        <v>0</v>
      </c>
    </row>
    <row r="8" spans="1:12" x14ac:dyDescent="0.35">
      <c r="A8" t="s">
        <v>18</v>
      </c>
      <c r="B8" t="s">
        <v>21</v>
      </c>
      <c r="C8">
        <v>50</v>
      </c>
      <c r="D8" t="s">
        <v>16</v>
      </c>
      <c r="E8" t="s">
        <v>12</v>
      </c>
      <c r="F8" t="s">
        <v>12</v>
      </c>
      <c r="G8">
        <v>38.400199999999998</v>
      </c>
      <c r="H8">
        <v>28.431100000000001</v>
      </c>
      <c r="I8" t="s">
        <v>20</v>
      </c>
      <c r="J8" s="2">
        <f>Table1[[#This Row],[Capacity (MW)]]*8760*0.82*10^-6</f>
        <v>0.35915999999999998</v>
      </c>
      <c r="K8">
        <f>0</f>
        <v>0</v>
      </c>
      <c r="L8">
        <f>0</f>
        <v>0</v>
      </c>
    </row>
    <row r="9" spans="1:12" x14ac:dyDescent="0.35">
      <c r="A9" t="s">
        <v>22</v>
      </c>
      <c r="B9" t="s">
        <v>21</v>
      </c>
      <c r="C9">
        <v>35</v>
      </c>
      <c r="D9" t="s">
        <v>23</v>
      </c>
      <c r="E9" t="s">
        <v>12</v>
      </c>
      <c r="F9" t="s">
        <v>12</v>
      </c>
      <c r="G9">
        <v>7.7888000000000002</v>
      </c>
      <c r="H9">
        <v>38.795200000000001</v>
      </c>
      <c r="I9" t="s">
        <v>24</v>
      </c>
      <c r="J9" s="2">
        <f>Table1[[#This Row],[Capacity (MW)]]*8760*0.82*10^-6</f>
        <v>0.25141199999999997</v>
      </c>
      <c r="K9">
        <f>0</f>
        <v>0</v>
      </c>
      <c r="L9">
        <f>0</f>
        <v>0</v>
      </c>
    </row>
    <row r="10" spans="1:12" x14ac:dyDescent="0.35">
      <c r="A10" t="s">
        <v>22</v>
      </c>
      <c r="B10" t="s">
        <v>21</v>
      </c>
      <c r="C10">
        <v>35</v>
      </c>
      <c r="D10" t="s">
        <v>23</v>
      </c>
      <c r="E10" t="s">
        <v>12</v>
      </c>
      <c r="F10" t="s">
        <v>12</v>
      </c>
      <c r="G10">
        <v>7.7888000000000002</v>
      </c>
      <c r="H10">
        <v>38.795200000000001</v>
      </c>
      <c r="I10" t="s">
        <v>24</v>
      </c>
      <c r="J10" s="2">
        <f>Table1[[#This Row],[Capacity (MW)]]*8760*0.82*10^-6</f>
        <v>0.25141199999999997</v>
      </c>
      <c r="K10">
        <f>0</f>
        <v>0</v>
      </c>
      <c r="L10">
        <f>0</f>
        <v>0</v>
      </c>
    </row>
    <row r="11" spans="1:12" x14ac:dyDescent="0.35">
      <c r="A11" t="s">
        <v>25</v>
      </c>
      <c r="B11" t="s">
        <v>21</v>
      </c>
      <c r="C11">
        <v>50</v>
      </c>
      <c r="D11" t="s">
        <v>16</v>
      </c>
      <c r="E11" t="s">
        <v>12</v>
      </c>
      <c r="F11" t="s">
        <v>12</v>
      </c>
      <c r="G11">
        <v>7.5113000000000003</v>
      </c>
      <c r="H11">
        <v>125.9569</v>
      </c>
      <c r="I11" t="s">
        <v>26</v>
      </c>
      <c r="J11" s="2">
        <f>Table1[[#This Row],[Capacity (MW)]]*8760*0.82*10^-6</f>
        <v>0.35915999999999998</v>
      </c>
      <c r="K11">
        <f>0</f>
        <v>0</v>
      </c>
      <c r="L11">
        <f>0</f>
        <v>0</v>
      </c>
    </row>
    <row r="12" spans="1:12" x14ac:dyDescent="0.35">
      <c r="A12" t="s">
        <v>27</v>
      </c>
      <c r="B12" t="s">
        <v>21</v>
      </c>
      <c r="C12">
        <v>50</v>
      </c>
      <c r="D12" t="s">
        <v>28</v>
      </c>
      <c r="E12" t="s">
        <v>12</v>
      </c>
      <c r="F12" t="s">
        <v>12</v>
      </c>
      <c r="G12">
        <v>-4.5846</v>
      </c>
      <c r="H12">
        <v>105.3231</v>
      </c>
      <c r="I12" t="s">
        <v>29</v>
      </c>
      <c r="J12" s="2">
        <f>Table1[[#This Row],[Capacity (MW)]]*8760*0.82*10^-6</f>
        <v>0.35915999999999998</v>
      </c>
      <c r="K12">
        <f>0</f>
        <v>0</v>
      </c>
      <c r="L12">
        <f>0</f>
        <v>0</v>
      </c>
    </row>
    <row r="13" spans="1:12" x14ac:dyDescent="0.35">
      <c r="A13" t="s">
        <v>25</v>
      </c>
      <c r="B13" t="s">
        <v>10</v>
      </c>
      <c r="C13">
        <v>55</v>
      </c>
      <c r="D13" t="s">
        <v>11</v>
      </c>
      <c r="E13">
        <v>1993</v>
      </c>
      <c r="F13" t="s">
        <v>12</v>
      </c>
      <c r="G13">
        <v>13.0547</v>
      </c>
      <c r="H13">
        <v>123.9678</v>
      </c>
      <c r="I13" t="s">
        <v>26</v>
      </c>
      <c r="J13" s="2">
        <f>Table1[[#This Row],[Capacity (MW)]]*8760*0.82*10^-6</f>
        <v>0.39507599999999998</v>
      </c>
      <c r="K13">
        <f>0</f>
        <v>0</v>
      </c>
      <c r="L13">
        <f>0</f>
        <v>0</v>
      </c>
    </row>
    <row r="14" spans="1:12" x14ac:dyDescent="0.35">
      <c r="A14" t="s">
        <v>25</v>
      </c>
      <c r="B14" t="s">
        <v>10</v>
      </c>
      <c r="C14">
        <v>55</v>
      </c>
      <c r="D14" t="s">
        <v>11</v>
      </c>
      <c r="E14">
        <v>1993</v>
      </c>
      <c r="F14" t="s">
        <v>12</v>
      </c>
      <c r="G14">
        <v>13.0547</v>
      </c>
      <c r="H14">
        <v>123.9678</v>
      </c>
      <c r="I14" t="s">
        <v>26</v>
      </c>
      <c r="J14" s="2">
        <f>Table1[[#This Row],[Capacity (MW)]]*8760*0.82*10^-6</f>
        <v>0.39507599999999998</v>
      </c>
      <c r="K14">
        <f>0</f>
        <v>0</v>
      </c>
      <c r="L14">
        <f>0</f>
        <v>0</v>
      </c>
    </row>
    <row r="15" spans="1:12" x14ac:dyDescent="0.35">
      <c r="A15" t="s">
        <v>30</v>
      </c>
      <c r="B15" t="s">
        <v>31</v>
      </c>
      <c r="C15">
        <v>40</v>
      </c>
      <c r="D15" t="s">
        <v>11</v>
      </c>
      <c r="E15">
        <v>2014</v>
      </c>
      <c r="F15" t="s">
        <v>12</v>
      </c>
      <c r="G15">
        <v>42.8416</v>
      </c>
      <c r="H15">
        <v>11.5588</v>
      </c>
      <c r="I15" t="s">
        <v>32</v>
      </c>
      <c r="J15" s="2">
        <f>Table1[[#This Row],[Capacity (MW)]]*8760*0.82*10^-6</f>
        <v>0.28732799999999997</v>
      </c>
      <c r="K15">
        <f>0</f>
        <v>0</v>
      </c>
      <c r="L15">
        <f>0</f>
        <v>0</v>
      </c>
    </row>
    <row r="16" spans="1:12" x14ac:dyDescent="0.35">
      <c r="A16" t="s">
        <v>33</v>
      </c>
      <c r="B16" t="s">
        <v>21</v>
      </c>
      <c r="C16">
        <v>110</v>
      </c>
      <c r="D16" t="s">
        <v>16</v>
      </c>
      <c r="E16" t="s">
        <v>12</v>
      </c>
      <c r="F16" t="s">
        <v>12</v>
      </c>
      <c r="G16">
        <v>-6.3259999999999996</v>
      </c>
      <c r="H16">
        <v>106.1161</v>
      </c>
      <c r="I16" t="s">
        <v>29</v>
      </c>
      <c r="J16" s="2">
        <f>Table1[[#This Row],[Capacity (MW)]]*8760*0.82*10^-6</f>
        <v>0.79015199999999997</v>
      </c>
      <c r="K16">
        <f>0</f>
        <v>0</v>
      </c>
      <c r="L16">
        <f>0</f>
        <v>0</v>
      </c>
    </row>
    <row r="17" spans="1:12" x14ac:dyDescent="0.35">
      <c r="A17" t="s">
        <v>34</v>
      </c>
      <c r="B17" t="s">
        <v>21</v>
      </c>
      <c r="C17">
        <v>100</v>
      </c>
      <c r="D17" t="s">
        <v>16</v>
      </c>
      <c r="E17" t="s">
        <v>12</v>
      </c>
      <c r="F17" t="s">
        <v>12</v>
      </c>
      <c r="G17">
        <v>1.1689000000000001</v>
      </c>
      <c r="H17">
        <v>36.172600000000003</v>
      </c>
      <c r="I17" t="s">
        <v>17</v>
      </c>
      <c r="J17" s="2">
        <f>Table1[[#This Row],[Capacity (MW)]]*8760*0.82*10^-6</f>
        <v>0.71831999999999996</v>
      </c>
      <c r="K17">
        <f>0</f>
        <v>0</v>
      </c>
      <c r="L17">
        <f>0</f>
        <v>0</v>
      </c>
    </row>
    <row r="18" spans="1:12" x14ac:dyDescent="0.35">
      <c r="A18" t="s">
        <v>34</v>
      </c>
      <c r="B18" t="s">
        <v>21</v>
      </c>
      <c r="C18">
        <v>100</v>
      </c>
      <c r="D18" t="s">
        <v>16</v>
      </c>
      <c r="E18" t="s">
        <v>12</v>
      </c>
      <c r="F18" t="s">
        <v>12</v>
      </c>
      <c r="G18">
        <v>1.1689000000000001</v>
      </c>
      <c r="H18">
        <v>36.172600000000003</v>
      </c>
      <c r="I18" t="s">
        <v>17</v>
      </c>
      <c r="J18" s="2">
        <f>Table1[[#This Row],[Capacity (MW)]]*8760*0.82*10^-6</f>
        <v>0.71831999999999996</v>
      </c>
      <c r="K18">
        <f>0</f>
        <v>0</v>
      </c>
      <c r="L18">
        <f>0</f>
        <v>0</v>
      </c>
    </row>
    <row r="19" spans="1:12" x14ac:dyDescent="0.35">
      <c r="A19" t="s">
        <v>34</v>
      </c>
      <c r="B19" t="s">
        <v>21</v>
      </c>
      <c r="C19">
        <v>100</v>
      </c>
      <c r="D19" t="s">
        <v>16</v>
      </c>
      <c r="E19" t="s">
        <v>12</v>
      </c>
      <c r="F19" t="s">
        <v>12</v>
      </c>
      <c r="G19">
        <v>1.1689000000000001</v>
      </c>
      <c r="H19">
        <v>36.172600000000003</v>
      </c>
      <c r="I19" t="s">
        <v>17</v>
      </c>
      <c r="J19" s="2">
        <f>Table1[[#This Row],[Capacity (MW)]]*8760*0.82*10^-6</f>
        <v>0.71831999999999996</v>
      </c>
      <c r="K19">
        <f>0</f>
        <v>0</v>
      </c>
      <c r="L19">
        <f>0</f>
        <v>0</v>
      </c>
    </row>
    <row r="20" spans="1:12" x14ac:dyDescent="0.35">
      <c r="A20" t="s">
        <v>35</v>
      </c>
      <c r="B20" t="s">
        <v>21</v>
      </c>
      <c r="C20">
        <v>151.30000000000001</v>
      </c>
      <c r="D20" t="s">
        <v>16</v>
      </c>
      <c r="E20">
        <v>2025</v>
      </c>
      <c r="F20" t="s">
        <v>12</v>
      </c>
      <c r="G20">
        <v>-7.3000999999999996</v>
      </c>
      <c r="H20">
        <v>109.21680000000001</v>
      </c>
      <c r="I20" t="s">
        <v>29</v>
      </c>
      <c r="J20" s="2">
        <f>Table1[[#This Row],[Capacity (MW)]]*8760*0.82*10^-6</f>
        <v>1.08681816</v>
      </c>
      <c r="K20">
        <f>0</f>
        <v>0</v>
      </c>
      <c r="L20">
        <f>0</f>
        <v>0</v>
      </c>
    </row>
    <row r="21" spans="1:12" x14ac:dyDescent="0.35">
      <c r="A21" t="s">
        <v>36</v>
      </c>
      <c r="B21" t="s">
        <v>21</v>
      </c>
      <c r="C21">
        <v>18.7</v>
      </c>
      <c r="D21" t="s">
        <v>16</v>
      </c>
      <c r="E21">
        <v>2025</v>
      </c>
      <c r="F21" t="s">
        <v>12</v>
      </c>
      <c r="G21">
        <v>-7.3000999999999996</v>
      </c>
      <c r="H21">
        <v>109.21680000000001</v>
      </c>
      <c r="I21" t="s">
        <v>29</v>
      </c>
      <c r="J21" s="2">
        <f>Table1[[#This Row],[Capacity (MW)]]*8760*0.82*10^-6</f>
        <v>0.13432584</v>
      </c>
      <c r="K21">
        <f>0</f>
        <v>0</v>
      </c>
      <c r="L21">
        <f>0</f>
        <v>0</v>
      </c>
    </row>
    <row r="22" spans="1:12" x14ac:dyDescent="0.35">
      <c r="A22" t="s">
        <v>35</v>
      </c>
      <c r="B22" t="s">
        <v>21</v>
      </c>
      <c r="C22">
        <v>44.5</v>
      </c>
      <c r="D22" t="s">
        <v>23</v>
      </c>
      <c r="E22" t="s">
        <v>12</v>
      </c>
      <c r="F22" t="s">
        <v>12</v>
      </c>
      <c r="G22">
        <v>-7.3000999999999996</v>
      </c>
      <c r="H22">
        <v>109.21680000000001</v>
      </c>
      <c r="I22" t="s">
        <v>29</v>
      </c>
      <c r="J22" s="2">
        <f>Table1[[#This Row],[Capacity (MW)]]*8760*0.82*10^-6</f>
        <v>0.31965239999999995</v>
      </c>
      <c r="K22">
        <f>0</f>
        <v>0</v>
      </c>
      <c r="L22">
        <f>0</f>
        <v>0</v>
      </c>
    </row>
    <row r="23" spans="1:12" x14ac:dyDescent="0.35">
      <c r="A23" t="s">
        <v>36</v>
      </c>
      <c r="B23" t="s">
        <v>21</v>
      </c>
      <c r="C23">
        <v>5.5</v>
      </c>
      <c r="D23" t="s">
        <v>23</v>
      </c>
      <c r="E23" t="s">
        <v>12</v>
      </c>
      <c r="F23" t="s">
        <v>12</v>
      </c>
      <c r="G23">
        <v>-7.3000999999999996</v>
      </c>
      <c r="H23">
        <v>109.21680000000001</v>
      </c>
      <c r="I23" t="s">
        <v>29</v>
      </c>
      <c r="J23" s="2">
        <f>Table1[[#This Row],[Capacity (MW)]]*8760*0.82*10^-6</f>
        <v>3.9507599999999997E-2</v>
      </c>
      <c r="K23">
        <f>0</f>
        <v>0</v>
      </c>
      <c r="L23">
        <f>0</f>
        <v>0</v>
      </c>
    </row>
    <row r="24" spans="1:12" x14ac:dyDescent="0.35">
      <c r="A24" t="s">
        <v>37</v>
      </c>
      <c r="B24" t="s">
        <v>21</v>
      </c>
      <c r="C24">
        <v>61</v>
      </c>
      <c r="D24" t="s">
        <v>16</v>
      </c>
      <c r="E24" t="s">
        <v>12</v>
      </c>
      <c r="F24" t="s">
        <v>12</v>
      </c>
      <c r="G24">
        <v>18.382200000000001</v>
      </c>
      <c r="H24">
        <v>122.14449999999999</v>
      </c>
      <c r="I24" t="s">
        <v>26</v>
      </c>
      <c r="J24" s="2">
        <f>Table1[[#This Row],[Capacity (MW)]]*8760*0.82*10^-6</f>
        <v>0.43817519999999993</v>
      </c>
      <c r="K24">
        <f>0</f>
        <v>0</v>
      </c>
      <c r="L24">
        <f>0</f>
        <v>0</v>
      </c>
    </row>
    <row r="25" spans="1:12" x14ac:dyDescent="0.35">
      <c r="A25" t="s">
        <v>9</v>
      </c>
      <c r="B25" t="s">
        <v>10</v>
      </c>
      <c r="C25">
        <v>40</v>
      </c>
      <c r="D25" t="s">
        <v>11</v>
      </c>
      <c r="E25">
        <v>2007</v>
      </c>
      <c r="F25" t="s">
        <v>12</v>
      </c>
      <c r="G25">
        <v>13.524800000000001</v>
      </c>
      <c r="H25">
        <v>-88.507300000000001</v>
      </c>
      <c r="I25" t="s">
        <v>13</v>
      </c>
      <c r="J25" s="2">
        <f>Table1[[#This Row],[Capacity (MW)]]*8760*0.82*10^-6</f>
        <v>0.28732799999999997</v>
      </c>
      <c r="K25">
        <f>0</f>
        <v>0</v>
      </c>
      <c r="L25">
        <f>0</f>
        <v>0</v>
      </c>
    </row>
    <row r="26" spans="1:12" x14ac:dyDescent="0.35">
      <c r="A26" t="s">
        <v>38</v>
      </c>
      <c r="B26" t="s">
        <v>31</v>
      </c>
      <c r="C26">
        <v>138</v>
      </c>
      <c r="D26" t="s">
        <v>11</v>
      </c>
      <c r="E26">
        <v>1980</v>
      </c>
      <c r="F26" t="s">
        <v>12</v>
      </c>
      <c r="G26">
        <v>38.777000000000001</v>
      </c>
      <c r="H26">
        <v>-122.745</v>
      </c>
      <c r="I26" t="s">
        <v>39</v>
      </c>
      <c r="J26" s="2">
        <f>Table1[[#This Row],[Capacity (MW)]]*8760*0.82*10^-6</f>
        <v>0.99128159999999998</v>
      </c>
      <c r="K26">
        <f>0</f>
        <v>0</v>
      </c>
      <c r="L26">
        <f>0</f>
        <v>0</v>
      </c>
    </row>
    <row r="27" spans="1:12" x14ac:dyDescent="0.35">
      <c r="A27" t="s">
        <v>40</v>
      </c>
      <c r="B27" t="s">
        <v>21</v>
      </c>
      <c r="C27">
        <v>50</v>
      </c>
      <c r="D27" t="s">
        <v>16</v>
      </c>
      <c r="E27">
        <v>2025</v>
      </c>
      <c r="F27" t="s">
        <v>12</v>
      </c>
      <c r="G27">
        <v>11.599299999999999</v>
      </c>
      <c r="H27">
        <v>124.48390000000001</v>
      </c>
      <c r="I27" t="s">
        <v>26</v>
      </c>
      <c r="J27" s="2">
        <f>Table1[[#This Row],[Capacity (MW)]]*8760*0.82*10^-6</f>
        <v>0.35915999999999998</v>
      </c>
      <c r="K27">
        <f>0</f>
        <v>0</v>
      </c>
      <c r="L27">
        <f>0</f>
        <v>0</v>
      </c>
    </row>
    <row r="28" spans="1:12" x14ac:dyDescent="0.35">
      <c r="A28" t="s">
        <v>41</v>
      </c>
      <c r="B28" t="s">
        <v>21</v>
      </c>
      <c r="C28">
        <v>135</v>
      </c>
      <c r="D28" t="s">
        <v>28</v>
      </c>
      <c r="E28" t="s">
        <v>12</v>
      </c>
      <c r="F28" t="s">
        <v>12</v>
      </c>
      <c r="G28">
        <v>63.857599999999998</v>
      </c>
      <c r="H28">
        <v>-21.384399999999999</v>
      </c>
      <c r="I28" t="s">
        <v>42</v>
      </c>
      <c r="J28" s="2">
        <f>Table1[[#This Row],[Capacity (MW)]]*8760*0.82*10^-6</f>
        <v>0.96973199999999993</v>
      </c>
      <c r="K28">
        <f>0</f>
        <v>0</v>
      </c>
      <c r="L28">
        <f>0</f>
        <v>0</v>
      </c>
    </row>
    <row r="29" spans="1:12" x14ac:dyDescent="0.35">
      <c r="A29" t="s">
        <v>43</v>
      </c>
      <c r="B29" t="s">
        <v>21</v>
      </c>
      <c r="C29">
        <v>45</v>
      </c>
      <c r="D29" t="s">
        <v>28</v>
      </c>
      <c r="E29" t="s">
        <v>12</v>
      </c>
      <c r="F29" t="s">
        <v>12</v>
      </c>
      <c r="G29">
        <v>65.643199999999993</v>
      </c>
      <c r="H29">
        <v>-16.8462</v>
      </c>
      <c r="I29" t="s">
        <v>42</v>
      </c>
      <c r="J29" s="2">
        <f>Table1[[#This Row],[Capacity (MW)]]*8760*0.82*10^-6</f>
        <v>0.32324399999999998</v>
      </c>
      <c r="K29">
        <f>0</f>
        <v>0</v>
      </c>
      <c r="L29">
        <f>0</f>
        <v>0</v>
      </c>
    </row>
    <row r="30" spans="1:12" x14ac:dyDescent="0.35">
      <c r="A30" t="s">
        <v>43</v>
      </c>
      <c r="B30" t="s">
        <v>21</v>
      </c>
      <c r="C30">
        <v>45</v>
      </c>
      <c r="D30" t="s">
        <v>28</v>
      </c>
      <c r="E30" t="s">
        <v>12</v>
      </c>
      <c r="F30" t="s">
        <v>12</v>
      </c>
      <c r="G30">
        <v>65.643199999999993</v>
      </c>
      <c r="H30">
        <v>-16.8462</v>
      </c>
      <c r="I30" t="s">
        <v>42</v>
      </c>
      <c r="J30" s="2">
        <f>Table1[[#This Row],[Capacity (MW)]]*8760*0.82*10^-6</f>
        <v>0.32324399999999998</v>
      </c>
      <c r="K30">
        <f>0</f>
        <v>0</v>
      </c>
      <c r="L30">
        <f>0</f>
        <v>0</v>
      </c>
    </row>
    <row r="31" spans="1:12" x14ac:dyDescent="0.35">
      <c r="A31" t="s">
        <v>44</v>
      </c>
      <c r="B31" t="s">
        <v>45</v>
      </c>
      <c r="C31">
        <v>77</v>
      </c>
      <c r="D31" t="s">
        <v>16</v>
      </c>
      <c r="E31" t="s">
        <v>12</v>
      </c>
      <c r="F31" t="s">
        <v>12</v>
      </c>
      <c r="G31">
        <v>33.149311500000003</v>
      </c>
      <c r="H31">
        <v>-115.62784980000001</v>
      </c>
      <c r="I31" t="s">
        <v>39</v>
      </c>
      <c r="J31" s="2">
        <f>Table1[[#This Row],[Capacity (MW)]]*8760*0.82*10^-6</f>
        <v>0.5531064</v>
      </c>
      <c r="K31">
        <f>0</f>
        <v>0</v>
      </c>
      <c r="L31">
        <f>0</f>
        <v>0</v>
      </c>
    </row>
    <row r="32" spans="1:12" x14ac:dyDescent="0.35">
      <c r="A32" t="s">
        <v>46</v>
      </c>
      <c r="B32" t="s">
        <v>21</v>
      </c>
      <c r="C32">
        <v>28.05</v>
      </c>
      <c r="D32" t="s">
        <v>16</v>
      </c>
      <c r="E32" t="s">
        <v>12</v>
      </c>
      <c r="F32" t="s">
        <v>12</v>
      </c>
      <c r="G32">
        <v>-7.9734999999999996</v>
      </c>
      <c r="H32">
        <v>114.1708</v>
      </c>
      <c r="I32" t="s">
        <v>29</v>
      </c>
      <c r="J32" s="2">
        <f>Table1[[#This Row],[Capacity (MW)]]*8760*0.82*10^-6</f>
        <v>0.20148875999999996</v>
      </c>
      <c r="K32">
        <f>0</f>
        <v>0</v>
      </c>
      <c r="L32">
        <f>0</f>
        <v>0</v>
      </c>
    </row>
    <row r="33" spans="1:12" x14ac:dyDescent="0.35">
      <c r="A33" t="s">
        <v>47</v>
      </c>
      <c r="B33" t="s">
        <v>21</v>
      </c>
      <c r="C33">
        <v>26.95</v>
      </c>
      <c r="D33" t="s">
        <v>16</v>
      </c>
      <c r="E33" t="s">
        <v>12</v>
      </c>
      <c r="F33" t="s">
        <v>12</v>
      </c>
      <c r="G33">
        <v>-7.9734999999999996</v>
      </c>
      <c r="H33">
        <v>114.1708</v>
      </c>
      <c r="I33" t="s">
        <v>29</v>
      </c>
      <c r="J33" s="2">
        <f>Table1[[#This Row],[Capacity (MW)]]*8760*0.82*10^-6</f>
        <v>0.19358723999999999</v>
      </c>
      <c r="K33">
        <f>0</f>
        <v>0</v>
      </c>
      <c r="L33">
        <f>0</f>
        <v>0</v>
      </c>
    </row>
    <row r="34" spans="1:12" x14ac:dyDescent="0.35">
      <c r="A34" t="s">
        <v>47</v>
      </c>
      <c r="B34" t="s">
        <v>21</v>
      </c>
      <c r="C34">
        <v>16.66</v>
      </c>
      <c r="D34" t="s">
        <v>23</v>
      </c>
      <c r="E34">
        <v>2025</v>
      </c>
      <c r="F34" t="s">
        <v>12</v>
      </c>
      <c r="G34">
        <v>-7.9767999999999999</v>
      </c>
      <c r="H34">
        <v>114.1883</v>
      </c>
      <c r="I34" t="s">
        <v>29</v>
      </c>
      <c r="J34" s="2">
        <f>Table1[[#This Row],[Capacity (MW)]]*8760*0.82*10^-6</f>
        <v>0.11967211199999998</v>
      </c>
      <c r="K34">
        <f>0</f>
        <v>0</v>
      </c>
      <c r="L34">
        <f>0</f>
        <v>0</v>
      </c>
    </row>
    <row r="35" spans="1:12" x14ac:dyDescent="0.35">
      <c r="A35" t="s">
        <v>46</v>
      </c>
      <c r="B35" t="s">
        <v>21</v>
      </c>
      <c r="C35">
        <v>17.34</v>
      </c>
      <c r="D35" t="s">
        <v>23</v>
      </c>
      <c r="E35">
        <v>2025</v>
      </c>
      <c r="F35" t="s">
        <v>12</v>
      </c>
      <c r="G35">
        <v>-7.9767999999999999</v>
      </c>
      <c r="H35">
        <v>114.1883</v>
      </c>
      <c r="I35" t="s">
        <v>29</v>
      </c>
      <c r="J35" s="2">
        <f>Table1[[#This Row],[Capacity (MW)]]*8760*0.82*10^-6</f>
        <v>0.12455668799999998</v>
      </c>
      <c r="K35">
        <f>0</f>
        <v>0</v>
      </c>
      <c r="L35">
        <f>0</f>
        <v>0</v>
      </c>
    </row>
    <row r="36" spans="1:12" x14ac:dyDescent="0.35">
      <c r="A36" t="s">
        <v>48</v>
      </c>
      <c r="B36" t="s">
        <v>15</v>
      </c>
      <c r="C36">
        <v>50</v>
      </c>
      <c r="D36" t="s">
        <v>11</v>
      </c>
      <c r="E36">
        <v>2010</v>
      </c>
      <c r="F36" t="s">
        <v>12</v>
      </c>
      <c r="G36">
        <v>40.995199999999997</v>
      </c>
      <c r="H36">
        <v>-118.142</v>
      </c>
      <c r="I36" t="s">
        <v>39</v>
      </c>
      <c r="J36" s="2">
        <f>Table1[[#This Row],[Capacity (MW)]]*8760*0.82*10^-6</f>
        <v>0.35915999999999998</v>
      </c>
      <c r="K36">
        <f>0</f>
        <v>0</v>
      </c>
      <c r="L36">
        <f>0</f>
        <v>0</v>
      </c>
    </row>
    <row r="37" spans="1:12" x14ac:dyDescent="0.35">
      <c r="A37" t="s">
        <v>49</v>
      </c>
      <c r="B37" t="s">
        <v>50</v>
      </c>
      <c r="C37">
        <v>31</v>
      </c>
      <c r="D37" t="s">
        <v>11</v>
      </c>
      <c r="E37">
        <v>1984</v>
      </c>
      <c r="F37" t="s">
        <v>12</v>
      </c>
      <c r="G37">
        <v>38.488900000000001</v>
      </c>
      <c r="H37">
        <v>-112.8533</v>
      </c>
      <c r="I37" t="s">
        <v>39</v>
      </c>
      <c r="J37" s="2">
        <f>Table1[[#This Row],[Capacity (MW)]]*8760*0.82*10^-6</f>
        <v>0.22267919999999997</v>
      </c>
      <c r="K37">
        <f>0</f>
        <v>0</v>
      </c>
      <c r="L37">
        <f>0</f>
        <v>0</v>
      </c>
    </row>
    <row r="38" spans="1:12" x14ac:dyDescent="0.35">
      <c r="A38" t="s">
        <v>49</v>
      </c>
      <c r="B38" t="s">
        <v>21</v>
      </c>
      <c r="C38">
        <v>30</v>
      </c>
      <c r="D38" t="s">
        <v>51</v>
      </c>
      <c r="E38" t="s">
        <v>12</v>
      </c>
      <c r="F38" t="s">
        <v>12</v>
      </c>
      <c r="G38">
        <v>38.488900000000001</v>
      </c>
      <c r="H38">
        <v>-112.8533</v>
      </c>
      <c r="I38" t="s">
        <v>39</v>
      </c>
      <c r="J38" s="2">
        <f>Table1[[#This Row],[Capacity (MW)]]*8760*0.82*10^-6</f>
        <v>0.21549599999999999</v>
      </c>
      <c r="K38">
        <f>0</f>
        <v>0</v>
      </c>
      <c r="L38">
        <f>0</f>
        <v>0</v>
      </c>
    </row>
    <row r="39" spans="1:12" x14ac:dyDescent="0.35">
      <c r="A39" t="s">
        <v>52</v>
      </c>
      <c r="B39" t="s">
        <v>21</v>
      </c>
      <c r="C39">
        <v>55</v>
      </c>
      <c r="D39" t="s">
        <v>23</v>
      </c>
      <c r="E39">
        <v>2027</v>
      </c>
      <c r="F39" t="s">
        <v>12</v>
      </c>
      <c r="G39">
        <v>10.634399999999999</v>
      </c>
      <c r="H39">
        <v>-85.439700000000002</v>
      </c>
      <c r="I39" t="s">
        <v>53</v>
      </c>
      <c r="J39" s="2">
        <f>Table1[[#This Row],[Capacity (MW)]]*8760*0.82*10^-6</f>
        <v>0.39507599999999998</v>
      </c>
      <c r="K39">
        <f>0</f>
        <v>0</v>
      </c>
      <c r="L39">
        <f>0</f>
        <v>0</v>
      </c>
    </row>
    <row r="40" spans="1:12" x14ac:dyDescent="0.35">
      <c r="A40" t="s">
        <v>52</v>
      </c>
      <c r="B40" t="s">
        <v>21</v>
      </c>
      <c r="C40">
        <v>55</v>
      </c>
      <c r="D40" t="s">
        <v>16</v>
      </c>
      <c r="E40">
        <v>2027</v>
      </c>
      <c r="F40" t="s">
        <v>12</v>
      </c>
      <c r="G40">
        <v>10.634399999999999</v>
      </c>
      <c r="H40">
        <v>-85.439700000000002</v>
      </c>
      <c r="I40" t="s">
        <v>53</v>
      </c>
      <c r="J40" s="2">
        <f>Table1[[#This Row],[Capacity (MW)]]*8760*0.82*10^-6</f>
        <v>0.39507599999999998</v>
      </c>
      <c r="K40">
        <f>0</f>
        <v>0</v>
      </c>
      <c r="L40">
        <f>0</f>
        <v>0</v>
      </c>
    </row>
    <row r="41" spans="1:12" x14ac:dyDescent="0.35">
      <c r="A41" t="s">
        <v>54</v>
      </c>
      <c r="B41" t="s">
        <v>10</v>
      </c>
      <c r="C41">
        <v>55</v>
      </c>
      <c r="D41" t="s">
        <v>11</v>
      </c>
      <c r="E41">
        <v>1985</v>
      </c>
      <c r="F41" t="s">
        <v>12</v>
      </c>
      <c r="G41">
        <v>38.834800000000001</v>
      </c>
      <c r="H41">
        <v>-122.7677</v>
      </c>
      <c r="I41" t="s">
        <v>39</v>
      </c>
      <c r="J41" s="2">
        <f>Table1[[#This Row],[Capacity (MW)]]*8760*0.82*10^-6</f>
        <v>0.39507599999999998</v>
      </c>
      <c r="K41">
        <f>0</f>
        <v>0</v>
      </c>
      <c r="L41">
        <f>0</f>
        <v>0</v>
      </c>
    </row>
    <row r="42" spans="1:12" x14ac:dyDescent="0.35">
      <c r="A42" t="s">
        <v>55</v>
      </c>
      <c r="B42" t="s">
        <v>21</v>
      </c>
      <c r="C42">
        <v>100</v>
      </c>
      <c r="D42" t="s">
        <v>16</v>
      </c>
      <c r="E42">
        <v>2025</v>
      </c>
      <c r="F42" t="s">
        <v>12</v>
      </c>
      <c r="G42">
        <v>0.83320000000000005</v>
      </c>
      <c r="H42">
        <v>30.166399999999999</v>
      </c>
      <c r="I42" t="s">
        <v>56</v>
      </c>
      <c r="J42" s="2">
        <f>Table1[[#This Row],[Capacity (MW)]]*8760*0.82*10^-6</f>
        <v>0.71831999999999996</v>
      </c>
      <c r="K42">
        <f>0</f>
        <v>0</v>
      </c>
      <c r="L42">
        <f>0</f>
        <v>0</v>
      </c>
    </row>
    <row r="43" spans="1:12" x14ac:dyDescent="0.35">
      <c r="A43" t="s">
        <v>25</v>
      </c>
      <c r="B43" t="s">
        <v>21</v>
      </c>
      <c r="C43">
        <v>100</v>
      </c>
      <c r="D43" t="s">
        <v>16</v>
      </c>
      <c r="E43">
        <v>2027</v>
      </c>
      <c r="F43" t="s">
        <v>12</v>
      </c>
      <c r="G43">
        <v>-15.622</v>
      </c>
      <c r="H43">
        <v>-71.979799999999997</v>
      </c>
      <c r="I43" t="s">
        <v>57</v>
      </c>
      <c r="J43" s="2">
        <f>Table1[[#This Row],[Capacity (MW)]]*8760*0.82*10^-6</f>
        <v>0.71831999999999996</v>
      </c>
      <c r="K43">
        <f>0</f>
        <v>0</v>
      </c>
      <c r="L43">
        <f>0</f>
        <v>0</v>
      </c>
    </row>
    <row r="44" spans="1:12" x14ac:dyDescent="0.35">
      <c r="A44" t="s">
        <v>37</v>
      </c>
      <c r="B44" t="s">
        <v>21</v>
      </c>
      <c r="C44">
        <v>45</v>
      </c>
      <c r="D44" t="s">
        <v>16</v>
      </c>
      <c r="E44" t="s">
        <v>12</v>
      </c>
      <c r="F44" t="s">
        <v>12</v>
      </c>
      <c r="G44">
        <v>18.382200000000001</v>
      </c>
      <c r="H44">
        <v>122.14449999999999</v>
      </c>
      <c r="I44" t="s">
        <v>26</v>
      </c>
      <c r="J44" s="2">
        <f>Table1[[#This Row],[Capacity (MW)]]*8760*0.82*10^-6</f>
        <v>0.32324399999999998</v>
      </c>
      <c r="K44">
        <f>0</f>
        <v>0</v>
      </c>
      <c r="L44">
        <f>0</f>
        <v>0</v>
      </c>
    </row>
    <row r="45" spans="1:12" x14ac:dyDescent="0.35">
      <c r="A45" t="s">
        <v>58</v>
      </c>
      <c r="B45" t="s">
        <v>31</v>
      </c>
      <c r="C45">
        <v>88</v>
      </c>
      <c r="D45" t="s">
        <v>11</v>
      </c>
      <c r="E45">
        <v>1984</v>
      </c>
      <c r="F45" t="s">
        <v>12</v>
      </c>
      <c r="G45">
        <v>38.7879</v>
      </c>
      <c r="H45">
        <v>-122.74339999999999</v>
      </c>
      <c r="I45" t="s">
        <v>39</v>
      </c>
      <c r="J45" s="2">
        <f>Table1[[#This Row],[Capacity (MW)]]*8760*0.82*10^-6</f>
        <v>0.63212159999999995</v>
      </c>
      <c r="K45">
        <f>0</f>
        <v>0</v>
      </c>
      <c r="L45">
        <f>0</f>
        <v>0</v>
      </c>
    </row>
    <row r="46" spans="1:12" x14ac:dyDescent="0.35">
      <c r="A46" t="s">
        <v>58</v>
      </c>
      <c r="B46" t="s">
        <v>31</v>
      </c>
      <c r="C46">
        <v>88</v>
      </c>
      <c r="D46" t="s">
        <v>11</v>
      </c>
      <c r="E46">
        <v>1984</v>
      </c>
      <c r="F46" t="s">
        <v>12</v>
      </c>
      <c r="G46">
        <v>38.789400000000001</v>
      </c>
      <c r="H46">
        <v>-122.74550000000001</v>
      </c>
      <c r="I46" t="s">
        <v>39</v>
      </c>
      <c r="J46" s="2">
        <f>Table1[[#This Row],[Capacity (MW)]]*8760*0.82*10^-6</f>
        <v>0.63212159999999995</v>
      </c>
      <c r="K46">
        <f>0</f>
        <v>0</v>
      </c>
      <c r="L46">
        <f>0</f>
        <v>0</v>
      </c>
    </row>
    <row r="47" spans="1:12" x14ac:dyDescent="0.35">
      <c r="A47" t="s">
        <v>59</v>
      </c>
      <c r="B47" t="s">
        <v>60</v>
      </c>
      <c r="C47">
        <v>300</v>
      </c>
      <c r="D47" t="s">
        <v>16</v>
      </c>
      <c r="E47">
        <v>2028</v>
      </c>
      <c r="F47" t="s">
        <v>12</v>
      </c>
      <c r="G47">
        <v>38.4693866</v>
      </c>
      <c r="H47">
        <v>-112.9276109</v>
      </c>
      <c r="I47" t="s">
        <v>39</v>
      </c>
      <c r="J47" s="2">
        <f>Table1[[#This Row],[Capacity (MW)]]*8760*0.82*10^-6</f>
        <v>2.15496</v>
      </c>
      <c r="K47">
        <f>0</f>
        <v>0</v>
      </c>
      <c r="L47">
        <f>0</f>
        <v>0</v>
      </c>
    </row>
    <row r="48" spans="1:12" x14ac:dyDescent="0.35">
      <c r="A48" t="s">
        <v>59</v>
      </c>
      <c r="B48" t="s">
        <v>60</v>
      </c>
      <c r="C48">
        <v>100</v>
      </c>
      <c r="D48" t="s">
        <v>23</v>
      </c>
      <c r="E48">
        <v>2026</v>
      </c>
      <c r="F48" t="s">
        <v>12</v>
      </c>
      <c r="G48">
        <v>38.4693866</v>
      </c>
      <c r="H48">
        <v>-112.9276109</v>
      </c>
      <c r="I48" t="s">
        <v>39</v>
      </c>
      <c r="J48" s="2">
        <f>Table1[[#This Row],[Capacity (MW)]]*8760*0.82*10^-6</f>
        <v>0.71831999999999996</v>
      </c>
      <c r="K48">
        <f>0</f>
        <v>0</v>
      </c>
      <c r="L48">
        <f>0</f>
        <v>0</v>
      </c>
    </row>
    <row r="49" spans="1:12" x14ac:dyDescent="0.35">
      <c r="A49" t="s">
        <v>47</v>
      </c>
      <c r="B49" t="s">
        <v>15</v>
      </c>
      <c r="C49">
        <v>30</v>
      </c>
      <c r="D49" t="s">
        <v>11</v>
      </c>
      <c r="E49">
        <v>2022</v>
      </c>
      <c r="F49" t="s">
        <v>12</v>
      </c>
      <c r="G49">
        <v>37.6449</v>
      </c>
      <c r="H49">
        <v>-118.9149</v>
      </c>
      <c r="I49" t="s">
        <v>39</v>
      </c>
      <c r="J49" s="2">
        <f>Table1[[#This Row],[Capacity (MW)]]*8760*0.82*10^-6</f>
        <v>0.21549599999999999</v>
      </c>
      <c r="K49">
        <f>0</f>
        <v>0</v>
      </c>
      <c r="L49">
        <f>0</f>
        <v>0</v>
      </c>
    </row>
    <row r="50" spans="1:12" x14ac:dyDescent="0.35">
      <c r="A50" t="s">
        <v>61</v>
      </c>
      <c r="B50" t="s">
        <v>21</v>
      </c>
      <c r="C50">
        <v>17.5</v>
      </c>
      <c r="D50" t="s">
        <v>28</v>
      </c>
      <c r="E50" t="s">
        <v>12</v>
      </c>
      <c r="F50" t="s">
        <v>12</v>
      </c>
      <c r="G50">
        <v>12.723100000000001</v>
      </c>
      <c r="H50">
        <v>-87.083600000000004</v>
      </c>
      <c r="I50" t="s">
        <v>62</v>
      </c>
      <c r="J50" s="2">
        <f>Table1[[#This Row],[Capacity (MW)]]*8760*0.82*10^-6</f>
        <v>0.12570599999999998</v>
      </c>
      <c r="K50">
        <f>0</f>
        <v>0</v>
      </c>
      <c r="L50">
        <f>0</f>
        <v>0</v>
      </c>
    </row>
    <row r="51" spans="1:12" x14ac:dyDescent="0.35">
      <c r="A51" t="s">
        <v>63</v>
      </c>
      <c r="B51" t="s">
        <v>21</v>
      </c>
      <c r="C51">
        <v>17.5</v>
      </c>
      <c r="D51" t="s">
        <v>28</v>
      </c>
      <c r="E51" t="s">
        <v>12</v>
      </c>
      <c r="F51" t="s">
        <v>12</v>
      </c>
      <c r="G51">
        <v>12.723100000000001</v>
      </c>
      <c r="H51">
        <v>-87.083600000000004</v>
      </c>
      <c r="I51" t="s">
        <v>62</v>
      </c>
      <c r="J51" s="2">
        <f>Table1[[#This Row],[Capacity (MW)]]*8760*0.82*10^-6</f>
        <v>0.12570599999999998</v>
      </c>
      <c r="K51">
        <f>0</f>
        <v>0</v>
      </c>
      <c r="L51">
        <f>0</f>
        <v>0</v>
      </c>
    </row>
    <row r="52" spans="1:12" x14ac:dyDescent="0.35">
      <c r="A52" t="s">
        <v>64</v>
      </c>
      <c r="B52" t="s">
        <v>19</v>
      </c>
      <c r="C52">
        <v>46</v>
      </c>
      <c r="D52" t="s">
        <v>11</v>
      </c>
      <c r="E52">
        <v>1989</v>
      </c>
      <c r="F52" t="s">
        <v>12</v>
      </c>
      <c r="G52">
        <v>33.177900000000001</v>
      </c>
      <c r="H52">
        <v>-115.565</v>
      </c>
      <c r="I52" t="s">
        <v>39</v>
      </c>
      <c r="J52" s="2">
        <f>Table1[[#This Row],[Capacity (MW)]]*8760*0.82*10^-6</f>
        <v>0.33042719999999992</v>
      </c>
      <c r="K52">
        <f>0</f>
        <v>0</v>
      </c>
      <c r="L52">
        <f>0</f>
        <v>0</v>
      </c>
    </row>
    <row r="53" spans="1:12" x14ac:dyDescent="0.35">
      <c r="A53" t="s">
        <v>65</v>
      </c>
      <c r="B53" t="s">
        <v>15</v>
      </c>
      <c r="C53">
        <v>16.5</v>
      </c>
      <c r="D53" t="s">
        <v>11</v>
      </c>
      <c r="E53">
        <v>2021</v>
      </c>
      <c r="F53" t="s">
        <v>12</v>
      </c>
      <c r="G53">
        <v>-21.857600000000001</v>
      </c>
      <c r="H53">
        <v>-68.151499999999999</v>
      </c>
      <c r="I53" t="s">
        <v>66</v>
      </c>
      <c r="J53" s="2">
        <f>Table1[[#This Row],[Capacity (MW)]]*8760*0.82*10^-6</f>
        <v>0.11852279999999998</v>
      </c>
      <c r="K53">
        <f>0</f>
        <v>0</v>
      </c>
      <c r="L53">
        <f>0</f>
        <v>0</v>
      </c>
    </row>
    <row r="54" spans="1:12" x14ac:dyDescent="0.35">
      <c r="A54" t="s">
        <v>67</v>
      </c>
      <c r="B54" t="s">
        <v>15</v>
      </c>
      <c r="C54">
        <v>16.5</v>
      </c>
      <c r="D54" t="s">
        <v>11</v>
      </c>
      <c r="E54">
        <v>2021</v>
      </c>
      <c r="F54" t="s">
        <v>12</v>
      </c>
      <c r="G54">
        <v>-21.857600000000001</v>
      </c>
      <c r="H54">
        <v>-68.151499999999999</v>
      </c>
      <c r="I54" t="s">
        <v>66</v>
      </c>
      <c r="J54" s="2">
        <f>Table1[[#This Row],[Capacity (MW)]]*8760*0.82*10^-6</f>
        <v>0.11852279999999998</v>
      </c>
      <c r="K54">
        <f>0</f>
        <v>0</v>
      </c>
      <c r="L54">
        <f>0</f>
        <v>0</v>
      </c>
    </row>
    <row r="55" spans="1:12" x14ac:dyDescent="0.35">
      <c r="A55" t="s">
        <v>68</v>
      </c>
      <c r="B55" t="s">
        <v>10</v>
      </c>
      <c r="C55">
        <v>30</v>
      </c>
      <c r="D55" t="s">
        <v>11</v>
      </c>
      <c r="E55">
        <v>1982</v>
      </c>
      <c r="F55" t="s">
        <v>12</v>
      </c>
      <c r="G55">
        <v>32.398499999999999</v>
      </c>
      <c r="H55">
        <v>-115.2379</v>
      </c>
      <c r="I55" t="s">
        <v>69</v>
      </c>
      <c r="J55" s="2">
        <f>Table1[[#This Row],[Capacity (MW)]]*8760*0.82*10^-6</f>
        <v>0.21549599999999999</v>
      </c>
      <c r="K55">
        <f>0</f>
        <v>0</v>
      </c>
      <c r="L55">
        <f>0</f>
        <v>0</v>
      </c>
    </row>
    <row r="56" spans="1:12" x14ac:dyDescent="0.35">
      <c r="A56" t="s">
        <v>68</v>
      </c>
      <c r="B56" t="s">
        <v>19</v>
      </c>
      <c r="C56">
        <v>110</v>
      </c>
      <c r="D56" t="s">
        <v>11</v>
      </c>
      <c r="E56">
        <v>1986</v>
      </c>
      <c r="F56" t="s">
        <v>12</v>
      </c>
      <c r="G56">
        <v>32.404699999999998</v>
      </c>
      <c r="H56">
        <v>-115.21129999999999</v>
      </c>
      <c r="I56" t="s">
        <v>69</v>
      </c>
      <c r="J56" s="2">
        <f>Table1[[#This Row],[Capacity (MW)]]*8760*0.82*10^-6</f>
        <v>0.79015199999999997</v>
      </c>
      <c r="K56">
        <f>0</f>
        <v>0</v>
      </c>
      <c r="L56">
        <f>0</f>
        <v>0</v>
      </c>
    </row>
    <row r="57" spans="1:12" x14ac:dyDescent="0.35">
      <c r="A57" t="s">
        <v>68</v>
      </c>
      <c r="B57" t="s">
        <v>19</v>
      </c>
      <c r="C57">
        <v>110</v>
      </c>
      <c r="D57" t="s">
        <v>11</v>
      </c>
      <c r="E57">
        <v>1987</v>
      </c>
      <c r="F57" t="s">
        <v>12</v>
      </c>
      <c r="G57">
        <v>32.404699999999998</v>
      </c>
      <c r="H57">
        <v>-115.21129999999999</v>
      </c>
      <c r="I57" t="s">
        <v>69</v>
      </c>
      <c r="J57" s="2">
        <f>Table1[[#This Row],[Capacity (MW)]]*8760*0.82*10^-6</f>
        <v>0.79015199999999997</v>
      </c>
      <c r="K57">
        <f>0</f>
        <v>0</v>
      </c>
      <c r="L57">
        <f>0</f>
        <v>0</v>
      </c>
    </row>
    <row r="58" spans="1:12" x14ac:dyDescent="0.35">
      <c r="A58" t="s">
        <v>68</v>
      </c>
      <c r="B58" t="s">
        <v>19</v>
      </c>
      <c r="C58">
        <v>110</v>
      </c>
      <c r="D58" t="s">
        <v>11</v>
      </c>
      <c r="E58">
        <v>1986</v>
      </c>
      <c r="F58" t="s">
        <v>12</v>
      </c>
      <c r="G58">
        <v>32.412599999999998</v>
      </c>
      <c r="H58">
        <v>-115.2433</v>
      </c>
      <c r="I58" t="s">
        <v>69</v>
      </c>
      <c r="J58" s="2">
        <f>Table1[[#This Row],[Capacity (MW)]]*8760*0.82*10^-6</f>
        <v>0.79015199999999997</v>
      </c>
      <c r="K58">
        <f>0</f>
        <v>0</v>
      </c>
      <c r="L58">
        <f>0</f>
        <v>0</v>
      </c>
    </row>
    <row r="59" spans="1:12" x14ac:dyDescent="0.35">
      <c r="A59" t="s">
        <v>68</v>
      </c>
      <c r="B59" t="s">
        <v>19</v>
      </c>
      <c r="C59">
        <v>110</v>
      </c>
      <c r="D59" t="s">
        <v>11</v>
      </c>
      <c r="E59">
        <v>1987</v>
      </c>
      <c r="F59" t="s">
        <v>12</v>
      </c>
      <c r="G59">
        <v>32.412599999999998</v>
      </c>
      <c r="H59">
        <v>-115.2433</v>
      </c>
      <c r="I59" t="s">
        <v>69</v>
      </c>
      <c r="J59" s="2">
        <f>Table1[[#This Row],[Capacity (MW)]]*8760*0.82*10^-6</f>
        <v>0.79015199999999997</v>
      </c>
      <c r="K59">
        <f>0</f>
        <v>0</v>
      </c>
      <c r="L59">
        <f>0</f>
        <v>0</v>
      </c>
    </row>
    <row r="60" spans="1:12" x14ac:dyDescent="0.35">
      <c r="A60" t="s">
        <v>68</v>
      </c>
      <c r="B60" t="s">
        <v>19</v>
      </c>
      <c r="C60">
        <v>50</v>
      </c>
      <c r="D60" t="s">
        <v>11</v>
      </c>
      <c r="E60">
        <v>2012</v>
      </c>
      <c r="F60" t="s">
        <v>12</v>
      </c>
      <c r="G60">
        <v>32.391693699999998</v>
      </c>
      <c r="H60">
        <v>-115.26914859999999</v>
      </c>
      <c r="I60" t="s">
        <v>69</v>
      </c>
      <c r="J60" s="2">
        <f>Table1[[#This Row],[Capacity (MW)]]*8760*0.82*10^-6</f>
        <v>0.35915999999999998</v>
      </c>
      <c r="K60">
        <f>0</f>
        <v>0</v>
      </c>
      <c r="L60">
        <f>0</f>
        <v>0</v>
      </c>
    </row>
    <row r="61" spans="1:12" x14ac:dyDescent="0.35">
      <c r="A61" t="s">
        <v>68</v>
      </c>
      <c r="B61" t="s">
        <v>19</v>
      </c>
      <c r="C61">
        <v>50</v>
      </c>
      <c r="D61" t="s">
        <v>11</v>
      </c>
      <c r="E61">
        <v>2012</v>
      </c>
      <c r="F61" t="s">
        <v>12</v>
      </c>
      <c r="G61">
        <v>32.391693699999998</v>
      </c>
      <c r="H61">
        <v>-115.26914859999999</v>
      </c>
      <c r="I61" t="s">
        <v>69</v>
      </c>
      <c r="J61" s="2">
        <f>Table1[[#This Row],[Capacity (MW)]]*8760*0.82*10^-6</f>
        <v>0.35915999999999998</v>
      </c>
      <c r="K61">
        <f>0</f>
        <v>0</v>
      </c>
      <c r="L61">
        <f>0</f>
        <v>0</v>
      </c>
    </row>
    <row r="62" spans="1:12" x14ac:dyDescent="0.35">
      <c r="A62" t="s">
        <v>70</v>
      </c>
      <c r="B62" t="s">
        <v>21</v>
      </c>
      <c r="C62">
        <v>50</v>
      </c>
      <c r="D62" t="s">
        <v>16</v>
      </c>
      <c r="E62">
        <v>2026</v>
      </c>
      <c r="F62" t="s">
        <v>12</v>
      </c>
      <c r="G62">
        <v>0.45989999999999998</v>
      </c>
      <c r="H62">
        <v>-78.236400000000003</v>
      </c>
      <c r="I62" t="s">
        <v>71</v>
      </c>
      <c r="J62" s="2">
        <f>Table1[[#This Row],[Capacity (MW)]]*8760*0.82*10^-6</f>
        <v>0.35915999999999998</v>
      </c>
      <c r="K62">
        <f>0</f>
        <v>0</v>
      </c>
      <c r="L62">
        <f>0</f>
        <v>0</v>
      </c>
    </row>
    <row r="63" spans="1:12" x14ac:dyDescent="0.35">
      <c r="A63" t="s">
        <v>72</v>
      </c>
      <c r="B63" t="s">
        <v>21</v>
      </c>
      <c r="C63">
        <v>115</v>
      </c>
      <c r="D63" t="s">
        <v>73</v>
      </c>
      <c r="E63" t="s">
        <v>12</v>
      </c>
      <c r="F63" t="s">
        <v>12</v>
      </c>
      <c r="G63">
        <v>39.532200000000003</v>
      </c>
      <c r="H63">
        <v>-118.25449999999999</v>
      </c>
      <c r="I63" t="s">
        <v>39</v>
      </c>
      <c r="J63" s="2">
        <f>Table1[[#This Row],[Capacity (MW)]]*8760*0.82*10^-6</f>
        <v>0.82606799999999991</v>
      </c>
      <c r="K63">
        <f>0</f>
        <v>0</v>
      </c>
      <c r="L63">
        <f>0</f>
        <v>0</v>
      </c>
    </row>
    <row r="64" spans="1:12" x14ac:dyDescent="0.35">
      <c r="A64" t="s">
        <v>38</v>
      </c>
      <c r="B64" t="s">
        <v>31</v>
      </c>
      <c r="C64">
        <v>110</v>
      </c>
      <c r="D64" t="s">
        <v>11</v>
      </c>
      <c r="E64">
        <v>1979</v>
      </c>
      <c r="F64" t="s">
        <v>12</v>
      </c>
      <c r="G64">
        <v>38.777000000000001</v>
      </c>
      <c r="H64">
        <v>-122.745</v>
      </c>
      <c r="I64" t="s">
        <v>39</v>
      </c>
      <c r="J64" s="2">
        <f>Table1[[#This Row],[Capacity (MW)]]*8760*0.82*10^-6</f>
        <v>0.79015199999999997</v>
      </c>
      <c r="K64">
        <f>0</f>
        <v>0</v>
      </c>
      <c r="L64">
        <f>0</f>
        <v>0</v>
      </c>
    </row>
    <row r="65" spans="1:12" x14ac:dyDescent="0.35">
      <c r="A65" t="s">
        <v>74</v>
      </c>
      <c r="B65" t="s">
        <v>21</v>
      </c>
      <c r="C65">
        <v>33</v>
      </c>
      <c r="D65" t="s">
        <v>16</v>
      </c>
      <c r="E65" t="s">
        <v>12</v>
      </c>
      <c r="F65" t="s">
        <v>12</v>
      </c>
      <c r="G65">
        <v>7.1818999999999997</v>
      </c>
      <c r="H65">
        <v>38.437100000000001</v>
      </c>
      <c r="I65" t="s">
        <v>24</v>
      </c>
      <c r="J65" s="2">
        <f>Table1[[#This Row],[Capacity (MW)]]*8760*0.82*10^-6</f>
        <v>0.23704559999999997</v>
      </c>
      <c r="K65">
        <f>0</f>
        <v>0</v>
      </c>
      <c r="L65">
        <f>0</f>
        <v>0</v>
      </c>
    </row>
    <row r="66" spans="1:12" x14ac:dyDescent="0.35">
      <c r="A66" t="s">
        <v>75</v>
      </c>
      <c r="B66" t="s">
        <v>21</v>
      </c>
      <c r="C66">
        <v>33</v>
      </c>
      <c r="D66" t="s">
        <v>16</v>
      </c>
      <c r="E66" t="s">
        <v>12</v>
      </c>
      <c r="F66" t="s">
        <v>12</v>
      </c>
      <c r="G66">
        <v>7.1818999999999997</v>
      </c>
      <c r="H66">
        <v>38.437100000000001</v>
      </c>
      <c r="I66" t="s">
        <v>24</v>
      </c>
      <c r="J66" s="2">
        <f>Table1[[#This Row],[Capacity (MW)]]*8760*0.82*10^-6</f>
        <v>0.23704559999999997</v>
      </c>
      <c r="K66">
        <f>0</f>
        <v>0</v>
      </c>
      <c r="L66">
        <f>0</f>
        <v>0</v>
      </c>
    </row>
    <row r="67" spans="1:12" x14ac:dyDescent="0.35">
      <c r="A67" t="s">
        <v>76</v>
      </c>
      <c r="B67" t="s">
        <v>21</v>
      </c>
      <c r="C67">
        <v>33</v>
      </c>
      <c r="D67" t="s">
        <v>16</v>
      </c>
      <c r="E67" t="s">
        <v>12</v>
      </c>
      <c r="F67" t="s">
        <v>12</v>
      </c>
      <c r="G67">
        <v>7.1818999999999997</v>
      </c>
      <c r="H67">
        <v>38.437100000000001</v>
      </c>
      <c r="I67" t="s">
        <v>24</v>
      </c>
      <c r="J67" s="2">
        <f>Table1[[#This Row],[Capacity (MW)]]*8760*0.82*10^-6</f>
        <v>0.23704559999999997</v>
      </c>
      <c r="K67">
        <f>0</f>
        <v>0</v>
      </c>
      <c r="L67">
        <f>0</f>
        <v>0</v>
      </c>
    </row>
    <row r="68" spans="1:12" x14ac:dyDescent="0.35">
      <c r="A68" t="s">
        <v>74</v>
      </c>
      <c r="B68" t="s">
        <v>21</v>
      </c>
      <c r="C68">
        <v>16.5</v>
      </c>
      <c r="D68" t="s">
        <v>16</v>
      </c>
      <c r="E68">
        <v>2027</v>
      </c>
      <c r="F68" t="s">
        <v>12</v>
      </c>
      <c r="G68">
        <v>7.1818999999999997</v>
      </c>
      <c r="H68">
        <v>38.437100000000001</v>
      </c>
      <c r="I68" t="s">
        <v>24</v>
      </c>
      <c r="J68" s="2">
        <f>Table1[[#This Row],[Capacity (MW)]]*8760*0.82*10^-6</f>
        <v>0.11852279999999998</v>
      </c>
      <c r="K68">
        <f>0</f>
        <v>0</v>
      </c>
      <c r="L68">
        <f>0</f>
        <v>0</v>
      </c>
    </row>
    <row r="69" spans="1:12" x14ac:dyDescent="0.35">
      <c r="A69" t="s">
        <v>75</v>
      </c>
      <c r="B69" t="s">
        <v>21</v>
      </c>
      <c r="C69">
        <v>16.5</v>
      </c>
      <c r="D69" t="s">
        <v>16</v>
      </c>
      <c r="E69">
        <v>2027</v>
      </c>
      <c r="F69" t="s">
        <v>12</v>
      </c>
      <c r="G69">
        <v>7.1818999999999997</v>
      </c>
      <c r="H69">
        <v>38.437100000000001</v>
      </c>
      <c r="I69" t="s">
        <v>24</v>
      </c>
      <c r="J69" s="2">
        <f>Table1[[#This Row],[Capacity (MW)]]*8760*0.82*10^-6</f>
        <v>0.11852279999999998</v>
      </c>
      <c r="K69">
        <f>0</f>
        <v>0</v>
      </c>
      <c r="L69">
        <f>0</f>
        <v>0</v>
      </c>
    </row>
    <row r="70" spans="1:12" x14ac:dyDescent="0.35">
      <c r="A70" t="s">
        <v>76</v>
      </c>
      <c r="B70" t="s">
        <v>21</v>
      </c>
      <c r="C70">
        <v>16.5</v>
      </c>
      <c r="D70" t="s">
        <v>16</v>
      </c>
      <c r="E70">
        <v>2027</v>
      </c>
      <c r="F70" t="s">
        <v>12</v>
      </c>
      <c r="G70">
        <v>7.1818999999999997</v>
      </c>
      <c r="H70">
        <v>38.437100000000001</v>
      </c>
      <c r="I70" t="s">
        <v>24</v>
      </c>
      <c r="J70" s="2">
        <f>Table1[[#This Row],[Capacity (MW)]]*8760*0.82*10^-6</f>
        <v>0.11852279999999998</v>
      </c>
      <c r="K70">
        <f>0</f>
        <v>0</v>
      </c>
      <c r="L70">
        <f>0</f>
        <v>0</v>
      </c>
    </row>
    <row r="71" spans="1:12" x14ac:dyDescent="0.35">
      <c r="A71" t="s">
        <v>77</v>
      </c>
      <c r="B71" t="s">
        <v>19</v>
      </c>
      <c r="C71">
        <v>90</v>
      </c>
      <c r="D71" t="s">
        <v>11</v>
      </c>
      <c r="E71">
        <v>1987</v>
      </c>
      <c r="F71" t="s">
        <v>12</v>
      </c>
      <c r="G71">
        <v>36.037199999999999</v>
      </c>
      <c r="H71">
        <v>-117.79810000000001</v>
      </c>
      <c r="I71" t="s">
        <v>39</v>
      </c>
      <c r="J71" s="2">
        <f>Table1[[#This Row],[Capacity (MW)]]*8760*0.82*10^-6</f>
        <v>0.64648799999999995</v>
      </c>
      <c r="K71">
        <f>0</f>
        <v>0</v>
      </c>
      <c r="L71">
        <f>0</f>
        <v>0</v>
      </c>
    </row>
    <row r="72" spans="1:12" x14ac:dyDescent="0.35">
      <c r="A72" t="s">
        <v>78</v>
      </c>
      <c r="B72" t="s">
        <v>21</v>
      </c>
      <c r="C72">
        <v>15</v>
      </c>
      <c r="D72" t="s">
        <v>28</v>
      </c>
      <c r="E72" t="s">
        <v>12</v>
      </c>
      <c r="F72" t="s">
        <v>12</v>
      </c>
      <c r="G72">
        <v>42.177399999999999</v>
      </c>
      <c r="H72">
        <v>-119.8986</v>
      </c>
      <c r="I72" t="s">
        <v>39</v>
      </c>
      <c r="J72" s="2">
        <f>Table1[[#This Row],[Capacity (MW)]]*8760*0.82*10^-6</f>
        <v>0.107748</v>
      </c>
      <c r="K72">
        <f>0</f>
        <v>0</v>
      </c>
      <c r="L72">
        <f>0</f>
        <v>0</v>
      </c>
    </row>
    <row r="73" spans="1:12" x14ac:dyDescent="0.35">
      <c r="A73" t="s">
        <v>47</v>
      </c>
      <c r="B73" t="s">
        <v>21</v>
      </c>
      <c r="C73">
        <v>15</v>
      </c>
      <c r="D73" t="s">
        <v>28</v>
      </c>
      <c r="E73" t="s">
        <v>12</v>
      </c>
      <c r="F73" t="s">
        <v>12</v>
      </c>
      <c r="G73">
        <v>42.177399999999999</v>
      </c>
      <c r="H73">
        <v>-119.8986</v>
      </c>
      <c r="I73" t="s">
        <v>39</v>
      </c>
      <c r="J73" s="2">
        <f>Table1[[#This Row],[Capacity (MW)]]*8760*0.82*10^-6</f>
        <v>0.107748</v>
      </c>
      <c r="K73">
        <f>0</f>
        <v>0</v>
      </c>
      <c r="L73">
        <f>0</f>
        <v>0</v>
      </c>
    </row>
    <row r="74" spans="1:12" x14ac:dyDescent="0.35">
      <c r="A74" t="s">
        <v>12</v>
      </c>
      <c r="B74" t="s">
        <v>21</v>
      </c>
      <c r="C74">
        <v>395</v>
      </c>
      <c r="D74" t="s">
        <v>79</v>
      </c>
      <c r="E74" t="s">
        <v>12</v>
      </c>
      <c r="F74" t="s">
        <v>12</v>
      </c>
      <c r="G74">
        <v>40.595300000000002</v>
      </c>
      <c r="H74">
        <v>-104.60080000000001</v>
      </c>
      <c r="I74" t="s">
        <v>39</v>
      </c>
      <c r="J74" s="2">
        <f>Table1[[#This Row],[Capacity (MW)]]*8760*0.82*10^-6</f>
        <v>2.837364</v>
      </c>
      <c r="K74">
        <f>0</f>
        <v>0</v>
      </c>
      <c r="L74">
        <f>0</f>
        <v>0</v>
      </c>
    </row>
    <row r="75" spans="1:12" x14ac:dyDescent="0.35">
      <c r="A75" t="s">
        <v>80</v>
      </c>
      <c r="B75" t="s">
        <v>45</v>
      </c>
      <c r="C75">
        <v>51</v>
      </c>
      <c r="D75" t="s">
        <v>79</v>
      </c>
      <c r="E75" t="s">
        <v>12</v>
      </c>
      <c r="F75" t="s">
        <v>12</v>
      </c>
      <c r="G75">
        <v>16.581547199999999</v>
      </c>
      <c r="H75">
        <v>120.722618</v>
      </c>
      <c r="I75" t="s">
        <v>26</v>
      </c>
      <c r="J75" s="2">
        <f>Table1[[#This Row],[Capacity (MW)]]*8760*0.82*10^-6</f>
        <v>0.36634319999999992</v>
      </c>
      <c r="K75">
        <f>0</f>
        <v>0</v>
      </c>
      <c r="L75">
        <f>0</f>
        <v>0</v>
      </c>
    </row>
    <row r="76" spans="1:12" x14ac:dyDescent="0.35">
      <c r="A76" t="s">
        <v>81</v>
      </c>
      <c r="B76" t="s">
        <v>21</v>
      </c>
      <c r="C76">
        <v>121</v>
      </c>
      <c r="D76" t="s">
        <v>11</v>
      </c>
      <c r="E76">
        <v>2009</v>
      </c>
      <c r="F76" t="s">
        <v>12</v>
      </c>
      <c r="G76">
        <v>-7.2172999999999998</v>
      </c>
      <c r="H76">
        <v>107.7394</v>
      </c>
      <c r="I76" t="s">
        <v>29</v>
      </c>
      <c r="J76" s="2">
        <f>Table1[[#This Row],[Capacity (MW)]]*8760*0.82*10^-6</f>
        <v>0.86916719999999992</v>
      </c>
      <c r="K76">
        <f>0</f>
        <v>0</v>
      </c>
      <c r="L76">
        <f>0</f>
        <v>0</v>
      </c>
    </row>
    <row r="77" spans="1:12" x14ac:dyDescent="0.35">
      <c r="A77" t="s">
        <v>81</v>
      </c>
      <c r="B77" t="s">
        <v>21</v>
      </c>
      <c r="C77">
        <v>90</v>
      </c>
      <c r="D77" t="s">
        <v>11</v>
      </c>
      <c r="E77">
        <v>2000</v>
      </c>
      <c r="F77" t="s">
        <v>12</v>
      </c>
      <c r="G77">
        <v>-7.2172999999999998</v>
      </c>
      <c r="H77">
        <v>107.7394</v>
      </c>
      <c r="I77" t="s">
        <v>29</v>
      </c>
      <c r="J77" s="2">
        <f>Table1[[#This Row],[Capacity (MW)]]*8760*0.82*10^-6</f>
        <v>0.64648799999999995</v>
      </c>
      <c r="K77">
        <f>0</f>
        <v>0</v>
      </c>
      <c r="L77">
        <f>0</f>
        <v>0</v>
      </c>
    </row>
    <row r="78" spans="1:12" x14ac:dyDescent="0.35">
      <c r="A78" t="s">
        <v>81</v>
      </c>
      <c r="B78" t="s">
        <v>31</v>
      </c>
      <c r="C78">
        <v>55</v>
      </c>
      <c r="D78" t="s">
        <v>11</v>
      </c>
      <c r="E78">
        <v>1994</v>
      </c>
      <c r="F78" t="s">
        <v>12</v>
      </c>
      <c r="G78">
        <v>-7.2172999999999998</v>
      </c>
      <c r="H78">
        <v>107.7394</v>
      </c>
      <c r="I78" t="s">
        <v>29</v>
      </c>
      <c r="J78" s="2">
        <f>Table1[[#This Row],[Capacity (MW)]]*8760*0.82*10^-6</f>
        <v>0.39507599999999998</v>
      </c>
      <c r="K78">
        <f>0</f>
        <v>0</v>
      </c>
      <c r="L78">
        <f>0</f>
        <v>0</v>
      </c>
    </row>
    <row r="79" spans="1:12" x14ac:dyDescent="0.35">
      <c r="A79" t="s">
        <v>25</v>
      </c>
      <c r="B79" t="s">
        <v>21</v>
      </c>
      <c r="C79">
        <v>40</v>
      </c>
      <c r="D79" t="s">
        <v>79</v>
      </c>
      <c r="E79">
        <v>2025</v>
      </c>
      <c r="F79" t="s">
        <v>12</v>
      </c>
      <c r="G79">
        <v>9.2303999999999995</v>
      </c>
      <c r="H79">
        <v>123.2008</v>
      </c>
      <c r="I79" t="s">
        <v>26</v>
      </c>
      <c r="J79" s="2">
        <f>Table1[[#This Row],[Capacity (MW)]]*8760*0.82*10^-6</f>
        <v>0.28732799999999997</v>
      </c>
      <c r="K79">
        <f>0</f>
        <v>0</v>
      </c>
      <c r="L79">
        <f>0</f>
        <v>0</v>
      </c>
    </row>
    <row r="80" spans="1:12" x14ac:dyDescent="0.35">
      <c r="A80" t="s">
        <v>64</v>
      </c>
      <c r="B80" t="s">
        <v>19</v>
      </c>
      <c r="C80">
        <v>46</v>
      </c>
      <c r="D80" t="s">
        <v>11</v>
      </c>
      <c r="E80">
        <v>1988</v>
      </c>
      <c r="F80" t="s">
        <v>12</v>
      </c>
      <c r="G80">
        <v>33.1646</v>
      </c>
      <c r="H80">
        <v>-115.616</v>
      </c>
      <c r="I80" t="s">
        <v>39</v>
      </c>
      <c r="J80" s="2">
        <f>Table1[[#This Row],[Capacity (MW)]]*8760*0.82*10^-6</f>
        <v>0.33042719999999992</v>
      </c>
      <c r="K80">
        <f>0</f>
        <v>0</v>
      </c>
      <c r="L80">
        <f>0</f>
        <v>0</v>
      </c>
    </row>
    <row r="81" spans="1:12" x14ac:dyDescent="0.35">
      <c r="A81" t="s">
        <v>82</v>
      </c>
      <c r="B81" t="s">
        <v>21</v>
      </c>
      <c r="C81">
        <v>270</v>
      </c>
      <c r="D81" t="s">
        <v>79</v>
      </c>
      <c r="E81">
        <v>2030</v>
      </c>
      <c r="F81" t="s">
        <v>12</v>
      </c>
      <c r="G81">
        <v>-7.2260999999999997</v>
      </c>
      <c r="H81">
        <v>109.89749999999999</v>
      </c>
      <c r="I81" t="s">
        <v>29</v>
      </c>
      <c r="J81" s="2">
        <f>Table1[[#This Row],[Capacity (MW)]]*8760*0.82*10^-6</f>
        <v>1.9394639999999999</v>
      </c>
      <c r="K81">
        <f>0</f>
        <v>0</v>
      </c>
      <c r="L81">
        <f>0</f>
        <v>0</v>
      </c>
    </row>
    <row r="82" spans="1:12" x14ac:dyDescent="0.35">
      <c r="A82" t="s">
        <v>82</v>
      </c>
      <c r="B82" t="s">
        <v>10</v>
      </c>
      <c r="C82">
        <v>60</v>
      </c>
      <c r="D82" t="s">
        <v>11</v>
      </c>
      <c r="E82">
        <v>1998</v>
      </c>
      <c r="F82" t="s">
        <v>12</v>
      </c>
      <c r="G82">
        <v>-7.2260999999999997</v>
      </c>
      <c r="H82">
        <v>109.89749999999999</v>
      </c>
      <c r="I82" t="s">
        <v>29</v>
      </c>
      <c r="J82" s="2">
        <f>Table1[[#This Row],[Capacity (MW)]]*8760*0.82*10^-6</f>
        <v>0.43099199999999999</v>
      </c>
      <c r="K82">
        <f>0</f>
        <v>0</v>
      </c>
      <c r="L82">
        <f>0</f>
        <v>0</v>
      </c>
    </row>
    <row r="83" spans="1:12" x14ac:dyDescent="0.35">
      <c r="A83" t="s">
        <v>82</v>
      </c>
      <c r="B83" t="s">
        <v>21</v>
      </c>
      <c r="C83">
        <v>55</v>
      </c>
      <c r="D83" t="s">
        <v>23</v>
      </c>
      <c r="E83">
        <v>2025</v>
      </c>
      <c r="F83" t="s">
        <v>12</v>
      </c>
      <c r="G83">
        <v>-7.2260999999999997</v>
      </c>
      <c r="H83">
        <v>109.89749999999999</v>
      </c>
      <c r="I83" t="s">
        <v>29</v>
      </c>
      <c r="J83" s="2">
        <f>Table1[[#This Row],[Capacity (MW)]]*8760*0.82*10^-6</f>
        <v>0.39507599999999998</v>
      </c>
      <c r="K83">
        <f>0</f>
        <v>0</v>
      </c>
      <c r="L83">
        <f>0</f>
        <v>0</v>
      </c>
    </row>
    <row r="84" spans="1:12" x14ac:dyDescent="0.35">
      <c r="A84" t="s">
        <v>82</v>
      </c>
      <c r="B84" t="s">
        <v>21</v>
      </c>
      <c r="C84">
        <v>55</v>
      </c>
      <c r="D84" t="s">
        <v>16</v>
      </c>
      <c r="E84">
        <v>2025</v>
      </c>
      <c r="F84" t="s">
        <v>12</v>
      </c>
      <c r="G84">
        <v>-7.2260999999999997</v>
      </c>
      <c r="H84">
        <v>109.89749999999999</v>
      </c>
      <c r="I84" t="s">
        <v>29</v>
      </c>
      <c r="J84" s="2">
        <f>Table1[[#This Row],[Capacity (MW)]]*8760*0.82*10^-6</f>
        <v>0.39507599999999998</v>
      </c>
      <c r="K84">
        <f>0</f>
        <v>0</v>
      </c>
      <c r="L84">
        <f>0</f>
        <v>0</v>
      </c>
    </row>
    <row r="85" spans="1:12" x14ac:dyDescent="0.35">
      <c r="A85" t="s">
        <v>47</v>
      </c>
      <c r="B85" t="s">
        <v>15</v>
      </c>
      <c r="C85">
        <v>30</v>
      </c>
      <c r="D85" t="s">
        <v>51</v>
      </c>
      <c r="E85" t="s">
        <v>12</v>
      </c>
      <c r="F85" t="s">
        <v>12</v>
      </c>
      <c r="G85">
        <v>39.790500000000002</v>
      </c>
      <c r="H85">
        <v>-118.0812</v>
      </c>
      <c r="I85" t="s">
        <v>39</v>
      </c>
      <c r="J85" s="2">
        <f>Table1[[#This Row],[Capacity (MW)]]*8760*0.82*10^-6</f>
        <v>0.21549599999999999</v>
      </c>
      <c r="K85">
        <f>0</f>
        <v>0</v>
      </c>
      <c r="L85">
        <f>0</f>
        <v>0</v>
      </c>
    </row>
    <row r="86" spans="1:12" x14ac:dyDescent="0.35">
      <c r="A86" t="s">
        <v>83</v>
      </c>
      <c r="B86" t="s">
        <v>15</v>
      </c>
      <c r="C86">
        <v>34</v>
      </c>
      <c r="D86" t="s">
        <v>11</v>
      </c>
      <c r="E86">
        <v>2014</v>
      </c>
      <c r="F86" t="s">
        <v>12</v>
      </c>
      <c r="G86">
        <v>37.856999999999999</v>
      </c>
      <c r="H86">
        <v>28.0716</v>
      </c>
      <c r="I86" t="s">
        <v>20</v>
      </c>
      <c r="J86" s="2">
        <f>Table1[[#This Row],[Capacity (MW)]]*8760*0.82*10^-6</f>
        <v>0.24422879999999997</v>
      </c>
      <c r="K86">
        <f>0</f>
        <v>0</v>
      </c>
      <c r="L86">
        <f>0</f>
        <v>0</v>
      </c>
    </row>
    <row r="87" spans="1:12" x14ac:dyDescent="0.35">
      <c r="A87" t="s">
        <v>38</v>
      </c>
      <c r="B87" t="s">
        <v>31</v>
      </c>
      <c r="C87">
        <v>110</v>
      </c>
      <c r="D87" t="s">
        <v>11</v>
      </c>
      <c r="E87">
        <v>1975</v>
      </c>
      <c r="F87" t="s">
        <v>12</v>
      </c>
      <c r="G87">
        <v>38.777000000000001</v>
      </c>
      <c r="H87">
        <v>-122.745</v>
      </c>
      <c r="I87" t="s">
        <v>39</v>
      </c>
      <c r="J87" s="2">
        <f>Table1[[#This Row],[Capacity (MW)]]*8760*0.82*10^-6</f>
        <v>0.79015199999999997</v>
      </c>
      <c r="K87">
        <f>0</f>
        <v>0</v>
      </c>
      <c r="L87">
        <f>0</f>
        <v>0</v>
      </c>
    </row>
    <row r="88" spans="1:12" x14ac:dyDescent="0.35">
      <c r="A88" t="s">
        <v>78</v>
      </c>
      <c r="B88" t="s">
        <v>15</v>
      </c>
      <c r="C88">
        <v>50</v>
      </c>
      <c r="D88" t="s">
        <v>28</v>
      </c>
      <c r="E88" t="s">
        <v>12</v>
      </c>
      <c r="F88" t="s">
        <v>12</v>
      </c>
      <c r="G88">
        <v>33.017200000000003</v>
      </c>
      <c r="H88">
        <v>-115.5108</v>
      </c>
      <c r="I88" t="s">
        <v>39</v>
      </c>
      <c r="J88" s="2">
        <f>Table1[[#This Row],[Capacity (MW)]]*8760*0.82*10^-6</f>
        <v>0.35915999999999998</v>
      </c>
      <c r="K88">
        <f>0</f>
        <v>0</v>
      </c>
      <c r="L88">
        <f>0</f>
        <v>0</v>
      </c>
    </row>
    <row r="89" spans="1:12" x14ac:dyDescent="0.35">
      <c r="A89" t="s">
        <v>84</v>
      </c>
      <c r="B89" t="s">
        <v>21</v>
      </c>
      <c r="C89">
        <v>100</v>
      </c>
      <c r="D89" t="s">
        <v>16</v>
      </c>
      <c r="E89" t="s">
        <v>12</v>
      </c>
      <c r="F89" t="s">
        <v>12</v>
      </c>
      <c r="G89">
        <v>-0.91164429999999996</v>
      </c>
      <c r="H89">
        <v>36.330499600000003</v>
      </c>
      <c r="I89" t="s">
        <v>17</v>
      </c>
      <c r="J89" s="2">
        <f>Table1[[#This Row],[Capacity (MW)]]*8760*0.82*10^-6</f>
        <v>0.71831999999999996</v>
      </c>
      <c r="K89">
        <f>0</f>
        <v>0</v>
      </c>
      <c r="L89">
        <f>0</f>
        <v>0</v>
      </c>
    </row>
    <row r="90" spans="1:12" x14ac:dyDescent="0.35">
      <c r="A90" t="s">
        <v>85</v>
      </c>
      <c r="B90" t="s">
        <v>19</v>
      </c>
      <c r="C90">
        <v>47</v>
      </c>
      <c r="D90" t="s">
        <v>11</v>
      </c>
      <c r="E90">
        <v>2009</v>
      </c>
      <c r="F90" t="s">
        <v>12</v>
      </c>
      <c r="G90">
        <v>37.884799999999998</v>
      </c>
      <c r="H90">
        <v>27.630400000000002</v>
      </c>
      <c r="I90" t="s">
        <v>20</v>
      </c>
      <c r="J90" s="2">
        <f>Table1[[#This Row],[Capacity (MW)]]*8760*0.82*10^-6</f>
        <v>0.33761039999999998</v>
      </c>
      <c r="K90">
        <f>0</f>
        <v>0</v>
      </c>
      <c r="L90">
        <f>0</f>
        <v>0</v>
      </c>
    </row>
    <row r="91" spans="1:12" x14ac:dyDescent="0.35">
      <c r="A91" t="s">
        <v>85</v>
      </c>
      <c r="B91" t="s">
        <v>15</v>
      </c>
      <c r="C91">
        <v>50</v>
      </c>
      <c r="D91" t="s">
        <v>11</v>
      </c>
      <c r="E91">
        <v>2021</v>
      </c>
      <c r="F91" t="s">
        <v>12</v>
      </c>
      <c r="G91">
        <v>37.864400000000003</v>
      </c>
      <c r="H91">
        <v>27.644100000000002</v>
      </c>
      <c r="I91" t="s">
        <v>20</v>
      </c>
      <c r="J91" s="2">
        <f>Table1[[#This Row],[Capacity (MW)]]*8760*0.82*10^-6</f>
        <v>0.35915999999999998</v>
      </c>
      <c r="K91">
        <f>0</f>
        <v>0</v>
      </c>
      <c r="L91">
        <f>0</f>
        <v>0</v>
      </c>
    </row>
    <row r="92" spans="1:12" x14ac:dyDescent="0.35">
      <c r="A92" t="s">
        <v>85</v>
      </c>
      <c r="B92" t="s">
        <v>19</v>
      </c>
      <c r="C92">
        <v>47</v>
      </c>
      <c r="D92" t="s">
        <v>11</v>
      </c>
      <c r="E92">
        <v>2014</v>
      </c>
      <c r="F92" t="s">
        <v>12</v>
      </c>
      <c r="G92">
        <v>37.867400000000004</v>
      </c>
      <c r="H92">
        <v>27.6477</v>
      </c>
      <c r="I92" t="s">
        <v>20</v>
      </c>
      <c r="J92" s="2">
        <f>Table1[[#This Row],[Capacity (MW)]]*8760*0.82*10^-6</f>
        <v>0.33761039999999998</v>
      </c>
      <c r="K92">
        <f>0</f>
        <v>0</v>
      </c>
      <c r="L92">
        <f>0</f>
        <v>0</v>
      </c>
    </row>
    <row r="93" spans="1:12" x14ac:dyDescent="0.35">
      <c r="A93" t="s">
        <v>86</v>
      </c>
      <c r="B93" t="s">
        <v>21</v>
      </c>
      <c r="C93">
        <v>50</v>
      </c>
      <c r="D93" t="s">
        <v>28</v>
      </c>
      <c r="E93" t="s">
        <v>12</v>
      </c>
      <c r="F93" t="s">
        <v>12</v>
      </c>
      <c r="G93">
        <v>63.971299999999999</v>
      </c>
      <c r="H93">
        <v>-22.5838</v>
      </c>
      <c r="I93" t="s">
        <v>42</v>
      </c>
      <c r="J93" s="2">
        <f>Table1[[#This Row],[Capacity (MW)]]*8760*0.82*10^-6</f>
        <v>0.35915999999999998</v>
      </c>
      <c r="K93">
        <f>0</f>
        <v>0</v>
      </c>
      <c r="L93">
        <f>0</f>
        <v>0</v>
      </c>
    </row>
    <row r="94" spans="1:12" x14ac:dyDescent="0.35">
      <c r="A94" t="s">
        <v>64</v>
      </c>
      <c r="B94" t="s">
        <v>19</v>
      </c>
      <c r="C94">
        <v>46</v>
      </c>
      <c r="D94" t="s">
        <v>11</v>
      </c>
      <c r="E94">
        <v>1988</v>
      </c>
      <c r="F94" t="s">
        <v>12</v>
      </c>
      <c r="G94">
        <v>33.177700000000002</v>
      </c>
      <c r="H94">
        <v>-115.6033</v>
      </c>
      <c r="I94" t="s">
        <v>39</v>
      </c>
      <c r="J94" s="2">
        <f>Table1[[#This Row],[Capacity (MW)]]*8760*0.82*10^-6</f>
        <v>0.33042719999999992</v>
      </c>
      <c r="K94">
        <f>0</f>
        <v>0</v>
      </c>
      <c r="L94">
        <f>0</f>
        <v>0</v>
      </c>
    </row>
    <row r="95" spans="1:12" x14ac:dyDescent="0.35">
      <c r="A95" t="s">
        <v>87</v>
      </c>
      <c r="B95" t="s">
        <v>45</v>
      </c>
      <c r="C95">
        <v>140</v>
      </c>
      <c r="D95" t="s">
        <v>16</v>
      </c>
      <c r="E95" t="s">
        <v>12</v>
      </c>
      <c r="F95" t="s">
        <v>12</v>
      </c>
      <c r="G95">
        <v>33.180361599999998</v>
      </c>
      <c r="H95">
        <v>-115.6015972</v>
      </c>
      <c r="I95" t="s">
        <v>39</v>
      </c>
      <c r="J95" s="2">
        <f>Table1[[#This Row],[Capacity (MW)]]*8760*0.82*10^-6</f>
        <v>1.0056479999999999</v>
      </c>
      <c r="K95">
        <f>0</f>
        <v>0</v>
      </c>
      <c r="L95">
        <f>0</f>
        <v>0</v>
      </c>
    </row>
    <row r="96" spans="1:12" x14ac:dyDescent="0.35">
      <c r="A96" t="s">
        <v>88</v>
      </c>
      <c r="B96" t="s">
        <v>21</v>
      </c>
      <c r="C96">
        <v>35</v>
      </c>
      <c r="D96" t="s">
        <v>79</v>
      </c>
      <c r="E96" t="s">
        <v>12</v>
      </c>
      <c r="F96" t="s">
        <v>12</v>
      </c>
      <c r="G96">
        <v>49.139000000000003</v>
      </c>
      <c r="H96">
        <v>-102.9849</v>
      </c>
      <c r="I96" t="s">
        <v>89</v>
      </c>
      <c r="J96" s="2">
        <f>Table1[[#This Row],[Capacity (MW)]]*8760*0.82*10^-6</f>
        <v>0.25141199999999997</v>
      </c>
      <c r="K96">
        <f>0</f>
        <v>0</v>
      </c>
      <c r="L96">
        <f>0</f>
        <v>0</v>
      </c>
    </row>
    <row r="97" spans="1:12" x14ac:dyDescent="0.35">
      <c r="A97" t="s">
        <v>30</v>
      </c>
      <c r="B97" t="s">
        <v>31</v>
      </c>
      <c r="C97">
        <v>60</v>
      </c>
      <c r="D97" t="s">
        <v>11</v>
      </c>
      <c r="E97">
        <v>1995</v>
      </c>
      <c r="F97" t="s">
        <v>12</v>
      </c>
      <c r="G97">
        <v>43.238799999999998</v>
      </c>
      <c r="H97">
        <v>10.9047</v>
      </c>
      <c r="I97" t="s">
        <v>32</v>
      </c>
      <c r="J97" s="2">
        <f>Table1[[#This Row],[Capacity (MW)]]*8760*0.82*10^-6</f>
        <v>0.43099199999999999</v>
      </c>
      <c r="K97">
        <f>0</f>
        <v>0</v>
      </c>
      <c r="L97">
        <f>0</f>
        <v>0</v>
      </c>
    </row>
    <row r="98" spans="1:12" x14ac:dyDescent="0.35">
      <c r="A98" t="s">
        <v>12</v>
      </c>
      <c r="B98" t="s">
        <v>21</v>
      </c>
      <c r="C98">
        <v>50</v>
      </c>
      <c r="D98" t="s">
        <v>28</v>
      </c>
      <c r="E98" t="s">
        <v>12</v>
      </c>
      <c r="F98" t="s">
        <v>12</v>
      </c>
      <c r="G98">
        <v>41.563299999999998</v>
      </c>
      <c r="H98">
        <v>-121.57080000000001</v>
      </c>
      <c r="I98" t="s">
        <v>39</v>
      </c>
      <c r="J98" s="2">
        <f>Table1[[#This Row],[Capacity (MW)]]*8760*0.82*10^-6</f>
        <v>0.35915999999999998</v>
      </c>
      <c r="K98">
        <f>0</f>
        <v>0</v>
      </c>
      <c r="L98">
        <f>0</f>
        <v>0</v>
      </c>
    </row>
    <row r="99" spans="1:12" x14ac:dyDescent="0.35">
      <c r="A99" t="s">
        <v>47</v>
      </c>
      <c r="B99" t="s">
        <v>15</v>
      </c>
      <c r="C99">
        <v>30</v>
      </c>
      <c r="D99" t="s">
        <v>11</v>
      </c>
      <c r="E99">
        <v>2006</v>
      </c>
      <c r="F99" t="s">
        <v>12</v>
      </c>
      <c r="G99">
        <v>39.390799999999999</v>
      </c>
      <c r="H99">
        <v>-119.7546</v>
      </c>
      <c r="I99" t="s">
        <v>39</v>
      </c>
      <c r="J99" s="2">
        <f>Table1[[#This Row],[Capacity (MW)]]*8760*0.82*10^-6</f>
        <v>0.21549599999999999</v>
      </c>
      <c r="K99">
        <f>0</f>
        <v>0</v>
      </c>
      <c r="L99">
        <f>0</f>
        <v>0</v>
      </c>
    </row>
    <row r="100" spans="1:12" x14ac:dyDescent="0.35">
      <c r="A100" t="s">
        <v>90</v>
      </c>
      <c r="B100" t="s">
        <v>21</v>
      </c>
      <c r="C100">
        <v>170</v>
      </c>
      <c r="D100" t="s">
        <v>16</v>
      </c>
      <c r="E100" t="s">
        <v>12</v>
      </c>
      <c r="F100" t="s">
        <v>12</v>
      </c>
      <c r="G100">
        <v>37.837299999999999</v>
      </c>
      <c r="H100">
        <v>27.850300000000001</v>
      </c>
      <c r="I100" t="s">
        <v>20</v>
      </c>
      <c r="J100" s="2">
        <f>Table1[[#This Row],[Capacity (MW)]]*8760*0.82*10^-6</f>
        <v>1.221144</v>
      </c>
      <c r="K100">
        <f>0</f>
        <v>0</v>
      </c>
      <c r="L100">
        <f>0</f>
        <v>0</v>
      </c>
    </row>
    <row r="101" spans="1:12" x14ac:dyDescent="0.35">
      <c r="A101" t="s">
        <v>38</v>
      </c>
      <c r="B101" t="s">
        <v>31</v>
      </c>
      <c r="C101">
        <v>118</v>
      </c>
      <c r="D101" t="s">
        <v>11</v>
      </c>
      <c r="E101">
        <v>1985</v>
      </c>
      <c r="F101" t="s">
        <v>12</v>
      </c>
      <c r="G101">
        <v>38.777000000000001</v>
      </c>
      <c r="H101">
        <v>-122.745</v>
      </c>
      <c r="I101" t="s">
        <v>39</v>
      </c>
      <c r="J101" s="2">
        <f>Table1[[#This Row],[Capacity (MW)]]*8760*0.82*10^-6</f>
        <v>0.84761759999999997</v>
      </c>
      <c r="K101">
        <f>0</f>
        <v>0</v>
      </c>
      <c r="L101">
        <f>0</f>
        <v>0</v>
      </c>
    </row>
    <row r="102" spans="1:12" x14ac:dyDescent="0.35">
      <c r="A102" t="s">
        <v>91</v>
      </c>
      <c r="B102" t="s">
        <v>21</v>
      </c>
      <c r="C102">
        <v>49</v>
      </c>
      <c r="D102" t="s">
        <v>16</v>
      </c>
      <c r="E102" t="s">
        <v>12</v>
      </c>
      <c r="F102" t="s">
        <v>12</v>
      </c>
      <c r="G102">
        <v>37.934600000000003</v>
      </c>
      <c r="H102">
        <v>28.796900000000001</v>
      </c>
      <c r="I102" t="s">
        <v>20</v>
      </c>
      <c r="J102" s="2">
        <f>Table1[[#This Row],[Capacity (MW)]]*8760*0.82*10^-6</f>
        <v>0.35197679999999998</v>
      </c>
      <c r="K102">
        <f>0</f>
        <v>0</v>
      </c>
      <c r="L102">
        <f>0</f>
        <v>0</v>
      </c>
    </row>
    <row r="103" spans="1:12" x14ac:dyDescent="0.35">
      <c r="A103" t="s">
        <v>12</v>
      </c>
      <c r="B103" t="s">
        <v>21</v>
      </c>
      <c r="C103">
        <v>55</v>
      </c>
      <c r="D103" t="s">
        <v>79</v>
      </c>
      <c r="E103">
        <v>2024</v>
      </c>
      <c r="F103" t="s">
        <v>12</v>
      </c>
      <c r="G103">
        <v>-7.0446</v>
      </c>
      <c r="H103">
        <v>110.4037</v>
      </c>
      <c r="I103" t="s">
        <v>29</v>
      </c>
      <c r="J103" s="2">
        <f>Table1[[#This Row],[Capacity (MW)]]*8760*0.82*10^-6</f>
        <v>0.39507599999999998</v>
      </c>
      <c r="K103">
        <f>0</f>
        <v>0</v>
      </c>
      <c r="L103">
        <f>0</f>
        <v>0</v>
      </c>
    </row>
    <row r="104" spans="1:12" x14ac:dyDescent="0.35">
      <c r="A104" t="s">
        <v>92</v>
      </c>
      <c r="B104" t="s">
        <v>21</v>
      </c>
      <c r="C104">
        <v>220</v>
      </c>
      <c r="D104" t="s">
        <v>93</v>
      </c>
      <c r="E104" t="s">
        <v>12</v>
      </c>
      <c r="F104" t="s">
        <v>12</v>
      </c>
      <c r="G104">
        <v>4.8106</v>
      </c>
      <c r="H104">
        <v>96.817099999999996</v>
      </c>
      <c r="I104" t="s">
        <v>29</v>
      </c>
      <c r="J104" s="2">
        <f>Table1[[#This Row],[Capacity (MW)]]*8760*0.82*10^-6</f>
        <v>1.5803039999999999</v>
      </c>
      <c r="K104">
        <f>0</f>
        <v>0</v>
      </c>
      <c r="L104">
        <f>0</f>
        <v>0</v>
      </c>
    </row>
    <row r="105" spans="1:12" x14ac:dyDescent="0.35">
      <c r="A105" t="s">
        <v>94</v>
      </c>
      <c r="B105" t="s">
        <v>10</v>
      </c>
      <c r="C105">
        <v>55</v>
      </c>
      <c r="D105" t="s">
        <v>11</v>
      </c>
      <c r="E105">
        <v>1994</v>
      </c>
      <c r="F105" t="s">
        <v>12</v>
      </c>
      <c r="G105">
        <v>-6.7416</v>
      </c>
      <c r="H105">
        <v>106.648</v>
      </c>
      <c r="I105" t="s">
        <v>29</v>
      </c>
      <c r="J105" s="2">
        <f>Table1[[#This Row],[Capacity (MW)]]*8760*0.82*10^-6</f>
        <v>0.39507599999999998</v>
      </c>
      <c r="K105">
        <f>0</f>
        <v>0</v>
      </c>
      <c r="L105">
        <f>0</f>
        <v>0</v>
      </c>
    </row>
    <row r="106" spans="1:12" x14ac:dyDescent="0.35">
      <c r="A106" t="s">
        <v>95</v>
      </c>
      <c r="B106" t="s">
        <v>10</v>
      </c>
      <c r="C106">
        <v>55</v>
      </c>
      <c r="D106" t="s">
        <v>11</v>
      </c>
      <c r="E106">
        <v>1994</v>
      </c>
      <c r="F106" t="s">
        <v>12</v>
      </c>
      <c r="G106">
        <v>-6.7416</v>
      </c>
      <c r="H106">
        <v>106.648</v>
      </c>
      <c r="I106" t="s">
        <v>29</v>
      </c>
      <c r="J106" s="2">
        <f>Table1[[#This Row],[Capacity (MW)]]*8760*0.82*10^-6</f>
        <v>0.39507599999999998</v>
      </c>
      <c r="K106">
        <f>0</f>
        <v>0</v>
      </c>
      <c r="L106">
        <f>0</f>
        <v>0</v>
      </c>
    </row>
    <row r="107" spans="1:12" x14ac:dyDescent="0.35">
      <c r="A107" t="s">
        <v>81</v>
      </c>
      <c r="B107" t="s">
        <v>10</v>
      </c>
      <c r="C107">
        <v>55</v>
      </c>
      <c r="D107" t="s">
        <v>11</v>
      </c>
      <c r="E107">
        <v>1994</v>
      </c>
      <c r="F107" t="s">
        <v>12</v>
      </c>
      <c r="G107">
        <v>-6.7416</v>
      </c>
      <c r="H107">
        <v>106.648</v>
      </c>
      <c r="I107" t="s">
        <v>29</v>
      </c>
      <c r="J107" s="2">
        <f>Table1[[#This Row],[Capacity (MW)]]*8760*0.82*10^-6</f>
        <v>0.39507599999999998</v>
      </c>
      <c r="K107">
        <f>0</f>
        <v>0</v>
      </c>
      <c r="L107">
        <f>0</f>
        <v>0</v>
      </c>
    </row>
    <row r="108" spans="1:12" x14ac:dyDescent="0.35">
      <c r="A108" t="s">
        <v>96</v>
      </c>
      <c r="B108" t="s">
        <v>10</v>
      </c>
      <c r="C108">
        <v>10.45</v>
      </c>
      <c r="D108" t="s">
        <v>11</v>
      </c>
      <c r="E108">
        <v>1994</v>
      </c>
      <c r="F108" t="s">
        <v>12</v>
      </c>
      <c r="G108">
        <v>-6.7416</v>
      </c>
      <c r="H108">
        <v>106.648</v>
      </c>
      <c r="I108" t="s">
        <v>29</v>
      </c>
      <c r="J108" s="2">
        <f>Table1[[#This Row],[Capacity (MW)]]*8760*0.82*10^-6</f>
        <v>7.5064439999999996E-2</v>
      </c>
      <c r="K108">
        <f>0</f>
        <v>0</v>
      </c>
      <c r="L108">
        <f>0</f>
        <v>0</v>
      </c>
    </row>
    <row r="109" spans="1:12" x14ac:dyDescent="0.35">
      <c r="A109" t="s">
        <v>94</v>
      </c>
      <c r="B109" t="s">
        <v>10</v>
      </c>
      <c r="C109">
        <v>55</v>
      </c>
      <c r="D109" t="s">
        <v>11</v>
      </c>
      <c r="E109">
        <v>1994</v>
      </c>
      <c r="F109" t="s">
        <v>12</v>
      </c>
      <c r="G109">
        <v>-6.7416</v>
      </c>
      <c r="H109">
        <v>106.648</v>
      </c>
      <c r="I109" t="s">
        <v>29</v>
      </c>
      <c r="J109" s="2">
        <f>Table1[[#This Row],[Capacity (MW)]]*8760*0.82*10^-6</f>
        <v>0.39507599999999998</v>
      </c>
      <c r="K109">
        <f>0</f>
        <v>0</v>
      </c>
      <c r="L109">
        <f>0</f>
        <v>0</v>
      </c>
    </row>
    <row r="110" spans="1:12" x14ac:dyDescent="0.35">
      <c r="A110" t="s">
        <v>81</v>
      </c>
      <c r="B110" t="s">
        <v>10</v>
      </c>
      <c r="C110">
        <v>55</v>
      </c>
      <c r="D110" t="s">
        <v>11</v>
      </c>
      <c r="E110">
        <v>1994</v>
      </c>
      <c r="F110" t="s">
        <v>12</v>
      </c>
      <c r="G110">
        <v>-6.7416</v>
      </c>
      <c r="H110">
        <v>106.648</v>
      </c>
      <c r="I110" t="s">
        <v>29</v>
      </c>
      <c r="J110" s="2">
        <f>Table1[[#This Row],[Capacity (MW)]]*8760*0.82*10^-6</f>
        <v>0.39507599999999998</v>
      </c>
      <c r="K110">
        <f>0</f>
        <v>0</v>
      </c>
      <c r="L110">
        <f>0</f>
        <v>0</v>
      </c>
    </row>
    <row r="111" spans="1:12" x14ac:dyDescent="0.35">
      <c r="A111" t="s">
        <v>96</v>
      </c>
      <c r="B111" t="s">
        <v>10</v>
      </c>
      <c r="C111">
        <v>10.45</v>
      </c>
      <c r="D111" t="s">
        <v>11</v>
      </c>
      <c r="E111">
        <v>1994</v>
      </c>
      <c r="F111" t="s">
        <v>12</v>
      </c>
      <c r="G111">
        <v>-6.7416</v>
      </c>
      <c r="H111">
        <v>106.648</v>
      </c>
      <c r="I111" t="s">
        <v>29</v>
      </c>
      <c r="J111" s="2">
        <f>Table1[[#This Row],[Capacity (MW)]]*8760*0.82*10^-6</f>
        <v>7.5064439999999996E-2</v>
      </c>
      <c r="K111">
        <f>0</f>
        <v>0</v>
      </c>
      <c r="L111">
        <f>0</f>
        <v>0</v>
      </c>
    </row>
    <row r="112" spans="1:12" x14ac:dyDescent="0.35">
      <c r="A112" t="s">
        <v>95</v>
      </c>
      <c r="B112" t="s">
        <v>10</v>
      </c>
      <c r="C112">
        <v>55</v>
      </c>
      <c r="D112" t="s">
        <v>11</v>
      </c>
      <c r="E112">
        <v>1994</v>
      </c>
      <c r="F112" t="s">
        <v>12</v>
      </c>
      <c r="G112">
        <v>-6.7416</v>
      </c>
      <c r="H112">
        <v>106.648</v>
      </c>
      <c r="I112" t="s">
        <v>29</v>
      </c>
      <c r="J112" s="2">
        <f>Table1[[#This Row],[Capacity (MW)]]*8760*0.82*10^-6</f>
        <v>0.39507599999999998</v>
      </c>
      <c r="K112">
        <f>0</f>
        <v>0</v>
      </c>
      <c r="L112">
        <f>0</f>
        <v>0</v>
      </c>
    </row>
    <row r="113" spans="1:12" x14ac:dyDescent="0.35">
      <c r="A113" t="s">
        <v>96</v>
      </c>
      <c r="B113" t="s">
        <v>10</v>
      </c>
      <c r="C113">
        <v>10.45</v>
      </c>
      <c r="D113" t="s">
        <v>11</v>
      </c>
      <c r="E113" t="s">
        <v>12</v>
      </c>
      <c r="F113" t="s">
        <v>12</v>
      </c>
      <c r="G113">
        <v>-6.7416</v>
      </c>
      <c r="H113">
        <v>106.648</v>
      </c>
      <c r="I113" t="s">
        <v>29</v>
      </c>
      <c r="J113" s="2">
        <f>Table1[[#This Row],[Capacity (MW)]]*8760*0.82*10^-6</f>
        <v>7.5064439999999996E-2</v>
      </c>
      <c r="K113">
        <f>0</f>
        <v>0</v>
      </c>
      <c r="L113">
        <f>0</f>
        <v>0</v>
      </c>
    </row>
    <row r="114" spans="1:12" x14ac:dyDescent="0.35">
      <c r="A114" t="s">
        <v>95</v>
      </c>
      <c r="B114" t="s">
        <v>10</v>
      </c>
      <c r="C114">
        <v>55</v>
      </c>
      <c r="D114" t="s">
        <v>11</v>
      </c>
      <c r="E114" t="s">
        <v>12</v>
      </c>
      <c r="F114" t="s">
        <v>12</v>
      </c>
      <c r="G114">
        <v>-6.7416</v>
      </c>
      <c r="H114">
        <v>106.648</v>
      </c>
      <c r="I114" t="s">
        <v>29</v>
      </c>
      <c r="J114" s="2">
        <f>Table1[[#This Row],[Capacity (MW)]]*8760*0.82*10^-6</f>
        <v>0.39507599999999998</v>
      </c>
      <c r="K114">
        <f>0</f>
        <v>0</v>
      </c>
      <c r="L114">
        <f>0</f>
        <v>0</v>
      </c>
    </row>
    <row r="115" spans="1:12" x14ac:dyDescent="0.35">
      <c r="A115" t="s">
        <v>94</v>
      </c>
      <c r="B115" t="s">
        <v>10</v>
      </c>
      <c r="C115">
        <v>55</v>
      </c>
      <c r="D115" t="s">
        <v>11</v>
      </c>
      <c r="E115" t="s">
        <v>12</v>
      </c>
      <c r="F115" t="s">
        <v>12</v>
      </c>
      <c r="G115">
        <v>-6.7416</v>
      </c>
      <c r="H115">
        <v>106.648</v>
      </c>
      <c r="I115" t="s">
        <v>29</v>
      </c>
      <c r="J115" s="2">
        <f>Table1[[#This Row],[Capacity (MW)]]*8760*0.82*10^-6</f>
        <v>0.39507599999999998</v>
      </c>
      <c r="K115">
        <f>0</f>
        <v>0</v>
      </c>
      <c r="L115">
        <f>0</f>
        <v>0</v>
      </c>
    </row>
    <row r="116" spans="1:12" x14ac:dyDescent="0.35">
      <c r="A116" t="s">
        <v>81</v>
      </c>
      <c r="B116" t="s">
        <v>10</v>
      </c>
      <c r="C116">
        <v>55</v>
      </c>
      <c r="D116" t="s">
        <v>11</v>
      </c>
      <c r="E116" t="s">
        <v>12</v>
      </c>
      <c r="F116" t="s">
        <v>12</v>
      </c>
      <c r="G116">
        <v>-6.7416</v>
      </c>
      <c r="H116">
        <v>106.648</v>
      </c>
      <c r="I116" t="s">
        <v>29</v>
      </c>
      <c r="J116" s="2">
        <f>Table1[[#This Row],[Capacity (MW)]]*8760*0.82*10^-6</f>
        <v>0.39507599999999998</v>
      </c>
      <c r="K116">
        <f>0</f>
        <v>0</v>
      </c>
      <c r="L116">
        <f>0</f>
        <v>0</v>
      </c>
    </row>
    <row r="117" spans="1:12" x14ac:dyDescent="0.35">
      <c r="A117" t="s">
        <v>96</v>
      </c>
      <c r="B117" t="s">
        <v>15</v>
      </c>
      <c r="C117">
        <v>10.45</v>
      </c>
      <c r="D117" t="s">
        <v>23</v>
      </c>
      <c r="E117" t="s">
        <v>12</v>
      </c>
      <c r="F117" t="s">
        <v>12</v>
      </c>
      <c r="G117">
        <v>-6.7409999999999997</v>
      </c>
      <c r="H117">
        <v>106.673</v>
      </c>
      <c r="I117" t="s">
        <v>29</v>
      </c>
      <c r="J117" s="2">
        <f>Table1[[#This Row],[Capacity (MW)]]*8760*0.82*10^-6</f>
        <v>7.5064439999999996E-2</v>
      </c>
      <c r="K117">
        <f>0</f>
        <v>0</v>
      </c>
      <c r="L117">
        <f>0</f>
        <v>0</v>
      </c>
    </row>
    <row r="118" spans="1:12" x14ac:dyDescent="0.35">
      <c r="A118" t="s">
        <v>81</v>
      </c>
      <c r="B118" t="s">
        <v>15</v>
      </c>
      <c r="C118">
        <v>55</v>
      </c>
      <c r="D118" t="s">
        <v>23</v>
      </c>
      <c r="E118" t="s">
        <v>12</v>
      </c>
      <c r="F118" t="s">
        <v>12</v>
      </c>
      <c r="G118">
        <v>-6.7409999999999997</v>
      </c>
      <c r="H118">
        <v>106.673</v>
      </c>
      <c r="I118" t="s">
        <v>29</v>
      </c>
      <c r="J118" s="2">
        <f>Table1[[#This Row],[Capacity (MW)]]*8760*0.82*10^-6</f>
        <v>0.39507599999999998</v>
      </c>
      <c r="K118">
        <f>0</f>
        <v>0</v>
      </c>
      <c r="L118">
        <f>0</f>
        <v>0</v>
      </c>
    </row>
    <row r="119" spans="1:12" x14ac:dyDescent="0.35">
      <c r="A119" t="s">
        <v>95</v>
      </c>
      <c r="B119" t="s">
        <v>15</v>
      </c>
      <c r="C119">
        <v>55</v>
      </c>
      <c r="D119" t="s">
        <v>23</v>
      </c>
      <c r="E119" t="s">
        <v>12</v>
      </c>
      <c r="F119" t="s">
        <v>12</v>
      </c>
      <c r="G119">
        <v>-6.7409999999999997</v>
      </c>
      <c r="H119">
        <v>106.673</v>
      </c>
      <c r="I119" t="s">
        <v>29</v>
      </c>
      <c r="J119" s="2">
        <f>Table1[[#This Row],[Capacity (MW)]]*8760*0.82*10^-6</f>
        <v>0.39507599999999998</v>
      </c>
      <c r="K119">
        <f>0</f>
        <v>0</v>
      </c>
      <c r="L119">
        <f>0</f>
        <v>0</v>
      </c>
    </row>
    <row r="120" spans="1:12" x14ac:dyDescent="0.35">
      <c r="A120" t="s">
        <v>94</v>
      </c>
      <c r="B120" t="s">
        <v>15</v>
      </c>
      <c r="C120">
        <v>55</v>
      </c>
      <c r="D120" t="s">
        <v>23</v>
      </c>
      <c r="E120" t="s">
        <v>12</v>
      </c>
      <c r="F120" t="s">
        <v>12</v>
      </c>
      <c r="G120">
        <v>-6.7409999999999997</v>
      </c>
      <c r="H120">
        <v>106.673</v>
      </c>
      <c r="I120" t="s">
        <v>29</v>
      </c>
      <c r="J120" s="2">
        <f>Table1[[#This Row],[Capacity (MW)]]*8760*0.82*10^-6</f>
        <v>0.39507599999999998</v>
      </c>
      <c r="K120">
        <f>0</f>
        <v>0</v>
      </c>
      <c r="L120">
        <f>0</f>
        <v>0</v>
      </c>
    </row>
    <row r="121" spans="1:12" x14ac:dyDescent="0.35">
      <c r="A121" t="s">
        <v>95</v>
      </c>
      <c r="B121" t="s">
        <v>10</v>
      </c>
      <c r="C121">
        <v>55</v>
      </c>
      <c r="D121" t="s">
        <v>11</v>
      </c>
      <c r="E121">
        <v>1997</v>
      </c>
      <c r="F121" t="s">
        <v>12</v>
      </c>
      <c r="G121">
        <v>-6.7416</v>
      </c>
      <c r="H121">
        <v>106.648</v>
      </c>
      <c r="I121" t="s">
        <v>29</v>
      </c>
      <c r="J121" s="2">
        <f>Table1[[#This Row],[Capacity (MW)]]*8760*0.82*10^-6</f>
        <v>0.39507599999999998</v>
      </c>
      <c r="K121">
        <f>0</f>
        <v>0</v>
      </c>
      <c r="L121">
        <f>0</f>
        <v>0</v>
      </c>
    </row>
    <row r="122" spans="1:12" x14ac:dyDescent="0.35">
      <c r="A122" t="s">
        <v>94</v>
      </c>
      <c r="B122" t="s">
        <v>10</v>
      </c>
      <c r="C122">
        <v>55</v>
      </c>
      <c r="D122" t="s">
        <v>11</v>
      </c>
      <c r="E122">
        <v>1997</v>
      </c>
      <c r="F122" t="s">
        <v>12</v>
      </c>
      <c r="G122">
        <v>-6.7416</v>
      </c>
      <c r="H122">
        <v>106.648</v>
      </c>
      <c r="I122" t="s">
        <v>29</v>
      </c>
      <c r="J122" s="2">
        <f>Table1[[#This Row],[Capacity (MW)]]*8760*0.82*10^-6</f>
        <v>0.39507599999999998</v>
      </c>
      <c r="K122">
        <f>0</f>
        <v>0</v>
      </c>
      <c r="L122">
        <f>0</f>
        <v>0</v>
      </c>
    </row>
    <row r="123" spans="1:12" x14ac:dyDescent="0.35">
      <c r="A123" t="s">
        <v>96</v>
      </c>
      <c r="B123" t="s">
        <v>10</v>
      </c>
      <c r="C123">
        <v>10.45</v>
      </c>
      <c r="D123" t="s">
        <v>11</v>
      </c>
      <c r="E123">
        <v>1997</v>
      </c>
      <c r="F123" t="s">
        <v>12</v>
      </c>
      <c r="G123">
        <v>-6.7416</v>
      </c>
      <c r="H123">
        <v>106.648</v>
      </c>
      <c r="I123" t="s">
        <v>29</v>
      </c>
      <c r="J123" s="2">
        <f>Table1[[#This Row],[Capacity (MW)]]*8760*0.82*10^-6</f>
        <v>7.5064439999999996E-2</v>
      </c>
      <c r="K123">
        <f>0</f>
        <v>0</v>
      </c>
      <c r="L123">
        <f>0</f>
        <v>0</v>
      </c>
    </row>
    <row r="124" spans="1:12" x14ac:dyDescent="0.35">
      <c r="A124" t="s">
        <v>81</v>
      </c>
      <c r="B124" t="s">
        <v>10</v>
      </c>
      <c r="C124">
        <v>55</v>
      </c>
      <c r="D124" t="s">
        <v>11</v>
      </c>
      <c r="E124">
        <v>1997</v>
      </c>
      <c r="F124" t="s">
        <v>12</v>
      </c>
      <c r="G124">
        <v>-6.7416</v>
      </c>
      <c r="H124">
        <v>106.648</v>
      </c>
      <c r="I124" t="s">
        <v>29</v>
      </c>
      <c r="J124" s="2">
        <f>Table1[[#This Row],[Capacity (MW)]]*8760*0.82*10^-6</f>
        <v>0.39507599999999998</v>
      </c>
      <c r="K124">
        <f>0</f>
        <v>0</v>
      </c>
      <c r="L124">
        <f>0</f>
        <v>0</v>
      </c>
    </row>
    <row r="125" spans="1:12" x14ac:dyDescent="0.35">
      <c r="A125" t="s">
        <v>94</v>
      </c>
      <c r="B125" t="s">
        <v>10</v>
      </c>
      <c r="C125">
        <v>55</v>
      </c>
      <c r="D125" t="s">
        <v>11</v>
      </c>
      <c r="E125">
        <v>1997</v>
      </c>
      <c r="F125" t="s">
        <v>12</v>
      </c>
      <c r="G125">
        <v>-6.7416</v>
      </c>
      <c r="H125">
        <v>106.648</v>
      </c>
      <c r="I125" t="s">
        <v>29</v>
      </c>
      <c r="J125" s="2">
        <f>Table1[[#This Row],[Capacity (MW)]]*8760*0.82*10^-6</f>
        <v>0.39507599999999998</v>
      </c>
      <c r="K125">
        <f>0</f>
        <v>0</v>
      </c>
      <c r="L125">
        <f>0</f>
        <v>0</v>
      </c>
    </row>
    <row r="126" spans="1:12" x14ac:dyDescent="0.35">
      <c r="A126" t="s">
        <v>95</v>
      </c>
      <c r="B126" t="s">
        <v>10</v>
      </c>
      <c r="C126">
        <v>55</v>
      </c>
      <c r="D126" t="s">
        <v>11</v>
      </c>
      <c r="E126">
        <v>1997</v>
      </c>
      <c r="F126" t="s">
        <v>12</v>
      </c>
      <c r="G126">
        <v>-6.7416</v>
      </c>
      <c r="H126">
        <v>106.648</v>
      </c>
      <c r="I126" t="s">
        <v>29</v>
      </c>
      <c r="J126" s="2">
        <f>Table1[[#This Row],[Capacity (MW)]]*8760*0.82*10^-6</f>
        <v>0.39507599999999998</v>
      </c>
      <c r="K126">
        <f>0</f>
        <v>0</v>
      </c>
      <c r="L126">
        <f>0</f>
        <v>0</v>
      </c>
    </row>
    <row r="127" spans="1:12" x14ac:dyDescent="0.35">
      <c r="A127" t="s">
        <v>81</v>
      </c>
      <c r="B127" t="s">
        <v>10</v>
      </c>
      <c r="C127">
        <v>55</v>
      </c>
      <c r="D127" t="s">
        <v>11</v>
      </c>
      <c r="E127">
        <v>1997</v>
      </c>
      <c r="F127" t="s">
        <v>12</v>
      </c>
      <c r="G127">
        <v>-6.7416</v>
      </c>
      <c r="H127">
        <v>106.648</v>
      </c>
      <c r="I127" t="s">
        <v>29</v>
      </c>
      <c r="J127" s="2">
        <f>Table1[[#This Row],[Capacity (MW)]]*8760*0.82*10^-6</f>
        <v>0.39507599999999998</v>
      </c>
      <c r="K127">
        <f>0</f>
        <v>0</v>
      </c>
      <c r="L127">
        <f>0</f>
        <v>0</v>
      </c>
    </row>
    <row r="128" spans="1:12" x14ac:dyDescent="0.35">
      <c r="A128" t="s">
        <v>96</v>
      </c>
      <c r="B128" t="s">
        <v>10</v>
      </c>
      <c r="C128">
        <v>10.45</v>
      </c>
      <c r="D128" t="s">
        <v>11</v>
      </c>
      <c r="E128">
        <v>1997</v>
      </c>
      <c r="F128" t="s">
        <v>12</v>
      </c>
      <c r="G128">
        <v>-6.7416</v>
      </c>
      <c r="H128">
        <v>106.648</v>
      </c>
      <c r="I128" t="s">
        <v>29</v>
      </c>
      <c r="J128" s="2">
        <f>Table1[[#This Row],[Capacity (MW)]]*8760*0.82*10^-6</f>
        <v>7.5064439999999996E-2</v>
      </c>
      <c r="K128">
        <f>0</f>
        <v>0</v>
      </c>
      <c r="L128">
        <f>0</f>
        <v>0</v>
      </c>
    </row>
    <row r="129" spans="1:12" x14ac:dyDescent="0.35">
      <c r="A129" t="s">
        <v>95</v>
      </c>
      <c r="B129" t="s">
        <v>10</v>
      </c>
      <c r="C129">
        <v>55</v>
      </c>
      <c r="D129" t="s">
        <v>11</v>
      </c>
      <c r="E129">
        <v>1997</v>
      </c>
      <c r="F129" t="s">
        <v>12</v>
      </c>
      <c r="G129">
        <v>-6.7416</v>
      </c>
      <c r="H129">
        <v>106.648</v>
      </c>
      <c r="I129" t="s">
        <v>29</v>
      </c>
      <c r="J129" s="2">
        <f>Table1[[#This Row],[Capacity (MW)]]*8760*0.82*10^-6</f>
        <v>0.39507599999999998</v>
      </c>
      <c r="K129">
        <f>0</f>
        <v>0</v>
      </c>
      <c r="L129">
        <f>0</f>
        <v>0</v>
      </c>
    </row>
    <row r="130" spans="1:12" x14ac:dyDescent="0.35">
      <c r="A130" t="s">
        <v>81</v>
      </c>
      <c r="B130" t="s">
        <v>10</v>
      </c>
      <c r="C130">
        <v>55</v>
      </c>
      <c r="D130" t="s">
        <v>11</v>
      </c>
      <c r="E130">
        <v>1997</v>
      </c>
      <c r="F130" t="s">
        <v>12</v>
      </c>
      <c r="G130">
        <v>-6.7416</v>
      </c>
      <c r="H130">
        <v>106.648</v>
      </c>
      <c r="I130" t="s">
        <v>29</v>
      </c>
      <c r="J130" s="2">
        <f>Table1[[#This Row],[Capacity (MW)]]*8760*0.82*10^-6</f>
        <v>0.39507599999999998</v>
      </c>
      <c r="K130">
        <f>0</f>
        <v>0</v>
      </c>
      <c r="L130">
        <f>0</f>
        <v>0</v>
      </c>
    </row>
    <row r="131" spans="1:12" x14ac:dyDescent="0.35">
      <c r="A131" t="s">
        <v>96</v>
      </c>
      <c r="B131" t="s">
        <v>10</v>
      </c>
      <c r="C131">
        <v>10.45</v>
      </c>
      <c r="D131" t="s">
        <v>11</v>
      </c>
      <c r="E131">
        <v>1997</v>
      </c>
      <c r="F131" t="s">
        <v>12</v>
      </c>
      <c r="G131">
        <v>-6.7416</v>
      </c>
      <c r="H131">
        <v>106.648</v>
      </c>
      <c r="I131" t="s">
        <v>29</v>
      </c>
      <c r="J131" s="2">
        <f>Table1[[#This Row],[Capacity (MW)]]*8760*0.82*10^-6</f>
        <v>7.5064439999999996E-2</v>
      </c>
      <c r="K131">
        <f>0</f>
        <v>0</v>
      </c>
      <c r="L131">
        <f>0</f>
        <v>0</v>
      </c>
    </row>
    <row r="132" spans="1:12" x14ac:dyDescent="0.35">
      <c r="A132" t="s">
        <v>94</v>
      </c>
      <c r="B132" t="s">
        <v>10</v>
      </c>
      <c r="C132">
        <v>55</v>
      </c>
      <c r="D132" t="s">
        <v>11</v>
      </c>
      <c r="E132">
        <v>1997</v>
      </c>
      <c r="F132" t="s">
        <v>12</v>
      </c>
      <c r="G132">
        <v>-6.7416</v>
      </c>
      <c r="H132">
        <v>106.648</v>
      </c>
      <c r="I132" t="s">
        <v>29</v>
      </c>
      <c r="J132" s="2">
        <f>Table1[[#This Row],[Capacity (MW)]]*8760*0.82*10^-6</f>
        <v>0.39507599999999998</v>
      </c>
      <c r="K132">
        <f>0</f>
        <v>0</v>
      </c>
      <c r="L132">
        <f>0</f>
        <v>0</v>
      </c>
    </row>
    <row r="133" spans="1:12" x14ac:dyDescent="0.35">
      <c r="A133" t="s">
        <v>97</v>
      </c>
      <c r="B133" t="s">
        <v>21</v>
      </c>
      <c r="C133">
        <v>18.149999999999999</v>
      </c>
      <c r="D133" t="s">
        <v>79</v>
      </c>
      <c r="E133">
        <v>2025</v>
      </c>
      <c r="F133" t="s">
        <v>12</v>
      </c>
      <c r="G133">
        <v>-6.8426</v>
      </c>
      <c r="H133">
        <v>107.9143</v>
      </c>
      <c r="I133" t="s">
        <v>29</v>
      </c>
      <c r="J133" s="2">
        <f>Table1[[#This Row],[Capacity (MW)]]*8760*0.82*10^-6</f>
        <v>0.13037507999999998</v>
      </c>
      <c r="K133">
        <f>0</f>
        <v>0</v>
      </c>
      <c r="L133">
        <f>0</f>
        <v>0</v>
      </c>
    </row>
    <row r="134" spans="1:12" x14ac:dyDescent="0.35">
      <c r="A134" t="s">
        <v>98</v>
      </c>
      <c r="B134" t="s">
        <v>21</v>
      </c>
      <c r="C134">
        <v>18.149999999999999</v>
      </c>
      <c r="D134" t="s">
        <v>79</v>
      </c>
      <c r="E134">
        <v>2025</v>
      </c>
      <c r="F134" t="s">
        <v>12</v>
      </c>
      <c r="G134">
        <v>-6.8426</v>
      </c>
      <c r="H134">
        <v>107.9143</v>
      </c>
      <c r="I134" t="s">
        <v>29</v>
      </c>
      <c r="J134" s="2">
        <f>Table1[[#This Row],[Capacity (MW)]]*8760*0.82*10^-6</f>
        <v>0.13037507999999998</v>
      </c>
      <c r="K134">
        <f>0</f>
        <v>0</v>
      </c>
      <c r="L134">
        <f>0</f>
        <v>0</v>
      </c>
    </row>
    <row r="135" spans="1:12" x14ac:dyDescent="0.35">
      <c r="A135" t="s">
        <v>99</v>
      </c>
      <c r="B135" t="s">
        <v>21</v>
      </c>
      <c r="C135">
        <v>18.149999999999999</v>
      </c>
      <c r="D135" t="s">
        <v>79</v>
      </c>
      <c r="E135">
        <v>2025</v>
      </c>
      <c r="F135" t="s">
        <v>12</v>
      </c>
      <c r="G135">
        <v>-6.8426</v>
      </c>
      <c r="H135">
        <v>107.9143</v>
      </c>
      <c r="I135" t="s">
        <v>29</v>
      </c>
      <c r="J135" s="2">
        <f>Table1[[#This Row],[Capacity (MW)]]*8760*0.82*10^-6</f>
        <v>0.13037507999999998</v>
      </c>
      <c r="K135">
        <f>0</f>
        <v>0</v>
      </c>
      <c r="L135">
        <f>0</f>
        <v>0</v>
      </c>
    </row>
    <row r="136" spans="1:12" x14ac:dyDescent="0.35">
      <c r="A136" t="s">
        <v>100</v>
      </c>
      <c r="B136" t="s">
        <v>19</v>
      </c>
      <c r="C136">
        <v>55</v>
      </c>
      <c r="D136" t="s">
        <v>11</v>
      </c>
      <c r="E136">
        <v>1977</v>
      </c>
      <c r="F136" t="s">
        <v>12</v>
      </c>
      <c r="G136">
        <v>33.1053</v>
      </c>
      <c r="H136">
        <v>131.1874</v>
      </c>
      <c r="I136" t="s">
        <v>101</v>
      </c>
      <c r="J136" s="2">
        <f>Table1[[#This Row],[Capacity (MW)]]*8760*0.82*10^-6</f>
        <v>0.39507599999999998</v>
      </c>
      <c r="K136">
        <f>0</f>
        <v>0</v>
      </c>
      <c r="L136">
        <f>0</f>
        <v>0</v>
      </c>
    </row>
    <row r="137" spans="1:12" x14ac:dyDescent="0.35">
      <c r="A137" t="s">
        <v>100</v>
      </c>
      <c r="B137" t="s">
        <v>19</v>
      </c>
      <c r="C137">
        <v>55</v>
      </c>
      <c r="D137" t="s">
        <v>11</v>
      </c>
      <c r="E137">
        <v>1990</v>
      </c>
      <c r="F137" t="s">
        <v>12</v>
      </c>
      <c r="G137">
        <v>33.1053</v>
      </c>
      <c r="H137">
        <v>131.1874</v>
      </c>
      <c r="I137" t="s">
        <v>101</v>
      </c>
      <c r="J137" s="2">
        <f>Table1[[#This Row],[Capacity (MW)]]*8760*0.82*10^-6</f>
        <v>0.39507599999999998</v>
      </c>
      <c r="K137">
        <f>0</f>
        <v>0</v>
      </c>
      <c r="L137">
        <f>0</f>
        <v>0</v>
      </c>
    </row>
    <row r="138" spans="1:12" x14ac:dyDescent="0.35">
      <c r="A138" t="s">
        <v>12</v>
      </c>
      <c r="B138" t="s">
        <v>21</v>
      </c>
      <c r="C138">
        <v>30</v>
      </c>
      <c r="D138" t="s">
        <v>51</v>
      </c>
      <c r="E138" t="s">
        <v>12</v>
      </c>
      <c r="F138" t="s">
        <v>12</v>
      </c>
      <c r="G138">
        <v>38.481499999999997</v>
      </c>
      <c r="H138">
        <v>-118.4983</v>
      </c>
      <c r="I138" t="s">
        <v>39</v>
      </c>
      <c r="J138" s="2">
        <f>Table1[[#This Row],[Capacity (MW)]]*8760*0.82*10^-6</f>
        <v>0.21549599999999999</v>
      </c>
      <c r="K138">
        <f>0</f>
        <v>0</v>
      </c>
      <c r="L138">
        <f>0</f>
        <v>0</v>
      </c>
    </row>
    <row r="139" spans="1:12" x14ac:dyDescent="0.35">
      <c r="A139" t="s">
        <v>47</v>
      </c>
      <c r="B139" t="s">
        <v>15</v>
      </c>
      <c r="C139">
        <v>52</v>
      </c>
      <c r="D139" t="s">
        <v>11</v>
      </c>
      <c r="E139">
        <v>1985</v>
      </c>
      <c r="F139" t="s">
        <v>12</v>
      </c>
      <c r="G139">
        <v>32.714599999999997</v>
      </c>
      <c r="H139">
        <v>-115.518</v>
      </c>
      <c r="I139" t="s">
        <v>39</v>
      </c>
      <c r="J139" s="2">
        <f>Table1[[#This Row],[Capacity (MW)]]*8760*0.82*10^-6</f>
        <v>0.37352639999999993</v>
      </c>
      <c r="K139">
        <f>0</f>
        <v>0</v>
      </c>
      <c r="L139">
        <f>0</f>
        <v>0</v>
      </c>
    </row>
    <row r="140" spans="1:12" x14ac:dyDescent="0.35">
      <c r="A140" t="s">
        <v>102</v>
      </c>
      <c r="B140" t="s">
        <v>10</v>
      </c>
      <c r="C140">
        <v>55</v>
      </c>
      <c r="D140" t="s">
        <v>23</v>
      </c>
      <c r="E140">
        <v>2025</v>
      </c>
      <c r="F140" t="s">
        <v>12</v>
      </c>
      <c r="G140">
        <v>33.312600000000003</v>
      </c>
      <c r="H140">
        <v>-115.78149999999999</v>
      </c>
      <c r="I140" t="s">
        <v>39</v>
      </c>
      <c r="J140" s="2">
        <f>Table1[[#This Row],[Capacity (MW)]]*8760*0.82*10^-6</f>
        <v>0.39507599999999998</v>
      </c>
      <c r="K140">
        <f>0</f>
        <v>0</v>
      </c>
      <c r="L140">
        <f>0</f>
        <v>0</v>
      </c>
    </row>
    <row r="141" spans="1:12" x14ac:dyDescent="0.35">
      <c r="A141" t="s">
        <v>102</v>
      </c>
      <c r="B141" t="s">
        <v>103</v>
      </c>
      <c r="C141">
        <v>55</v>
      </c>
      <c r="D141" t="s">
        <v>16</v>
      </c>
      <c r="E141">
        <v>2024</v>
      </c>
      <c r="F141" t="s">
        <v>12</v>
      </c>
      <c r="G141">
        <v>33.312600000000003</v>
      </c>
      <c r="H141">
        <v>-115.78149999999999</v>
      </c>
      <c r="I141" t="s">
        <v>39</v>
      </c>
      <c r="J141" s="2">
        <f>Table1[[#This Row],[Capacity (MW)]]*8760*0.82*10^-6</f>
        <v>0.39507599999999998</v>
      </c>
      <c r="K141">
        <f>0</f>
        <v>0</v>
      </c>
      <c r="L141">
        <f>0</f>
        <v>0</v>
      </c>
    </row>
    <row r="142" spans="1:12" x14ac:dyDescent="0.35">
      <c r="A142" t="s">
        <v>12</v>
      </c>
      <c r="B142" t="s">
        <v>103</v>
      </c>
      <c r="C142">
        <v>55</v>
      </c>
      <c r="D142" t="s">
        <v>16</v>
      </c>
      <c r="E142">
        <v>2025</v>
      </c>
      <c r="F142" t="s">
        <v>12</v>
      </c>
      <c r="G142">
        <v>32.848399999999998</v>
      </c>
      <c r="H142">
        <v>-115.5711</v>
      </c>
      <c r="I142" t="s">
        <v>39</v>
      </c>
      <c r="J142" s="2">
        <f>Table1[[#This Row],[Capacity (MW)]]*8760*0.82*10^-6</f>
        <v>0.39507599999999998</v>
      </c>
      <c r="K142">
        <f>0</f>
        <v>0</v>
      </c>
      <c r="L142">
        <f>0</f>
        <v>0</v>
      </c>
    </row>
    <row r="143" spans="1:12" x14ac:dyDescent="0.35">
      <c r="A143" t="s">
        <v>12</v>
      </c>
      <c r="B143" t="s">
        <v>103</v>
      </c>
      <c r="C143">
        <v>55</v>
      </c>
      <c r="D143" t="s">
        <v>16</v>
      </c>
      <c r="E143">
        <v>2026</v>
      </c>
      <c r="F143" t="s">
        <v>12</v>
      </c>
      <c r="G143">
        <v>32.848399999999998</v>
      </c>
      <c r="H143">
        <v>-115.5711</v>
      </c>
      <c r="I143" t="s">
        <v>39</v>
      </c>
      <c r="J143" s="2">
        <f>Table1[[#This Row],[Capacity (MW)]]*8760*0.82*10^-6</f>
        <v>0.39507599999999998</v>
      </c>
      <c r="K143">
        <f>0</f>
        <v>0</v>
      </c>
      <c r="L143">
        <f>0</f>
        <v>0</v>
      </c>
    </row>
    <row r="144" spans="1:12" x14ac:dyDescent="0.35">
      <c r="A144" t="s">
        <v>12</v>
      </c>
      <c r="B144" t="s">
        <v>103</v>
      </c>
      <c r="C144">
        <v>55</v>
      </c>
      <c r="D144" t="s">
        <v>16</v>
      </c>
      <c r="E144">
        <v>2026</v>
      </c>
      <c r="F144" t="s">
        <v>12</v>
      </c>
      <c r="G144">
        <v>32.848399999999998</v>
      </c>
      <c r="H144">
        <v>-115.5711</v>
      </c>
      <c r="I144" t="s">
        <v>39</v>
      </c>
      <c r="J144" s="2">
        <f>Table1[[#This Row],[Capacity (MW)]]*8760*0.82*10^-6</f>
        <v>0.39507599999999998</v>
      </c>
      <c r="K144">
        <f>0</f>
        <v>0</v>
      </c>
      <c r="L144">
        <f>0</f>
        <v>0</v>
      </c>
    </row>
    <row r="145" spans="1:12" x14ac:dyDescent="0.35">
      <c r="A145" t="s">
        <v>12</v>
      </c>
      <c r="B145" t="s">
        <v>103</v>
      </c>
      <c r="C145">
        <v>55</v>
      </c>
      <c r="D145" t="s">
        <v>16</v>
      </c>
      <c r="E145">
        <v>2027</v>
      </c>
      <c r="F145" t="s">
        <v>12</v>
      </c>
      <c r="G145">
        <v>32.848399999999998</v>
      </c>
      <c r="H145">
        <v>-115.5711</v>
      </c>
      <c r="I145" t="s">
        <v>39</v>
      </c>
      <c r="J145" s="2">
        <f>Table1[[#This Row],[Capacity (MW)]]*8760*0.82*10^-6</f>
        <v>0.39507599999999998</v>
      </c>
      <c r="K145">
        <f>0</f>
        <v>0</v>
      </c>
      <c r="L145">
        <f>0</f>
        <v>0</v>
      </c>
    </row>
    <row r="146" spans="1:12" x14ac:dyDescent="0.35">
      <c r="A146" t="s">
        <v>41</v>
      </c>
      <c r="B146" t="s">
        <v>10</v>
      </c>
      <c r="C146">
        <v>45</v>
      </c>
      <c r="D146" t="s">
        <v>11</v>
      </c>
      <c r="E146">
        <v>2006</v>
      </c>
      <c r="F146" t="s">
        <v>12</v>
      </c>
      <c r="G146">
        <v>64.037300000000002</v>
      </c>
      <c r="H146">
        <v>-21.400700000000001</v>
      </c>
      <c r="I146" t="s">
        <v>42</v>
      </c>
      <c r="J146" s="2">
        <f>Table1[[#This Row],[Capacity (MW)]]*8760*0.82*10^-6</f>
        <v>0.32324399999999998</v>
      </c>
      <c r="K146">
        <f>0</f>
        <v>0</v>
      </c>
      <c r="L146">
        <f>0</f>
        <v>0</v>
      </c>
    </row>
    <row r="147" spans="1:12" x14ac:dyDescent="0.35">
      <c r="A147" t="s">
        <v>41</v>
      </c>
      <c r="B147" t="s">
        <v>10</v>
      </c>
      <c r="C147">
        <v>45</v>
      </c>
      <c r="D147" t="s">
        <v>11</v>
      </c>
      <c r="E147">
        <v>2006</v>
      </c>
      <c r="F147" t="s">
        <v>12</v>
      </c>
      <c r="G147">
        <v>64.037300000000002</v>
      </c>
      <c r="H147">
        <v>-21.400700000000001</v>
      </c>
      <c r="I147" t="s">
        <v>42</v>
      </c>
      <c r="J147" s="2">
        <f>Table1[[#This Row],[Capacity (MW)]]*8760*0.82*10^-6</f>
        <v>0.32324399999999998</v>
      </c>
      <c r="K147">
        <f>0</f>
        <v>0</v>
      </c>
      <c r="L147">
        <f>0</f>
        <v>0</v>
      </c>
    </row>
    <row r="148" spans="1:12" x14ac:dyDescent="0.35">
      <c r="A148" t="s">
        <v>41</v>
      </c>
      <c r="B148" t="s">
        <v>10</v>
      </c>
      <c r="C148">
        <v>45</v>
      </c>
      <c r="D148" t="s">
        <v>11</v>
      </c>
      <c r="E148">
        <v>2008</v>
      </c>
      <c r="F148" t="s">
        <v>12</v>
      </c>
      <c r="G148">
        <v>64.037300000000002</v>
      </c>
      <c r="H148">
        <v>-21.400700000000001</v>
      </c>
      <c r="I148" t="s">
        <v>42</v>
      </c>
      <c r="J148" s="2">
        <f>Table1[[#This Row],[Capacity (MW)]]*8760*0.82*10^-6</f>
        <v>0.32324399999999998</v>
      </c>
      <c r="K148">
        <f>0</f>
        <v>0</v>
      </c>
      <c r="L148">
        <f>0</f>
        <v>0</v>
      </c>
    </row>
    <row r="149" spans="1:12" x14ac:dyDescent="0.35">
      <c r="A149" t="s">
        <v>41</v>
      </c>
      <c r="B149" t="s">
        <v>10</v>
      </c>
      <c r="C149">
        <v>45</v>
      </c>
      <c r="D149" t="s">
        <v>11</v>
      </c>
      <c r="E149">
        <v>2008</v>
      </c>
      <c r="F149" t="s">
        <v>12</v>
      </c>
      <c r="G149">
        <v>64.037300000000002</v>
      </c>
      <c r="H149">
        <v>-21.400700000000001</v>
      </c>
      <c r="I149" t="s">
        <v>42</v>
      </c>
      <c r="J149" s="2">
        <f>Table1[[#This Row],[Capacity (MW)]]*8760*0.82*10^-6</f>
        <v>0.32324399999999998</v>
      </c>
      <c r="K149">
        <f>0</f>
        <v>0</v>
      </c>
      <c r="L149">
        <f>0</f>
        <v>0</v>
      </c>
    </row>
    <row r="150" spans="1:12" x14ac:dyDescent="0.35">
      <c r="A150" t="s">
        <v>41</v>
      </c>
      <c r="B150" t="s">
        <v>10</v>
      </c>
      <c r="C150">
        <v>45</v>
      </c>
      <c r="D150" t="s">
        <v>11</v>
      </c>
      <c r="E150">
        <v>2011</v>
      </c>
      <c r="F150" t="s">
        <v>12</v>
      </c>
      <c r="G150">
        <v>64.037300000000002</v>
      </c>
      <c r="H150">
        <v>-21.400700000000001</v>
      </c>
      <c r="I150" t="s">
        <v>42</v>
      </c>
      <c r="J150" s="2">
        <f>Table1[[#This Row],[Capacity (MW)]]*8760*0.82*10^-6</f>
        <v>0.32324399999999998</v>
      </c>
      <c r="K150">
        <f>0</f>
        <v>0</v>
      </c>
      <c r="L150">
        <f>0</f>
        <v>0</v>
      </c>
    </row>
    <row r="151" spans="1:12" x14ac:dyDescent="0.35">
      <c r="A151" t="s">
        <v>41</v>
      </c>
      <c r="B151" t="s">
        <v>10</v>
      </c>
      <c r="C151">
        <v>45</v>
      </c>
      <c r="D151" t="s">
        <v>11</v>
      </c>
      <c r="E151">
        <v>2011</v>
      </c>
      <c r="F151" t="s">
        <v>12</v>
      </c>
      <c r="G151">
        <v>64.037300000000002</v>
      </c>
      <c r="H151">
        <v>-21.400700000000001</v>
      </c>
      <c r="I151" t="s">
        <v>42</v>
      </c>
      <c r="J151" s="2">
        <f>Table1[[#This Row],[Capacity (MW)]]*8760*0.82*10^-6</f>
        <v>0.32324399999999998</v>
      </c>
      <c r="K151">
        <f>0</f>
        <v>0</v>
      </c>
      <c r="L151">
        <f>0</f>
        <v>0</v>
      </c>
    </row>
    <row r="152" spans="1:12" x14ac:dyDescent="0.35">
      <c r="A152" t="s">
        <v>41</v>
      </c>
      <c r="B152" t="s">
        <v>21</v>
      </c>
      <c r="C152">
        <v>33</v>
      </c>
      <c r="D152" t="s">
        <v>11</v>
      </c>
      <c r="E152">
        <v>2007</v>
      </c>
      <c r="F152" t="s">
        <v>12</v>
      </c>
      <c r="G152">
        <v>64.037300000000002</v>
      </c>
      <c r="H152">
        <v>-21.400700000000001</v>
      </c>
      <c r="I152" t="s">
        <v>42</v>
      </c>
      <c r="J152" s="2">
        <f>Table1[[#This Row],[Capacity (MW)]]*8760*0.82*10^-6</f>
        <v>0.23704559999999997</v>
      </c>
      <c r="K152">
        <f>0</f>
        <v>0</v>
      </c>
      <c r="L152">
        <f>0</f>
        <v>0</v>
      </c>
    </row>
    <row r="153" spans="1:12" x14ac:dyDescent="0.35">
      <c r="A153" t="s">
        <v>12</v>
      </c>
      <c r="B153" t="s">
        <v>21</v>
      </c>
      <c r="C153">
        <v>230</v>
      </c>
      <c r="D153" t="s">
        <v>79</v>
      </c>
      <c r="E153" t="s">
        <v>12</v>
      </c>
      <c r="F153" t="s">
        <v>12</v>
      </c>
      <c r="G153">
        <v>-3.2412999999999998</v>
      </c>
      <c r="H153">
        <v>102.2782</v>
      </c>
      <c r="I153" t="s">
        <v>29</v>
      </c>
      <c r="J153" s="2">
        <f>Table1[[#This Row],[Capacity (MW)]]*8760*0.82*10^-6</f>
        <v>1.6521359999999998</v>
      </c>
      <c r="K153">
        <f>0</f>
        <v>0</v>
      </c>
      <c r="L153">
        <f>0</f>
        <v>0</v>
      </c>
    </row>
    <row r="154" spans="1:12" x14ac:dyDescent="0.35">
      <c r="A154" t="s">
        <v>104</v>
      </c>
      <c r="B154" t="s">
        <v>21</v>
      </c>
      <c r="C154">
        <v>55</v>
      </c>
      <c r="D154" t="s">
        <v>23</v>
      </c>
      <c r="E154">
        <v>2024</v>
      </c>
      <c r="F154" t="s">
        <v>12</v>
      </c>
      <c r="G154">
        <v>-3.2412999999999998</v>
      </c>
      <c r="H154">
        <v>102.2782</v>
      </c>
      <c r="I154" t="s">
        <v>29</v>
      </c>
      <c r="J154" s="2">
        <f>Table1[[#This Row],[Capacity (MW)]]*8760*0.82*10^-6</f>
        <v>0.39507599999999998</v>
      </c>
      <c r="K154">
        <f>0</f>
        <v>0</v>
      </c>
      <c r="L154">
        <f>0</f>
        <v>0</v>
      </c>
    </row>
    <row r="155" spans="1:12" x14ac:dyDescent="0.35">
      <c r="A155" t="s">
        <v>104</v>
      </c>
      <c r="B155" t="s">
        <v>21</v>
      </c>
      <c r="C155">
        <v>55</v>
      </c>
      <c r="D155" t="s">
        <v>16</v>
      </c>
      <c r="E155">
        <v>2026</v>
      </c>
      <c r="F155" t="s">
        <v>12</v>
      </c>
      <c r="G155">
        <v>-3.2412999999999998</v>
      </c>
      <c r="H155">
        <v>102.2782</v>
      </c>
      <c r="I155" t="s">
        <v>29</v>
      </c>
      <c r="J155" s="2">
        <f>Table1[[#This Row],[Capacity (MW)]]*8760*0.82*10^-6</f>
        <v>0.39507599999999998</v>
      </c>
      <c r="K155">
        <f>0</f>
        <v>0</v>
      </c>
      <c r="L155">
        <f>0</f>
        <v>0</v>
      </c>
    </row>
    <row r="156" spans="1:12" x14ac:dyDescent="0.35">
      <c r="A156" t="s">
        <v>41</v>
      </c>
      <c r="B156" t="s">
        <v>21</v>
      </c>
      <c r="C156">
        <v>90</v>
      </c>
      <c r="D156" t="s">
        <v>51</v>
      </c>
      <c r="E156" t="s">
        <v>12</v>
      </c>
      <c r="F156" t="s">
        <v>12</v>
      </c>
      <c r="G156">
        <v>64.0077</v>
      </c>
      <c r="H156">
        <v>-21.354700000000001</v>
      </c>
      <c r="I156" t="s">
        <v>42</v>
      </c>
      <c r="J156" s="2">
        <f>Table1[[#This Row],[Capacity (MW)]]*8760*0.82*10^-6</f>
        <v>0.64648799999999995</v>
      </c>
      <c r="K156">
        <f>0</f>
        <v>0</v>
      </c>
      <c r="L156">
        <f>0</f>
        <v>0</v>
      </c>
    </row>
    <row r="157" spans="1:12" x14ac:dyDescent="0.35">
      <c r="A157" t="s">
        <v>12</v>
      </c>
      <c r="B157" t="s">
        <v>21</v>
      </c>
      <c r="C157">
        <v>70</v>
      </c>
      <c r="D157" t="s">
        <v>73</v>
      </c>
      <c r="E157" t="s">
        <v>12</v>
      </c>
      <c r="F157" t="s">
        <v>12</v>
      </c>
      <c r="G157">
        <v>33.159399999999998</v>
      </c>
      <c r="H157">
        <v>-115.6144</v>
      </c>
      <c r="I157" t="s">
        <v>39</v>
      </c>
      <c r="J157" s="2">
        <f>Table1[[#This Row],[Capacity (MW)]]*8760*0.82*10^-6</f>
        <v>0.50282399999999994</v>
      </c>
      <c r="K157">
        <f>0</f>
        <v>0</v>
      </c>
      <c r="L157">
        <f>0</f>
        <v>0</v>
      </c>
    </row>
    <row r="158" spans="1:12" x14ac:dyDescent="0.35">
      <c r="A158" t="s">
        <v>12</v>
      </c>
      <c r="B158" t="s">
        <v>21</v>
      </c>
      <c r="C158">
        <v>70</v>
      </c>
      <c r="D158" t="s">
        <v>73</v>
      </c>
      <c r="E158" t="s">
        <v>12</v>
      </c>
      <c r="F158" t="s">
        <v>12</v>
      </c>
      <c r="G158">
        <v>33.159399999999998</v>
      </c>
      <c r="H158">
        <v>-115.6144</v>
      </c>
      <c r="I158" t="s">
        <v>39</v>
      </c>
      <c r="J158" s="2">
        <f>Table1[[#This Row],[Capacity (MW)]]*8760*0.82*10^-6</f>
        <v>0.50282399999999994</v>
      </c>
      <c r="K158">
        <f>0</f>
        <v>0</v>
      </c>
      <c r="L158">
        <f>0</f>
        <v>0</v>
      </c>
    </row>
    <row r="159" spans="1:12" x14ac:dyDescent="0.35">
      <c r="A159" t="s">
        <v>12</v>
      </c>
      <c r="B159" t="s">
        <v>21</v>
      </c>
      <c r="C159">
        <v>70</v>
      </c>
      <c r="D159" t="s">
        <v>73</v>
      </c>
      <c r="E159" t="s">
        <v>12</v>
      </c>
      <c r="F159" t="s">
        <v>12</v>
      </c>
      <c r="G159">
        <v>33.159399999999998</v>
      </c>
      <c r="H159">
        <v>-115.6144</v>
      </c>
      <c r="I159" t="s">
        <v>39</v>
      </c>
      <c r="J159" s="2">
        <f>Table1[[#This Row],[Capacity (MW)]]*8760*0.82*10^-6</f>
        <v>0.50282399999999994</v>
      </c>
      <c r="K159">
        <f>0</f>
        <v>0</v>
      </c>
      <c r="L159">
        <f>0</f>
        <v>0</v>
      </c>
    </row>
    <row r="160" spans="1:12" x14ac:dyDescent="0.35">
      <c r="A160" t="s">
        <v>105</v>
      </c>
      <c r="B160" t="s">
        <v>103</v>
      </c>
      <c r="C160">
        <v>55</v>
      </c>
      <c r="D160" t="s">
        <v>11</v>
      </c>
      <c r="E160">
        <v>2012</v>
      </c>
      <c r="F160" t="s">
        <v>12</v>
      </c>
      <c r="G160">
        <v>33.204599999999999</v>
      </c>
      <c r="H160">
        <v>-115.5733</v>
      </c>
      <c r="I160" t="s">
        <v>39</v>
      </c>
      <c r="J160" s="2">
        <f>Table1[[#This Row],[Capacity (MW)]]*8760*0.82*10^-6</f>
        <v>0.39507599999999998</v>
      </c>
      <c r="K160">
        <f>0</f>
        <v>0</v>
      </c>
      <c r="L160">
        <f>0</f>
        <v>0</v>
      </c>
    </row>
    <row r="161" spans="1:12" x14ac:dyDescent="0.35">
      <c r="A161" t="s">
        <v>12</v>
      </c>
      <c r="B161" t="s">
        <v>21</v>
      </c>
      <c r="C161">
        <v>55</v>
      </c>
      <c r="D161" t="s">
        <v>51</v>
      </c>
      <c r="E161" t="s">
        <v>12</v>
      </c>
      <c r="F161" t="s">
        <v>12</v>
      </c>
      <c r="G161">
        <v>33.2044</v>
      </c>
      <c r="H161">
        <v>-115.55670000000001</v>
      </c>
      <c r="I161" t="s">
        <v>39</v>
      </c>
      <c r="J161" s="2">
        <f>Table1[[#This Row],[Capacity (MW)]]*8760*0.82*10^-6</f>
        <v>0.39507599999999998</v>
      </c>
      <c r="K161">
        <f>0</f>
        <v>0</v>
      </c>
      <c r="L161">
        <f>0</f>
        <v>0</v>
      </c>
    </row>
    <row r="162" spans="1:12" x14ac:dyDescent="0.35">
      <c r="A162" t="s">
        <v>106</v>
      </c>
      <c r="B162" t="s">
        <v>10</v>
      </c>
      <c r="C162">
        <v>50</v>
      </c>
      <c r="D162" t="s">
        <v>11</v>
      </c>
      <c r="E162">
        <v>1978</v>
      </c>
      <c r="F162" t="s">
        <v>12</v>
      </c>
      <c r="G162">
        <v>39.829099999999997</v>
      </c>
      <c r="H162">
        <v>140.86490000000001</v>
      </c>
      <c r="I162" t="s">
        <v>101</v>
      </c>
      <c r="J162" s="2">
        <f>Table1[[#This Row],[Capacity (MW)]]*8760*0.82*10^-6</f>
        <v>0.35915999999999998</v>
      </c>
      <c r="K162">
        <f>0</f>
        <v>0</v>
      </c>
      <c r="L162">
        <f>0</f>
        <v>0</v>
      </c>
    </row>
    <row r="163" spans="1:12" x14ac:dyDescent="0.35">
      <c r="A163" t="s">
        <v>106</v>
      </c>
      <c r="B163" t="s">
        <v>10</v>
      </c>
      <c r="C163">
        <v>30</v>
      </c>
      <c r="D163" t="s">
        <v>11</v>
      </c>
      <c r="E163">
        <v>1996</v>
      </c>
      <c r="F163" t="s">
        <v>12</v>
      </c>
      <c r="G163">
        <v>39.829099999999997</v>
      </c>
      <c r="H163">
        <v>140.86490000000001</v>
      </c>
      <c r="I163" t="s">
        <v>101</v>
      </c>
      <c r="J163" s="2">
        <f>Table1[[#This Row],[Capacity (MW)]]*8760*0.82*10^-6</f>
        <v>0.21549599999999999</v>
      </c>
      <c r="K163">
        <f>0</f>
        <v>0</v>
      </c>
      <c r="L163">
        <f>0</f>
        <v>0</v>
      </c>
    </row>
    <row r="164" spans="1:12" x14ac:dyDescent="0.35">
      <c r="A164" t="s">
        <v>107</v>
      </c>
      <c r="B164" t="s">
        <v>21</v>
      </c>
      <c r="C164">
        <v>40</v>
      </c>
      <c r="D164" t="s">
        <v>16</v>
      </c>
      <c r="E164">
        <v>2027</v>
      </c>
      <c r="F164" t="s">
        <v>12</v>
      </c>
      <c r="G164">
        <v>17.248100000000001</v>
      </c>
      <c r="H164">
        <v>121.1234</v>
      </c>
      <c r="I164" t="s">
        <v>26</v>
      </c>
      <c r="J164" s="2">
        <f>Table1[[#This Row],[Capacity (MW)]]*8760*0.82*10^-6</f>
        <v>0.28732799999999997</v>
      </c>
      <c r="K164">
        <f>0</f>
        <v>0</v>
      </c>
      <c r="L164">
        <f>0</f>
        <v>0</v>
      </c>
    </row>
    <row r="165" spans="1:12" x14ac:dyDescent="0.35">
      <c r="A165" t="s">
        <v>107</v>
      </c>
      <c r="B165" t="s">
        <v>21</v>
      </c>
      <c r="C165">
        <v>40</v>
      </c>
      <c r="D165" t="s">
        <v>16</v>
      </c>
      <c r="E165">
        <v>2029</v>
      </c>
      <c r="F165" t="s">
        <v>12</v>
      </c>
      <c r="G165">
        <v>17.248100000000001</v>
      </c>
      <c r="H165">
        <v>121.1234</v>
      </c>
      <c r="I165" t="s">
        <v>26</v>
      </c>
      <c r="J165" s="2">
        <f>Table1[[#This Row],[Capacity (MW)]]*8760*0.82*10^-6</f>
        <v>0.28732799999999997</v>
      </c>
      <c r="K165">
        <f>0</f>
        <v>0</v>
      </c>
      <c r="L165">
        <f>0</f>
        <v>0</v>
      </c>
    </row>
    <row r="166" spans="1:12" x14ac:dyDescent="0.35">
      <c r="A166" t="s">
        <v>107</v>
      </c>
      <c r="B166" t="s">
        <v>21</v>
      </c>
      <c r="C166">
        <v>40</v>
      </c>
      <c r="D166" t="s">
        <v>16</v>
      </c>
      <c r="E166">
        <v>2031</v>
      </c>
      <c r="F166" t="s">
        <v>12</v>
      </c>
      <c r="G166">
        <v>17.248100000000001</v>
      </c>
      <c r="H166">
        <v>121.1234</v>
      </c>
      <c r="I166" t="s">
        <v>26</v>
      </c>
      <c r="J166" s="2">
        <f>Table1[[#This Row],[Capacity (MW)]]*8760*0.82*10^-6</f>
        <v>0.28732799999999997</v>
      </c>
      <c r="K166">
        <f>0</f>
        <v>0</v>
      </c>
      <c r="L166">
        <f>0</f>
        <v>0</v>
      </c>
    </row>
    <row r="167" spans="1:12" x14ac:dyDescent="0.35">
      <c r="A167" t="s">
        <v>104</v>
      </c>
      <c r="B167" t="s">
        <v>21</v>
      </c>
      <c r="C167">
        <v>60</v>
      </c>
      <c r="D167" t="s">
        <v>11</v>
      </c>
      <c r="E167">
        <v>2008</v>
      </c>
      <c r="F167" t="s">
        <v>12</v>
      </c>
      <c r="G167">
        <v>-7.1387999999999998</v>
      </c>
      <c r="H167">
        <v>107.7851</v>
      </c>
      <c r="I167" t="s">
        <v>29</v>
      </c>
      <c r="J167" s="2">
        <f>Table1[[#This Row],[Capacity (MW)]]*8760*0.82*10^-6</f>
        <v>0.43099199999999999</v>
      </c>
      <c r="K167">
        <f>0</f>
        <v>0</v>
      </c>
      <c r="L167">
        <f>0</f>
        <v>0</v>
      </c>
    </row>
    <row r="168" spans="1:12" x14ac:dyDescent="0.35">
      <c r="A168" t="s">
        <v>104</v>
      </c>
      <c r="B168" t="s">
        <v>21</v>
      </c>
      <c r="C168">
        <v>55</v>
      </c>
      <c r="D168" t="s">
        <v>11</v>
      </c>
      <c r="E168">
        <v>1987</v>
      </c>
      <c r="F168" t="s">
        <v>12</v>
      </c>
      <c r="G168">
        <v>-7.1387999999999998</v>
      </c>
      <c r="H168">
        <v>107.7851</v>
      </c>
      <c r="I168" t="s">
        <v>29</v>
      </c>
      <c r="J168" s="2">
        <f>Table1[[#This Row],[Capacity (MW)]]*8760*0.82*10^-6</f>
        <v>0.39507599999999998</v>
      </c>
      <c r="K168">
        <f>0</f>
        <v>0</v>
      </c>
      <c r="L168">
        <f>0</f>
        <v>0</v>
      </c>
    </row>
    <row r="169" spans="1:12" x14ac:dyDescent="0.35">
      <c r="A169" t="s">
        <v>104</v>
      </c>
      <c r="B169" t="s">
        <v>21</v>
      </c>
      <c r="C169">
        <v>55</v>
      </c>
      <c r="D169" t="s">
        <v>11</v>
      </c>
      <c r="E169">
        <v>1987</v>
      </c>
      <c r="F169" t="s">
        <v>12</v>
      </c>
      <c r="G169">
        <v>-7.1387999999999998</v>
      </c>
      <c r="H169">
        <v>107.7851</v>
      </c>
      <c r="I169" t="s">
        <v>29</v>
      </c>
      <c r="J169" s="2">
        <f>Table1[[#This Row],[Capacity (MW)]]*8760*0.82*10^-6</f>
        <v>0.39507599999999998</v>
      </c>
      <c r="K169">
        <f>0</f>
        <v>0</v>
      </c>
      <c r="L169">
        <f>0</f>
        <v>0</v>
      </c>
    </row>
    <row r="170" spans="1:12" x14ac:dyDescent="0.35">
      <c r="A170" t="s">
        <v>104</v>
      </c>
      <c r="B170" t="s">
        <v>31</v>
      </c>
      <c r="C170">
        <v>35</v>
      </c>
      <c r="D170" t="s">
        <v>11</v>
      </c>
      <c r="E170">
        <v>2015</v>
      </c>
      <c r="F170" t="s">
        <v>12</v>
      </c>
      <c r="G170">
        <v>-7.1387999999999998</v>
      </c>
      <c r="H170">
        <v>107.7851</v>
      </c>
      <c r="I170" t="s">
        <v>29</v>
      </c>
      <c r="J170" s="2">
        <f>Table1[[#This Row],[Capacity (MW)]]*8760*0.82*10^-6</f>
        <v>0.25141199999999997</v>
      </c>
      <c r="K170">
        <f>0</f>
        <v>0</v>
      </c>
      <c r="L170">
        <f>0</f>
        <v>0</v>
      </c>
    </row>
    <row r="171" spans="1:12" x14ac:dyDescent="0.35">
      <c r="A171" t="s">
        <v>104</v>
      </c>
      <c r="B171" t="s">
        <v>21</v>
      </c>
      <c r="C171">
        <v>30</v>
      </c>
      <c r="D171" t="s">
        <v>11</v>
      </c>
      <c r="E171">
        <v>1983</v>
      </c>
      <c r="F171" t="s">
        <v>12</v>
      </c>
      <c r="G171">
        <v>-7.1387999999999998</v>
      </c>
      <c r="H171">
        <v>107.7851</v>
      </c>
      <c r="I171" t="s">
        <v>29</v>
      </c>
      <c r="J171" s="2">
        <f>Table1[[#This Row],[Capacity (MW)]]*8760*0.82*10^-6</f>
        <v>0.21549599999999999</v>
      </c>
      <c r="K171">
        <f>0</f>
        <v>0</v>
      </c>
      <c r="L171">
        <f>0</f>
        <v>0</v>
      </c>
    </row>
    <row r="172" spans="1:12" x14ac:dyDescent="0.35">
      <c r="A172" t="s">
        <v>104</v>
      </c>
      <c r="B172" t="s">
        <v>31</v>
      </c>
      <c r="C172">
        <v>30</v>
      </c>
      <c r="D172" t="s">
        <v>11</v>
      </c>
      <c r="E172">
        <v>2018</v>
      </c>
      <c r="F172" t="s">
        <v>12</v>
      </c>
      <c r="G172">
        <v>-7.1477000000000004</v>
      </c>
      <c r="H172">
        <v>108.0848</v>
      </c>
      <c r="I172" t="s">
        <v>29</v>
      </c>
      <c r="J172" s="2">
        <f>Table1[[#This Row],[Capacity (MW)]]*8760*0.82*10^-6</f>
        <v>0.21549599999999999</v>
      </c>
      <c r="K172">
        <f>0</f>
        <v>0</v>
      </c>
      <c r="L172">
        <f>0</f>
        <v>0</v>
      </c>
    </row>
    <row r="173" spans="1:12" x14ac:dyDescent="0.35">
      <c r="A173" t="s">
        <v>18</v>
      </c>
      <c r="B173" t="s">
        <v>21</v>
      </c>
      <c r="C173">
        <v>100</v>
      </c>
      <c r="D173" t="s">
        <v>28</v>
      </c>
      <c r="E173" t="s">
        <v>12</v>
      </c>
      <c r="F173" t="s">
        <v>12</v>
      </c>
      <c r="G173">
        <v>37.948900000000002</v>
      </c>
      <c r="H173">
        <v>28.880099999999999</v>
      </c>
      <c r="I173" t="s">
        <v>20</v>
      </c>
      <c r="J173" s="2">
        <f>Table1[[#This Row],[Capacity (MW)]]*8760*0.82*10^-6</f>
        <v>0.71831999999999996</v>
      </c>
      <c r="K173">
        <f>0</f>
        <v>0</v>
      </c>
      <c r="L173">
        <f>0</f>
        <v>0</v>
      </c>
    </row>
    <row r="174" spans="1:12" x14ac:dyDescent="0.35">
      <c r="A174" t="s">
        <v>108</v>
      </c>
      <c r="B174" t="s">
        <v>21</v>
      </c>
      <c r="C174">
        <v>40</v>
      </c>
      <c r="D174" t="s">
        <v>93</v>
      </c>
      <c r="E174" t="s">
        <v>12</v>
      </c>
      <c r="F174" t="s">
        <v>12</v>
      </c>
      <c r="G174">
        <v>39.784700000000001</v>
      </c>
      <c r="H174">
        <v>45.941899999999997</v>
      </c>
      <c r="I174" t="s">
        <v>109</v>
      </c>
      <c r="J174" s="2">
        <f>Table1[[#This Row],[Capacity (MW)]]*8760*0.82*10^-6</f>
        <v>0.28732799999999997</v>
      </c>
      <c r="K174">
        <f>0</f>
        <v>0</v>
      </c>
      <c r="L174">
        <f>0</f>
        <v>0</v>
      </c>
    </row>
    <row r="175" spans="1:12" x14ac:dyDescent="0.35">
      <c r="A175" t="s">
        <v>110</v>
      </c>
      <c r="B175" t="s">
        <v>21</v>
      </c>
      <c r="C175">
        <v>200</v>
      </c>
      <c r="D175" t="s">
        <v>16</v>
      </c>
      <c r="E175">
        <v>2026</v>
      </c>
      <c r="F175" t="s">
        <v>12</v>
      </c>
      <c r="G175">
        <v>-8.0399999999999999E-2</v>
      </c>
      <c r="H175">
        <v>29.9193</v>
      </c>
      <c r="I175" t="s">
        <v>56</v>
      </c>
      <c r="J175" s="2">
        <f>Table1[[#This Row],[Capacity (MW)]]*8760*0.82*10^-6</f>
        <v>1.4366399999999999</v>
      </c>
      <c r="K175">
        <f>0</f>
        <v>0</v>
      </c>
      <c r="L175">
        <f>0</f>
        <v>0</v>
      </c>
    </row>
    <row r="176" spans="1:12" x14ac:dyDescent="0.35">
      <c r="A176" t="s">
        <v>111</v>
      </c>
      <c r="B176" t="s">
        <v>19</v>
      </c>
      <c r="C176">
        <v>100</v>
      </c>
      <c r="D176" t="s">
        <v>11</v>
      </c>
      <c r="E176">
        <v>2008</v>
      </c>
      <c r="F176" t="s">
        <v>12</v>
      </c>
      <c r="G176">
        <v>-38.063099999999999</v>
      </c>
      <c r="H176">
        <v>176.72720000000001</v>
      </c>
      <c r="I176" t="s">
        <v>112</v>
      </c>
      <c r="J176" s="2">
        <f>Table1[[#This Row],[Capacity (MW)]]*8760*0.82*10^-6</f>
        <v>0.71831999999999996</v>
      </c>
      <c r="K176">
        <f>0</f>
        <v>0</v>
      </c>
      <c r="L176">
        <f>0</f>
        <v>0</v>
      </c>
    </row>
    <row r="177" spans="1:12" x14ac:dyDescent="0.35">
      <c r="A177" t="s">
        <v>25</v>
      </c>
      <c r="B177" t="s">
        <v>21</v>
      </c>
      <c r="C177">
        <v>30</v>
      </c>
      <c r="D177" t="s">
        <v>79</v>
      </c>
      <c r="E177">
        <v>2026</v>
      </c>
      <c r="F177" t="s">
        <v>12</v>
      </c>
      <c r="G177">
        <v>12.254899999999999</v>
      </c>
      <c r="H177">
        <v>123.53270000000001</v>
      </c>
      <c r="I177" t="s">
        <v>26</v>
      </c>
      <c r="J177" s="2">
        <f>Table1[[#This Row],[Capacity (MW)]]*8760*0.82*10^-6</f>
        <v>0.21549599999999999</v>
      </c>
      <c r="K177">
        <f>0</f>
        <v>0</v>
      </c>
      <c r="L177">
        <f>0</f>
        <v>0</v>
      </c>
    </row>
    <row r="178" spans="1:12" x14ac:dyDescent="0.35">
      <c r="A178" t="s">
        <v>113</v>
      </c>
      <c r="B178" t="s">
        <v>21</v>
      </c>
      <c r="C178">
        <v>55</v>
      </c>
      <c r="D178" t="s">
        <v>16</v>
      </c>
      <c r="E178" t="s">
        <v>12</v>
      </c>
      <c r="F178" t="s">
        <v>12</v>
      </c>
      <c r="G178">
        <v>-3.629</v>
      </c>
      <c r="H178">
        <v>102.6009</v>
      </c>
      <c r="I178" t="s">
        <v>29</v>
      </c>
      <c r="J178" s="2">
        <f>Table1[[#This Row],[Capacity (MW)]]*8760*0.82*10^-6</f>
        <v>0.39507599999999998</v>
      </c>
      <c r="K178">
        <f>0</f>
        <v>0</v>
      </c>
      <c r="L178">
        <f>0</f>
        <v>0</v>
      </c>
    </row>
    <row r="179" spans="1:12" x14ac:dyDescent="0.35">
      <c r="A179" t="s">
        <v>113</v>
      </c>
      <c r="B179" t="s">
        <v>21</v>
      </c>
      <c r="C179">
        <v>55</v>
      </c>
      <c r="D179" t="s">
        <v>16</v>
      </c>
      <c r="E179" t="s">
        <v>12</v>
      </c>
      <c r="F179" t="s">
        <v>12</v>
      </c>
      <c r="G179">
        <v>-3.629</v>
      </c>
      <c r="H179">
        <v>102.6009</v>
      </c>
      <c r="I179" t="s">
        <v>29</v>
      </c>
      <c r="J179" s="2">
        <f>Table1[[#This Row],[Capacity (MW)]]*8760*0.82*10^-6</f>
        <v>0.39507599999999998</v>
      </c>
      <c r="K179">
        <f>0</f>
        <v>0</v>
      </c>
      <c r="L179">
        <f>0</f>
        <v>0</v>
      </c>
    </row>
    <row r="180" spans="1:12" x14ac:dyDescent="0.35">
      <c r="A180" t="s">
        <v>18</v>
      </c>
      <c r="B180" t="s">
        <v>103</v>
      </c>
      <c r="C180">
        <v>80</v>
      </c>
      <c r="D180" t="s">
        <v>11</v>
      </c>
      <c r="E180">
        <v>2013</v>
      </c>
      <c r="F180" t="s">
        <v>12</v>
      </c>
      <c r="G180">
        <v>37.9499</v>
      </c>
      <c r="H180">
        <v>28.8354</v>
      </c>
      <c r="I180" t="s">
        <v>20</v>
      </c>
      <c r="J180" s="2">
        <f>Table1[[#This Row],[Capacity (MW)]]*8760*0.82*10^-6</f>
        <v>0.57465599999999994</v>
      </c>
      <c r="K180">
        <f>0</f>
        <v>0</v>
      </c>
      <c r="L180">
        <f>0</f>
        <v>0</v>
      </c>
    </row>
    <row r="181" spans="1:12" x14ac:dyDescent="0.35">
      <c r="A181" t="s">
        <v>18</v>
      </c>
      <c r="B181" t="s">
        <v>103</v>
      </c>
      <c r="C181">
        <v>100</v>
      </c>
      <c r="D181" t="s">
        <v>11</v>
      </c>
      <c r="E181">
        <v>2017</v>
      </c>
      <c r="F181" t="s">
        <v>12</v>
      </c>
      <c r="G181">
        <v>37.949883751527899</v>
      </c>
      <c r="H181">
        <v>28.84321513864467</v>
      </c>
      <c r="I181" t="s">
        <v>20</v>
      </c>
      <c r="J181" s="2">
        <f>Table1[[#This Row],[Capacity (MW)]]*8760*0.82*10^-6</f>
        <v>0.71831999999999996</v>
      </c>
      <c r="K181">
        <f>0</f>
        <v>0</v>
      </c>
      <c r="L181">
        <f>0</f>
        <v>0</v>
      </c>
    </row>
    <row r="182" spans="1:12" x14ac:dyDescent="0.35">
      <c r="A182" t="s">
        <v>18</v>
      </c>
      <c r="B182" t="s">
        <v>103</v>
      </c>
      <c r="C182">
        <v>66</v>
      </c>
      <c r="D182" t="s">
        <v>11</v>
      </c>
      <c r="E182">
        <v>2018</v>
      </c>
      <c r="F182" t="s">
        <v>12</v>
      </c>
      <c r="G182">
        <v>37.949883751527899</v>
      </c>
      <c r="H182">
        <v>28.84321513864467</v>
      </c>
      <c r="I182" t="s">
        <v>20</v>
      </c>
      <c r="J182" s="2">
        <f>Table1[[#This Row],[Capacity (MW)]]*8760*0.82*10^-6</f>
        <v>0.47409119999999993</v>
      </c>
      <c r="K182">
        <f>0</f>
        <v>0</v>
      </c>
      <c r="L182">
        <f>0</f>
        <v>0</v>
      </c>
    </row>
    <row r="183" spans="1:12" x14ac:dyDescent="0.35">
      <c r="A183" t="s">
        <v>18</v>
      </c>
      <c r="B183" t="s">
        <v>21</v>
      </c>
      <c r="C183">
        <v>60</v>
      </c>
      <c r="D183" t="s">
        <v>16</v>
      </c>
      <c r="E183">
        <v>2025</v>
      </c>
      <c r="F183" t="s">
        <v>12</v>
      </c>
      <c r="G183">
        <v>38.6126</v>
      </c>
      <c r="H183">
        <v>27.433399999999999</v>
      </c>
      <c r="I183" t="s">
        <v>20</v>
      </c>
      <c r="J183" s="2">
        <f>Table1[[#This Row],[Capacity (MW)]]*8760*0.82*10^-6</f>
        <v>0.43099199999999999</v>
      </c>
      <c r="K183">
        <f>0</f>
        <v>0</v>
      </c>
      <c r="L183">
        <f>0</f>
        <v>0</v>
      </c>
    </row>
    <row r="184" spans="1:12" x14ac:dyDescent="0.35">
      <c r="A184" t="s">
        <v>43</v>
      </c>
      <c r="B184" t="s">
        <v>19</v>
      </c>
      <c r="C184">
        <v>30</v>
      </c>
      <c r="D184" t="s">
        <v>11</v>
      </c>
      <c r="E184">
        <v>1977</v>
      </c>
      <c r="F184" t="s">
        <v>12</v>
      </c>
      <c r="G184">
        <v>65.703500000000005</v>
      </c>
      <c r="H184">
        <v>-16.773499999999999</v>
      </c>
      <c r="I184" t="s">
        <v>42</v>
      </c>
      <c r="J184" s="2">
        <f>Table1[[#This Row],[Capacity (MW)]]*8760*0.82*10^-6</f>
        <v>0.21549599999999999</v>
      </c>
      <c r="K184">
        <f>0</f>
        <v>0</v>
      </c>
      <c r="L184">
        <f>0</f>
        <v>0</v>
      </c>
    </row>
    <row r="185" spans="1:12" x14ac:dyDescent="0.35">
      <c r="A185" t="s">
        <v>43</v>
      </c>
      <c r="B185" t="s">
        <v>19</v>
      </c>
      <c r="C185">
        <v>30</v>
      </c>
      <c r="D185" t="s">
        <v>11</v>
      </c>
      <c r="E185">
        <v>1999</v>
      </c>
      <c r="F185" t="s">
        <v>12</v>
      </c>
      <c r="G185">
        <v>65.703500000000005</v>
      </c>
      <c r="H185">
        <v>-16.773499999999999</v>
      </c>
      <c r="I185" t="s">
        <v>42</v>
      </c>
      <c r="J185" s="2">
        <f>Table1[[#This Row],[Capacity (MW)]]*8760*0.82*10^-6</f>
        <v>0.21549599999999999</v>
      </c>
      <c r="K185">
        <f>0</f>
        <v>0</v>
      </c>
      <c r="L185">
        <f>0</f>
        <v>0</v>
      </c>
    </row>
    <row r="186" spans="1:12" x14ac:dyDescent="0.35">
      <c r="A186" t="s">
        <v>100</v>
      </c>
      <c r="B186" t="s">
        <v>10</v>
      </c>
      <c r="C186">
        <v>30</v>
      </c>
      <c r="D186" t="s">
        <v>11</v>
      </c>
      <c r="E186">
        <v>1996</v>
      </c>
      <c r="F186" t="s">
        <v>12</v>
      </c>
      <c r="G186">
        <v>31.931799999999999</v>
      </c>
      <c r="H186">
        <v>130.79769999999999</v>
      </c>
      <c r="I186" t="s">
        <v>101</v>
      </c>
      <c r="J186" s="2">
        <f>Table1[[#This Row],[Capacity (MW)]]*8760*0.82*10^-6</f>
        <v>0.21549599999999999</v>
      </c>
      <c r="K186">
        <f>0</f>
        <v>0</v>
      </c>
      <c r="L186">
        <f>0</f>
        <v>0</v>
      </c>
    </row>
    <row r="187" spans="1:12" x14ac:dyDescent="0.35">
      <c r="A187" t="s">
        <v>114</v>
      </c>
      <c r="B187" t="s">
        <v>21</v>
      </c>
      <c r="C187">
        <v>50</v>
      </c>
      <c r="D187" t="s">
        <v>23</v>
      </c>
      <c r="E187">
        <v>2026</v>
      </c>
      <c r="F187" t="s">
        <v>12</v>
      </c>
      <c r="G187">
        <v>-22.442900000000002</v>
      </c>
      <c r="H187">
        <v>-67.805999999999997</v>
      </c>
      <c r="I187" t="s">
        <v>115</v>
      </c>
      <c r="J187" s="2">
        <f>Table1[[#This Row],[Capacity (MW)]]*8760*0.82*10^-6</f>
        <v>0.35915999999999998</v>
      </c>
      <c r="K187">
        <f>0</f>
        <v>0</v>
      </c>
      <c r="L187">
        <f>0</f>
        <v>0</v>
      </c>
    </row>
    <row r="188" spans="1:12" x14ac:dyDescent="0.35">
      <c r="A188" t="s">
        <v>114</v>
      </c>
      <c r="B188" t="s">
        <v>21</v>
      </c>
      <c r="C188">
        <v>50</v>
      </c>
      <c r="D188" t="s">
        <v>23</v>
      </c>
      <c r="E188">
        <v>2026</v>
      </c>
      <c r="F188" t="s">
        <v>12</v>
      </c>
      <c r="G188">
        <v>-22.442900000000002</v>
      </c>
      <c r="H188">
        <v>-67.805999999999997</v>
      </c>
      <c r="I188" t="s">
        <v>115</v>
      </c>
      <c r="J188" s="2">
        <f>Table1[[#This Row],[Capacity (MW)]]*8760*0.82*10^-6</f>
        <v>0.35915999999999998</v>
      </c>
      <c r="K188">
        <f>0</f>
        <v>0</v>
      </c>
      <c r="L188">
        <f>0</f>
        <v>0</v>
      </c>
    </row>
    <row r="189" spans="1:12" x14ac:dyDescent="0.35">
      <c r="A189" t="s">
        <v>38</v>
      </c>
      <c r="B189" t="s">
        <v>31</v>
      </c>
      <c r="C189">
        <v>118</v>
      </c>
      <c r="D189" t="s">
        <v>11</v>
      </c>
      <c r="E189">
        <v>1982</v>
      </c>
      <c r="F189" t="s">
        <v>12</v>
      </c>
      <c r="G189">
        <v>38.777000000000001</v>
      </c>
      <c r="H189">
        <v>-122.745</v>
      </c>
      <c r="I189" t="s">
        <v>39</v>
      </c>
      <c r="J189" s="2">
        <f>Table1[[#This Row],[Capacity (MW)]]*8760*0.82*10^-6</f>
        <v>0.84761759999999997</v>
      </c>
      <c r="K189">
        <f>0</f>
        <v>0</v>
      </c>
      <c r="L189">
        <f>0</f>
        <v>0</v>
      </c>
    </row>
    <row r="190" spans="1:12" x14ac:dyDescent="0.35">
      <c r="A190" t="s">
        <v>116</v>
      </c>
      <c r="B190" t="s">
        <v>21</v>
      </c>
      <c r="C190">
        <v>500</v>
      </c>
      <c r="D190" t="s">
        <v>16</v>
      </c>
      <c r="E190" t="s">
        <v>12</v>
      </c>
      <c r="F190" t="s">
        <v>12</v>
      </c>
      <c r="G190">
        <v>20.276199999999999</v>
      </c>
      <c r="H190">
        <v>102.62439999999999</v>
      </c>
      <c r="I190" t="s">
        <v>117</v>
      </c>
      <c r="J190" s="2">
        <f>Table1[[#This Row],[Capacity (MW)]]*8760*0.82*10^-6</f>
        <v>3.5915999999999997</v>
      </c>
      <c r="K190">
        <f>0</f>
        <v>0</v>
      </c>
      <c r="L190">
        <f>0</f>
        <v>0</v>
      </c>
    </row>
    <row r="191" spans="1:12" x14ac:dyDescent="0.35">
      <c r="A191" t="s">
        <v>118</v>
      </c>
      <c r="B191" t="s">
        <v>21</v>
      </c>
      <c r="C191">
        <v>500</v>
      </c>
      <c r="D191" t="s">
        <v>16</v>
      </c>
      <c r="E191" t="s">
        <v>12</v>
      </c>
      <c r="F191" t="s">
        <v>12</v>
      </c>
      <c r="G191">
        <v>20.276199999999999</v>
      </c>
      <c r="H191">
        <v>102.62439999999999</v>
      </c>
      <c r="I191" t="s">
        <v>117</v>
      </c>
      <c r="J191" s="2">
        <f>Table1[[#This Row],[Capacity (MW)]]*8760*0.82*10^-6</f>
        <v>3.5915999999999997</v>
      </c>
      <c r="K191">
        <f>0</f>
        <v>0</v>
      </c>
      <c r="L191">
        <f>0</f>
        <v>0</v>
      </c>
    </row>
    <row r="192" spans="1:12" x14ac:dyDescent="0.35">
      <c r="A192" t="s">
        <v>116</v>
      </c>
      <c r="B192" t="s">
        <v>21</v>
      </c>
      <c r="C192">
        <v>500</v>
      </c>
      <c r="D192" t="s">
        <v>16</v>
      </c>
      <c r="E192" t="s">
        <v>12</v>
      </c>
      <c r="F192" t="s">
        <v>12</v>
      </c>
      <c r="G192">
        <v>16.281700000000001</v>
      </c>
      <c r="H192">
        <v>106.151</v>
      </c>
      <c r="I192" t="s">
        <v>117</v>
      </c>
      <c r="J192" s="2">
        <f>Table1[[#This Row],[Capacity (MW)]]*8760*0.82*10^-6</f>
        <v>3.5915999999999997</v>
      </c>
      <c r="K192">
        <f>0</f>
        <v>0</v>
      </c>
      <c r="L192">
        <f>0</f>
        <v>0</v>
      </c>
    </row>
    <row r="193" spans="1:12" x14ac:dyDescent="0.35">
      <c r="A193" t="s">
        <v>118</v>
      </c>
      <c r="B193" t="s">
        <v>21</v>
      </c>
      <c r="C193">
        <v>500</v>
      </c>
      <c r="D193" t="s">
        <v>16</v>
      </c>
      <c r="E193" t="s">
        <v>12</v>
      </c>
      <c r="F193" t="s">
        <v>12</v>
      </c>
      <c r="G193">
        <v>16.281700000000001</v>
      </c>
      <c r="H193">
        <v>106.151</v>
      </c>
      <c r="I193" t="s">
        <v>117</v>
      </c>
      <c r="J193" s="2">
        <f>Table1[[#This Row],[Capacity (MW)]]*8760*0.82*10^-6</f>
        <v>3.5915999999999997</v>
      </c>
      <c r="K193">
        <f>0</f>
        <v>0</v>
      </c>
      <c r="L193">
        <f>0</f>
        <v>0</v>
      </c>
    </row>
    <row r="194" spans="1:12" x14ac:dyDescent="0.35">
      <c r="A194" t="s">
        <v>52</v>
      </c>
      <c r="B194" t="s">
        <v>15</v>
      </c>
      <c r="C194">
        <v>55</v>
      </c>
      <c r="D194" t="s">
        <v>11</v>
      </c>
      <c r="E194">
        <v>2019</v>
      </c>
      <c r="F194" t="s">
        <v>12</v>
      </c>
      <c r="G194">
        <v>10.757999999999999</v>
      </c>
      <c r="H194">
        <v>-85.346400000000003</v>
      </c>
      <c r="I194" t="s">
        <v>53</v>
      </c>
      <c r="J194" s="2">
        <f>Table1[[#This Row],[Capacity (MW)]]*8760*0.82*10^-6</f>
        <v>0.39507599999999998</v>
      </c>
      <c r="K194">
        <f>0</f>
        <v>0</v>
      </c>
      <c r="L194">
        <f>0</f>
        <v>0</v>
      </c>
    </row>
    <row r="195" spans="1:12" x14ac:dyDescent="0.35">
      <c r="A195" t="s">
        <v>52</v>
      </c>
      <c r="B195" t="s">
        <v>15</v>
      </c>
      <c r="C195">
        <v>35</v>
      </c>
      <c r="D195" t="s">
        <v>11</v>
      </c>
      <c r="E195">
        <v>2011</v>
      </c>
      <c r="F195" t="s">
        <v>12</v>
      </c>
      <c r="G195">
        <v>10.757300000000001</v>
      </c>
      <c r="H195">
        <v>-85.3596</v>
      </c>
      <c r="I195" t="s">
        <v>53</v>
      </c>
      <c r="J195" s="2">
        <f>Table1[[#This Row],[Capacity (MW)]]*8760*0.82*10^-6</f>
        <v>0.25141199999999997</v>
      </c>
      <c r="K195">
        <f>0</f>
        <v>0</v>
      </c>
      <c r="L195">
        <f>0</f>
        <v>0</v>
      </c>
    </row>
    <row r="196" spans="1:12" x14ac:dyDescent="0.35">
      <c r="A196" t="s">
        <v>119</v>
      </c>
      <c r="B196" t="s">
        <v>21</v>
      </c>
      <c r="C196">
        <v>40</v>
      </c>
      <c r="D196" t="s">
        <v>28</v>
      </c>
      <c r="E196" t="s">
        <v>12</v>
      </c>
      <c r="F196" t="s">
        <v>12</v>
      </c>
      <c r="G196">
        <v>-3.1244999999999998</v>
      </c>
      <c r="H196">
        <v>152.6464</v>
      </c>
      <c r="I196" t="s">
        <v>120</v>
      </c>
      <c r="J196" s="2">
        <f>Table1[[#This Row],[Capacity (MW)]]*8760*0.82*10^-6</f>
        <v>0.28732799999999997</v>
      </c>
      <c r="K196">
        <f>0</f>
        <v>0</v>
      </c>
      <c r="L196">
        <f>0</f>
        <v>0</v>
      </c>
    </row>
    <row r="197" spans="1:12" x14ac:dyDescent="0.35">
      <c r="A197" t="s">
        <v>119</v>
      </c>
      <c r="B197" t="s">
        <v>10</v>
      </c>
      <c r="C197">
        <v>30</v>
      </c>
      <c r="D197" t="s">
        <v>11</v>
      </c>
      <c r="E197">
        <v>2007</v>
      </c>
      <c r="F197" t="s">
        <v>12</v>
      </c>
      <c r="G197">
        <v>-3.1244999999999998</v>
      </c>
      <c r="H197">
        <v>152.6464</v>
      </c>
      <c r="I197" t="s">
        <v>120</v>
      </c>
      <c r="J197" s="2">
        <f>Table1[[#This Row],[Capacity (MW)]]*8760*0.82*10^-6</f>
        <v>0.21549599999999999</v>
      </c>
      <c r="K197">
        <f>0</f>
        <v>0</v>
      </c>
      <c r="L197">
        <f>0</f>
        <v>0</v>
      </c>
    </row>
    <row r="198" spans="1:12" x14ac:dyDescent="0.35">
      <c r="A198" t="s">
        <v>121</v>
      </c>
      <c r="B198" t="s">
        <v>21</v>
      </c>
      <c r="C198">
        <v>50</v>
      </c>
      <c r="D198" t="s">
        <v>28</v>
      </c>
      <c r="E198" t="s">
        <v>12</v>
      </c>
      <c r="F198" t="s">
        <v>12</v>
      </c>
      <c r="G198">
        <v>-37.0471</v>
      </c>
      <c r="H198">
        <v>140.00190000000001</v>
      </c>
      <c r="I198" t="s">
        <v>122</v>
      </c>
      <c r="J198" s="2">
        <f>Table1[[#This Row],[Capacity (MW)]]*8760*0.82*10^-6</f>
        <v>0.35915999999999998</v>
      </c>
      <c r="K198">
        <f>0</f>
        <v>0</v>
      </c>
      <c r="L198">
        <f>0</f>
        <v>0</v>
      </c>
    </row>
    <row r="199" spans="1:12" x14ac:dyDescent="0.35">
      <c r="A199" t="s">
        <v>12</v>
      </c>
      <c r="B199" t="s">
        <v>21</v>
      </c>
      <c r="C199">
        <v>35</v>
      </c>
      <c r="D199" t="s">
        <v>16</v>
      </c>
      <c r="E199">
        <v>2027</v>
      </c>
      <c r="F199" t="s">
        <v>12</v>
      </c>
      <c r="G199">
        <v>-0.89646457417245295</v>
      </c>
      <c r="H199">
        <v>36.47619617861271</v>
      </c>
      <c r="I199" t="s">
        <v>17</v>
      </c>
      <c r="J199" s="2">
        <f>Table1[[#This Row],[Capacity (MW)]]*8760*0.82*10^-6</f>
        <v>0.25141199999999997</v>
      </c>
      <c r="K199">
        <f>0</f>
        <v>0</v>
      </c>
      <c r="L199">
        <f>0</f>
        <v>0</v>
      </c>
    </row>
    <row r="200" spans="1:12" x14ac:dyDescent="0.35">
      <c r="A200" t="s">
        <v>68</v>
      </c>
      <c r="B200" t="s">
        <v>10</v>
      </c>
      <c r="C200">
        <v>50</v>
      </c>
      <c r="D200" t="s">
        <v>11</v>
      </c>
      <c r="E200">
        <v>2015</v>
      </c>
      <c r="F200" t="s">
        <v>12</v>
      </c>
      <c r="G200">
        <v>19.790099999999999</v>
      </c>
      <c r="H200">
        <v>-100.66679999999999</v>
      </c>
      <c r="I200" t="s">
        <v>69</v>
      </c>
      <c r="J200" s="2">
        <f>Table1[[#This Row],[Capacity (MW)]]*8760*0.82*10^-6</f>
        <v>0.35915999999999998</v>
      </c>
      <c r="K200">
        <f>0</f>
        <v>0</v>
      </c>
      <c r="L200">
        <f>0</f>
        <v>0</v>
      </c>
    </row>
    <row r="201" spans="1:12" x14ac:dyDescent="0.35">
      <c r="A201" t="s">
        <v>104</v>
      </c>
      <c r="B201" t="s">
        <v>21</v>
      </c>
      <c r="C201">
        <v>55</v>
      </c>
      <c r="D201" t="s">
        <v>16</v>
      </c>
      <c r="E201">
        <v>2024</v>
      </c>
      <c r="F201" t="s">
        <v>12</v>
      </c>
      <c r="G201">
        <v>-4.1943000000000001</v>
      </c>
      <c r="H201">
        <v>103.6403</v>
      </c>
      <c r="I201" t="s">
        <v>29</v>
      </c>
      <c r="J201" s="2">
        <f>Table1[[#This Row],[Capacity (MW)]]*8760*0.82*10^-6</f>
        <v>0.39507599999999998</v>
      </c>
      <c r="K201">
        <f>0</f>
        <v>0</v>
      </c>
      <c r="L201">
        <f>0</f>
        <v>0</v>
      </c>
    </row>
    <row r="202" spans="1:12" x14ac:dyDescent="0.35">
      <c r="A202" t="s">
        <v>104</v>
      </c>
      <c r="B202" t="s">
        <v>21</v>
      </c>
      <c r="C202">
        <v>55</v>
      </c>
      <c r="D202" t="s">
        <v>16</v>
      </c>
      <c r="E202">
        <v>2024</v>
      </c>
      <c r="F202" t="s">
        <v>12</v>
      </c>
      <c r="G202">
        <v>-4.1943000000000001</v>
      </c>
      <c r="H202">
        <v>103.6403</v>
      </c>
      <c r="I202" t="s">
        <v>29</v>
      </c>
      <c r="J202" s="2">
        <f>Table1[[#This Row],[Capacity (MW)]]*8760*0.82*10^-6</f>
        <v>0.39507599999999998</v>
      </c>
      <c r="K202">
        <f>0</f>
        <v>0</v>
      </c>
      <c r="L202">
        <f>0</f>
        <v>0</v>
      </c>
    </row>
    <row r="203" spans="1:12" x14ac:dyDescent="0.35">
      <c r="A203" t="s">
        <v>104</v>
      </c>
      <c r="B203" t="s">
        <v>10</v>
      </c>
      <c r="C203">
        <v>55</v>
      </c>
      <c r="D203" t="s">
        <v>11</v>
      </c>
      <c r="E203">
        <v>2019</v>
      </c>
      <c r="F203" t="s">
        <v>12</v>
      </c>
      <c r="G203">
        <v>-4.1943000000000001</v>
      </c>
      <c r="H203">
        <v>103.6403</v>
      </c>
      <c r="I203" t="s">
        <v>29</v>
      </c>
      <c r="J203" s="2">
        <f>Table1[[#This Row],[Capacity (MW)]]*8760*0.82*10^-6</f>
        <v>0.39507599999999998</v>
      </c>
      <c r="K203">
        <f>0</f>
        <v>0</v>
      </c>
      <c r="L203">
        <f>0</f>
        <v>0</v>
      </c>
    </row>
    <row r="204" spans="1:12" x14ac:dyDescent="0.35">
      <c r="A204" t="s">
        <v>104</v>
      </c>
      <c r="B204" t="s">
        <v>21</v>
      </c>
      <c r="C204">
        <v>55</v>
      </c>
      <c r="D204" t="s">
        <v>23</v>
      </c>
      <c r="E204">
        <v>2024</v>
      </c>
      <c r="F204" t="s">
        <v>12</v>
      </c>
      <c r="G204">
        <v>-4.1943000000000001</v>
      </c>
      <c r="H204">
        <v>103.6403</v>
      </c>
      <c r="I204" t="s">
        <v>29</v>
      </c>
      <c r="J204" s="2">
        <f>Table1[[#This Row],[Capacity (MW)]]*8760*0.82*10^-6</f>
        <v>0.39507599999999998</v>
      </c>
      <c r="K204">
        <f>0</f>
        <v>0</v>
      </c>
      <c r="L204">
        <f>0</f>
        <v>0</v>
      </c>
    </row>
    <row r="205" spans="1:12" x14ac:dyDescent="0.35">
      <c r="A205" t="s">
        <v>25</v>
      </c>
      <c r="B205" t="s">
        <v>19</v>
      </c>
      <c r="C205">
        <v>60</v>
      </c>
      <c r="D205" t="s">
        <v>11</v>
      </c>
      <c r="E205">
        <v>1997</v>
      </c>
      <c r="F205" t="s">
        <v>12</v>
      </c>
      <c r="G205">
        <v>11.1309</v>
      </c>
      <c r="H205">
        <v>124.6695</v>
      </c>
      <c r="I205" t="s">
        <v>26</v>
      </c>
      <c r="J205" s="2">
        <f>Table1[[#This Row],[Capacity (MW)]]*8760*0.82*10^-6</f>
        <v>0.43099199999999999</v>
      </c>
      <c r="K205">
        <f>0</f>
        <v>0</v>
      </c>
      <c r="L205">
        <f>0</f>
        <v>0</v>
      </c>
    </row>
    <row r="206" spans="1:12" x14ac:dyDescent="0.35">
      <c r="A206" t="s">
        <v>25</v>
      </c>
      <c r="B206" t="s">
        <v>19</v>
      </c>
      <c r="C206">
        <v>60</v>
      </c>
      <c r="D206" t="s">
        <v>11</v>
      </c>
      <c r="E206">
        <v>1997</v>
      </c>
      <c r="F206" t="s">
        <v>12</v>
      </c>
      <c r="G206">
        <v>11.1309</v>
      </c>
      <c r="H206">
        <v>124.6695</v>
      </c>
      <c r="I206" t="s">
        <v>26</v>
      </c>
      <c r="J206" s="2">
        <f>Table1[[#This Row],[Capacity (MW)]]*8760*0.82*10^-6</f>
        <v>0.43099199999999999</v>
      </c>
      <c r="K206">
        <f>0</f>
        <v>0</v>
      </c>
      <c r="L206">
        <f>0</f>
        <v>0</v>
      </c>
    </row>
    <row r="207" spans="1:12" x14ac:dyDescent="0.35">
      <c r="A207" t="s">
        <v>25</v>
      </c>
      <c r="B207" t="s">
        <v>21</v>
      </c>
      <c r="C207">
        <v>60</v>
      </c>
      <c r="D207" t="s">
        <v>11</v>
      </c>
      <c r="E207">
        <v>1997</v>
      </c>
      <c r="F207" t="s">
        <v>12</v>
      </c>
      <c r="G207">
        <v>11.1309</v>
      </c>
      <c r="H207">
        <v>124.6695</v>
      </c>
      <c r="I207" t="s">
        <v>26</v>
      </c>
      <c r="J207" s="2">
        <f>Table1[[#This Row],[Capacity (MW)]]*8760*0.82*10^-6</f>
        <v>0.43099199999999999</v>
      </c>
      <c r="K207">
        <f>0</f>
        <v>0</v>
      </c>
      <c r="L207">
        <f>0</f>
        <v>0</v>
      </c>
    </row>
    <row r="208" spans="1:12" x14ac:dyDescent="0.35">
      <c r="A208" t="s">
        <v>123</v>
      </c>
      <c r="B208" t="s">
        <v>19</v>
      </c>
      <c r="C208">
        <v>63</v>
      </c>
      <c r="D208" t="s">
        <v>11</v>
      </c>
      <c r="E208">
        <v>1979</v>
      </c>
      <c r="F208" t="s">
        <v>12</v>
      </c>
      <c r="G208">
        <v>14.091699999999999</v>
      </c>
      <c r="H208">
        <v>121.21429999999999</v>
      </c>
      <c r="I208" t="s">
        <v>26</v>
      </c>
      <c r="J208" s="2">
        <f>Table1[[#This Row],[Capacity (MW)]]*8760*0.82*10^-6</f>
        <v>0.45254159999999993</v>
      </c>
      <c r="K208">
        <f>0</f>
        <v>0</v>
      </c>
      <c r="L208">
        <f>0</f>
        <v>0</v>
      </c>
    </row>
    <row r="209" spans="1:12" x14ac:dyDescent="0.35">
      <c r="A209" t="s">
        <v>123</v>
      </c>
      <c r="B209" t="s">
        <v>19</v>
      </c>
      <c r="C209">
        <v>63</v>
      </c>
      <c r="D209" t="s">
        <v>11</v>
      </c>
      <c r="E209">
        <v>1979</v>
      </c>
      <c r="F209" t="s">
        <v>12</v>
      </c>
      <c r="G209">
        <v>14.091699999999999</v>
      </c>
      <c r="H209">
        <v>121.21429999999999</v>
      </c>
      <c r="I209" t="s">
        <v>26</v>
      </c>
      <c r="J209" s="2">
        <f>Table1[[#This Row],[Capacity (MW)]]*8760*0.82*10^-6</f>
        <v>0.45254159999999993</v>
      </c>
      <c r="K209">
        <f>0</f>
        <v>0</v>
      </c>
      <c r="L209">
        <f>0</f>
        <v>0</v>
      </c>
    </row>
    <row r="210" spans="1:12" x14ac:dyDescent="0.35">
      <c r="A210" t="s">
        <v>123</v>
      </c>
      <c r="B210" t="s">
        <v>10</v>
      </c>
      <c r="C210">
        <v>63</v>
      </c>
      <c r="D210" t="s">
        <v>11</v>
      </c>
      <c r="E210">
        <v>1980</v>
      </c>
      <c r="F210" t="s">
        <v>12</v>
      </c>
      <c r="G210">
        <v>14.091699999999999</v>
      </c>
      <c r="H210">
        <v>121.21429999999999</v>
      </c>
      <c r="I210" t="s">
        <v>26</v>
      </c>
      <c r="J210" s="2">
        <f>Table1[[#This Row],[Capacity (MW)]]*8760*0.82*10^-6</f>
        <v>0.45254159999999993</v>
      </c>
      <c r="K210">
        <f>0</f>
        <v>0</v>
      </c>
      <c r="L210">
        <f>0</f>
        <v>0</v>
      </c>
    </row>
    <row r="211" spans="1:12" x14ac:dyDescent="0.35">
      <c r="A211" t="s">
        <v>123</v>
      </c>
      <c r="B211" t="s">
        <v>10</v>
      </c>
      <c r="C211">
        <v>63</v>
      </c>
      <c r="D211" t="s">
        <v>11</v>
      </c>
      <c r="E211">
        <v>1980</v>
      </c>
      <c r="F211" t="s">
        <v>12</v>
      </c>
      <c r="G211">
        <v>14.091699999999999</v>
      </c>
      <c r="H211">
        <v>121.21429999999999</v>
      </c>
      <c r="I211" t="s">
        <v>26</v>
      </c>
      <c r="J211" s="2">
        <f>Table1[[#This Row],[Capacity (MW)]]*8760*0.82*10^-6</f>
        <v>0.45254159999999993</v>
      </c>
      <c r="K211">
        <f>0</f>
        <v>0</v>
      </c>
      <c r="L211">
        <f>0</f>
        <v>0</v>
      </c>
    </row>
    <row r="212" spans="1:12" x14ac:dyDescent="0.35">
      <c r="A212" t="s">
        <v>123</v>
      </c>
      <c r="B212" t="s">
        <v>10</v>
      </c>
      <c r="C212">
        <v>55</v>
      </c>
      <c r="D212" t="s">
        <v>11</v>
      </c>
      <c r="E212">
        <v>1981</v>
      </c>
      <c r="F212" t="s">
        <v>12</v>
      </c>
      <c r="G212">
        <v>14.091699999999999</v>
      </c>
      <c r="H212">
        <v>121.21429999999999</v>
      </c>
      <c r="I212" t="s">
        <v>26</v>
      </c>
      <c r="J212" s="2">
        <f>Table1[[#This Row],[Capacity (MW)]]*8760*0.82*10^-6</f>
        <v>0.39507599999999998</v>
      </c>
      <c r="K212">
        <f>0</f>
        <v>0</v>
      </c>
      <c r="L212">
        <f>0</f>
        <v>0</v>
      </c>
    </row>
    <row r="213" spans="1:12" x14ac:dyDescent="0.35">
      <c r="A213" t="s">
        <v>123</v>
      </c>
      <c r="B213" t="s">
        <v>21</v>
      </c>
      <c r="C213">
        <v>55</v>
      </c>
      <c r="D213" t="s">
        <v>11</v>
      </c>
      <c r="E213">
        <v>1982</v>
      </c>
      <c r="F213" t="s">
        <v>12</v>
      </c>
      <c r="G213">
        <v>14.091699999999999</v>
      </c>
      <c r="H213">
        <v>121.21429999999999</v>
      </c>
      <c r="I213" t="s">
        <v>26</v>
      </c>
      <c r="J213" s="2">
        <f>Table1[[#This Row],[Capacity (MW)]]*8760*0.82*10^-6</f>
        <v>0.39507599999999998</v>
      </c>
      <c r="K213">
        <f>0</f>
        <v>0</v>
      </c>
      <c r="L213">
        <f>0</f>
        <v>0</v>
      </c>
    </row>
    <row r="214" spans="1:12" x14ac:dyDescent="0.35">
      <c r="A214" t="s">
        <v>124</v>
      </c>
      <c r="B214" t="s">
        <v>21</v>
      </c>
      <c r="C214">
        <v>30</v>
      </c>
      <c r="D214" t="s">
        <v>79</v>
      </c>
      <c r="E214" t="s">
        <v>12</v>
      </c>
      <c r="F214" t="s">
        <v>12</v>
      </c>
      <c r="G214">
        <v>53.8949</v>
      </c>
      <c r="H214">
        <v>-166.9341</v>
      </c>
      <c r="I214" t="s">
        <v>39</v>
      </c>
      <c r="J214" s="2">
        <f>Table1[[#This Row],[Capacity (MW)]]*8760*0.82*10^-6</f>
        <v>0.21549599999999999</v>
      </c>
      <c r="K214">
        <f>0</f>
        <v>0</v>
      </c>
      <c r="L214">
        <f>0</f>
        <v>0</v>
      </c>
    </row>
    <row r="215" spans="1:12" x14ac:dyDescent="0.35">
      <c r="A215" t="s">
        <v>25</v>
      </c>
      <c r="B215" t="s">
        <v>10</v>
      </c>
      <c r="C215">
        <v>78</v>
      </c>
      <c r="D215" t="s">
        <v>11</v>
      </c>
      <c r="E215">
        <v>1996</v>
      </c>
      <c r="F215" t="s">
        <v>12</v>
      </c>
      <c r="G215">
        <v>11.1525</v>
      </c>
      <c r="H215">
        <v>124.64919999999999</v>
      </c>
      <c r="I215" t="s">
        <v>26</v>
      </c>
      <c r="J215" s="2">
        <f>Table1[[#This Row],[Capacity (MW)]]*8760*0.82*10^-6</f>
        <v>0.56028959999999994</v>
      </c>
      <c r="K215">
        <f>0</f>
        <v>0</v>
      </c>
      <c r="L215">
        <f>0</f>
        <v>0</v>
      </c>
    </row>
    <row r="216" spans="1:12" x14ac:dyDescent="0.35">
      <c r="A216" t="s">
        <v>25</v>
      </c>
      <c r="B216" t="s">
        <v>10</v>
      </c>
      <c r="C216">
        <v>78</v>
      </c>
      <c r="D216" t="s">
        <v>11</v>
      </c>
      <c r="E216">
        <v>1997</v>
      </c>
      <c r="F216" t="s">
        <v>12</v>
      </c>
      <c r="G216">
        <v>11.1525</v>
      </c>
      <c r="H216">
        <v>124.64919999999999</v>
      </c>
      <c r="I216" t="s">
        <v>26</v>
      </c>
      <c r="J216" s="2">
        <f>Table1[[#This Row],[Capacity (MW)]]*8760*0.82*10^-6</f>
        <v>0.56028959999999994</v>
      </c>
      <c r="K216">
        <f>0</f>
        <v>0</v>
      </c>
      <c r="L216">
        <f>0</f>
        <v>0</v>
      </c>
    </row>
    <row r="217" spans="1:12" x14ac:dyDescent="0.35">
      <c r="A217" t="s">
        <v>25</v>
      </c>
      <c r="B217" t="s">
        <v>10</v>
      </c>
      <c r="C217">
        <v>78</v>
      </c>
      <c r="D217" t="s">
        <v>11</v>
      </c>
      <c r="E217">
        <v>1997</v>
      </c>
      <c r="F217" t="s">
        <v>12</v>
      </c>
      <c r="G217">
        <v>11.1525</v>
      </c>
      <c r="H217">
        <v>124.64919999999999</v>
      </c>
      <c r="I217" t="s">
        <v>26</v>
      </c>
      <c r="J217" s="2">
        <f>Table1[[#This Row],[Capacity (MW)]]*8760*0.82*10^-6</f>
        <v>0.56028959999999994</v>
      </c>
      <c r="K217">
        <f>0</f>
        <v>0</v>
      </c>
      <c r="L217">
        <f>0</f>
        <v>0</v>
      </c>
    </row>
    <row r="218" spans="1:12" x14ac:dyDescent="0.35">
      <c r="A218" t="s">
        <v>25</v>
      </c>
      <c r="B218" t="s">
        <v>21</v>
      </c>
      <c r="C218">
        <v>50</v>
      </c>
      <c r="D218" t="s">
        <v>16</v>
      </c>
      <c r="E218" t="s">
        <v>12</v>
      </c>
      <c r="F218" t="s">
        <v>12</v>
      </c>
      <c r="G218">
        <v>-35.540399999999998</v>
      </c>
      <c r="H218">
        <v>-71.484899999999996</v>
      </c>
      <c r="I218" t="s">
        <v>66</v>
      </c>
      <c r="J218" s="2">
        <f>Table1[[#This Row],[Capacity (MW)]]*8760*0.82*10^-6</f>
        <v>0.35915999999999998</v>
      </c>
      <c r="K218">
        <f>0</f>
        <v>0</v>
      </c>
      <c r="L218">
        <f>0</f>
        <v>0</v>
      </c>
    </row>
    <row r="219" spans="1:12" x14ac:dyDescent="0.35">
      <c r="A219" t="s">
        <v>25</v>
      </c>
      <c r="B219" t="s">
        <v>21</v>
      </c>
      <c r="C219">
        <v>50</v>
      </c>
      <c r="D219" t="s">
        <v>16</v>
      </c>
      <c r="E219" t="s">
        <v>12</v>
      </c>
      <c r="F219" t="s">
        <v>12</v>
      </c>
      <c r="G219">
        <v>-35.540399999999998</v>
      </c>
      <c r="H219">
        <v>-71.484899999999996</v>
      </c>
      <c r="I219" t="s">
        <v>66</v>
      </c>
      <c r="J219" s="2">
        <f>Table1[[#This Row],[Capacity (MW)]]*8760*0.82*10^-6</f>
        <v>0.35915999999999998</v>
      </c>
      <c r="K219">
        <f>0</f>
        <v>0</v>
      </c>
      <c r="L219">
        <f>0</f>
        <v>0</v>
      </c>
    </row>
    <row r="220" spans="1:12" x14ac:dyDescent="0.35">
      <c r="A220" t="s">
        <v>125</v>
      </c>
      <c r="B220" t="s">
        <v>15</v>
      </c>
      <c r="C220">
        <v>30</v>
      </c>
      <c r="D220" t="s">
        <v>11</v>
      </c>
      <c r="E220">
        <v>2019</v>
      </c>
      <c r="F220" t="s">
        <v>12</v>
      </c>
      <c r="G220">
        <v>38.422199999999997</v>
      </c>
      <c r="H220">
        <v>28.389199999999999</v>
      </c>
      <c r="I220" t="s">
        <v>20</v>
      </c>
      <c r="J220" s="2">
        <f>Table1[[#This Row],[Capacity (MW)]]*8760*0.82*10^-6</f>
        <v>0.21549599999999999</v>
      </c>
      <c r="K220">
        <f>0</f>
        <v>0</v>
      </c>
      <c r="L220">
        <f>0</f>
        <v>0</v>
      </c>
    </row>
    <row r="221" spans="1:12" x14ac:dyDescent="0.35">
      <c r="A221" t="s">
        <v>38</v>
      </c>
      <c r="B221" t="s">
        <v>31</v>
      </c>
      <c r="C221">
        <v>110</v>
      </c>
      <c r="D221" t="s">
        <v>11</v>
      </c>
      <c r="E221">
        <v>1971</v>
      </c>
      <c r="F221" t="s">
        <v>12</v>
      </c>
      <c r="G221">
        <v>38.777000000000001</v>
      </c>
      <c r="H221">
        <v>-122.745</v>
      </c>
      <c r="I221" t="s">
        <v>39</v>
      </c>
      <c r="J221" s="2">
        <f>Table1[[#This Row],[Capacity (MW)]]*8760*0.82*10^-6</f>
        <v>0.79015199999999997</v>
      </c>
      <c r="K221">
        <f>0</f>
        <v>0</v>
      </c>
      <c r="L221">
        <f>0</f>
        <v>0</v>
      </c>
    </row>
    <row r="222" spans="1:12" x14ac:dyDescent="0.35">
      <c r="A222" t="s">
        <v>47</v>
      </c>
      <c r="B222" t="s">
        <v>15</v>
      </c>
      <c r="C222">
        <v>48</v>
      </c>
      <c r="D222" t="s">
        <v>11</v>
      </c>
      <c r="E222">
        <v>2018</v>
      </c>
      <c r="F222" t="s">
        <v>12</v>
      </c>
      <c r="G222">
        <v>39.593299999999999</v>
      </c>
      <c r="H222">
        <v>-116.9126</v>
      </c>
      <c r="I222" t="s">
        <v>39</v>
      </c>
      <c r="J222" s="2">
        <f>Table1[[#This Row],[Capacity (MW)]]*8760*0.82*10^-6</f>
        <v>0.34479359999999998</v>
      </c>
      <c r="K222">
        <f>0</f>
        <v>0</v>
      </c>
      <c r="L222">
        <f>0</f>
        <v>0</v>
      </c>
    </row>
    <row r="223" spans="1:12" x14ac:dyDescent="0.35">
      <c r="A223" t="s">
        <v>47</v>
      </c>
      <c r="B223" t="s">
        <v>15</v>
      </c>
      <c r="C223">
        <v>45</v>
      </c>
      <c r="D223" t="s">
        <v>11</v>
      </c>
      <c r="E223">
        <v>2012</v>
      </c>
      <c r="F223" t="s">
        <v>12</v>
      </c>
      <c r="G223">
        <v>39.596299999999999</v>
      </c>
      <c r="H223">
        <v>-116.8942</v>
      </c>
      <c r="I223" t="s">
        <v>39</v>
      </c>
      <c r="J223" s="2">
        <f>Table1[[#This Row],[Capacity (MW)]]*8760*0.82*10^-6</f>
        <v>0.32324399999999998</v>
      </c>
      <c r="K223">
        <f>0</f>
        <v>0</v>
      </c>
      <c r="L223">
        <f>0</f>
        <v>0</v>
      </c>
    </row>
    <row r="224" spans="1:12" x14ac:dyDescent="0.35">
      <c r="A224" t="s">
        <v>47</v>
      </c>
      <c r="B224" t="s">
        <v>15</v>
      </c>
      <c r="C224">
        <v>45</v>
      </c>
      <c r="D224" t="s">
        <v>11</v>
      </c>
      <c r="E224">
        <v>2012</v>
      </c>
      <c r="F224" t="s">
        <v>12</v>
      </c>
      <c r="G224">
        <v>39.596299999999999</v>
      </c>
      <c r="H224">
        <v>-116.8942</v>
      </c>
      <c r="I224" t="s">
        <v>39</v>
      </c>
      <c r="J224" s="2">
        <f>Table1[[#This Row],[Capacity (MW)]]*8760*0.82*10^-6</f>
        <v>0.32324399999999998</v>
      </c>
      <c r="K224">
        <f>0</f>
        <v>0</v>
      </c>
      <c r="L224">
        <f>0</f>
        <v>0</v>
      </c>
    </row>
    <row r="225" spans="1:12" x14ac:dyDescent="0.35">
      <c r="A225" t="s">
        <v>126</v>
      </c>
      <c r="B225" t="s">
        <v>21</v>
      </c>
      <c r="C225">
        <v>200</v>
      </c>
      <c r="D225" t="s">
        <v>16</v>
      </c>
      <c r="E225">
        <v>2025</v>
      </c>
      <c r="F225" t="s">
        <v>12</v>
      </c>
      <c r="G225">
        <v>50.575400000000002</v>
      </c>
      <c r="H225">
        <v>-123.4646</v>
      </c>
      <c r="I225" t="s">
        <v>89</v>
      </c>
      <c r="J225" s="2">
        <f>Table1[[#This Row],[Capacity (MW)]]*8760*0.82*10^-6</f>
        <v>1.4366399999999999</v>
      </c>
      <c r="K225">
        <f>0</f>
        <v>0</v>
      </c>
      <c r="L225">
        <f>0</f>
        <v>0</v>
      </c>
    </row>
    <row r="226" spans="1:12" x14ac:dyDescent="0.35">
      <c r="A226" t="s">
        <v>47</v>
      </c>
      <c r="B226" t="s">
        <v>15</v>
      </c>
      <c r="C226">
        <v>33</v>
      </c>
      <c r="D226" t="s">
        <v>11</v>
      </c>
      <c r="E226">
        <v>2018</v>
      </c>
      <c r="F226" t="s">
        <v>12</v>
      </c>
      <c r="G226">
        <v>37.911000000000001</v>
      </c>
      <c r="H226">
        <v>27.6404</v>
      </c>
      <c r="I226" t="s">
        <v>20</v>
      </c>
      <c r="J226" s="2">
        <f>Table1[[#This Row],[Capacity (MW)]]*8760*0.82*10^-6</f>
        <v>0.23704559999999997</v>
      </c>
      <c r="K226">
        <f>0</f>
        <v>0</v>
      </c>
      <c r="L226">
        <f>0</f>
        <v>0</v>
      </c>
    </row>
    <row r="227" spans="1:12" x14ac:dyDescent="0.35">
      <c r="A227" t="s">
        <v>34</v>
      </c>
      <c r="B227" t="s">
        <v>21</v>
      </c>
      <c r="C227">
        <v>35</v>
      </c>
      <c r="D227" t="s">
        <v>11</v>
      </c>
      <c r="E227">
        <v>2023</v>
      </c>
      <c r="F227" t="s">
        <v>12</v>
      </c>
      <c r="G227">
        <v>-0.2137</v>
      </c>
      <c r="H227">
        <v>36.059100000000001</v>
      </c>
      <c r="I227" t="s">
        <v>17</v>
      </c>
      <c r="J227" s="2">
        <f>Table1[[#This Row],[Capacity (MW)]]*8760*0.82*10^-6</f>
        <v>0.25141199999999997</v>
      </c>
      <c r="K227">
        <f>0</f>
        <v>0</v>
      </c>
      <c r="L227">
        <f>0</f>
        <v>0</v>
      </c>
    </row>
    <row r="228" spans="1:12" x14ac:dyDescent="0.35">
      <c r="A228" t="s">
        <v>34</v>
      </c>
      <c r="B228" t="s">
        <v>21</v>
      </c>
      <c r="C228">
        <v>35</v>
      </c>
      <c r="D228" t="s">
        <v>23</v>
      </c>
      <c r="E228" t="s">
        <v>12</v>
      </c>
      <c r="F228" t="s">
        <v>12</v>
      </c>
      <c r="G228">
        <v>-0.2137</v>
      </c>
      <c r="H228">
        <v>36.059100000000001</v>
      </c>
      <c r="I228" t="s">
        <v>17</v>
      </c>
      <c r="J228" s="2">
        <f>Table1[[#This Row],[Capacity (MW)]]*8760*0.82*10^-6</f>
        <v>0.25141199999999997</v>
      </c>
      <c r="K228">
        <f>0</f>
        <v>0</v>
      </c>
      <c r="L228">
        <f>0</f>
        <v>0</v>
      </c>
    </row>
    <row r="229" spans="1:12" x14ac:dyDescent="0.35">
      <c r="A229" t="s">
        <v>34</v>
      </c>
      <c r="B229" t="s">
        <v>21</v>
      </c>
      <c r="C229">
        <v>35</v>
      </c>
      <c r="D229" t="s">
        <v>23</v>
      </c>
      <c r="E229" t="s">
        <v>12</v>
      </c>
      <c r="F229" t="s">
        <v>12</v>
      </c>
      <c r="G229">
        <v>-0.2137</v>
      </c>
      <c r="H229">
        <v>36.059100000000001</v>
      </c>
      <c r="I229" t="s">
        <v>17</v>
      </c>
      <c r="J229" s="2">
        <f>Table1[[#This Row],[Capacity (MW)]]*8760*0.82*10^-6</f>
        <v>0.25141199999999997</v>
      </c>
      <c r="K229">
        <f>0</f>
        <v>0</v>
      </c>
      <c r="L229">
        <f>0</f>
        <v>0</v>
      </c>
    </row>
    <row r="230" spans="1:12" x14ac:dyDescent="0.35">
      <c r="A230" t="s">
        <v>34</v>
      </c>
      <c r="B230" t="s">
        <v>50</v>
      </c>
      <c r="C230">
        <v>60</v>
      </c>
      <c r="D230" t="s">
        <v>16</v>
      </c>
      <c r="E230">
        <v>2025</v>
      </c>
      <c r="F230" t="s">
        <v>12</v>
      </c>
      <c r="G230">
        <v>-0.19600000000000001</v>
      </c>
      <c r="H230">
        <v>36.063000000000002</v>
      </c>
      <c r="I230" t="s">
        <v>17</v>
      </c>
      <c r="J230" s="2">
        <f>Table1[[#This Row],[Capacity (MW)]]*8760*0.82*10^-6</f>
        <v>0.43099199999999999</v>
      </c>
      <c r="K230">
        <f>0</f>
        <v>0</v>
      </c>
      <c r="L230">
        <f>0</f>
        <v>0</v>
      </c>
    </row>
    <row r="231" spans="1:12" x14ac:dyDescent="0.35">
      <c r="A231" t="s">
        <v>34</v>
      </c>
      <c r="B231" t="s">
        <v>21</v>
      </c>
      <c r="C231">
        <v>300</v>
      </c>
      <c r="D231" t="s">
        <v>79</v>
      </c>
      <c r="E231" t="s">
        <v>12</v>
      </c>
      <c r="F231" t="s">
        <v>12</v>
      </c>
      <c r="G231">
        <v>-0.19600000000000001</v>
      </c>
      <c r="H231">
        <v>36.063000000000002</v>
      </c>
      <c r="I231" t="s">
        <v>17</v>
      </c>
      <c r="J231" s="2">
        <f>Table1[[#This Row],[Capacity (MW)]]*8760*0.82*10^-6</f>
        <v>2.15496</v>
      </c>
      <c r="K231">
        <f>0</f>
        <v>0</v>
      </c>
      <c r="L231">
        <f>0</f>
        <v>0</v>
      </c>
    </row>
    <row r="232" spans="1:12" x14ac:dyDescent="0.35">
      <c r="A232" t="s">
        <v>25</v>
      </c>
      <c r="B232" t="s">
        <v>10</v>
      </c>
      <c r="C232">
        <v>54</v>
      </c>
      <c r="D232" t="s">
        <v>11</v>
      </c>
      <c r="E232">
        <v>1999</v>
      </c>
      <c r="F232" t="s">
        <v>12</v>
      </c>
      <c r="G232">
        <v>7.0126999999999997</v>
      </c>
      <c r="H232">
        <v>125.21980000000001</v>
      </c>
      <c r="I232" t="s">
        <v>26</v>
      </c>
      <c r="J232" s="2">
        <f>Table1[[#This Row],[Capacity (MW)]]*8760*0.82*10^-6</f>
        <v>0.38789279999999998</v>
      </c>
      <c r="K232">
        <f>0</f>
        <v>0</v>
      </c>
      <c r="L232">
        <f>0</f>
        <v>0</v>
      </c>
    </row>
    <row r="233" spans="1:12" x14ac:dyDescent="0.35">
      <c r="A233" t="s">
        <v>25</v>
      </c>
      <c r="B233" t="s">
        <v>10</v>
      </c>
      <c r="C233">
        <v>52</v>
      </c>
      <c r="D233" t="s">
        <v>11</v>
      </c>
      <c r="E233">
        <v>1997</v>
      </c>
      <c r="F233" t="s">
        <v>12</v>
      </c>
      <c r="G233">
        <v>7.0126999999999997</v>
      </c>
      <c r="H233">
        <v>125.21980000000001</v>
      </c>
      <c r="I233" t="s">
        <v>26</v>
      </c>
      <c r="J233" s="2">
        <f>Table1[[#This Row],[Capacity (MW)]]*8760*0.82*10^-6</f>
        <v>0.37352639999999993</v>
      </c>
      <c r="K233">
        <f>0</f>
        <v>0</v>
      </c>
      <c r="L233">
        <f>0</f>
        <v>0</v>
      </c>
    </row>
    <row r="234" spans="1:12" x14ac:dyDescent="0.35">
      <c r="A234" t="s">
        <v>25</v>
      </c>
      <c r="B234" t="s">
        <v>10</v>
      </c>
      <c r="C234">
        <v>50</v>
      </c>
      <c r="D234" t="s">
        <v>28</v>
      </c>
      <c r="E234" t="s">
        <v>12</v>
      </c>
      <c r="F234" t="s">
        <v>12</v>
      </c>
      <c r="G234">
        <v>7.0126999999999997</v>
      </c>
      <c r="H234">
        <v>125.21980000000001</v>
      </c>
      <c r="I234" t="s">
        <v>26</v>
      </c>
      <c r="J234" s="2">
        <f>Table1[[#This Row],[Capacity (MW)]]*8760*0.82*10^-6</f>
        <v>0.35915999999999998</v>
      </c>
      <c r="K234">
        <f>0</f>
        <v>0</v>
      </c>
      <c r="L234">
        <f>0</f>
        <v>0</v>
      </c>
    </row>
    <row r="235" spans="1:12" x14ac:dyDescent="0.35">
      <c r="A235" t="s">
        <v>52</v>
      </c>
      <c r="B235" t="s">
        <v>10</v>
      </c>
      <c r="C235">
        <v>55</v>
      </c>
      <c r="D235" t="s">
        <v>11</v>
      </c>
      <c r="E235">
        <v>1994</v>
      </c>
      <c r="F235" t="s">
        <v>12</v>
      </c>
      <c r="G235">
        <v>10.700200000000001</v>
      </c>
      <c r="H235">
        <v>-85.194400000000002</v>
      </c>
      <c r="I235" t="s">
        <v>53</v>
      </c>
      <c r="J235" s="2">
        <f>Table1[[#This Row],[Capacity (MW)]]*8760*0.82*10^-6</f>
        <v>0.39507599999999998</v>
      </c>
      <c r="K235">
        <f>0</f>
        <v>0</v>
      </c>
      <c r="L235">
        <f>0</f>
        <v>0</v>
      </c>
    </row>
    <row r="236" spans="1:12" x14ac:dyDescent="0.35">
      <c r="A236" t="s">
        <v>52</v>
      </c>
      <c r="B236" t="s">
        <v>10</v>
      </c>
      <c r="C236">
        <v>55</v>
      </c>
      <c r="D236" t="s">
        <v>11</v>
      </c>
      <c r="E236">
        <v>1998</v>
      </c>
      <c r="F236" t="s">
        <v>12</v>
      </c>
      <c r="G236">
        <v>10.700200000000001</v>
      </c>
      <c r="H236">
        <v>-85.194400000000002</v>
      </c>
      <c r="I236" t="s">
        <v>53</v>
      </c>
      <c r="J236" s="2">
        <f>Table1[[#This Row],[Capacity (MW)]]*8760*0.82*10^-6</f>
        <v>0.39507599999999998</v>
      </c>
      <c r="K236">
        <f>0</f>
        <v>0</v>
      </c>
      <c r="L236">
        <f>0</f>
        <v>0</v>
      </c>
    </row>
    <row r="237" spans="1:12" x14ac:dyDescent="0.35">
      <c r="A237" t="s">
        <v>12</v>
      </c>
      <c r="B237" t="s">
        <v>15</v>
      </c>
      <c r="C237">
        <v>48</v>
      </c>
      <c r="D237" t="s">
        <v>11</v>
      </c>
      <c r="E237">
        <v>2019</v>
      </c>
      <c r="F237" t="s">
        <v>12</v>
      </c>
      <c r="G237">
        <v>38.3872</v>
      </c>
      <c r="H237">
        <v>28.4099</v>
      </c>
      <c r="I237" t="s">
        <v>20</v>
      </c>
      <c r="J237" s="2">
        <f>Table1[[#This Row],[Capacity (MW)]]*8760*0.82*10^-6</f>
        <v>0.34479359999999998</v>
      </c>
      <c r="K237">
        <f>0</f>
        <v>0</v>
      </c>
      <c r="L237">
        <f>0</f>
        <v>0</v>
      </c>
    </row>
    <row r="238" spans="1:12" x14ac:dyDescent="0.35">
      <c r="A238" t="s">
        <v>127</v>
      </c>
      <c r="B238" t="s">
        <v>15</v>
      </c>
      <c r="C238">
        <v>82.5</v>
      </c>
      <c r="D238" t="s">
        <v>11</v>
      </c>
      <c r="E238">
        <v>2000</v>
      </c>
      <c r="F238" t="s">
        <v>12</v>
      </c>
      <c r="G238">
        <v>-38.531199999999998</v>
      </c>
      <c r="H238">
        <v>175.92679999999999</v>
      </c>
      <c r="I238" t="s">
        <v>112</v>
      </c>
      <c r="J238" s="2">
        <f>Table1[[#This Row],[Capacity (MW)]]*8760*0.82*10^-6</f>
        <v>0.59261399999999997</v>
      </c>
      <c r="K238">
        <f>0</f>
        <v>0</v>
      </c>
      <c r="L238">
        <f>0</f>
        <v>0</v>
      </c>
    </row>
    <row r="239" spans="1:12" x14ac:dyDescent="0.35">
      <c r="A239" t="s">
        <v>111</v>
      </c>
      <c r="B239" t="s">
        <v>15</v>
      </c>
      <c r="C239">
        <v>27.5</v>
      </c>
      <c r="D239" t="s">
        <v>11</v>
      </c>
      <c r="E239">
        <v>2000</v>
      </c>
      <c r="F239" t="s">
        <v>12</v>
      </c>
      <c r="G239">
        <v>-38.531199999999998</v>
      </c>
      <c r="H239">
        <v>175.92679999999999</v>
      </c>
      <c r="I239" t="s">
        <v>112</v>
      </c>
      <c r="J239" s="2">
        <f>Table1[[#This Row],[Capacity (MW)]]*8760*0.82*10^-6</f>
        <v>0.19753799999999999</v>
      </c>
      <c r="K239">
        <f>0</f>
        <v>0</v>
      </c>
      <c r="L239">
        <f>0</f>
        <v>0</v>
      </c>
    </row>
    <row r="240" spans="1:12" x14ac:dyDescent="0.35">
      <c r="A240" t="s">
        <v>128</v>
      </c>
      <c r="B240" t="s">
        <v>10</v>
      </c>
      <c r="C240">
        <v>35</v>
      </c>
      <c r="D240" t="s">
        <v>11</v>
      </c>
      <c r="E240">
        <v>1983</v>
      </c>
      <c r="F240" t="s">
        <v>12</v>
      </c>
      <c r="G240">
        <v>12.394</v>
      </c>
      <c r="H240">
        <v>-86.541799999999995</v>
      </c>
      <c r="I240" t="s">
        <v>62</v>
      </c>
      <c r="J240" s="2">
        <f>Table1[[#This Row],[Capacity (MW)]]*8760*0.82*10^-6</f>
        <v>0.25141199999999997</v>
      </c>
      <c r="K240">
        <f>0</f>
        <v>0</v>
      </c>
      <c r="L240">
        <f>0</f>
        <v>0</v>
      </c>
    </row>
    <row r="241" spans="1:12" x14ac:dyDescent="0.35">
      <c r="A241" t="s">
        <v>128</v>
      </c>
      <c r="B241" t="s">
        <v>10</v>
      </c>
      <c r="C241">
        <v>35</v>
      </c>
      <c r="D241" t="s">
        <v>11</v>
      </c>
      <c r="E241">
        <v>1989</v>
      </c>
      <c r="F241" t="s">
        <v>12</v>
      </c>
      <c r="G241">
        <v>12.394</v>
      </c>
      <c r="H241">
        <v>-86.541799999999995</v>
      </c>
      <c r="I241" t="s">
        <v>62</v>
      </c>
      <c r="J241" s="2">
        <f>Table1[[#This Row],[Capacity (MW)]]*8760*0.82*10^-6</f>
        <v>0.25141199999999997</v>
      </c>
      <c r="K241">
        <f>0</f>
        <v>0</v>
      </c>
      <c r="L241">
        <f>0</f>
        <v>0</v>
      </c>
    </row>
    <row r="242" spans="1:12" x14ac:dyDescent="0.35">
      <c r="A242" t="s">
        <v>129</v>
      </c>
      <c r="B242" t="s">
        <v>45</v>
      </c>
      <c r="C242">
        <v>140</v>
      </c>
      <c r="D242" t="s">
        <v>16</v>
      </c>
      <c r="E242" t="s">
        <v>12</v>
      </c>
      <c r="F242" t="s">
        <v>12</v>
      </c>
      <c r="G242">
        <v>33.202395847415289</v>
      </c>
      <c r="H242">
        <v>-115.58390364391801</v>
      </c>
      <c r="I242" t="s">
        <v>39</v>
      </c>
      <c r="J242" s="2">
        <f>Table1[[#This Row],[Capacity (MW)]]*8760*0.82*10^-6</f>
        <v>1.0056479999999999</v>
      </c>
      <c r="K242">
        <f>0</f>
        <v>0</v>
      </c>
      <c r="L242">
        <f>0</f>
        <v>0</v>
      </c>
    </row>
    <row r="243" spans="1:12" x14ac:dyDescent="0.35">
      <c r="A243" t="s">
        <v>80</v>
      </c>
      <c r="B243" t="s">
        <v>21</v>
      </c>
      <c r="C243">
        <v>105</v>
      </c>
      <c r="D243" t="s">
        <v>16</v>
      </c>
      <c r="E243">
        <v>2027</v>
      </c>
      <c r="F243" t="s">
        <v>12</v>
      </c>
      <c r="G243">
        <v>14.0137</v>
      </c>
      <c r="H243">
        <v>122.7871</v>
      </c>
      <c r="I243" t="s">
        <v>26</v>
      </c>
      <c r="J243" s="2">
        <f>Table1[[#This Row],[Capacity (MW)]]*8760*0.82*10^-6</f>
        <v>0.75423600000000002</v>
      </c>
      <c r="K243">
        <f>0</f>
        <v>0</v>
      </c>
      <c r="L243">
        <f>0</f>
        <v>0</v>
      </c>
    </row>
    <row r="244" spans="1:12" x14ac:dyDescent="0.35">
      <c r="A244" t="s">
        <v>130</v>
      </c>
      <c r="B244" t="s">
        <v>21</v>
      </c>
      <c r="C244">
        <v>40</v>
      </c>
      <c r="D244" t="s">
        <v>16</v>
      </c>
      <c r="E244" t="s">
        <v>12</v>
      </c>
      <c r="F244" t="s">
        <v>12</v>
      </c>
      <c r="G244">
        <v>14.762499999999999</v>
      </c>
      <c r="H244">
        <v>120.4902</v>
      </c>
      <c r="I244" t="s">
        <v>26</v>
      </c>
      <c r="J244" s="2">
        <f>Table1[[#This Row],[Capacity (MW)]]*8760*0.82*10^-6</f>
        <v>0.28732799999999997</v>
      </c>
      <c r="K244">
        <f>0</f>
        <v>0</v>
      </c>
      <c r="L244">
        <f>0</f>
        <v>0</v>
      </c>
    </row>
    <row r="245" spans="1:12" x14ac:dyDescent="0.35">
      <c r="A245" t="s">
        <v>131</v>
      </c>
      <c r="B245" t="s">
        <v>21</v>
      </c>
      <c r="C245">
        <v>60</v>
      </c>
      <c r="D245" t="s">
        <v>16</v>
      </c>
      <c r="E245" t="s">
        <v>12</v>
      </c>
      <c r="F245" t="s">
        <v>12</v>
      </c>
      <c r="G245">
        <v>6.2511999999999999</v>
      </c>
      <c r="H245">
        <v>124.5886</v>
      </c>
      <c r="I245" t="s">
        <v>26</v>
      </c>
      <c r="J245" s="2">
        <f>Table1[[#This Row],[Capacity (MW)]]*8760*0.82*10^-6</f>
        <v>0.43099199999999999</v>
      </c>
      <c r="K245">
        <f>0</f>
        <v>0</v>
      </c>
      <c r="L245">
        <f>0</f>
        <v>0</v>
      </c>
    </row>
    <row r="246" spans="1:12" x14ac:dyDescent="0.35">
      <c r="A246" t="s">
        <v>132</v>
      </c>
      <c r="B246" t="s">
        <v>21</v>
      </c>
      <c r="C246">
        <v>40</v>
      </c>
      <c r="D246" t="s">
        <v>28</v>
      </c>
      <c r="E246" t="s">
        <v>12</v>
      </c>
      <c r="F246" t="s">
        <v>12</v>
      </c>
      <c r="G246">
        <v>3.1852999999999998</v>
      </c>
      <c r="H246">
        <v>98.504800000000003</v>
      </c>
      <c r="I246" t="s">
        <v>29</v>
      </c>
      <c r="J246" s="2">
        <f>Table1[[#This Row],[Capacity (MW)]]*8760*0.82*10^-6</f>
        <v>0.28732799999999997</v>
      </c>
      <c r="K246">
        <f>0</f>
        <v>0</v>
      </c>
      <c r="L246">
        <f>0</f>
        <v>0</v>
      </c>
    </row>
    <row r="247" spans="1:12" x14ac:dyDescent="0.35">
      <c r="A247" t="s">
        <v>80</v>
      </c>
      <c r="B247" t="s">
        <v>45</v>
      </c>
      <c r="C247">
        <v>50</v>
      </c>
      <c r="D247" t="s">
        <v>79</v>
      </c>
      <c r="E247" t="s">
        <v>12</v>
      </c>
      <c r="F247" t="s">
        <v>12</v>
      </c>
      <c r="G247">
        <v>13.338502118568419</v>
      </c>
      <c r="H247">
        <v>123.4009231791362</v>
      </c>
      <c r="I247" t="s">
        <v>26</v>
      </c>
      <c r="J247" s="2">
        <f>Table1[[#This Row],[Capacity (MW)]]*8760*0.82*10^-6</f>
        <v>0.35915999999999998</v>
      </c>
      <c r="K247">
        <f>0</f>
        <v>0</v>
      </c>
      <c r="L247">
        <f>0</f>
        <v>0</v>
      </c>
    </row>
    <row r="248" spans="1:12" x14ac:dyDescent="0.35">
      <c r="A248" t="s">
        <v>133</v>
      </c>
      <c r="B248" t="s">
        <v>19</v>
      </c>
      <c r="C248">
        <v>15.3</v>
      </c>
      <c r="D248" t="s">
        <v>11</v>
      </c>
      <c r="E248">
        <v>2019</v>
      </c>
      <c r="F248" t="s">
        <v>12</v>
      </c>
      <c r="G248">
        <v>-1.6268</v>
      </c>
      <c r="H248">
        <v>101.1296</v>
      </c>
      <c r="I248" t="s">
        <v>29</v>
      </c>
      <c r="J248" s="2">
        <f>Table1[[#This Row],[Capacity (MW)]]*8760*0.82*10^-6</f>
        <v>0.10990295999999998</v>
      </c>
      <c r="K248">
        <f>0</f>
        <v>0</v>
      </c>
      <c r="L248">
        <f>0</f>
        <v>0</v>
      </c>
    </row>
    <row r="249" spans="1:12" x14ac:dyDescent="0.35">
      <c r="A249" t="s">
        <v>134</v>
      </c>
      <c r="B249" t="s">
        <v>19</v>
      </c>
      <c r="C249">
        <v>15.3</v>
      </c>
      <c r="D249" t="s">
        <v>11</v>
      </c>
      <c r="E249">
        <v>2019</v>
      </c>
      <c r="F249" t="s">
        <v>12</v>
      </c>
      <c r="G249">
        <v>-1.6268</v>
      </c>
      <c r="H249">
        <v>101.1296</v>
      </c>
      <c r="I249" t="s">
        <v>29</v>
      </c>
      <c r="J249" s="2">
        <f>Table1[[#This Row],[Capacity (MW)]]*8760*0.82*10^-6</f>
        <v>0.10990295999999998</v>
      </c>
      <c r="K249">
        <f>0</f>
        <v>0</v>
      </c>
      <c r="L249">
        <f>0</f>
        <v>0</v>
      </c>
    </row>
    <row r="250" spans="1:12" x14ac:dyDescent="0.35">
      <c r="A250" t="s">
        <v>135</v>
      </c>
      <c r="B250" t="s">
        <v>19</v>
      </c>
      <c r="C250">
        <v>25.5</v>
      </c>
      <c r="D250" t="s">
        <v>11</v>
      </c>
      <c r="E250">
        <v>2019</v>
      </c>
      <c r="F250" t="s">
        <v>12</v>
      </c>
      <c r="G250">
        <v>-1.6268</v>
      </c>
      <c r="H250">
        <v>101.1296</v>
      </c>
      <c r="I250" t="s">
        <v>29</v>
      </c>
      <c r="J250" s="2">
        <f>Table1[[#This Row],[Capacity (MW)]]*8760*0.82*10^-6</f>
        <v>0.18317159999999996</v>
      </c>
      <c r="K250">
        <f>0</f>
        <v>0</v>
      </c>
      <c r="L250">
        <f>0</f>
        <v>0</v>
      </c>
    </row>
    <row r="251" spans="1:12" x14ac:dyDescent="0.35">
      <c r="A251" t="s">
        <v>136</v>
      </c>
      <c r="B251" t="s">
        <v>19</v>
      </c>
      <c r="C251">
        <v>28.05</v>
      </c>
      <c r="D251" t="s">
        <v>11</v>
      </c>
      <c r="E251">
        <v>2019</v>
      </c>
      <c r="F251" t="s">
        <v>12</v>
      </c>
      <c r="G251">
        <v>-1.6268</v>
      </c>
      <c r="H251">
        <v>101.1296</v>
      </c>
      <c r="I251" t="s">
        <v>29</v>
      </c>
      <c r="J251" s="2">
        <f>Table1[[#This Row],[Capacity (MW)]]*8760*0.82*10^-6</f>
        <v>0.20148875999999996</v>
      </c>
      <c r="K251">
        <f>0</f>
        <v>0</v>
      </c>
      <c r="L251">
        <f>0</f>
        <v>0</v>
      </c>
    </row>
    <row r="252" spans="1:12" x14ac:dyDescent="0.35">
      <c r="A252" t="s">
        <v>135</v>
      </c>
      <c r="B252" t="s">
        <v>21</v>
      </c>
      <c r="C252">
        <v>22.5</v>
      </c>
      <c r="D252" t="s">
        <v>23</v>
      </c>
      <c r="E252" t="s">
        <v>12</v>
      </c>
      <c r="F252" t="s">
        <v>12</v>
      </c>
      <c r="G252">
        <v>-1.6268</v>
      </c>
      <c r="H252">
        <v>101.1296</v>
      </c>
      <c r="I252" t="s">
        <v>29</v>
      </c>
      <c r="J252" s="2">
        <f>Table1[[#This Row],[Capacity (MW)]]*8760*0.82*10^-6</f>
        <v>0.16162199999999999</v>
      </c>
      <c r="K252">
        <f>0</f>
        <v>0</v>
      </c>
      <c r="L252">
        <f>0</f>
        <v>0</v>
      </c>
    </row>
    <row r="253" spans="1:12" x14ac:dyDescent="0.35">
      <c r="A253" t="s">
        <v>136</v>
      </c>
      <c r="B253" t="s">
        <v>21</v>
      </c>
      <c r="C253">
        <v>24.75</v>
      </c>
      <c r="D253" t="s">
        <v>23</v>
      </c>
      <c r="E253" t="s">
        <v>12</v>
      </c>
      <c r="F253" t="s">
        <v>12</v>
      </c>
      <c r="G253">
        <v>-1.6268</v>
      </c>
      <c r="H253">
        <v>101.1296</v>
      </c>
      <c r="I253" t="s">
        <v>29</v>
      </c>
      <c r="J253" s="2">
        <f>Table1[[#This Row],[Capacity (MW)]]*8760*0.82*10^-6</f>
        <v>0.17778419999999998</v>
      </c>
      <c r="K253">
        <f>0</f>
        <v>0</v>
      </c>
      <c r="L253">
        <f>0</f>
        <v>0</v>
      </c>
    </row>
    <row r="254" spans="1:12" x14ac:dyDescent="0.35">
      <c r="A254" t="s">
        <v>134</v>
      </c>
      <c r="B254" t="s">
        <v>21</v>
      </c>
      <c r="C254">
        <v>13.5</v>
      </c>
      <c r="D254" t="s">
        <v>23</v>
      </c>
      <c r="E254" t="s">
        <v>12</v>
      </c>
      <c r="F254" t="s">
        <v>12</v>
      </c>
      <c r="G254">
        <v>-1.6268</v>
      </c>
      <c r="H254">
        <v>101.1296</v>
      </c>
      <c r="I254" t="s">
        <v>29</v>
      </c>
      <c r="J254" s="2">
        <f>Table1[[#This Row],[Capacity (MW)]]*8760*0.82*10^-6</f>
        <v>9.6973199999999996E-2</v>
      </c>
      <c r="K254">
        <f>0</f>
        <v>0</v>
      </c>
      <c r="L254">
        <f>0</f>
        <v>0</v>
      </c>
    </row>
    <row r="255" spans="1:12" x14ac:dyDescent="0.35">
      <c r="A255" t="s">
        <v>133</v>
      </c>
      <c r="B255" t="s">
        <v>21</v>
      </c>
      <c r="C255">
        <v>13.5</v>
      </c>
      <c r="D255" t="s">
        <v>23</v>
      </c>
      <c r="E255" t="s">
        <v>12</v>
      </c>
      <c r="F255" t="s">
        <v>12</v>
      </c>
      <c r="G255">
        <v>-1.6268</v>
      </c>
      <c r="H255">
        <v>101.1296</v>
      </c>
      <c r="I255" t="s">
        <v>29</v>
      </c>
      <c r="J255" s="2">
        <f>Table1[[#This Row],[Capacity (MW)]]*8760*0.82*10^-6</f>
        <v>9.6973199999999996E-2</v>
      </c>
      <c r="K255">
        <f>0</f>
        <v>0</v>
      </c>
      <c r="L255">
        <f>0</f>
        <v>0</v>
      </c>
    </row>
    <row r="256" spans="1:12" x14ac:dyDescent="0.35">
      <c r="A256" t="s">
        <v>137</v>
      </c>
      <c r="B256" t="s">
        <v>10</v>
      </c>
      <c r="C256">
        <v>50</v>
      </c>
      <c r="D256" t="s">
        <v>11</v>
      </c>
      <c r="E256">
        <v>2001</v>
      </c>
      <c r="F256" t="s">
        <v>12</v>
      </c>
      <c r="G256">
        <v>52.535299999999999</v>
      </c>
      <c r="H256">
        <v>158.2011</v>
      </c>
      <c r="I256" t="s">
        <v>138</v>
      </c>
      <c r="J256" s="2">
        <f>Table1[[#This Row],[Capacity (MW)]]*8760*0.82*10^-6</f>
        <v>0.35915999999999998</v>
      </c>
      <c r="K256">
        <f>0</f>
        <v>0</v>
      </c>
      <c r="L256">
        <f>0</f>
        <v>0</v>
      </c>
    </row>
    <row r="257" spans="1:12" x14ac:dyDescent="0.35">
      <c r="A257" t="s">
        <v>25</v>
      </c>
      <c r="B257" t="s">
        <v>21</v>
      </c>
      <c r="C257">
        <v>40</v>
      </c>
      <c r="D257" t="s">
        <v>11</v>
      </c>
      <c r="E257">
        <v>2014</v>
      </c>
      <c r="F257" t="s">
        <v>12</v>
      </c>
      <c r="G257">
        <v>9.2805</v>
      </c>
      <c r="H257">
        <v>123.15309999999999</v>
      </c>
      <c r="I257" t="s">
        <v>26</v>
      </c>
      <c r="J257" s="2">
        <f>Table1[[#This Row],[Capacity (MW)]]*8760*0.82*10^-6</f>
        <v>0.28732799999999997</v>
      </c>
      <c r="K257">
        <f>0</f>
        <v>0</v>
      </c>
      <c r="L257">
        <f>0</f>
        <v>0</v>
      </c>
    </row>
    <row r="258" spans="1:12" x14ac:dyDescent="0.35">
      <c r="A258" t="s">
        <v>77</v>
      </c>
      <c r="B258" t="s">
        <v>19</v>
      </c>
      <c r="C258">
        <v>90</v>
      </c>
      <c r="D258" t="s">
        <v>11</v>
      </c>
      <c r="E258">
        <v>1988</v>
      </c>
      <c r="F258" t="s">
        <v>12</v>
      </c>
      <c r="G258">
        <v>36.001899999999999</v>
      </c>
      <c r="H258">
        <v>-117.7886</v>
      </c>
      <c r="I258" t="s">
        <v>39</v>
      </c>
      <c r="J258" s="2">
        <f>Table1[[#This Row],[Capacity (MW)]]*8760*0.82*10^-6</f>
        <v>0.64648799999999995</v>
      </c>
      <c r="K258">
        <f>0</f>
        <v>0</v>
      </c>
      <c r="L258">
        <f>0</f>
        <v>0</v>
      </c>
    </row>
    <row r="259" spans="1:12" x14ac:dyDescent="0.35">
      <c r="A259" t="s">
        <v>77</v>
      </c>
      <c r="B259" t="s">
        <v>19</v>
      </c>
      <c r="C259">
        <v>90</v>
      </c>
      <c r="D259" t="s">
        <v>11</v>
      </c>
      <c r="E259">
        <v>1989</v>
      </c>
      <c r="F259" t="s">
        <v>12</v>
      </c>
      <c r="G259">
        <v>36.019199999999998</v>
      </c>
      <c r="H259">
        <v>-117.79170000000001</v>
      </c>
      <c r="I259" t="s">
        <v>39</v>
      </c>
      <c r="J259" s="2">
        <f>Table1[[#This Row],[Capacity (MW)]]*8760*0.82*10^-6</f>
        <v>0.64648799999999995</v>
      </c>
      <c r="K259">
        <f>0</f>
        <v>0</v>
      </c>
      <c r="L259">
        <f>0</f>
        <v>0</v>
      </c>
    </row>
    <row r="260" spans="1:12" x14ac:dyDescent="0.35">
      <c r="A260" t="s">
        <v>12</v>
      </c>
      <c r="B260" t="s">
        <v>31</v>
      </c>
      <c r="C260">
        <v>55</v>
      </c>
      <c r="D260" t="s">
        <v>11</v>
      </c>
      <c r="E260">
        <v>1983</v>
      </c>
      <c r="F260" t="s">
        <v>12</v>
      </c>
      <c r="G260">
        <v>38.752000000000002</v>
      </c>
      <c r="H260">
        <v>-122.7195</v>
      </c>
      <c r="I260" t="s">
        <v>39</v>
      </c>
      <c r="J260" s="2">
        <f>Table1[[#This Row],[Capacity (MW)]]*8760*0.82*10^-6</f>
        <v>0.39507599999999998</v>
      </c>
      <c r="K260">
        <f>0</f>
        <v>0</v>
      </c>
      <c r="L260">
        <f>0</f>
        <v>0</v>
      </c>
    </row>
    <row r="261" spans="1:12" x14ac:dyDescent="0.35">
      <c r="A261" t="s">
        <v>12</v>
      </c>
      <c r="B261" t="s">
        <v>31</v>
      </c>
      <c r="C261">
        <v>55</v>
      </c>
      <c r="D261" t="s">
        <v>11</v>
      </c>
      <c r="E261">
        <v>1983</v>
      </c>
      <c r="F261" t="s">
        <v>12</v>
      </c>
      <c r="G261">
        <v>38.749200000000002</v>
      </c>
      <c r="H261">
        <v>-122.71169999999999</v>
      </c>
      <c r="I261" t="s">
        <v>39</v>
      </c>
      <c r="J261" s="2">
        <f>Table1[[#This Row],[Capacity (MW)]]*8760*0.82*10^-6</f>
        <v>0.39507599999999998</v>
      </c>
      <c r="K261">
        <f>0</f>
        <v>0</v>
      </c>
      <c r="L261">
        <f>0</f>
        <v>0</v>
      </c>
    </row>
    <row r="262" spans="1:12" x14ac:dyDescent="0.35">
      <c r="A262" t="s">
        <v>12</v>
      </c>
      <c r="B262" t="s">
        <v>31</v>
      </c>
      <c r="C262">
        <v>55</v>
      </c>
      <c r="D262" t="s">
        <v>139</v>
      </c>
      <c r="E262">
        <v>1985</v>
      </c>
      <c r="F262" t="s">
        <v>12</v>
      </c>
      <c r="G262">
        <v>38.752000000000002</v>
      </c>
      <c r="H262">
        <v>-122.7195</v>
      </c>
      <c r="I262" t="s">
        <v>39</v>
      </c>
      <c r="J262" s="2">
        <f>Table1[[#This Row],[Capacity (MW)]]*8760*0.82*10^-6</f>
        <v>0.39507599999999998</v>
      </c>
      <c r="K262">
        <f>0</f>
        <v>0</v>
      </c>
      <c r="L262">
        <f>0</f>
        <v>0</v>
      </c>
    </row>
    <row r="263" spans="1:12" x14ac:dyDescent="0.35">
      <c r="A263" t="s">
        <v>12</v>
      </c>
      <c r="B263" t="s">
        <v>31</v>
      </c>
      <c r="C263">
        <v>55</v>
      </c>
      <c r="D263" t="s">
        <v>11</v>
      </c>
      <c r="E263">
        <v>1986</v>
      </c>
      <c r="F263" t="s">
        <v>12</v>
      </c>
      <c r="G263">
        <v>38.749200000000002</v>
      </c>
      <c r="H263">
        <v>-122.71169999999999</v>
      </c>
      <c r="I263" t="s">
        <v>39</v>
      </c>
      <c r="J263" s="2">
        <f>Table1[[#This Row],[Capacity (MW)]]*8760*0.82*10^-6</f>
        <v>0.39507599999999998</v>
      </c>
      <c r="K263">
        <f>0</f>
        <v>0</v>
      </c>
      <c r="L263">
        <f>0</f>
        <v>0</v>
      </c>
    </row>
    <row r="264" spans="1:12" x14ac:dyDescent="0.35">
      <c r="A264" t="s">
        <v>140</v>
      </c>
      <c r="B264" t="s">
        <v>21</v>
      </c>
      <c r="C264">
        <v>9.9</v>
      </c>
      <c r="D264" t="s">
        <v>16</v>
      </c>
      <c r="E264" t="s">
        <v>12</v>
      </c>
      <c r="F264" t="s">
        <v>12</v>
      </c>
      <c r="G264">
        <v>5.0438000000000001</v>
      </c>
      <c r="H264">
        <v>-75.524600000000007</v>
      </c>
      <c r="I264" t="s">
        <v>141</v>
      </c>
      <c r="J264" s="2">
        <f>Table1[[#This Row],[Capacity (MW)]]*8760*0.82*10^-6</f>
        <v>7.1113679999999985E-2</v>
      </c>
      <c r="K264">
        <f>0</f>
        <v>0</v>
      </c>
      <c r="L264">
        <f>0</f>
        <v>0</v>
      </c>
    </row>
    <row r="265" spans="1:12" x14ac:dyDescent="0.35">
      <c r="A265" t="s">
        <v>142</v>
      </c>
      <c r="B265" t="s">
        <v>21</v>
      </c>
      <c r="C265">
        <v>9.9</v>
      </c>
      <c r="D265" t="s">
        <v>16</v>
      </c>
      <c r="E265" t="s">
        <v>12</v>
      </c>
      <c r="F265" t="s">
        <v>12</v>
      </c>
      <c r="G265">
        <v>5.0438000000000001</v>
      </c>
      <c r="H265">
        <v>-75.524600000000007</v>
      </c>
      <c r="I265" t="s">
        <v>141</v>
      </c>
      <c r="J265" s="2">
        <f>Table1[[#This Row],[Capacity (MW)]]*8760*0.82*10^-6</f>
        <v>7.1113679999999985E-2</v>
      </c>
      <c r="K265">
        <f>0</f>
        <v>0</v>
      </c>
      <c r="L265">
        <f>0</f>
        <v>0</v>
      </c>
    </row>
    <row r="266" spans="1:12" x14ac:dyDescent="0.35">
      <c r="A266" t="s">
        <v>143</v>
      </c>
      <c r="B266" t="s">
        <v>21</v>
      </c>
      <c r="C266">
        <v>9.9</v>
      </c>
      <c r="D266" t="s">
        <v>16</v>
      </c>
      <c r="E266" t="s">
        <v>12</v>
      </c>
      <c r="F266" t="s">
        <v>12</v>
      </c>
      <c r="G266">
        <v>5.0438000000000001</v>
      </c>
      <c r="H266">
        <v>-75.524600000000007</v>
      </c>
      <c r="I266" t="s">
        <v>141</v>
      </c>
      <c r="J266" s="2">
        <f>Table1[[#This Row],[Capacity (MW)]]*8760*0.82*10^-6</f>
        <v>7.1113679999999985E-2</v>
      </c>
      <c r="K266">
        <f>0</f>
        <v>0</v>
      </c>
      <c r="L266">
        <f>0</f>
        <v>0</v>
      </c>
    </row>
    <row r="267" spans="1:12" x14ac:dyDescent="0.35">
      <c r="A267" t="s">
        <v>41</v>
      </c>
      <c r="B267" t="s">
        <v>10</v>
      </c>
      <c r="C267">
        <v>30</v>
      </c>
      <c r="D267" t="s">
        <v>11</v>
      </c>
      <c r="E267">
        <v>1998</v>
      </c>
      <c r="F267" t="s">
        <v>12</v>
      </c>
      <c r="G267">
        <v>64.108099999999993</v>
      </c>
      <c r="H267">
        <v>-21.256699999999999</v>
      </c>
      <c r="I267" t="s">
        <v>42</v>
      </c>
      <c r="J267" s="2">
        <f>Table1[[#This Row],[Capacity (MW)]]*8760*0.82*10^-6</f>
        <v>0.21549599999999999</v>
      </c>
      <c r="K267">
        <f>0</f>
        <v>0</v>
      </c>
      <c r="L267">
        <f>0</f>
        <v>0</v>
      </c>
    </row>
    <row r="268" spans="1:12" x14ac:dyDescent="0.35">
      <c r="A268" t="s">
        <v>41</v>
      </c>
      <c r="B268" t="s">
        <v>10</v>
      </c>
      <c r="C268">
        <v>30</v>
      </c>
      <c r="D268" t="s">
        <v>11</v>
      </c>
      <c r="E268">
        <v>1998</v>
      </c>
      <c r="F268" t="s">
        <v>12</v>
      </c>
      <c r="G268">
        <v>64.108099999999993</v>
      </c>
      <c r="H268">
        <v>-21.256699999999999</v>
      </c>
      <c r="I268" t="s">
        <v>42</v>
      </c>
      <c r="J268" s="2">
        <f>Table1[[#This Row],[Capacity (MW)]]*8760*0.82*10^-6</f>
        <v>0.21549599999999999</v>
      </c>
      <c r="K268">
        <f>0</f>
        <v>0</v>
      </c>
      <c r="L268">
        <f>0</f>
        <v>0</v>
      </c>
    </row>
    <row r="269" spans="1:12" x14ac:dyDescent="0.35">
      <c r="A269" t="s">
        <v>41</v>
      </c>
      <c r="B269" t="s">
        <v>10</v>
      </c>
      <c r="C269">
        <v>30</v>
      </c>
      <c r="D269" t="s">
        <v>11</v>
      </c>
      <c r="E269" t="s">
        <v>12</v>
      </c>
      <c r="F269" t="s">
        <v>12</v>
      </c>
      <c r="G269">
        <v>64.108099999999993</v>
      </c>
      <c r="H269">
        <v>-21.256699999999999</v>
      </c>
      <c r="I269" t="s">
        <v>42</v>
      </c>
      <c r="J269" s="2">
        <f>Table1[[#This Row],[Capacity (MW)]]*8760*0.82*10^-6</f>
        <v>0.21549599999999999</v>
      </c>
      <c r="K269">
        <f>0</f>
        <v>0</v>
      </c>
      <c r="L269">
        <f>0</f>
        <v>0</v>
      </c>
    </row>
    <row r="270" spans="1:12" x14ac:dyDescent="0.35">
      <c r="A270" t="s">
        <v>41</v>
      </c>
      <c r="B270" t="s">
        <v>10</v>
      </c>
      <c r="C270">
        <v>30</v>
      </c>
      <c r="D270" t="s">
        <v>11</v>
      </c>
      <c r="E270">
        <v>2005</v>
      </c>
      <c r="F270" t="s">
        <v>12</v>
      </c>
      <c r="G270">
        <v>64.108099999999993</v>
      </c>
      <c r="H270">
        <v>-21.256699999999999</v>
      </c>
      <c r="I270" t="s">
        <v>42</v>
      </c>
      <c r="J270" s="2">
        <f>Table1[[#This Row],[Capacity (MW)]]*8760*0.82*10^-6</f>
        <v>0.21549599999999999</v>
      </c>
      <c r="K270">
        <f>0</f>
        <v>0</v>
      </c>
      <c r="L270">
        <f>0</f>
        <v>0</v>
      </c>
    </row>
    <row r="271" spans="1:12" x14ac:dyDescent="0.35">
      <c r="A271" t="s">
        <v>144</v>
      </c>
      <c r="B271" t="s">
        <v>21</v>
      </c>
      <c r="C271">
        <v>15</v>
      </c>
      <c r="D271" t="s">
        <v>79</v>
      </c>
      <c r="E271" t="s">
        <v>12</v>
      </c>
      <c r="F271" t="s">
        <v>12</v>
      </c>
      <c r="G271">
        <v>17.142099999999999</v>
      </c>
      <c r="H271">
        <v>-62.606200000000001</v>
      </c>
      <c r="I271" t="s">
        <v>145</v>
      </c>
      <c r="J271" s="2">
        <f>Table1[[#This Row],[Capacity (MW)]]*8760*0.82*10^-6</f>
        <v>0.107748</v>
      </c>
      <c r="K271">
        <f>0</f>
        <v>0</v>
      </c>
      <c r="L271">
        <f>0</f>
        <v>0</v>
      </c>
    </row>
    <row r="272" spans="1:12" x14ac:dyDescent="0.35">
      <c r="A272" t="s">
        <v>146</v>
      </c>
      <c r="B272" t="s">
        <v>21</v>
      </c>
      <c r="C272">
        <v>15</v>
      </c>
      <c r="D272" t="s">
        <v>79</v>
      </c>
      <c r="E272" t="s">
        <v>12</v>
      </c>
      <c r="F272" t="s">
        <v>12</v>
      </c>
      <c r="G272">
        <v>17.142099999999999</v>
      </c>
      <c r="H272">
        <v>-62.606200000000001</v>
      </c>
      <c r="I272" t="s">
        <v>145</v>
      </c>
      <c r="J272" s="2">
        <f>Table1[[#This Row],[Capacity (MW)]]*8760*0.82*10^-6</f>
        <v>0.107748</v>
      </c>
      <c r="K272">
        <f>0</f>
        <v>0</v>
      </c>
      <c r="L272">
        <f>0</f>
        <v>0</v>
      </c>
    </row>
    <row r="273" spans="1:12" x14ac:dyDescent="0.35">
      <c r="A273" t="s">
        <v>147</v>
      </c>
      <c r="B273" t="s">
        <v>21</v>
      </c>
      <c r="C273">
        <v>70</v>
      </c>
      <c r="D273" t="s">
        <v>28</v>
      </c>
      <c r="E273" t="s">
        <v>12</v>
      </c>
      <c r="F273" t="s">
        <v>12</v>
      </c>
      <c r="G273">
        <v>40.184699999999999</v>
      </c>
      <c r="H273">
        <v>-118.4738</v>
      </c>
      <c r="I273" t="s">
        <v>39</v>
      </c>
      <c r="J273" s="2">
        <f>Table1[[#This Row],[Capacity (MW)]]*8760*0.82*10^-6</f>
        <v>0.50282399999999994</v>
      </c>
      <c r="K273">
        <f>0</f>
        <v>0</v>
      </c>
      <c r="L273">
        <f>0</f>
        <v>0</v>
      </c>
    </row>
    <row r="274" spans="1:12" x14ac:dyDescent="0.35">
      <c r="A274" t="s">
        <v>148</v>
      </c>
      <c r="B274" t="s">
        <v>103</v>
      </c>
      <c r="C274">
        <v>35</v>
      </c>
      <c r="D274" t="s">
        <v>11</v>
      </c>
      <c r="E274">
        <v>2010</v>
      </c>
      <c r="F274" t="s">
        <v>12</v>
      </c>
      <c r="G274">
        <v>-38.6143</v>
      </c>
      <c r="H274">
        <v>176.1825</v>
      </c>
      <c r="I274" t="s">
        <v>112</v>
      </c>
      <c r="J274" s="2">
        <f>Table1[[#This Row],[Capacity (MW)]]*8760*0.82*10^-6</f>
        <v>0.25141199999999997</v>
      </c>
      <c r="K274">
        <f>0</f>
        <v>0</v>
      </c>
      <c r="L274">
        <f>0</f>
        <v>0</v>
      </c>
    </row>
    <row r="275" spans="1:12" x14ac:dyDescent="0.35">
      <c r="A275" t="s">
        <v>149</v>
      </c>
      <c r="B275" t="s">
        <v>103</v>
      </c>
      <c r="C275">
        <v>105</v>
      </c>
      <c r="D275" t="s">
        <v>11</v>
      </c>
      <c r="E275">
        <v>2010</v>
      </c>
      <c r="F275" t="s">
        <v>12</v>
      </c>
      <c r="G275">
        <v>-38.6143</v>
      </c>
      <c r="H275">
        <v>176.1825</v>
      </c>
      <c r="I275" t="s">
        <v>112</v>
      </c>
      <c r="J275" s="2">
        <f>Table1[[#This Row],[Capacity (MW)]]*8760*0.82*10^-6</f>
        <v>0.75423600000000002</v>
      </c>
      <c r="K275">
        <f>0</f>
        <v>0</v>
      </c>
      <c r="L275">
        <f>0</f>
        <v>0</v>
      </c>
    </row>
    <row r="276" spans="1:12" x14ac:dyDescent="0.35">
      <c r="A276" t="s">
        <v>12</v>
      </c>
      <c r="B276" t="s">
        <v>15</v>
      </c>
      <c r="C276">
        <v>50</v>
      </c>
      <c r="D276" t="s">
        <v>23</v>
      </c>
      <c r="E276">
        <v>2025</v>
      </c>
      <c r="F276" t="s">
        <v>12</v>
      </c>
      <c r="G276">
        <v>-38.573099999999997</v>
      </c>
      <c r="H276">
        <v>176.1953</v>
      </c>
      <c r="I276" t="s">
        <v>112</v>
      </c>
      <c r="J276" s="2">
        <f>Table1[[#This Row],[Capacity (MW)]]*8760*0.82*10^-6</f>
        <v>0.35915999999999998</v>
      </c>
      <c r="K276">
        <f>0</f>
        <v>0</v>
      </c>
      <c r="L276">
        <f>0</f>
        <v>0</v>
      </c>
    </row>
    <row r="277" spans="1:12" x14ac:dyDescent="0.35">
      <c r="A277" t="s">
        <v>150</v>
      </c>
      <c r="B277" t="s">
        <v>21</v>
      </c>
      <c r="C277">
        <v>32</v>
      </c>
      <c r="D277" t="s">
        <v>11</v>
      </c>
      <c r="E277">
        <v>2021</v>
      </c>
      <c r="F277" t="s">
        <v>12</v>
      </c>
      <c r="G277">
        <v>-35.4176</v>
      </c>
      <c r="H277">
        <v>173.85220000000001</v>
      </c>
      <c r="I277" t="s">
        <v>112</v>
      </c>
      <c r="J277" s="2">
        <f>Table1[[#This Row],[Capacity (MW)]]*8760*0.82*10^-6</f>
        <v>0.22986239999999999</v>
      </c>
      <c r="K277">
        <f>0</f>
        <v>0</v>
      </c>
      <c r="L277">
        <f>0</f>
        <v>0</v>
      </c>
    </row>
    <row r="278" spans="1:12" x14ac:dyDescent="0.35">
      <c r="A278" t="s">
        <v>151</v>
      </c>
      <c r="B278" t="s">
        <v>21</v>
      </c>
      <c r="C278">
        <v>35.75</v>
      </c>
      <c r="D278" t="s">
        <v>16</v>
      </c>
      <c r="E278" t="s">
        <v>12</v>
      </c>
      <c r="F278" t="s">
        <v>12</v>
      </c>
      <c r="G278">
        <v>-7.7760999999999996</v>
      </c>
      <c r="H278">
        <v>111.6374</v>
      </c>
      <c r="I278" t="s">
        <v>29</v>
      </c>
      <c r="J278" s="2">
        <f>Table1[[#This Row],[Capacity (MW)]]*8760*0.82*10^-6</f>
        <v>0.25679939999999996</v>
      </c>
      <c r="K278">
        <f>0</f>
        <v>0</v>
      </c>
      <c r="L278">
        <f>0</f>
        <v>0</v>
      </c>
    </row>
    <row r="279" spans="1:12" x14ac:dyDescent="0.35">
      <c r="A279" t="s">
        <v>152</v>
      </c>
      <c r="B279" t="s">
        <v>21</v>
      </c>
      <c r="C279">
        <v>18.7</v>
      </c>
      <c r="D279" t="s">
        <v>16</v>
      </c>
      <c r="E279" t="s">
        <v>12</v>
      </c>
      <c r="F279" t="s">
        <v>12</v>
      </c>
      <c r="G279">
        <v>-7.7760999999999996</v>
      </c>
      <c r="H279">
        <v>111.6374</v>
      </c>
      <c r="I279" t="s">
        <v>29</v>
      </c>
      <c r="J279" s="2">
        <f>Table1[[#This Row],[Capacity (MW)]]*8760*0.82*10^-6</f>
        <v>0.13432584</v>
      </c>
      <c r="K279">
        <f>0</f>
        <v>0</v>
      </c>
      <c r="L279">
        <f>0</f>
        <v>0</v>
      </c>
    </row>
    <row r="280" spans="1:12" x14ac:dyDescent="0.35">
      <c r="A280" t="s">
        <v>152</v>
      </c>
      <c r="B280" t="s">
        <v>21</v>
      </c>
      <c r="C280">
        <v>18.7</v>
      </c>
      <c r="D280" t="s">
        <v>16</v>
      </c>
      <c r="E280" t="s">
        <v>12</v>
      </c>
      <c r="F280" t="s">
        <v>12</v>
      </c>
      <c r="G280">
        <v>-7.7760999999999996</v>
      </c>
      <c r="H280">
        <v>111.6374</v>
      </c>
      <c r="I280" t="s">
        <v>29</v>
      </c>
      <c r="J280" s="2">
        <f>Table1[[#This Row],[Capacity (MW)]]*8760*0.82*10^-6</f>
        <v>0.13432584</v>
      </c>
      <c r="K280">
        <f>0</f>
        <v>0</v>
      </c>
      <c r="L280">
        <f>0</f>
        <v>0</v>
      </c>
    </row>
    <row r="281" spans="1:12" x14ac:dyDescent="0.35">
      <c r="A281" t="s">
        <v>151</v>
      </c>
      <c r="B281" t="s">
        <v>21</v>
      </c>
      <c r="C281">
        <v>35.75</v>
      </c>
      <c r="D281" t="s">
        <v>16</v>
      </c>
      <c r="E281" t="s">
        <v>12</v>
      </c>
      <c r="F281" t="s">
        <v>12</v>
      </c>
      <c r="G281">
        <v>-7.7760999999999996</v>
      </c>
      <c r="H281">
        <v>111.6374</v>
      </c>
      <c r="I281" t="s">
        <v>29</v>
      </c>
      <c r="J281" s="2">
        <f>Table1[[#This Row],[Capacity (MW)]]*8760*0.82*10^-6</f>
        <v>0.25679939999999996</v>
      </c>
      <c r="K281">
        <f>0</f>
        <v>0</v>
      </c>
      <c r="L281">
        <f>0</f>
        <v>0</v>
      </c>
    </row>
    <row r="282" spans="1:12" x14ac:dyDescent="0.35">
      <c r="A282" t="s">
        <v>151</v>
      </c>
      <c r="B282" t="s">
        <v>21</v>
      </c>
      <c r="C282">
        <v>35.75</v>
      </c>
      <c r="D282" t="s">
        <v>16</v>
      </c>
      <c r="E282" t="s">
        <v>12</v>
      </c>
      <c r="F282" t="s">
        <v>12</v>
      </c>
      <c r="G282">
        <v>-7.7760999999999996</v>
      </c>
      <c r="H282">
        <v>111.6374</v>
      </c>
      <c r="I282" t="s">
        <v>29</v>
      </c>
      <c r="J282" s="2">
        <f>Table1[[#This Row],[Capacity (MW)]]*8760*0.82*10^-6</f>
        <v>0.25679939999999996</v>
      </c>
      <c r="K282">
        <f>0</f>
        <v>0</v>
      </c>
      <c r="L282">
        <f>0</f>
        <v>0</v>
      </c>
    </row>
    <row r="283" spans="1:12" x14ac:dyDescent="0.35">
      <c r="A283" t="s">
        <v>152</v>
      </c>
      <c r="B283" t="s">
        <v>21</v>
      </c>
      <c r="C283">
        <v>18.7</v>
      </c>
      <c r="D283" t="s">
        <v>16</v>
      </c>
      <c r="E283" t="s">
        <v>12</v>
      </c>
      <c r="F283" t="s">
        <v>12</v>
      </c>
      <c r="G283">
        <v>-7.7760999999999996</v>
      </c>
      <c r="H283">
        <v>111.6374</v>
      </c>
      <c r="I283" t="s">
        <v>29</v>
      </c>
      <c r="J283" s="2">
        <f>Table1[[#This Row],[Capacity (MW)]]*8760*0.82*10^-6</f>
        <v>0.13432584</v>
      </c>
      <c r="K283">
        <f>0</f>
        <v>0</v>
      </c>
      <c r="L283">
        <f>0</f>
        <v>0</v>
      </c>
    </row>
    <row r="284" spans="1:12" x14ac:dyDescent="0.35">
      <c r="A284" t="s">
        <v>153</v>
      </c>
      <c r="B284" t="s">
        <v>21</v>
      </c>
      <c r="C284">
        <v>400</v>
      </c>
      <c r="D284" t="s">
        <v>79</v>
      </c>
      <c r="E284">
        <v>2027</v>
      </c>
      <c r="F284" t="s">
        <v>12</v>
      </c>
      <c r="G284">
        <v>-9.2555999999999994</v>
      </c>
      <c r="H284">
        <v>33.6434</v>
      </c>
      <c r="I284" t="s">
        <v>154</v>
      </c>
      <c r="J284" s="2">
        <f>Table1[[#This Row],[Capacity (MW)]]*8760*0.82*10^-6</f>
        <v>2.8732799999999998</v>
      </c>
      <c r="K284">
        <f>0</f>
        <v>0</v>
      </c>
      <c r="L284">
        <f>0</f>
        <v>0</v>
      </c>
    </row>
    <row r="285" spans="1:12" x14ac:dyDescent="0.35">
      <c r="A285" t="s">
        <v>153</v>
      </c>
      <c r="B285" t="s">
        <v>21</v>
      </c>
      <c r="C285">
        <v>200</v>
      </c>
      <c r="D285" t="s">
        <v>16</v>
      </c>
      <c r="E285">
        <v>2027</v>
      </c>
      <c r="F285" t="s">
        <v>12</v>
      </c>
      <c r="G285">
        <v>-9.2555999999999994</v>
      </c>
      <c r="H285">
        <v>33.6434</v>
      </c>
      <c r="I285" t="s">
        <v>154</v>
      </c>
      <c r="J285" s="2">
        <f>Table1[[#This Row],[Capacity (MW)]]*8760*0.82*10^-6</f>
        <v>1.4366399999999999</v>
      </c>
      <c r="K285">
        <f>0</f>
        <v>0</v>
      </c>
      <c r="L285">
        <f>0</f>
        <v>0</v>
      </c>
    </row>
    <row r="286" spans="1:12" x14ac:dyDescent="0.35">
      <c r="A286" t="s">
        <v>47</v>
      </c>
      <c r="B286" t="s">
        <v>21</v>
      </c>
      <c r="C286">
        <v>120</v>
      </c>
      <c r="D286" t="s">
        <v>79</v>
      </c>
      <c r="E286">
        <v>2028</v>
      </c>
      <c r="F286" t="s">
        <v>12</v>
      </c>
      <c r="G286">
        <v>39.7012</v>
      </c>
      <c r="H286">
        <v>-118.9434</v>
      </c>
      <c r="I286" t="s">
        <v>39</v>
      </c>
      <c r="J286" s="2">
        <f>Table1[[#This Row],[Capacity (MW)]]*8760*0.82*10^-6</f>
        <v>0.86198399999999997</v>
      </c>
      <c r="K286">
        <f>0</f>
        <v>0</v>
      </c>
      <c r="L286">
        <f>0</f>
        <v>0</v>
      </c>
    </row>
    <row r="287" spans="1:12" x14ac:dyDescent="0.35">
      <c r="A287" t="s">
        <v>30</v>
      </c>
      <c r="B287" t="s">
        <v>31</v>
      </c>
      <c r="C287">
        <v>40</v>
      </c>
      <c r="D287" t="s">
        <v>11</v>
      </c>
      <c r="E287">
        <v>2002</v>
      </c>
      <c r="F287" t="s">
        <v>12</v>
      </c>
      <c r="G287">
        <v>43.1935</v>
      </c>
      <c r="H287">
        <v>11.044600000000001</v>
      </c>
      <c r="I287" t="s">
        <v>32</v>
      </c>
      <c r="J287" s="2">
        <f>Table1[[#This Row],[Capacity (MW)]]*8760*0.82*10^-6</f>
        <v>0.28732799999999997</v>
      </c>
      <c r="K287">
        <f>0</f>
        <v>0</v>
      </c>
      <c r="L287">
        <f>0</f>
        <v>0</v>
      </c>
    </row>
    <row r="288" spans="1:12" x14ac:dyDescent="0.35">
      <c r="A288" t="s">
        <v>30</v>
      </c>
      <c r="B288" t="s">
        <v>31</v>
      </c>
      <c r="C288">
        <v>40</v>
      </c>
      <c r="D288" t="s">
        <v>11</v>
      </c>
      <c r="E288">
        <v>2005</v>
      </c>
      <c r="F288" t="s">
        <v>12</v>
      </c>
      <c r="G288">
        <v>43.145200000000003</v>
      </c>
      <c r="H288">
        <v>10.8325</v>
      </c>
      <c r="I288" t="s">
        <v>32</v>
      </c>
      <c r="J288" s="2">
        <f>Table1[[#This Row],[Capacity (MW)]]*8760*0.82*10^-6</f>
        <v>0.28732799999999997</v>
      </c>
      <c r="K288">
        <f>0</f>
        <v>0</v>
      </c>
      <c r="L288">
        <f>0</f>
        <v>0</v>
      </c>
    </row>
    <row r="289" spans="1:12" x14ac:dyDescent="0.35">
      <c r="A289" t="s">
        <v>30</v>
      </c>
      <c r="B289" t="s">
        <v>31</v>
      </c>
      <c r="C289">
        <v>60</v>
      </c>
      <c r="D289" t="s">
        <v>11</v>
      </c>
      <c r="E289">
        <v>2002</v>
      </c>
      <c r="F289" t="s">
        <v>12</v>
      </c>
      <c r="G289">
        <v>43.204000000000001</v>
      </c>
      <c r="H289">
        <v>10.8003</v>
      </c>
      <c r="I289" t="s">
        <v>32</v>
      </c>
      <c r="J289" s="2">
        <f>Table1[[#This Row],[Capacity (MW)]]*8760*0.82*10^-6</f>
        <v>0.43099199999999999</v>
      </c>
      <c r="K289">
        <f>0</f>
        <v>0</v>
      </c>
      <c r="L289">
        <f>0</f>
        <v>0</v>
      </c>
    </row>
    <row r="290" spans="1:12" x14ac:dyDescent="0.35">
      <c r="A290" t="s">
        <v>155</v>
      </c>
      <c r="B290" t="s">
        <v>10</v>
      </c>
      <c r="C290">
        <v>104</v>
      </c>
      <c r="D290" t="s">
        <v>11</v>
      </c>
      <c r="E290">
        <v>1989</v>
      </c>
      <c r="F290" t="s">
        <v>12</v>
      </c>
      <c r="G290">
        <v>-38.527900000000002</v>
      </c>
      <c r="H290">
        <v>176.2937</v>
      </c>
      <c r="I290" t="s">
        <v>112</v>
      </c>
      <c r="J290" s="2">
        <f>Table1[[#This Row],[Capacity (MW)]]*8760*0.82*10^-6</f>
        <v>0.74705279999999985</v>
      </c>
      <c r="K290">
        <f>0</f>
        <v>0</v>
      </c>
      <c r="L290">
        <f>0</f>
        <v>0</v>
      </c>
    </row>
    <row r="291" spans="1:12" x14ac:dyDescent="0.35">
      <c r="A291" t="s">
        <v>156</v>
      </c>
      <c r="B291" t="s">
        <v>21</v>
      </c>
      <c r="C291">
        <v>83</v>
      </c>
      <c r="D291" t="s">
        <v>11</v>
      </c>
      <c r="E291">
        <v>2022</v>
      </c>
      <c r="F291" t="s">
        <v>12</v>
      </c>
      <c r="G291">
        <v>-0.88929999999999998</v>
      </c>
      <c r="H291">
        <v>36.255699999999997</v>
      </c>
      <c r="I291" t="s">
        <v>17</v>
      </c>
      <c r="J291" s="2">
        <f>Table1[[#This Row],[Capacity (MW)]]*8760*0.82*10^-6</f>
        <v>0.5962056</v>
      </c>
      <c r="K291">
        <f>0</f>
        <v>0</v>
      </c>
      <c r="L291">
        <f>0</f>
        <v>0</v>
      </c>
    </row>
    <row r="292" spans="1:12" x14ac:dyDescent="0.35">
      <c r="A292" t="s">
        <v>156</v>
      </c>
      <c r="B292" t="s">
        <v>21</v>
      </c>
      <c r="C292">
        <v>70</v>
      </c>
      <c r="D292" t="s">
        <v>11</v>
      </c>
      <c r="E292">
        <v>2015</v>
      </c>
      <c r="F292" t="s">
        <v>12</v>
      </c>
      <c r="G292">
        <v>-0.89100000000000001</v>
      </c>
      <c r="H292">
        <v>36.296100000000003</v>
      </c>
      <c r="I292" t="s">
        <v>17</v>
      </c>
      <c r="J292" s="2">
        <f>Table1[[#This Row],[Capacity (MW)]]*8760*0.82*10^-6</f>
        <v>0.50282399999999994</v>
      </c>
      <c r="K292">
        <f>0</f>
        <v>0</v>
      </c>
      <c r="L292">
        <f>0</f>
        <v>0</v>
      </c>
    </row>
    <row r="293" spans="1:12" x14ac:dyDescent="0.35">
      <c r="A293" t="s">
        <v>156</v>
      </c>
      <c r="B293" t="s">
        <v>21</v>
      </c>
      <c r="C293">
        <v>70</v>
      </c>
      <c r="D293" t="s">
        <v>11</v>
      </c>
      <c r="E293">
        <v>2015</v>
      </c>
      <c r="F293" t="s">
        <v>12</v>
      </c>
      <c r="G293">
        <v>-0.89100000000000001</v>
      </c>
      <c r="H293">
        <v>36.296100000000003</v>
      </c>
      <c r="I293" t="s">
        <v>17</v>
      </c>
      <c r="J293" s="2">
        <f>Table1[[#This Row],[Capacity (MW)]]*8760*0.82*10^-6</f>
        <v>0.50282399999999994</v>
      </c>
      <c r="K293">
        <f>0</f>
        <v>0</v>
      </c>
      <c r="L293">
        <f>0</f>
        <v>0</v>
      </c>
    </row>
    <row r="294" spans="1:12" x14ac:dyDescent="0.35">
      <c r="A294" t="s">
        <v>156</v>
      </c>
      <c r="B294" t="s">
        <v>10</v>
      </c>
      <c r="C294">
        <v>35</v>
      </c>
      <c r="D294" t="s">
        <v>11</v>
      </c>
      <c r="E294">
        <v>2003</v>
      </c>
      <c r="F294" t="s">
        <v>12</v>
      </c>
      <c r="G294">
        <v>-0.86439999999999995</v>
      </c>
      <c r="H294">
        <v>36.298499999999997</v>
      </c>
      <c r="I294" t="s">
        <v>17</v>
      </c>
      <c r="J294" s="2">
        <f>Table1[[#This Row],[Capacity (MW)]]*8760*0.82*10^-6</f>
        <v>0.25141199999999997</v>
      </c>
      <c r="K294">
        <f>0</f>
        <v>0</v>
      </c>
      <c r="L294">
        <f>0</f>
        <v>0</v>
      </c>
    </row>
    <row r="295" spans="1:12" x14ac:dyDescent="0.35">
      <c r="A295" t="s">
        <v>156</v>
      </c>
      <c r="B295" t="s">
        <v>10</v>
      </c>
      <c r="C295">
        <v>35</v>
      </c>
      <c r="D295" t="s">
        <v>11</v>
      </c>
      <c r="E295">
        <v>2003</v>
      </c>
      <c r="F295" t="s">
        <v>12</v>
      </c>
      <c r="G295">
        <v>-0.86439999999999995</v>
      </c>
      <c r="H295">
        <v>36.298499999999997</v>
      </c>
      <c r="I295" t="s">
        <v>17</v>
      </c>
      <c r="J295" s="2">
        <f>Table1[[#This Row],[Capacity (MW)]]*8760*0.82*10^-6</f>
        <v>0.25141199999999997</v>
      </c>
      <c r="K295">
        <f>0</f>
        <v>0</v>
      </c>
      <c r="L295">
        <f>0</f>
        <v>0</v>
      </c>
    </row>
    <row r="296" spans="1:12" x14ac:dyDescent="0.35">
      <c r="A296" t="s">
        <v>156</v>
      </c>
      <c r="B296" t="s">
        <v>10</v>
      </c>
      <c r="C296">
        <v>35</v>
      </c>
      <c r="D296" t="s">
        <v>11</v>
      </c>
      <c r="E296">
        <v>2010</v>
      </c>
      <c r="F296" t="s">
        <v>12</v>
      </c>
      <c r="G296">
        <v>-0.86439999999999995</v>
      </c>
      <c r="H296">
        <v>36.298499999999997</v>
      </c>
      <c r="I296" t="s">
        <v>17</v>
      </c>
      <c r="J296" s="2">
        <f>Table1[[#This Row],[Capacity (MW)]]*8760*0.82*10^-6</f>
        <v>0.25141199999999997</v>
      </c>
      <c r="K296">
        <f>0</f>
        <v>0</v>
      </c>
      <c r="L296">
        <f>0</f>
        <v>0</v>
      </c>
    </row>
    <row r="297" spans="1:12" x14ac:dyDescent="0.35">
      <c r="A297" t="s">
        <v>47</v>
      </c>
      <c r="B297" t="s">
        <v>15</v>
      </c>
      <c r="C297">
        <v>59</v>
      </c>
      <c r="D297" t="s">
        <v>11</v>
      </c>
      <c r="E297">
        <v>2000</v>
      </c>
      <c r="F297" t="s">
        <v>12</v>
      </c>
      <c r="G297">
        <v>-0.88900000000000001</v>
      </c>
      <c r="H297">
        <v>36.2562</v>
      </c>
      <c r="I297" t="s">
        <v>17</v>
      </c>
      <c r="J297" s="2">
        <f>Table1[[#This Row],[Capacity (MW)]]*8760*0.82*10^-6</f>
        <v>0.42380879999999999</v>
      </c>
      <c r="K297">
        <f>0</f>
        <v>0</v>
      </c>
      <c r="L297">
        <f>0</f>
        <v>0</v>
      </c>
    </row>
    <row r="298" spans="1:12" x14ac:dyDescent="0.35">
      <c r="A298" t="s">
        <v>47</v>
      </c>
      <c r="B298" t="s">
        <v>15</v>
      </c>
      <c r="C298">
        <v>36</v>
      </c>
      <c r="D298" t="s">
        <v>11</v>
      </c>
      <c r="E298">
        <v>2009</v>
      </c>
      <c r="F298" t="s">
        <v>12</v>
      </c>
      <c r="G298">
        <v>-0.88900000000000001</v>
      </c>
      <c r="H298">
        <v>36.2562</v>
      </c>
      <c r="I298" t="s">
        <v>17</v>
      </c>
      <c r="J298" s="2">
        <f>Table1[[#This Row],[Capacity (MW)]]*8760*0.82*10^-6</f>
        <v>0.25859519999999997</v>
      </c>
      <c r="K298">
        <f>0</f>
        <v>0</v>
      </c>
      <c r="L298">
        <f>0</f>
        <v>0</v>
      </c>
    </row>
    <row r="299" spans="1:12" x14ac:dyDescent="0.35">
      <c r="A299" t="s">
        <v>156</v>
      </c>
      <c r="B299" t="s">
        <v>10</v>
      </c>
      <c r="C299">
        <v>70</v>
      </c>
      <c r="D299" t="s">
        <v>11</v>
      </c>
      <c r="E299">
        <v>2014</v>
      </c>
      <c r="F299" t="s">
        <v>12</v>
      </c>
      <c r="G299">
        <v>-0.91859999999999997</v>
      </c>
      <c r="H299">
        <v>36.333799999999997</v>
      </c>
      <c r="I299" t="s">
        <v>17</v>
      </c>
      <c r="J299" s="2">
        <f>Table1[[#This Row],[Capacity (MW)]]*8760*0.82*10^-6</f>
        <v>0.50282399999999994</v>
      </c>
      <c r="K299">
        <f>0</f>
        <v>0</v>
      </c>
      <c r="L299">
        <f>0</f>
        <v>0</v>
      </c>
    </row>
    <row r="300" spans="1:12" x14ac:dyDescent="0.35">
      <c r="A300" t="s">
        <v>156</v>
      </c>
      <c r="B300" t="s">
        <v>10</v>
      </c>
      <c r="C300">
        <v>70</v>
      </c>
      <c r="D300" t="s">
        <v>11</v>
      </c>
      <c r="E300">
        <v>2014</v>
      </c>
      <c r="F300" t="s">
        <v>12</v>
      </c>
      <c r="G300">
        <v>-0.91859999999999997</v>
      </c>
      <c r="H300">
        <v>36.333799999999997</v>
      </c>
      <c r="I300" t="s">
        <v>17</v>
      </c>
      <c r="J300" s="2">
        <f>Table1[[#This Row],[Capacity (MW)]]*8760*0.82*10^-6</f>
        <v>0.50282399999999994</v>
      </c>
      <c r="K300">
        <f>0</f>
        <v>0</v>
      </c>
      <c r="L300">
        <f>0</f>
        <v>0</v>
      </c>
    </row>
    <row r="301" spans="1:12" x14ac:dyDescent="0.35">
      <c r="A301" t="s">
        <v>156</v>
      </c>
      <c r="B301" t="s">
        <v>10</v>
      </c>
      <c r="C301">
        <v>82</v>
      </c>
      <c r="D301" t="s">
        <v>11</v>
      </c>
      <c r="E301">
        <v>2019</v>
      </c>
      <c r="F301" t="s">
        <v>12</v>
      </c>
      <c r="G301">
        <v>-0.90700000000000003</v>
      </c>
      <c r="H301">
        <v>36.3232</v>
      </c>
      <c r="I301" t="s">
        <v>17</v>
      </c>
      <c r="J301" s="2">
        <f>Table1[[#This Row],[Capacity (MW)]]*8760*0.82*10^-6</f>
        <v>0.58902239999999983</v>
      </c>
      <c r="K301">
        <f>0</f>
        <v>0</v>
      </c>
      <c r="L301">
        <f>0</f>
        <v>0</v>
      </c>
    </row>
    <row r="302" spans="1:12" x14ac:dyDescent="0.35">
      <c r="A302" t="s">
        <v>156</v>
      </c>
      <c r="B302" t="s">
        <v>10</v>
      </c>
      <c r="C302">
        <v>82</v>
      </c>
      <c r="D302" t="s">
        <v>11</v>
      </c>
      <c r="E302">
        <v>2019</v>
      </c>
      <c r="F302" t="s">
        <v>12</v>
      </c>
      <c r="G302">
        <v>-0.90700000000000003</v>
      </c>
      <c r="H302">
        <v>36.3232</v>
      </c>
      <c r="I302" t="s">
        <v>17</v>
      </c>
      <c r="J302" s="2">
        <f>Table1[[#This Row],[Capacity (MW)]]*8760*0.82*10^-6</f>
        <v>0.58902239999999983</v>
      </c>
      <c r="K302">
        <f>0</f>
        <v>0</v>
      </c>
      <c r="L302">
        <f>0</f>
        <v>0</v>
      </c>
    </row>
    <row r="303" spans="1:12" x14ac:dyDescent="0.35">
      <c r="A303" t="s">
        <v>156</v>
      </c>
      <c r="B303" t="s">
        <v>21</v>
      </c>
      <c r="C303">
        <v>420</v>
      </c>
      <c r="D303" t="s">
        <v>93</v>
      </c>
      <c r="E303" t="s">
        <v>12</v>
      </c>
      <c r="F303" t="s">
        <v>12</v>
      </c>
      <c r="G303">
        <v>-0.86439999999999995</v>
      </c>
      <c r="H303">
        <v>36.298499999999997</v>
      </c>
      <c r="I303" t="s">
        <v>17</v>
      </c>
      <c r="J303" s="2">
        <f>Table1[[#This Row],[Capacity (MW)]]*8760*0.82*10^-6</f>
        <v>3.0169440000000001</v>
      </c>
      <c r="K303">
        <f>0</f>
        <v>0</v>
      </c>
      <c r="L303">
        <f>0</f>
        <v>0</v>
      </c>
    </row>
    <row r="304" spans="1:12" x14ac:dyDescent="0.35">
      <c r="A304" t="s">
        <v>156</v>
      </c>
      <c r="B304" t="s">
        <v>21</v>
      </c>
      <c r="C304">
        <v>140</v>
      </c>
      <c r="D304" t="s">
        <v>93</v>
      </c>
      <c r="E304" t="s">
        <v>12</v>
      </c>
      <c r="F304" t="s">
        <v>12</v>
      </c>
      <c r="G304">
        <v>-0.86439999999999995</v>
      </c>
      <c r="H304">
        <v>36.298499999999997</v>
      </c>
      <c r="I304" t="s">
        <v>17</v>
      </c>
      <c r="J304" s="2">
        <f>Table1[[#This Row],[Capacity (MW)]]*8760*0.82*10^-6</f>
        <v>1.0056479999999999</v>
      </c>
      <c r="K304">
        <f>0</f>
        <v>0</v>
      </c>
      <c r="L304">
        <f>0</f>
        <v>0</v>
      </c>
    </row>
    <row r="305" spans="1:12" x14ac:dyDescent="0.35">
      <c r="A305" t="s">
        <v>156</v>
      </c>
      <c r="B305" t="s">
        <v>21</v>
      </c>
      <c r="C305">
        <v>140</v>
      </c>
      <c r="D305" t="s">
        <v>79</v>
      </c>
      <c r="E305" t="s">
        <v>12</v>
      </c>
      <c r="F305" t="s">
        <v>12</v>
      </c>
      <c r="G305">
        <v>-0.86439999999999995</v>
      </c>
      <c r="H305">
        <v>36.298499999999997</v>
      </c>
      <c r="I305" t="s">
        <v>17</v>
      </c>
      <c r="J305" s="2">
        <f>Table1[[#This Row],[Capacity (MW)]]*8760*0.82*10^-6</f>
        <v>1.0056479999999999</v>
      </c>
      <c r="K305">
        <f>0</f>
        <v>0</v>
      </c>
      <c r="L305">
        <f>0</f>
        <v>0</v>
      </c>
    </row>
    <row r="306" spans="1:12" x14ac:dyDescent="0.35">
      <c r="A306" t="s">
        <v>25</v>
      </c>
      <c r="B306" t="s">
        <v>10</v>
      </c>
      <c r="C306">
        <v>38</v>
      </c>
      <c r="D306" t="s">
        <v>11</v>
      </c>
      <c r="E306">
        <v>1983</v>
      </c>
      <c r="F306" t="s">
        <v>12</v>
      </c>
      <c r="G306">
        <v>9.2949999999999999</v>
      </c>
      <c r="H306">
        <v>123.17230000000001</v>
      </c>
      <c r="I306" t="s">
        <v>26</v>
      </c>
      <c r="J306" s="2">
        <f>Table1[[#This Row],[Capacity (MW)]]*8760*0.82*10^-6</f>
        <v>0.27296159999999997</v>
      </c>
      <c r="K306">
        <f>0</f>
        <v>0</v>
      </c>
      <c r="L306">
        <f>0</f>
        <v>0</v>
      </c>
    </row>
    <row r="307" spans="1:12" x14ac:dyDescent="0.35">
      <c r="A307" t="s">
        <v>25</v>
      </c>
      <c r="B307" t="s">
        <v>10</v>
      </c>
      <c r="C307">
        <v>38</v>
      </c>
      <c r="D307" t="s">
        <v>11</v>
      </c>
      <c r="E307">
        <v>1983</v>
      </c>
      <c r="F307" t="s">
        <v>12</v>
      </c>
      <c r="G307">
        <v>9.2949999999999999</v>
      </c>
      <c r="H307">
        <v>123.17230000000001</v>
      </c>
      <c r="I307" t="s">
        <v>26</v>
      </c>
      <c r="J307" s="2">
        <f>Table1[[#This Row],[Capacity (MW)]]*8760*0.82*10^-6</f>
        <v>0.27296159999999997</v>
      </c>
      <c r="K307">
        <f>0</f>
        <v>0</v>
      </c>
      <c r="L307">
        <f>0</f>
        <v>0</v>
      </c>
    </row>
    <row r="308" spans="1:12" x14ac:dyDescent="0.35">
      <c r="A308" t="s">
        <v>25</v>
      </c>
      <c r="B308" t="s">
        <v>10</v>
      </c>
      <c r="C308">
        <v>38</v>
      </c>
      <c r="D308" t="s">
        <v>11</v>
      </c>
      <c r="E308">
        <v>1983</v>
      </c>
      <c r="F308" t="s">
        <v>12</v>
      </c>
      <c r="G308">
        <v>9.2949999999999999</v>
      </c>
      <c r="H308">
        <v>123.17230000000001</v>
      </c>
      <c r="I308" t="s">
        <v>26</v>
      </c>
      <c r="J308" s="2">
        <f>Table1[[#This Row],[Capacity (MW)]]*8760*0.82*10^-6</f>
        <v>0.27296159999999997</v>
      </c>
      <c r="K308">
        <f>0</f>
        <v>0</v>
      </c>
      <c r="L308">
        <f>0</f>
        <v>0</v>
      </c>
    </row>
    <row r="309" spans="1:12" x14ac:dyDescent="0.35">
      <c r="A309" t="s">
        <v>157</v>
      </c>
      <c r="B309" t="s">
        <v>15</v>
      </c>
      <c r="C309">
        <v>32</v>
      </c>
      <c r="D309" t="s">
        <v>11</v>
      </c>
      <c r="E309">
        <v>2019</v>
      </c>
      <c r="F309" t="s">
        <v>12</v>
      </c>
      <c r="G309">
        <v>37.916699999999999</v>
      </c>
      <c r="H309">
        <v>28.5305</v>
      </c>
      <c r="I309" t="s">
        <v>20</v>
      </c>
      <c r="J309" s="2">
        <f>Table1[[#This Row],[Capacity (MW)]]*8760*0.82*10^-6</f>
        <v>0.22986239999999999</v>
      </c>
      <c r="K309">
        <f>0</f>
        <v>0</v>
      </c>
      <c r="L309">
        <f>0</f>
        <v>0</v>
      </c>
    </row>
    <row r="310" spans="1:12" x14ac:dyDescent="0.35">
      <c r="A310" t="s">
        <v>158</v>
      </c>
      <c r="B310" t="s">
        <v>15</v>
      </c>
      <c r="C310">
        <v>48</v>
      </c>
      <c r="D310" t="s">
        <v>11</v>
      </c>
      <c r="E310">
        <v>2012</v>
      </c>
      <c r="F310" t="s">
        <v>12</v>
      </c>
      <c r="G310">
        <v>39.582999999999998</v>
      </c>
      <c r="H310">
        <v>-119.0737</v>
      </c>
      <c r="I310" t="s">
        <v>39</v>
      </c>
      <c r="J310" s="2">
        <f>Table1[[#This Row],[Capacity (MW)]]*8760*0.82*10^-6</f>
        <v>0.34479359999999998</v>
      </c>
      <c r="K310">
        <f>0</f>
        <v>0</v>
      </c>
      <c r="L310">
        <f>0</f>
        <v>0</v>
      </c>
    </row>
    <row r="311" spans="1:12" x14ac:dyDescent="0.35">
      <c r="A311" t="s">
        <v>82</v>
      </c>
      <c r="B311" t="s">
        <v>21</v>
      </c>
      <c r="C311">
        <v>290</v>
      </c>
      <c r="D311" t="s">
        <v>79</v>
      </c>
      <c r="E311">
        <v>2030</v>
      </c>
      <c r="F311" t="s">
        <v>12</v>
      </c>
      <c r="G311">
        <v>-7.1837999999999997</v>
      </c>
      <c r="H311">
        <v>107.42149999999999</v>
      </c>
      <c r="I311" t="s">
        <v>29</v>
      </c>
      <c r="J311" s="2">
        <f>Table1[[#This Row],[Capacity (MW)]]*8760*0.82*10^-6</f>
        <v>2.0831279999999999</v>
      </c>
      <c r="K311">
        <f>0</f>
        <v>0</v>
      </c>
      <c r="L311">
        <f>0</f>
        <v>0</v>
      </c>
    </row>
    <row r="312" spans="1:12" x14ac:dyDescent="0.35">
      <c r="A312" t="s">
        <v>82</v>
      </c>
      <c r="B312" t="s">
        <v>10</v>
      </c>
      <c r="C312">
        <v>55</v>
      </c>
      <c r="D312" t="s">
        <v>11</v>
      </c>
      <c r="E312">
        <v>2014</v>
      </c>
      <c r="F312" t="s">
        <v>12</v>
      </c>
      <c r="G312">
        <v>-7.1837999999999997</v>
      </c>
      <c r="H312">
        <v>107.42149999999999</v>
      </c>
      <c r="I312" t="s">
        <v>29</v>
      </c>
      <c r="J312" s="2">
        <f>Table1[[#This Row],[Capacity (MW)]]*8760*0.82*10^-6</f>
        <v>0.39507599999999998</v>
      </c>
      <c r="K312">
        <f>0</f>
        <v>0</v>
      </c>
      <c r="L312">
        <f>0</f>
        <v>0</v>
      </c>
    </row>
    <row r="313" spans="1:12" x14ac:dyDescent="0.35">
      <c r="A313" t="s">
        <v>82</v>
      </c>
      <c r="B313" t="s">
        <v>21</v>
      </c>
      <c r="C313">
        <v>55</v>
      </c>
      <c r="D313" t="s">
        <v>23</v>
      </c>
      <c r="E313">
        <v>2025</v>
      </c>
      <c r="F313" t="s">
        <v>12</v>
      </c>
      <c r="G313">
        <v>-7.1837999999999997</v>
      </c>
      <c r="H313">
        <v>107.42149999999999</v>
      </c>
      <c r="I313" t="s">
        <v>29</v>
      </c>
      <c r="J313" s="2">
        <f>Table1[[#This Row],[Capacity (MW)]]*8760*0.82*10^-6</f>
        <v>0.39507599999999998</v>
      </c>
      <c r="K313">
        <f>0</f>
        <v>0</v>
      </c>
      <c r="L313">
        <f>0</f>
        <v>0</v>
      </c>
    </row>
    <row r="314" spans="1:12" x14ac:dyDescent="0.35">
      <c r="A314" t="s">
        <v>82</v>
      </c>
      <c r="B314" t="s">
        <v>21</v>
      </c>
      <c r="C314">
        <v>55</v>
      </c>
      <c r="D314" t="s">
        <v>79</v>
      </c>
      <c r="E314">
        <v>2025</v>
      </c>
      <c r="F314" t="s">
        <v>12</v>
      </c>
      <c r="G314">
        <v>-7.1837999999999997</v>
      </c>
      <c r="H314">
        <v>107.42149999999999</v>
      </c>
      <c r="I314" t="s">
        <v>29</v>
      </c>
      <c r="J314" s="2">
        <f>Table1[[#This Row],[Capacity (MW)]]*8760*0.82*10^-6</f>
        <v>0.39507599999999998</v>
      </c>
      <c r="K314">
        <f>0</f>
        <v>0</v>
      </c>
      <c r="L314">
        <f>0</f>
        <v>0</v>
      </c>
    </row>
    <row r="315" spans="1:12" x14ac:dyDescent="0.35">
      <c r="A315" t="s">
        <v>47</v>
      </c>
      <c r="B315" t="s">
        <v>15</v>
      </c>
      <c r="C315">
        <v>35</v>
      </c>
      <c r="D315" t="s">
        <v>11</v>
      </c>
      <c r="E315">
        <v>2017</v>
      </c>
      <c r="F315" t="s">
        <v>12</v>
      </c>
      <c r="G315">
        <v>14.7471</v>
      </c>
      <c r="H315">
        <v>-88.951800000000006</v>
      </c>
      <c r="I315" t="s">
        <v>159</v>
      </c>
      <c r="J315" s="2">
        <f>Table1[[#This Row],[Capacity (MW)]]*8760*0.82*10^-6</f>
        <v>0.25141199999999997</v>
      </c>
      <c r="K315">
        <f>0</f>
        <v>0</v>
      </c>
      <c r="L315">
        <f>0</f>
        <v>0</v>
      </c>
    </row>
    <row r="316" spans="1:12" x14ac:dyDescent="0.35">
      <c r="A316" t="s">
        <v>155</v>
      </c>
      <c r="B316" t="s">
        <v>10</v>
      </c>
      <c r="C316">
        <v>50</v>
      </c>
      <c r="D316" t="s">
        <v>11</v>
      </c>
      <c r="E316">
        <v>1997</v>
      </c>
      <c r="F316" t="s">
        <v>12</v>
      </c>
      <c r="G316">
        <v>-38.629800000000003</v>
      </c>
      <c r="H316">
        <v>176.04130000000001</v>
      </c>
      <c r="I316" t="s">
        <v>112</v>
      </c>
      <c r="J316" s="2">
        <f>Table1[[#This Row],[Capacity (MW)]]*8760*0.82*10^-6</f>
        <v>0.35915999999999998</v>
      </c>
      <c r="K316">
        <f>0</f>
        <v>0</v>
      </c>
      <c r="L316">
        <f>0</f>
        <v>0</v>
      </c>
    </row>
    <row r="317" spans="1:12" x14ac:dyDescent="0.35">
      <c r="A317" t="s">
        <v>78</v>
      </c>
      <c r="B317" t="s">
        <v>15</v>
      </c>
      <c r="C317">
        <v>33</v>
      </c>
      <c r="D317" t="s">
        <v>28</v>
      </c>
      <c r="E317" t="s">
        <v>12</v>
      </c>
      <c r="F317" t="s">
        <v>12</v>
      </c>
      <c r="G317">
        <v>40.838000000000001</v>
      </c>
      <c r="H317">
        <v>-117.3835</v>
      </c>
      <c r="I317" t="s">
        <v>39</v>
      </c>
      <c r="J317" s="2">
        <f>Table1[[#This Row],[Capacity (MW)]]*8760*0.82*10^-6</f>
        <v>0.23704559999999997</v>
      </c>
      <c r="K317">
        <f>0</f>
        <v>0</v>
      </c>
      <c r="L317">
        <f>0</f>
        <v>0</v>
      </c>
    </row>
    <row r="318" spans="1:12" x14ac:dyDescent="0.35">
      <c r="A318" t="s">
        <v>160</v>
      </c>
      <c r="B318" t="s">
        <v>15</v>
      </c>
      <c r="C318">
        <v>38</v>
      </c>
      <c r="D318" t="s">
        <v>16</v>
      </c>
      <c r="E318" t="s">
        <v>12</v>
      </c>
      <c r="F318" t="s">
        <v>12</v>
      </c>
      <c r="G318">
        <v>19.476700000000001</v>
      </c>
      <c r="H318">
        <v>-154.89080000000001</v>
      </c>
      <c r="I318" t="s">
        <v>39</v>
      </c>
      <c r="J318" s="2">
        <f>Table1[[#This Row],[Capacity (MW)]]*8760*0.82*10^-6</f>
        <v>0.27296159999999997</v>
      </c>
      <c r="K318">
        <f>0</f>
        <v>0</v>
      </c>
      <c r="L318">
        <f>0</f>
        <v>0</v>
      </c>
    </row>
    <row r="319" spans="1:12" x14ac:dyDescent="0.35">
      <c r="A319" t="s">
        <v>38</v>
      </c>
      <c r="B319" t="s">
        <v>31</v>
      </c>
      <c r="C319">
        <v>118</v>
      </c>
      <c r="D319" t="s">
        <v>11</v>
      </c>
      <c r="E319">
        <v>1985</v>
      </c>
      <c r="F319" t="s">
        <v>12</v>
      </c>
      <c r="G319">
        <v>38.777000000000001</v>
      </c>
      <c r="H319">
        <v>-122.745</v>
      </c>
      <c r="I319" t="s">
        <v>39</v>
      </c>
      <c r="J319" s="2">
        <f>Table1[[#This Row],[Capacity (MW)]]*8760*0.82*10^-6</f>
        <v>0.84761759999999997</v>
      </c>
      <c r="K319">
        <f>0</f>
        <v>0</v>
      </c>
      <c r="L319">
        <f>0</f>
        <v>0</v>
      </c>
    </row>
    <row r="320" spans="1:12" x14ac:dyDescent="0.35">
      <c r="A320" t="s">
        <v>134</v>
      </c>
      <c r="B320" t="s">
        <v>21</v>
      </c>
      <c r="C320">
        <v>36.299999999999997</v>
      </c>
      <c r="D320" t="s">
        <v>23</v>
      </c>
      <c r="E320">
        <v>2025</v>
      </c>
      <c r="F320" t="s">
        <v>12</v>
      </c>
      <c r="G320">
        <v>-5.7816999999999998</v>
      </c>
      <c r="H320">
        <v>105.62560000000001</v>
      </c>
      <c r="I320" t="s">
        <v>29</v>
      </c>
      <c r="J320" s="2">
        <f>Table1[[#This Row],[Capacity (MW)]]*8760*0.82*10^-6</f>
        <v>0.26075015999999995</v>
      </c>
      <c r="K320">
        <f>0</f>
        <v>0</v>
      </c>
      <c r="L320">
        <f>0</f>
        <v>0</v>
      </c>
    </row>
    <row r="321" spans="1:12" x14ac:dyDescent="0.35">
      <c r="A321" t="s">
        <v>135</v>
      </c>
      <c r="B321" t="s">
        <v>21</v>
      </c>
      <c r="C321">
        <v>36.299999999999997</v>
      </c>
      <c r="D321" t="s">
        <v>23</v>
      </c>
      <c r="E321">
        <v>2025</v>
      </c>
      <c r="F321" t="s">
        <v>12</v>
      </c>
      <c r="G321">
        <v>-5.7816999999999998</v>
      </c>
      <c r="H321">
        <v>105.62560000000001</v>
      </c>
      <c r="I321" t="s">
        <v>29</v>
      </c>
      <c r="J321" s="2">
        <f>Table1[[#This Row],[Capacity (MW)]]*8760*0.82*10^-6</f>
        <v>0.26075015999999995</v>
      </c>
      <c r="K321">
        <f>0</f>
        <v>0</v>
      </c>
      <c r="L321">
        <f>0</f>
        <v>0</v>
      </c>
    </row>
    <row r="322" spans="1:12" x14ac:dyDescent="0.35">
      <c r="A322" t="s">
        <v>133</v>
      </c>
      <c r="B322" t="s">
        <v>21</v>
      </c>
      <c r="C322">
        <v>36.299999999999997</v>
      </c>
      <c r="D322" t="s">
        <v>23</v>
      </c>
      <c r="E322">
        <v>2025</v>
      </c>
      <c r="F322" t="s">
        <v>12</v>
      </c>
      <c r="G322">
        <v>-5.7816999999999998</v>
      </c>
      <c r="H322">
        <v>105.62560000000001</v>
      </c>
      <c r="I322" t="s">
        <v>29</v>
      </c>
      <c r="J322" s="2">
        <f>Table1[[#This Row],[Capacity (MW)]]*8760*0.82*10^-6</f>
        <v>0.26075015999999995</v>
      </c>
      <c r="K322">
        <f>0</f>
        <v>0</v>
      </c>
      <c r="L322">
        <f>0</f>
        <v>0</v>
      </c>
    </row>
    <row r="323" spans="1:12" x14ac:dyDescent="0.35">
      <c r="A323" t="s">
        <v>134</v>
      </c>
      <c r="B323" t="s">
        <v>21</v>
      </c>
      <c r="C323">
        <v>36.299999999999997</v>
      </c>
      <c r="D323" t="s">
        <v>23</v>
      </c>
      <c r="E323">
        <v>2025</v>
      </c>
      <c r="F323" t="s">
        <v>12</v>
      </c>
      <c r="G323">
        <v>-5.7816999999999998</v>
      </c>
      <c r="H323">
        <v>105.62560000000001</v>
      </c>
      <c r="I323" t="s">
        <v>29</v>
      </c>
      <c r="J323" s="2">
        <f>Table1[[#This Row],[Capacity (MW)]]*8760*0.82*10^-6</f>
        <v>0.26075015999999995</v>
      </c>
      <c r="K323">
        <f>0</f>
        <v>0</v>
      </c>
      <c r="L323">
        <f>0</f>
        <v>0</v>
      </c>
    </row>
    <row r="324" spans="1:12" x14ac:dyDescent="0.35">
      <c r="A324" t="s">
        <v>135</v>
      </c>
      <c r="B324" t="s">
        <v>21</v>
      </c>
      <c r="C324">
        <v>36.299999999999997</v>
      </c>
      <c r="D324" t="s">
        <v>23</v>
      </c>
      <c r="E324">
        <v>2025</v>
      </c>
      <c r="F324" t="s">
        <v>12</v>
      </c>
      <c r="G324">
        <v>-5.7816999999999998</v>
      </c>
      <c r="H324">
        <v>105.62560000000001</v>
      </c>
      <c r="I324" t="s">
        <v>29</v>
      </c>
      <c r="J324" s="2">
        <f>Table1[[#This Row],[Capacity (MW)]]*8760*0.82*10^-6</f>
        <v>0.26075015999999995</v>
      </c>
      <c r="K324">
        <f>0</f>
        <v>0</v>
      </c>
      <c r="L324">
        <f>0</f>
        <v>0</v>
      </c>
    </row>
    <row r="325" spans="1:12" x14ac:dyDescent="0.35">
      <c r="A325" t="s">
        <v>133</v>
      </c>
      <c r="B325" t="s">
        <v>21</v>
      </c>
      <c r="C325">
        <v>36.299999999999997</v>
      </c>
      <c r="D325" t="s">
        <v>23</v>
      </c>
      <c r="E325">
        <v>2025</v>
      </c>
      <c r="F325" t="s">
        <v>12</v>
      </c>
      <c r="G325">
        <v>-5.7816999999999998</v>
      </c>
      <c r="H325">
        <v>105.62560000000001</v>
      </c>
      <c r="I325" t="s">
        <v>29</v>
      </c>
      <c r="J325" s="2">
        <f>Table1[[#This Row],[Capacity (MW)]]*8760*0.82*10^-6</f>
        <v>0.26075015999999995</v>
      </c>
      <c r="K325">
        <f>0</f>
        <v>0</v>
      </c>
      <c r="L325">
        <f>0</f>
        <v>0</v>
      </c>
    </row>
    <row r="326" spans="1:12" x14ac:dyDescent="0.35">
      <c r="A326" t="s">
        <v>25</v>
      </c>
      <c r="B326" t="s">
        <v>21</v>
      </c>
      <c r="C326">
        <v>40</v>
      </c>
      <c r="D326" t="s">
        <v>28</v>
      </c>
      <c r="E326" t="s">
        <v>12</v>
      </c>
      <c r="F326" t="s">
        <v>12</v>
      </c>
      <c r="G326">
        <v>12.8025</v>
      </c>
      <c r="H326">
        <v>124.0009</v>
      </c>
      <c r="I326" t="s">
        <v>26</v>
      </c>
      <c r="J326" s="2">
        <f>Table1[[#This Row],[Capacity (MW)]]*8760*0.82*10^-6</f>
        <v>0.28732799999999997</v>
      </c>
      <c r="K326">
        <f>0</f>
        <v>0</v>
      </c>
      <c r="L326">
        <f>0</f>
        <v>0</v>
      </c>
    </row>
    <row r="327" spans="1:12" x14ac:dyDescent="0.35">
      <c r="A327" t="s">
        <v>12</v>
      </c>
      <c r="B327" t="s">
        <v>21</v>
      </c>
      <c r="C327">
        <v>134</v>
      </c>
      <c r="D327" t="s">
        <v>16</v>
      </c>
      <c r="E327">
        <v>2025</v>
      </c>
      <c r="F327" t="s">
        <v>12</v>
      </c>
      <c r="G327">
        <v>-4.2069000000000001</v>
      </c>
      <c r="H327">
        <v>103.3857</v>
      </c>
      <c r="I327" t="s">
        <v>29</v>
      </c>
      <c r="J327" s="2">
        <f>Table1[[#This Row],[Capacity (MW)]]*8760*0.82*10^-6</f>
        <v>0.96254879999999987</v>
      </c>
      <c r="K327">
        <f>0</f>
        <v>0</v>
      </c>
      <c r="L327">
        <f>0</f>
        <v>0</v>
      </c>
    </row>
    <row r="328" spans="1:12" x14ac:dyDescent="0.35">
      <c r="A328" t="s">
        <v>134</v>
      </c>
      <c r="B328" t="s">
        <v>21</v>
      </c>
      <c r="C328">
        <v>33.67</v>
      </c>
      <c r="D328" t="s">
        <v>11</v>
      </c>
      <c r="E328">
        <v>2021</v>
      </c>
      <c r="F328" t="s">
        <v>12</v>
      </c>
      <c r="G328">
        <v>-4.2069000000000001</v>
      </c>
      <c r="H328">
        <v>103.3857</v>
      </c>
      <c r="I328" t="s">
        <v>29</v>
      </c>
      <c r="J328" s="2">
        <f>Table1[[#This Row],[Capacity (MW)]]*8760*0.82*10^-6</f>
        <v>0.24185834399999998</v>
      </c>
      <c r="K328">
        <f>0</f>
        <v>0</v>
      </c>
      <c r="L328">
        <f>0</f>
        <v>0</v>
      </c>
    </row>
    <row r="329" spans="1:12" x14ac:dyDescent="0.35">
      <c r="A329" t="s">
        <v>106</v>
      </c>
      <c r="B329" t="s">
        <v>21</v>
      </c>
      <c r="C329">
        <v>9.1</v>
      </c>
      <c r="D329" t="s">
        <v>11</v>
      </c>
      <c r="E329">
        <v>2021</v>
      </c>
      <c r="F329" t="s">
        <v>12</v>
      </c>
      <c r="G329">
        <v>-4.2069000000000001</v>
      </c>
      <c r="H329">
        <v>103.3857</v>
      </c>
      <c r="I329" t="s">
        <v>29</v>
      </c>
      <c r="J329" s="2">
        <f>Table1[[#This Row],[Capacity (MW)]]*8760*0.82*10^-6</f>
        <v>6.5367119999999987E-2</v>
      </c>
      <c r="K329">
        <f>0</f>
        <v>0</v>
      </c>
      <c r="L329">
        <f>0</f>
        <v>0</v>
      </c>
    </row>
    <row r="330" spans="1:12" x14ac:dyDescent="0.35">
      <c r="A330" t="s">
        <v>161</v>
      </c>
      <c r="B330" t="s">
        <v>21</v>
      </c>
      <c r="C330">
        <v>24.57</v>
      </c>
      <c r="D330" t="s">
        <v>11</v>
      </c>
      <c r="E330">
        <v>2021</v>
      </c>
      <c r="F330" t="s">
        <v>12</v>
      </c>
      <c r="G330">
        <v>-4.2069000000000001</v>
      </c>
      <c r="H330">
        <v>103.3857</v>
      </c>
      <c r="I330" t="s">
        <v>29</v>
      </c>
      <c r="J330" s="2">
        <f>Table1[[#This Row],[Capacity (MW)]]*8760*0.82*10^-6</f>
        <v>0.17649122399999997</v>
      </c>
      <c r="K330">
        <f>0</f>
        <v>0</v>
      </c>
      <c r="L330">
        <f>0</f>
        <v>0</v>
      </c>
    </row>
    <row r="331" spans="1:12" x14ac:dyDescent="0.35">
      <c r="A331" t="s">
        <v>135</v>
      </c>
      <c r="B331" t="s">
        <v>21</v>
      </c>
      <c r="C331">
        <v>22.75</v>
      </c>
      <c r="D331" t="s">
        <v>11</v>
      </c>
      <c r="E331">
        <v>2021</v>
      </c>
      <c r="F331" t="s">
        <v>12</v>
      </c>
      <c r="G331">
        <v>-4.2069000000000001</v>
      </c>
      <c r="H331">
        <v>103.3857</v>
      </c>
      <c r="I331" t="s">
        <v>29</v>
      </c>
      <c r="J331" s="2">
        <f>Table1[[#This Row],[Capacity (MW)]]*8760*0.82*10^-6</f>
        <v>0.16341779999999997</v>
      </c>
      <c r="K331">
        <f>0</f>
        <v>0</v>
      </c>
      <c r="L331">
        <f>0</f>
        <v>0</v>
      </c>
    </row>
    <row r="332" spans="1:12" x14ac:dyDescent="0.35">
      <c r="A332" t="s">
        <v>12</v>
      </c>
      <c r="B332" t="s">
        <v>21</v>
      </c>
      <c r="C332">
        <v>55</v>
      </c>
      <c r="D332" t="s">
        <v>79</v>
      </c>
      <c r="E332" t="s">
        <v>12</v>
      </c>
      <c r="F332" t="s">
        <v>12</v>
      </c>
      <c r="G332">
        <v>-5.6001000000000003</v>
      </c>
      <c r="H332">
        <v>105.07380000000001</v>
      </c>
      <c r="I332" t="s">
        <v>29</v>
      </c>
      <c r="J332" s="2">
        <f>Table1[[#This Row],[Capacity (MW)]]*8760*0.82*10^-6</f>
        <v>0.39507599999999998</v>
      </c>
      <c r="K332">
        <f>0</f>
        <v>0</v>
      </c>
      <c r="L332">
        <f>0</f>
        <v>0</v>
      </c>
    </row>
    <row r="333" spans="1:12" x14ac:dyDescent="0.35">
      <c r="A333" t="s">
        <v>162</v>
      </c>
      <c r="B333" t="s">
        <v>21</v>
      </c>
      <c r="C333">
        <v>55</v>
      </c>
      <c r="D333" t="s">
        <v>16</v>
      </c>
      <c r="E333">
        <v>2026</v>
      </c>
      <c r="F333" t="s">
        <v>12</v>
      </c>
      <c r="G333">
        <v>-6.1619000000000002</v>
      </c>
      <c r="H333">
        <v>105.98350000000001</v>
      </c>
      <c r="I333" t="s">
        <v>29</v>
      </c>
      <c r="J333" s="2">
        <f>Table1[[#This Row],[Capacity (MW)]]*8760*0.82*10^-6</f>
        <v>0.39507599999999998</v>
      </c>
      <c r="K333">
        <f>0</f>
        <v>0</v>
      </c>
      <c r="L333">
        <f>0</f>
        <v>0</v>
      </c>
    </row>
    <row r="334" spans="1:12" x14ac:dyDescent="0.35">
      <c r="A334" t="s">
        <v>162</v>
      </c>
      <c r="B334" t="s">
        <v>21</v>
      </c>
      <c r="C334">
        <v>55</v>
      </c>
      <c r="D334" t="s">
        <v>16</v>
      </c>
      <c r="E334">
        <v>2026</v>
      </c>
      <c r="F334" t="s">
        <v>12</v>
      </c>
      <c r="G334">
        <v>-6.1619000000000002</v>
      </c>
      <c r="H334">
        <v>105.98350000000001</v>
      </c>
      <c r="I334" t="s">
        <v>29</v>
      </c>
      <c r="J334" s="2">
        <f>Table1[[#This Row],[Capacity (MW)]]*8760*0.82*10^-6</f>
        <v>0.39507599999999998</v>
      </c>
      <c r="K334">
        <f>0</f>
        <v>0</v>
      </c>
      <c r="L334">
        <f>0</f>
        <v>0</v>
      </c>
    </row>
    <row r="335" spans="1:12" x14ac:dyDescent="0.35">
      <c r="A335" t="s">
        <v>86</v>
      </c>
      <c r="B335" t="s">
        <v>10</v>
      </c>
      <c r="C335">
        <v>50</v>
      </c>
      <c r="D335" t="s">
        <v>11</v>
      </c>
      <c r="E335">
        <v>2006</v>
      </c>
      <c r="F335" t="s">
        <v>12</v>
      </c>
      <c r="G335">
        <v>63.825099999999999</v>
      </c>
      <c r="H335">
        <v>-22.684799999999999</v>
      </c>
      <c r="I335" t="s">
        <v>42</v>
      </c>
      <c r="J335" s="2">
        <f>Table1[[#This Row],[Capacity (MW)]]*8760*0.82*10^-6</f>
        <v>0.35915999999999998</v>
      </c>
      <c r="K335">
        <f>0</f>
        <v>0</v>
      </c>
      <c r="L335">
        <f>0</f>
        <v>0</v>
      </c>
    </row>
    <row r="336" spans="1:12" x14ac:dyDescent="0.35">
      <c r="A336" t="s">
        <v>86</v>
      </c>
      <c r="B336" t="s">
        <v>10</v>
      </c>
      <c r="C336">
        <v>50</v>
      </c>
      <c r="D336" t="s">
        <v>11</v>
      </c>
      <c r="E336">
        <v>2006</v>
      </c>
      <c r="F336" t="s">
        <v>12</v>
      </c>
      <c r="G336">
        <v>63.825099999999999</v>
      </c>
      <c r="H336">
        <v>-22.684799999999999</v>
      </c>
      <c r="I336" t="s">
        <v>42</v>
      </c>
      <c r="J336" s="2">
        <f>Table1[[#This Row],[Capacity (MW)]]*8760*0.82*10^-6</f>
        <v>0.35915999999999998</v>
      </c>
      <c r="K336">
        <f>0</f>
        <v>0</v>
      </c>
      <c r="L336">
        <f>0</f>
        <v>0</v>
      </c>
    </row>
    <row r="337" spans="1:12" x14ac:dyDescent="0.35">
      <c r="A337" t="s">
        <v>86</v>
      </c>
      <c r="B337" t="s">
        <v>21</v>
      </c>
      <c r="C337">
        <v>30</v>
      </c>
      <c r="D337" t="s">
        <v>11</v>
      </c>
      <c r="E337">
        <v>2023</v>
      </c>
      <c r="F337" t="s">
        <v>12</v>
      </c>
      <c r="G337">
        <v>63.825099999999999</v>
      </c>
      <c r="H337">
        <v>-22.684799999999999</v>
      </c>
      <c r="I337" t="s">
        <v>42</v>
      </c>
      <c r="J337" s="2">
        <f>Table1[[#This Row],[Capacity (MW)]]*8760*0.82*10^-6</f>
        <v>0.21549599999999999</v>
      </c>
      <c r="K337">
        <f>0</f>
        <v>0</v>
      </c>
      <c r="L337">
        <f>0</f>
        <v>0</v>
      </c>
    </row>
    <row r="338" spans="1:12" x14ac:dyDescent="0.35">
      <c r="A338" t="s">
        <v>38</v>
      </c>
      <c r="B338" t="s">
        <v>31</v>
      </c>
      <c r="C338">
        <v>110</v>
      </c>
      <c r="D338" t="s">
        <v>11</v>
      </c>
      <c r="E338">
        <v>1972</v>
      </c>
      <c r="F338" t="s">
        <v>12</v>
      </c>
      <c r="G338">
        <v>38.777000000000001</v>
      </c>
      <c r="H338">
        <v>-122.745</v>
      </c>
      <c r="I338" t="s">
        <v>39</v>
      </c>
      <c r="J338" s="2">
        <f>Table1[[#This Row],[Capacity (MW)]]*8760*0.82*10^-6</f>
        <v>0.79015199999999997</v>
      </c>
      <c r="K338">
        <f>0</f>
        <v>0</v>
      </c>
      <c r="L338">
        <f>0</f>
        <v>0</v>
      </c>
    </row>
    <row r="339" spans="1:12" x14ac:dyDescent="0.35">
      <c r="A339" t="s">
        <v>163</v>
      </c>
      <c r="B339" t="s">
        <v>21</v>
      </c>
      <c r="C339">
        <v>120</v>
      </c>
      <c r="D339" t="s">
        <v>16</v>
      </c>
      <c r="E339">
        <v>2026</v>
      </c>
      <c r="F339" t="s">
        <v>12</v>
      </c>
      <c r="G339">
        <v>15.3001</v>
      </c>
      <c r="H339">
        <v>-61.369100000000003</v>
      </c>
      <c r="I339" t="s">
        <v>164</v>
      </c>
      <c r="J339" s="2">
        <f>Table1[[#This Row],[Capacity (MW)]]*8760*0.82*10^-6</f>
        <v>0.86198399999999997</v>
      </c>
      <c r="K339">
        <f>0</f>
        <v>0</v>
      </c>
      <c r="L339">
        <f>0</f>
        <v>0</v>
      </c>
    </row>
    <row r="340" spans="1:12" x14ac:dyDescent="0.35">
      <c r="A340" t="s">
        <v>149</v>
      </c>
      <c r="B340" t="s">
        <v>15</v>
      </c>
      <c r="C340">
        <v>17</v>
      </c>
      <c r="D340" t="s">
        <v>11</v>
      </c>
      <c r="E340">
        <v>2000</v>
      </c>
      <c r="F340" t="s">
        <v>12</v>
      </c>
      <c r="G340">
        <v>-38.612499999999997</v>
      </c>
      <c r="H340">
        <v>176.19319999999999</v>
      </c>
      <c r="I340" t="s">
        <v>112</v>
      </c>
      <c r="J340" s="2">
        <f>Table1[[#This Row],[Capacity (MW)]]*8760*0.82*10^-6</f>
        <v>0.12211439999999998</v>
      </c>
      <c r="K340">
        <f>0</f>
        <v>0</v>
      </c>
      <c r="L340">
        <f>0</f>
        <v>0</v>
      </c>
    </row>
    <row r="341" spans="1:12" x14ac:dyDescent="0.35">
      <c r="A341" t="s">
        <v>148</v>
      </c>
      <c r="B341" t="s">
        <v>15</v>
      </c>
      <c r="C341">
        <v>17</v>
      </c>
      <c r="D341" t="s">
        <v>11</v>
      </c>
      <c r="E341">
        <v>2000</v>
      </c>
      <c r="F341" t="s">
        <v>12</v>
      </c>
      <c r="G341">
        <v>-38.612499999999997</v>
      </c>
      <c r="H341">
        <v>176.19319999999999</v>
      </c>
      <c r="I341" t="s">
        <v>112</v>
      </c>
      <c r="J341" s="2">
        <f>Table1[[#This Row],[Capacity (MW)]]*8760*0.82*10^-6</f>
        <v>0.12211439999999998</v>
      </c>
      <c r="K341">
        <f>0</f>
        <v>0</v>
      </c>
      <c r="L341">
        <f>0</f>
        <v>0</v>
      </c>
    </row>
    <row r="342" spans="1:12" x14ac:dyDescent="0.35">
      <c r="A342" t="s">
        <v>165</v>
      </c>
      <c r="B342" t="s">
        <v>15</v>
      </c>
      <c r="C342">
        <v>30</v>
      </c>
      <c r="D342" t="s">
        <v>11</v>
      </c>
      <c r="E342">
        <v>2019</v>
      </c>
      <c r="F342" t="s">
        <v>12</v>
      </c>
      <c r="G342">
        <v>38.491700000000002</v>
      </c>
      <c r="H342">
        <v>28.088699999999999</v>
      </c>
      <c r="I342" t="s">
        <v>20</v>
      </c>
      <c r="J342" s="2">
        <f>Table1[[#This Row],[Capacity (MW)]]*8760*0.82*10^-6</f>
        <v>0.21549599999999999</v>
      </c>
      <c r="K342">
        <f>0</f>
        <v>0</v>
      </c>
      <c r="L342">
        <f>0</f>
        <v>0</v>
      </c>
    </row>
    <row r="343" spans="1:12" x14ac:dyDescent="0.35">
      <c r="A343" t="s">
        <v>64</v>
      </c>
      <c r="B343" t="s">
        <v>19</v>
      </c>
      <c r="C343">
        <v>58</v>
      </c>
      <c r="D343" t="s">
        <v>11</v>
      </c>
      <c r="E343">
        <v>2000</v>
      </c>
      <c r="F343" t="s">
        <v>12</v>
      </c>
      <c r="G343">
        <v>33.153300000000002</v>
      </c>
      <c r="H343">
        <v>-115.6384</v>
      </c>
      <c r="I343" t="s">
        <v>39</v>
      </c>
      <c r="J343" s="2">
        <f>Table1[[#This Row],[Capacity (MW)]]*8760*0.82*10^-6</f>
        <v>0.41662559999999998</v>
      </c>
      <c r="K343">
        <f>0</f>
        <v>0</v>
      </c>
      <c r="L343">
        <f>0</f>
        <v>0</v>
      </c>
    </row>
    <row r="344" spans="1:12" x14ac:dyDescent="0.35">
      <c r="A344" t="s">
        <v>64</v>
      </c>
      <c r="B344" t="s">
        <v>19</v>
      </c>
      <c r="C344">
        <v>54</v>
      </c>
      <c r="D344" t="s">
        <v>11</v>
      </c>
      <c r="E344">
        <v>1989</v>
      </c>
      <c r="F344" t="s">
        <v>12</v>
      </c>
      <c r="G344">
        <v>33.158200000000001</v>
      </c>
      <c r="H344">
        <v>-115.6387</v>
      </c>
      <c r="I344" t="s">
        <v>39</v>
      </c>
      <c r="J344" s="2">
        <f>Table1[[#This Row],[Capacity (MW)]]*8760*0.82*10^-6</f>
        <v>0.38789279999999998</v>
      </c>
      <c r="K344">
        <f>0</f>
        <v>0</v>
      </c>
      <c r="L344">
        <f>0</f>
        <v>0</v>
      </c>
    </row>
    <row r="345" spans="1:12" x14ac:dyDescent="0.35">
      <c r="A345" t="s">
        <v>64</v>
      </c>
      <c r="B345" t="s">
        <v>19</v>
      </c>
      <c r="C345">
        <v>48</v>
      </c>
      <c r="D345" t="s">
        <v>11</v>
      </c>
      <c r="E345">
        <v>1996</v>
      </c>
      <c r="F345" t="s">
        <v>12</v>
      </c>
      <c r="G345">
        <v>33.156999999999996</v>
      </c>
      <c r="H345">
        <v>-115.6386</v>
      </c>
      <c r="I345" t="s">
        <v>39</v>
      </c>
      <c r="J345" s="2">
        <f>Table1[[#This Row],[Capacity (MW)]]*8760*0.82*10^-6</f>
        <v>0.34479359999999998</v>
      </c>
      <c r="K345">
        <f>0</f>
        <v>0</v>
      </c>
      <c r="L345">
        <f>0</f>
        <v>0</v>
      </c>
    </row>
    <row r="346" spans="1:12" x14ac:dyDescent="0.35">
      <c r="A346" t="s">
        <v>61</v>
      </c>
      <c r="B346" t="s">
        <v>10</v>
      </c>
      <c r="C346">
        <v>36</v>
      </c>
      <c r="D346" t="s">
        <v>11</v>
      </c>
      <c r="E346">
        <v>2013</v>
      </c>
      <c r="F346" t="s">
        <v>12</v>
      </c>
      <c r="G346">
        <v>12.6088</v>
      </c>
      <c r="H346">
        <v>-86.772999999999996</v>
      </c>
      <c r="I346" t="s">
        <v>62</v>
      </c>
      <c r="J346" s="2">
        <f>Table1[[#This Row],[Capacity (MW)]]*8760*0.82*10^-6</f>
        <v>0.25859519999999997</v>
      </c>
      <c r="K346">
        <f>0</f>
        <v>0</v>
      </c>
      <c r="L346">
        <f>0</f>
        <v>0</v>
      </c>
    </row>
    <row r="347" spans="1:12" x14ac:dyDescent="0.35">
      <c r="A347" t="s">
        <v>61</v>
      </c>
      <c r="B347" t="s">
        <v>10</v>
      </c>
      <c r="C347">
        <v>36</v>
      </c>
      <c r="D347" t="s">
        <v>11</v>
      </c>
      <c r="E347">
        <v>2013</v>
      </c>
      <c r="F347" t="s">
        <v>12</v>
      </c>
      <c r="G347">
        <v>12.6088</v>
      </c>
      <c r="H347">
        <v>-86.772999999999996</v>
      </c>
      <c r="I347" t="s">
        <v>62</v>
      </c>
      <c r="J347" s="2">
        <f>Table1[[#This Row],[Capacity (MW)]]*8760*0.82*10^-6</f>
        <v>0.25859519999999997</v>
      </c>
      <c r="K347">
        <f>0</f>
        <v>0</v>
      </c>
      <c r="L347">
        <f>0</f>
        <v>0</v>
      </c>
    </row>
    <row r="348" spans="1:12" x14ac:dyDescent="0.35">
      <c r="A348" t="s">
        <v>166</v>
      </c>
      <c r="B348" t="s">
        <v>21</v>
      </c>
      <c r="C348">
        <v>54</v>
      </c>
      <c r="D348" t="s">
        <v>93</v>
      </c>
      <c r="E348" t="s">
        <v>12</v>
      </c>
      <c r="F348" t="s">
        <v>12</v>
      </c>
      <c r="G348">
        <v>37.847200000000001</v>
      </c>
      <c r="H348">
        <v>27.8337</v>
      </c>
      <c r="I348" t="s">
        <v>20</v>
      </c>
      <c r="J348" s="2">
        <f>Table1[[#This Row],[Capacity (MW)]]*8760*0.82*10^-6</f>
        <v>0.38789279999999998</v>
      </c>
      <c r="K348">
        <f>0</f>
        <v>0</v>
      </c>
      <c r="L348">
        <f>0</f>
        <v>0</v>
      </c>
    </row>
    <row r="349" spans="1:12" x14ac:dyDescent="0.35">
      <c r="A349" t="s">
        <v>167</v>
      </c>
      <c r="B349" t="s">
        <v>21</v>
      </c>
      <c r="C349">
        <v>110</v>
      </c>
      <c r="D349" t="s">
        <v>11</v>
      </c>
      <c r="E349">
        <v>2017</v>
      </c>
      <c r="F349" t="s">
        <v>12</v>
      </c>
      <c r="G349">
        <v>1.8202</v>
      </c>
      <c r="H349">
        <v>99.088499999999996</v>
      </c>
      <c r="I349" t="s">
        <v>29</v>
      </c>
      <c r="J349" s="2">
        <f>Table1[[#This Row],[Capacity (MW)]]*8760*0.82*10^-6</f>
        <v>0.79015199999999997</v>
      </c>
      <c r="K349">
        <f>0</f>
        <v>0</v>
      </c>
      <c r="L349">
        <f>0</f>
        <v>0</v>
      </c>
    </row>
    <row r="350" spans="1:12" x14ac:dyDescent="0.35">
      <c r="A350" t="s">
        <v>167</v>
      </c>
      <c r="B350" t="s">
        <v>21</v>
      </c>
      <c r="C350">
        <v>110</v>
      </c>
      <c r="D350" t="s">
        <v>11</v>
      </c>
      <c r="E350">
        <v>2017</v>
      </c>
      <c r="F350" t="s">
        <v>12</v>
      </c>
      <c r="G350">
        <v>1.8202</v>
      </c>
      <c r="H350">
        <v>99.088499999999996</v>
      </c>
      <c r="I350" t="s">
        <v>29</v>
      </c>
      <c r="J350" s="2">
        <f>Table1[[#This Row],[Capacity (MW)]]*8760*0.82*10^-6</f>
        <v>0.79015199999999997</v>
      </c>
      <c r="K350">
        <f>0</f>
        <v>0</v>
      </c>
      <c r="L350">
        <f>0</f>
        <v>0</v>
      </c>
    </row>
    <row r="351" spans="1:12" x14ac:dyDescent="0.35">
      <c r="A351" t="s">
        <v>167</v>
      </c>
      <c r="B351" t="s">
        <v>21</v>
      </c>
      <c r="C351">
        <v>110</v>
      </c>
      <c r="D351" t="s">
        <v>11</v>
      </c>
      <c r="E351">
        <v>2018</v>
      </c>
      <c r="F351" t="s">
        <v>12</v>
      </c>
      <c r="G351">
        <v>1.8202</v>
      </c>
      <c r="H351">
        <v>99.088499999999996</v>
      </c>
      <c r="I351" t="s">
        <v>29</v>
      </c>
      <c r="J351" s="2">
        <f>Table1[[#This Row],[Capacity (MW)]]*8760*0.82*10^-6</f>
        <v>0.79015199999999997</v>
      </c>
      <c r="K351">
        <f>0</f>
        <v>0</v>
      </c>
      <c r="L351">
        <f>0</f>
        <v>0</v>
      </c>
    </row>
    <row r="352" spans="1:12" x14ac:dyDescent="0.35">
      <c r="A352" t="s">
        <v>47</v>
      </c>
      <c r="B352" t="s">
        <v>15</v>
      </c>
      <c r="C352">
        <v>48</v>
      </c>
      <c r="D352" t="s">
        <v>11</v>
      </c>
      <c r="E352">
        <v>1993</v>
      </c>
      <c r="F352" t="s">
        <v>12</v>
      </c>
      <c r="G352">
        <v>32.714399999999998</v>
      </c>
      <c r="H352">
        <v>-115.5356</v>
      </c>
      <c r="I352" t="s">
        <v>39</v>
      </c>
      <c r="J352" s="2">
        <f>Table1[[#This Row],[Capacity (MW)]]*8760*0.82*10^-6</f>
        <v>0.34479359999999998</v>
      </c>
      <c r="K352">
        <f>0</f>
        <v>0</v>
      </c>
      <c r="L352">
        <f>0</f>
        <v>0</v>
      </c>
    </row>
    <row r="353" spans="1:12" x14ac:dyDescent="0.35">
      <c r="A353" t="s">
        <v>38</v>
      </c>
      <c r="B353" t="s">
        <v>31</v>
      </c>
      <c r="C353">
        <v>118</v>
      </c>
      <c r="D353" t="s">
        <v>11</v>
      </c>
      <c r="E353">
        <v>1983</v>
      </c>
      <c r="F353" t="s">
        <v>12</v>
      </c>
      <c r="G353">
        <v>38.777000000000001</v>
      </c>
      <c r="H353">
        <v>-122.745</v>
      </c>
      <c r="I353" t="s">
        <v>39</v>
      </c>
      <c r="J353" s="2">
        <f>Table1[[#This Row],[Capacity (MW)]]*8760*0.82*10^-6</f>
        <v>0.84761759999999997</v>
      </c>
      <c r="K353">
        <f>0</f>
        <v>0</v>
      </c>
      <c r="L353">
        <f>0</f>
        <v>0</v>
      </c>
    </row>
    <row r="354" spans="1:12" x14ac:dyDescent="0.35">
      <c r="A354" t="s">
        <v>12</v>
      </c>
      <c r="B354" t="s">
        <v>31</v>
      </c>
      <c r="C354">
        <v>78</v>
      </c>
      <c r="D354" t="s">
        <v>11</v>
      </c>
      <c r="E354">
        <v>1983</v>
      </c>
      <c r="F354" t="s">
        <v>12</v>
      </c>
      <c r="G354">
        <v>38.790300000000002</v>
      </c>
      <c r="H354">
        <v>-122.7559</v>
      </c>
      <c r="I354" t="s">
        <v>39</v>
      </c>
      <c r="J354" s="2">
        <f>Table1[[#This Row],[Capacity (MW)]]*8760*0.82*10^-6</f>
        <v>0.56028959999999994</v>
      </c>
      <c r="K354">
        <f>0</f>
        <v>0</v>
      </c>
      <c r="L354">
        <f>0</f>
        <v>0</v>
      </c>
    </row>
    <row r="355" spans="1:12" x14ac:dyDescent="0.35">
      <c r="A355" t="s">
        <v>168</v>
      </c>
      <c r="B355" t="s">
        <v>21</v>
      </c>
      <c r="C355">
        <v>50</v>
      </c>
      <c r="D355" t="s">
        <v>11</v>
      </c>
      <c r="E355">
        <v>2022</v>
      </c>
      <c r="F355" t="s">
        <v>12</v>
      </c>
      <c r="G355">
        <v>0.74750000000000005</v>
      </c>
      <c r="H355">
        <v>99.575100000000006</v>
      </c>
      <c r="I355" t="s">
        <v>29</v>
      </c>
      <c r="J355" s="2">
        <f>Table1[[#This Row],[Capacity (MW)]]*8760*0.82*10^-6</f>
        <v>0.35915999999999998</v>
      </c>
      <c r="K355">
        <f>0</f>
        <v>0</v>
      </c>
      <c r="L355">
        <f>0</f>
        <v>0</v>
      </c>
    </row>
    <row r="356" spans="1:12" x14ac:dyDescent="0.35">
      <c r="A356" t="s">
        <v>168</v>
      </c>
      <c r="B356" t="s">
        <v>21</v>
      </c>
      <c r="C356">
        <v>50</v>
      </c>
      <c r="D356" t="s">
        <v>11</v>
      </c>
      <c r="E356">
        <v>2024</v>
      </c>
      <c r="F356" t="s">
        <v>12</v>
      </c>
      <c r="G356">
        <v>0.74750000000000005</v>
      </c>
      <c r="H356">
        <v>99.575100000000006</v>
      </c>
      <c r="I356" t="s">
        <v>29</v>
      </c>
      <c r="J356" s="2">
        <f>Table1[[#This Row],[Capacity (MW)]]*8760*0.82*10^-6</f>
        <v>0.35915999999999998</v>
      </c>
      <c r="K356">
        <f>0</f>
        <v>0</v>
      </c>
      <c r="L356">
        <f>0</f>
        <v>0</v>
      </c>
    </row>
    <row r="357" spans="1:12" x14ac:dyDescent="0.35">
      <c r="A357" t="s">
        <v>168</v>
      </c>
      <c r="B357" t="s">
        <v>21</v>
      </c>
      <c r="C357">
        <v>50</v>
      </c>
      <c r="D357" t="s">
        <v>79</v>
      </c>
      <c r="E357" t="s">
        <v>12</v>
      </c>
      <c r="F357" t="s">
        <v>12</v>
      </c>
      <c r="G357">
        <v>0.74750000000000005</v>
      </c>
      <c r="H357">
        <v>99.575100000000006</v>
      </c>
      <c r="I357" t="s">
        <v>29</v>
      </c>
      <c r="J357" s="2">
        <f>Table1[[#This Row],[Capacity (MW)]]*8760*0.82*10^-6</f>
        <v>0.35915999999999998</v>
      </c>
      <c r="K357">
        <f>0</f>
        <v>0</v>
      </c>
      <c r="L357">
        <f>0</f>
        <v>0</v>
      </c>
    </row>
    <row r="358" spans="1:12" x14ac:dyDescent="0.35">
      <c r="A358" t="s">
        <v>168</v>
      </c>
      <c r="B358" t="s">
        <v>15</v>
      </c>
      <c r="C358">
        <v>45</v>
      </c>
      <c r="D358" t="s">
        <v>11</v>
      </c>
      <c r="E358">
        <v>2019</v>
      </c>
      <c r="F358" t="s">
        <v>12</v>
      </c>
      <c r="G358">
        <v>0.74750000000000005</v>
      </c>
      <c r="H358">
        <v>99.575100000000006</v>
      </c>
      <c r="I358" t="s">
        <v>29</v>
      </c>
      <c r="J358" s="2">
        <f>Table1[[#This Row],[Capacity (MW)]]*8760*0.82*10^-6</f>
        <v>0.32324399999999998</v>
      </c>
      <c r="K358">
        <f>0</f>
        <v>0</v>
      </c>
      <c r="L358">
        <f>0</f>
        <v>0</v>
      </c>
    </row>
    <row r="359" spans="1:12" x14ac:dyDescent="0.35">
      <c r="A359" t="s">
        <v>168</v>
      </c>
      <c r="B359" t="s">
        <v>15</v>
      </c>
      <c r="C359">
        <v>45</v>
      </c>
      <c r="D359" t="s">
        <v>11</v>
      </c>
      <c r="E359">
        <v>2021</v>
      </c>
      <c r="F359" t="s">
        <v>12</v>
      </c>
      <c r="G359">
        <v>0.74750000000000005</v>
      </c>
      <c r="H359">
        <v>99.575100000000006</v>
      </c>
      <c r="I359" t="s">
        <v>29</v>
      </c>
      <c r="J359" s="2">
        <f>Table1[[#This Row],[Capacity (MW)]]*8760*0.82*10^-6</f>
        <v>0.32324399999999998</v>
      </c>
      <c r="K359">
        <f>0</f>
        <v>0</v>
      </c>
      <c r="L359">
        <f>0</f>
        <v>0</v>
      </c>
    </row>
    <row r="360" spans="1:12" x14ac:dyDescent="0.35">
      <c r="A360" t="s">
        <v>169</v>
      </c>
      <c r="B360" t="s">
        <v>21</v>
      </c>
      <c r="C360">
        <v>50</v>
      </c>
      <c r="D360" t="s">
        <v>16</v>
      </c>
      <c r="E360" t="s">
        <v>12</v>
      </c>
      <c r="F360" t="s">
        <v>12</v>
      </c>
      <c r="G360">
        <v>0.3009</v>
      </c>
      <c r="H360">
        <v>36.687800000000003</v>
      </c>
      <c r="I360" t="s">
        <v>17</v>
      </c>
      <c r="J360" s="2">
        <f>Table1[[#This Row],[Capacity (MW)]]*8760*0.82*10^-6</f>
        <v>0.35915999999999998</v>
      </c>
      <c r="K360">
        <f>0</f>
        <v>0</v>
      </c>
      <c r="L360">
        <f>0</f>
        <v>0</v>
      </c>
    </row>
    <row r="361" spans="1:12" x14ac:dyDescent="0.35">
      <c r="A361" t="s">
        <v>170</v>
      </c>
      <c r="B361" t="s">
        <v>21</v>
      </c>
      <c r="C361">
        <v>40</v>
      </c>
      <c r="D361" t="s">
        <v>16</v>
      </c>
      <c r="E361" t="s">
        <v>12</v>
      </c>
      <c r="F361" t="s">
        <v>12</v>
      </c>
      <c r="G361">
        <v>10.308</v>
      </c>
      <c r="H361">
        <v>125.2022</v>
      </c>
      <c r="I361" t="s">
        <v>26</v>
      </c>
      <c r="J361" s="2">
        <f>Table1[[#This Row],[Capacity (MW)]]*8760*0.82*10^-6</f>
        <v>0.28732799999999997</v>
      </c>
      <c r="K361">
        <f>0</f>
        <v>0</v>
      </c>
      <c r="L361">
        <f>0</f>
        <v>0</v>
      </c>
    </row>
    <row r="362" spans="1:12" x14ac:dyDescent="0.35">
      <c r="A362" t="s">
        <v>47</v>
      </c>
      <c r="B362" t="s">
        <v>15</v>
      </c>
      <c r="C362">
        <v>33</v>
      </c>
      <c r="D362" t="s">
        <v>11</v>
      </c>
      <c r="E362" t="s">
        <v>12</v>
      </c>
      <c r="F362" t="s">
        <v>12</v>
      </c>
      <c r="G362">
        <v>39.547499999999999</v>
      </c>
      <c r="H362">
        <v>-118.55540000000001</v>
      </c>
      <c r="I362" t="s">
        <v>39</v>
      </c>
      <c r="J362" s="2">
        <f>Table1[[#This Row],[Capacity (MW)]]*8760*0.82*10^-6</f>
        <v>0.23704559999999997</v>
      </c>
      <c r="K362">
        <f>0</f>
        <v>0</v>
      </c>
      <c r="L362">
        <f>0</f>
        <v>0</v>
      </c>
    </row>
    <row r="363" spans="1:12" x14ac:dyDescent="0.35">
      <c r="A363" t="s">
        <v>38</v>
      </c>
      <c r="B363" t="s">
        <v>31</v>
      </c>
      <c r="C363">
        <v>113</v>
      </c>
      <c r="D363" t="s">
        <v>11</v>
      </c>
      <c r="E363">
        <v>1980</v>
      </c>
      <c r="F363" t="s">
        <v>12</v>
      </c>
      <c r="G363">
        <v>38.777000000000001</v>
      </c>
      <c r="H363">
        <v>-122.745</v>
      </c>
      <c r="I363" t="s">
        <v>39</v>
      </c>
      <c r="J363" s="2">
        <f>Table1[[#This Row],[Capacity (MW)]]*8760*0.82*10^-6</f>
        <v>0.81170159999999991</v>
      </c>
      <c r="K363">
        <f>0</f>
        <v>0</v>
      </c>
      <c r="L363">
        <f>0</f>
        <v>0</v>
      </c>
    </row>
    <row r="364" spans="1:12" x14ac:dyDescent="0.35">
      <c r="A364" t="s">
        <v>106</v>
      </c>
      <c r="B364" t="s">
        <v>10</v>
      </c>
      <c r="C364">
        <v>50</v>
      </c>
      <c r="D364" t="s">
        <v>11</v>
      </c>
      <c r="E364">
        <v>1995</v>
      </c>
      <c r="F364" t="s">
        <v>12</v>
      </c>
      <c r="G364">
        <v>39.981299999999997</v>
      </c>
      <c r="H364">
        <v>140.78219999999999</v>
      </c>
      <c r="I364" t="s">
        <v>101</v>
      </c>
      <c r="J364" s="2">
        <f>Table1[[#This Row],[Capacity (MW)]]*8760*0.82*10^-6</f>
        <v>0.35915999999999998</v>
      </c>
      <c r="K364">
        <f>0</f>
        <v>0</v>
      </c>
      <c r="L364">
        <f>0</f>
        <v>0</v>
      </c>
    </row>
    <row r="365" spans="1:12" x14ac:dyDescent="0.35">
      <c r="A365" t="s">
        <v>104</v>
      </c>
      <c r="B365" t="s">
        <v>21</v>
      </c>
      <c r="C365">
        <v>55</v>
      </c>
      <c r="D365" t="s">
        <v>16</v>
      </c>
      <c r="E365">
        <v>2025</v>
      </c>
      <c r="F365" t="s">
        <v>12</v>
      </c>
      <c r="G365">
        <v>-2.0625</v>
      </c>
      <c r="H365">
        <v>101.4076</v>
      </c>
      <c r="I365" t="s">
        <v>29</v>
      </c>
      <c r="J365" s="2">
        <f>Table1[[#This Row],[Capacity (MW)]]*8760*0.82*10^-6</f>
        <v>0.39507599999999998</v>
      </c>
      <c r="K365">
        <f>0</f>
        <v>0</v>
      </c>
      <c r="L365">
        <f>0</f>
        <v>0</v>
      </c>
    </row>
    <row r="366" spans="1:12" x14ac:dyDescent="0.35">
      <c r="A366" t="s">
        <v>104</v>
      </c>
      <c r="B366" t="s">
        <v>21</v>
      </c>
      <c r="C366">
        <v>55</v>
      </c>
      <c r="D366" t="s">
        <v>79</v>
      </c>
      <c r="E366">
        <v>2025</v>
      </c>
      <c r="F366" t="s">
        <v>12</v>
      </c>
      <c r="G366">
        <v>-2.0625</v>
      </c>
      <c r="H366">
        <v>101.4076</v>
      </c>
      <c r="I366" t="s">
        <v>29</v>
      </c>
      <c r="J366" s="2">
        <f>Table1[[#This Row],[Capacity (MW)]]*8760*0.82*10^-6</f>
        <v>0.39507599999999998</v>
      </c>
      <c r="K366">
        <f>0</f>
        <v>0</v>
      </c>
      <c r="L366">
        <f>0</f>
        <v>0</v>
      </c>
    </row>
    <row r="367" spans="1:12" x14ac:dyDescent="0.35">
      <c r="A367" t="s">
        <v>30</v>
      </c>
      <c r="B367" t="s">
        <v>21</v>
      </c>
      <c r="C367">
        <v>52</v>
      </c>
      <c r="D367" t="s">
        <v>28</v>
      </c>
      <c r="E367" t="s">
        <v>12</v>
      </c>
      <c r="F367" t="s">
        <v>12</v>
      </c>
      <c r="G367">
        <v>39.500999999999998</v>
      </c>
      <c r="H367">
        <v>-116.0423</v>
      </c>
      <c r="I367" t="s">
        <v>39</v>
      </c>
      <c r="J367" s="2">
        <f>Table1[[#This Row],[Capacity (MW)]]*8760*0.82*10^-6</f>
        <v>0.37352639999999993</v>
      </c>
      <c r="K367">
        <f>0</f>
        <v>0</v>
      </c>
      <c r="L367">
        <f>0</f>
        <v>0</v>
      </c>
    </row>
    <row r="368" spans="1:12" x14ac:dyDescent="0.35">
      <c r="A368" t="s">
        <v>34</v>
      </c>
      <c r="B368" t="s">
        <v>21</v>
      </c>
      <c r="C368">
        <v>50</v>
      </c>
      <c r="D368" t="s">
        <v>16</v>
      </c>
      <c r="E368">
        <v>2027</v>
      </c>
      <c r="F368" t="s">
        <v>12</v>
      </c>
      <c r="G368">
        <v>-1.1727000000000001</v>
      </c>
      <c r="H368">
        <v>36.347099999999998</v>
      </c>
      <c r="I368" t="s">
        <v>17</v>
      </c>
      <c r="J368" s="2">
        <f>Table1[[#This Row],[Capacity (MW)]]*8760*0.82*10^-6</f>
        <v>0.35915999999999998</v>
      </c>
      <c r="K368">
        <f>0</f>
        <v>0</v>
      </c>
      <c r="L368">
        <f>0</f>
        <v>0</v>
      </c>
    </row>
    <row r="369" spans="1:12" x14ac:dyDescent="0.35">
      <c r="A369" t="s">
        <v>34</v>
      </c>
      <c r="B369" t="s">
        <v>21</v>
      </c>
      <c r="C369">
        <v>50</v>
      </c>
      <c r="D369" t="s">
        <v>16</v>
      </c>
      <c r="E369" t="s">
        <v>12</v>
      </c>
      <c r="F369" t="s">
        <v>12</v>
      </c>
      <c r="G369">
        <v>-1.1727000000000001</v>
      </c>
      <c r="H369">
        <v>36.347099999999998</v>
      </c>
      <c r="I369" t="s">
        <v>17</v>
      </c>
      <c r="J369" s="2">
        <f>Table1[[#This Row],[Capacity (MW)]]*8760*0.82*10^-6</f>
        <v>0.35915999999999998</v>
      </c>
      <c r="K369">
        <f>0</f>
        <v>0</v>
      </c>
      <c r="L369">
        <f>0</f>
        <v>0</v>
      </c>
    </row>
    <row r="370" spans="1:12" x14ac:dyDescent="0.35">
      <c r="A370" t="s">
        <v>34</v>
      </c>
      <c r="B370" t="s">
        <v>21</v>
      </c>
      <c r="C370">
        <v>50</v>
      </c>
      <c r="D370" t="s">
        <v>16</v>
      </c>
      <c r="E370" t="s">
        <v>12</v>
      </c>
      <c r="F370" t="s">
        <v>12</v>
      </c>
      <c r="G370">
        <v>-1.1727000000000001</v>
      </c>
      <c r="H370">
        <v>36.347099999999998</v>
      </c>
      <c r="I370" t="s">
        <v>17</v>
      </c>
      <c r="J370" s="2">
        <f>Table1[[#This Row],[Capacity (MW)]]*8760*0.82*10^-6</f>
        <v>0.35915999999999998</v>
      </c>
      <c r="K370">
        <f>0</f>
        <v>0</v>
      </c>
      <c r="L370">
        <f>0</f>
        <v>0</v>
      </c>
    </row>
    <row r="371" spans="1:12" x14ac:dyDescent="0.35">
      <c r="A371" t="s">
        <v>34</v>
      </c>
      <c r="B371" t="s">
        <v>21</v>
      </c>
      <c r="C371">
        <v>50</v>
      </c>
      <c r="D371" t="s">
        <v>16</v>
      </c>
      <c r="E371" t="s">
        <v>12</v>
      </c>
      <c r="F371" t="s">
        <v>12</v>
      </c>
      <c r="G371">
        <v>-1.1727000000000001</v>
      </c>
      <c r="H371">
        <v>36.347099999999998</v>
      </c>
      <c r="I371" t="s">
        <v>17</v>
      </c>
      <c r="J371" s="2">
        <f>Table1[[#This Row],[Capacity (MW)]]*8760*0.82*10^-6</f>
        <v>0.35915999999999998</v>
      </c>
      <c r="K371">
        <f>0</f>
        <v>0</v>
      </c>
      <c r="L371">
        <f>0</f>
        <v>0</v>
      </c>
    </row>
    <row r="372" spans="1:12" x14ac:dyDescent="0.35">
      <c r="A372" t="s">
        <v>86</v>
      </c>
      <c r="B372" t="s">
        <v>10</v>
      </c>
      <c r="C372">
        <v>30</v>
      </c>
      <c r="D372" t="s">
        <v>11</v>
      </c>
      <c r="E372">
        <v>2000</v>
      </c>
      <c r="F372" t="s">
        <v>12</v>
      </c>
      <c r="G372">
        <v>63.878799999999998</v>
      </c>
      <c r="H372">
        <v>-22.433199999999999</v>
      </c>
      <c r="I372" t="s">
        <v>42</v>
      </c>
      <c r="J372" s="2">
        <f>Table1[[#This Row],[Capacity (MW)]]*8760*0.82*10^-6</f>
        <v>0.21549599999999999</v>
      </c>
      <c r="K372">
        <f>0</f>
        <v>0</v>
      </c>
      <c r="L372">
        <f>0</f>
        <v>0</v>
      </c>
    </row>
    <row r="373" spans="1:12" x14ac:dyDescent="0.35">
      <c r="A373" t="s">
        <v>86</v>
      </c>
      <c r="B373" t="s">
        <v>10</v>
      </c>
      <c r="C373">
        <v>30</v>
      </c>
      <c r="D373" t="s">
        <v>11</v>
      </c>
      <c r="E373">
        <v>2008</v>
      </c>
      <c r="F373" t="s">
        <v>12</v>
      </c>
      <c r="G373">
        <v>63.878799999999998</v>
      </c>
      <c r="H373">
        <v>-22.433199999999999</v>
      </c>
      <c r="I373" t="s">
        <v>42</v>
      </c>
      <c r="J373" s="2">
        <f>Table1[[#This Row],[Capacity (MW)]]*8760*0.82*10^-6</f>
        <v>0.21549599999999999</v>
      </c>
      <c r="K373">
        <f>0</f>
        <v>0</v>
      </c>
      <c r="L373">
        <f>0</f>
        <v>0</v>
      </c>
    </row>
    <row r="374" spans="1:12" x14ac:dyDescent="0.35">
      <c r="A374" t="s">
        <v>171</v>
      </c>
      <c r="B374" t="s">
        <v>21</v>
      </c>
      <c r="C374">
        <v>17.5</v>
      </c>
      <c r="D374" t="s">
        <v>16</v>
      </c>
      <c r="E374">
        <v>2026</v>
      </c>
      <c r="F374" t="s">
        <v>12</v>
      </c>
      <c r="G374">
        <v>-41.795491963978598</v>
      </c>
      <c r="H374">
        <v>172.82779149090641</v>
      </c>
      <c r="I374" t="s">
        <v>112</v>
      </c>
      <c r="J374" s="2">
        <f>Table1[[#This Row],[Capacity (MW)]]*8760*0.82*10^-6</f>
        <v>0.12570599999999998</v>
      </c>
      <c r="K374">
        <f>0</f>
        <v>0</v>
      </c>
      <c r="L374">
        <f>0</f>
        <v>0</v>
      </c>
    </row>
    <row r="375" spans="1:12" x14ac:dyDescent="0.35">
      <c r="A375" t="s">
        <v>172</v>
      </c>
      <c r="B375" t="s">
        <v>21</v>
      </c>
      <c r="C375">
        <v>17.5</v>
      </c>
      <c r="D375" t="s">
        <v>16</v>
      </c>
      <c r="E375">
        <v>2026</v>
      </c>
      <c r="F375" t="s">
        <v>12</v>
      </c>
      <c r="G375">
        <v>-41.795491963978598</v>
      </c>
      <c r="H375">
        <v>172.82779149090641</v>
      </c>
      <c r="I375" t="s">
        <v>112</v>
      </c>
      <c r="J375" s="2">
        <f>Table1[[#This Row],[Capacity (MW)]]*8760*0.82*10^-6</f>
        <v>0.12570599999999998</v>
      </c>
      <c r="K375">
        <f>0</f>
        <v>0</v>
      </c>
      <c r="L375">
        <f>0</f>
        <v>0</v>
      </c>
    </row>
    <row r="376" spans="1:12" x14ac:dyDescent="0.35">
      <c r="A376" t="s">
        <v>113</v>
      </c>
      <c r="B376" t="s">
        <v>21</v>
      </c>
      <c r="C376">
        <v>55</v>
      </c>
      <c r="D376" t="s">
        <v>16</v>
      </c>
      <c r="E376" t="s">
        <v>12</v>
      </c>
      <c r="F376" t="s">
        <v>12</v>
      </c>
      <c r="G376">
        <v>-6.7366999999999999</v>
      </c>
      <c r="H376">
        <v>107.6705</v>
      </c>
      <c r="I376" t="s">
        <v>29</v>
      </c>
      <c r="J376" s="2">
        <f>Table1[[#This Row],[Capacity (MW)]]*8760*0.82*10^-6</f>
        <v>0.39507599999999998</v>
      </c>
      <c r="K376">
        <f>0</f>
        <v>0</v>
      </c>
      <c r="L376">
        <f>0</f>
        <v>0</v>
      </c>
    </row>
    <row r="377" spans="1:12" x14ac:dyDescent="0.35">
      <c r="A377" t="s">
        <v>113</v>
      </c>
      <c r="B377" t="s">
        <v>21</v>
      </c>
      <c r="C377">
        <v>55</v>
      </c>
      <c r="D377" t="s">
        <v>16</v>
      </c>
      <c r="E377" t="s">
        <v>12</v>
      </c>
      <c r="F377" t="s">
        <v>12</v>
      </c>
      <c r="G377">
        <v>-6.7366999999999999</v>
      </c>
      <c r="H377">
        <v>107.6705</v>
      </c>
      <c r="I377" t="s">
        <v>29</v>
      </c>
      <c r="J377" s="2">
        <f>Table1[[#This Row],[Capacity (MW)]]*8760*0.82*10^-6</f>
        <v>0.39507599999999998</v>
      </c>
      <c r="K377">
        <f>0</f>
        <v>0</v>
      </c>
      <c r="L377">
        <f>0</f>
        <v>0</v>
      </c>
    </row>
    <row r="378" spans="1:12" x14ac:dyDescent="0.35">
      <c r="A378" t="s">
        <v>155</v>
      </c>
      <c r="B378" t="s">
        <v>21</v>
      </c>
      <c r="C378">
        <v>152</v>
      </c>
      <c r="D378" t="s">
        <v>23</v>
      </c>
      <c r="E378">
        <v>2024</v>
      </c>
      <c r="F378" t="s">
        <v>12</v>
      </c>
      <c r="G378">
        <v>-38.666699999999999</v>
      </c>
      <c r="H378">
        <v>176.1567</v>
      </c>
      <c r="I378" t="s">
        <v>112</v>
      </c>
      <c r="J378" s="2">
        <f>Table1[[#This Row],[Capacity (MW)]]*8760*0.82*10^-6</f>
        <v>1.0918463999999999</v>
      </c>
      <c r="K378">
        <f>0</f>
        <v>0</v>
      </c>
      <c r="L378">
        <f>0</f>
        <v>0</v>
      </c>
    </row>
    <row r="379" spans="1:12" x14ac:dyDescent="0.35">
      <c r="A379" t="s">
        <v>173</v>
      </c>
      <c r="B379" t="s">
        <v>21</v>
      </c>
      <c r="C379">
        <v>31</v>
      </c>
      <c r="D379" t="s">
        <v>16</v>
      </c>
      <c r="E379" t="s">
        <v>12</v>
      </c>
      <c r="F379" t="s">
        <v>12</v>
      </c>
      <c r="G379">
        <v>13.973000000000001</v>
      </c>
      <c r="H379">
        <v>121.6208</v>
      </c>
      <c r="I379" t="s">
        <v>26</v>
      </c>
      <c r="J379" s="2">
        <f>Table1[[#This Row],[Capacity (MW)]]*8760*0.82*10^-6</f>
        <v>0.22267919999999997</v>
      </c>
      <c r="K379">
        <f>0</f>
        <v>0</v>
      </c>
      <c r="L379">
        <f>0</f>
        <v>0</v>
      </c>
    </row>
    <row r="380" spans="1:12" x14ac:dyDescent="0.35">
      <c r="A380" t="s">
        <v>155</v>
      </c>
      <c r="B380" t="s">
        <v>21</v>
      </c>
      <c r="C380">
        <v>180</v>
      </c>
      <c r="D380" t="s">
        <v>79</v>
      </c>
      <c r="E380">
        <v>2026</v>
      </c>
      <c r="F380" t="s">
        <v>12</v>
      </c>
      <c r="G380">
        <v>-38.616399999999999</v>
      </c>
      <c r="H380">
        <v>176.03800000000001</v>
      </c>
      <c r="I380" t="s">
        <v>112</v>
      </c>
      <c r="J380" s="2">
        <f>Table1[[#This Row],[Capacity (MW)]]*8760*0.82*10^-6</f>
        <v>1.2929759999999999</v>
      </c>
      <c r="K380">
        <f>0</f>
        <v>0</v>
      </c>
      <c r="L380">
        <f>0</f>
        <v>0</v>
      </c>
    </row>
    <row r="381" spans="1:12" x14ac:dyDescent="0.35">
      <c r="A381" t="s">
        <v>155</v>
      </c>
      <c r="B381" t="s">
        <v>19</v>
      </c>
      <c r="C381">
        <v>83</v>
      </c>
      <c r="D381" t="s">
        <v>11</v>
      </c>
      <c r="E381">
        <v>2014</v>
      </c>
      <c r="F381" t="s">
        <v>12</v>
      </c>
      <c r="G381">
        <v>-38.616399999999999</v>
      </c>
      <c r="H381">
        <v>176.03800000000001</v>
      </c>
      <c r="I381" t="s">
        <v>112</v>
      </c>
      <c r="J381" s="2">
        <f>Table1[[#This Row],[Capacity (MW)]]*8760*0.82*10^-6</f>
        <v>0.5962056</v>
      </c>
      <c r="K381">
        <f>0</f>
        <v>0</v>
      </c>
      <c r="L381">
        <f>0</f>
        <v>0</v>
      </c>
    </row>
    <row r="382" spans="1:12" x14ac:dyDescent="0.35">
      <c r="A382" t="s">
        <v>155</v>
      </c>
      <c r="B382" t="s">
        <v>19</v>
      </c>
      <c r="C382">
        <v>83</v>
      </c>
      <c r="D382" t="s">
        <v>11</v>
      </c>
      <c r="E382">
        <v>2014</v>
      </c>
      <c r="F382" t="s">
        <v>12</v>
      </c>
      <c r="G382">
        <v>-38.616399999999999</v>
      </c>
      <c r="H382">
        <v>176.03800000000001</v>
      </c>
      <c r="I382" t="s">
        <v>112</v>
      </c>
      <c r="J382" s="2">
        <f>Table1[[#This Row],[Capacity (MW)]]*8760*0.82*10^-6</f>
        <v>0.5962056</v>
      </c>
      <c r="K382">
        <f>0</f>
        <v>0</v>
      </c>
      <c r="L382">
        <f>0</f>
        <v>0</v>
      </c>
    </row>
    <row r="383" spans="1:12" x14ac:dyDescent="0.35">
      <c r="A383" t="s">
        <v>18</v>
      </c>
      <c r="B383" t="s">
        <v>21</v>
      </c>
      <c r="C383">
        <v>35</v>
      </c>
      <c r="D383" t="s">
        <v>16</v>
      </c>
      <c r="E383" t="s">
        <v>12</v>
      </c>
      <c r="F383" t="s">
        <v>12</v>
      </c>
      <c r="G383">
        <v>37.781700000000001</v>
      </c>
      <c r="H383">
        <v>29.079599999999999</v>
      </c>
      <c r="I383" t="s">
        <v>20</v>
      </c>
      <c r="J383" s="2">
        <f>Table1[[#This Row],[Capacity (MW)]]*8760*0.82*10^-6</f>
        <v>0.25141199999999997</v>
      </c>
      <c r="K383">
        <f>0</f>
        <v>0</v>
      </c>
      <c r="L383">
        <f>0</f>
        <v>0</v>
      </c>
    </row>
    <row r="384" spans="1:12" x14ac:dyDescent="0.35">
      <c r="A384" t="s">
        <v>12</v>
      </c>
      <c r="B384" t="s">
        <v>21</v>
      </c>
      <c r="C384">
        <v>50</v>
      </c>
      <c r="D384" t="s">
        <v>28</v>
      </c>
      <c r="E384" t="s">
        <v>12</v>
      </c>
      <c r="F384" t="s">
        <v>12</v>
      </c>
      <c r="G384">
        <v>41.601399999999998</v>
      </c>
      <c r="H384">
        <v>-121.625</v>
      </c>
      <c r="I384" t="s">
        <v>39</v>
      </c>
      <c r="J384" s="2">
        <f>Table1[[#This Row],[Capacity (MW)]]*8760*0.82*10^-6</f>
        <v>0.35915999999999998</v>
      </c>
      <c r="K384">
        <f>0</f>
        <v>0</v>
      </c>
      <c r="L384">
        <f>0</f>
        <v>0</v>
      </c>
    </row>
    <row r="385" spans="1:12" x14ac:dyDescent="0.35">
      <c r="A385" t="s">
        <v>22</v>
      </c>
      <c r="B385" t="s">
        <v>21</v>
      </c>
      <c r="C385">
        <v>180</v>
      </c>
      <c r="D385" t="s">
        <v>16</v>
      </c>
      <c r="E385">
        <v>2026</v>
      </c>
      <c r="F385" t="s">
        <v>12</v>
      </c>
      <c r="G385">
        <v>11.692500000000001</v>
      </c>
      <c r="H385">
        <v>40.956299999999999</v>
      </c>
      <c r="I385" t="s">
        <v>24</v>
      </c>
      <c r="J385" s="2">
        <f>Table1[[#This Row],[Capacity (MW)]]*8760*0.82*10^-6</f>
        <v>1.2929759999999999</v>
      </c>
      <c r="K385">
        <f>0</f>
        <v>0</v>
      </c>
      <c r="L385">
        <f>0</f>
        <v>0</v>
      </c>
    </row>
    <row r="386" spans="1:12" x14ac:dyDescent="0.35">
      <c r="A386" t="s">
        <v>174</v>
      </c>
      <c r="B386" t="s">
        <v>19</v>
      </c>
      <c r="C386">
        <v>65</v>
      </c>
      <c r="D386" t="s">
        <v>11</v>
      </c>
      <c r="E386">
        <v>1988</v>
      </c>
      <c r="F386" t="s">
        <v>12</v>
      </c>
      <c r="G386">
        <v>39.966299999999997</v>
      </c>
      <c r="H386">
        <v>-117.8557</v>
      </c>
      <c r="I386" t="s">
        <v>39</v>
      </c>
      <c r="J386" s="2">
        <f>Table1[[#This Row],[Capacity (MW)]]*8760*0.82*10^-6</f>
        <v>0.46690799999999999</v>
      </c>
      <c r="K386">
        <f>0</f>
        <v>0</v>
      </c>
      <c r="L386">
        <f>0</f>
        <v>0</v>
      </c>
    </row>
    <row r="387" spans="1:12" x14ac:dyDescent="0.35">
      <c r="A387" t="s">
        <v>175</v>
      </c>
      <c r="B387" t="s">
        <v>21</v>
      </c>
      <c r="C387">
        <v>200</v>
      </c>
      <c r="D387" t="s">
        <v>28</v>
      </c>
      <c r="E387" t="s">
        <v>12</v>
      </c>
      <c r="F387" t="s">
        <v>12</v>
      </c>
      <c r="G387">
        <v>24.476900000000001</v>
      </c>
      <c r="H387">
        <v>90.293400000000005</v>
      </c>
      <c r="I387" t="s">
        <v>176</v>
      </c>
      <c r="J387" s="2">
        <f>Table1[[#This Row],[Capacity (MW)]]*8760*0.82*10^-6</f>
        <v>1.4366399999999999</v>
      </c>
      <c r="K387">
        <f>0</f>
        <v>0</v>
      </c>
      <c r="L387">
        <f>0</f>
        <v>0</v>
      </c>
    </row>
    <row r="388" spans="1:12" x14ac:dyDescent="0.35">
      <c r="A388" t="s">
        <v>173</v>
      </c>
      <c r="B388" t="s">
        <v>21</v>
      </c>
      <c r="C388">
        <v>62</v>
      </c>
      <c r="D388" t="s">
        <v>16</v>
      </c>
      <c r="E388" t="s">
        <v>12</v>
      </c>
      <c r="F388" t="s">
        <v>12</v>
      </c>
      <c r="G388">
        <v>13.940200000000001</v>
      </c>
      <c r="H388">
        <v>121.34180000000001</v>
      </c>
      <c r="I388" t="s">
        <v>26</v>
      </c>
      <c r="J388" s="2">
        <f>Table1[[#This Row],[Capacity (MW)]]*8760*0.82*10^-6</f>
        <v>0.44535839999999993</v>
      </c>
      <c r="K388">
        <f>0</f>
        <v>0</v>
      </c>
      <c r="L388">
        <f>0</f>
        <v>0</v>
      </c>
    </row>
    <row r="389" spans="1:12" x14ac:dyDescent="0.35">
      <c r="A389" t="s">
        <v>47</v>
      </c>
      <c r="B389" t="s">
        <v>21</v>
      </c>
      <c r="C389">
        <v>45</v>
      </c>
      <c r="D389" t="s">
        <v>28</v>
      </c>
      <c r="E389" t="s">
        <v>12</v>
      </c>
      <c r="F389" t="s">
        <v>12</v>
      </c>
      <c r="G389">
        <v>-38.084299999999999</v>
      </c>
      <c r="H389">
        <v>176.3595</v>
      </c>
      <c r="I389" t="s">
        <v>112</v>
      </c>
      <c r="J389" s="2">
        <f>Table1[[#This Row],[Capacity (MW)]]*8760*0.82*10^-6</f>
        <v>0.32324399999999998</v>
      </c>
      <c r="K389">
        <f>0</f>
        <v>0</v>
      </c>
      <c r="L389">
        <f>0</f>
        <v>0</v>
      </c>
    </row>
    <row r="390" spans="1:12" x14ac:dyDescent="0.35">
      <c r="A390" t="s">
        <v>123</v>
      </c>
      <c r="B390" t="s">
        <v>10</v>
      </c>
      <c r="C390">
        <v>60</v>
      </c>
      <c r="D390" t="s">
        <v>11</v>
      </c>
      <c r="E390">
        <v>1979</v>
      </c>
      <c r="F390" t="s">
        <v>12</v>
      </c>
      <c r="G390">
        <v>13.4655</v>
      </c>
      <c r="H390">
        <v>123.6486</v>
      </c>
      <c r="I390" t="s">
        <v>26</v>
      </c>
      <c r="J390" s="2">
        <f>Table1[[#This Row],[Capacity (MW)]]*8760*0.82*10^-6</f>
        <v>0.43099199999999999</v>
      </c>
      <c r="K390">
        <f>0</f>
        <v>0</v>
      </c>
      <c r="L390">
        <f>0</f>
        <v>0</v>
      </c>
    </row>
    <row r="391" spans="1:12" x14ac:dyDescent="0.35">
      <c r="A391" t="s">
        <v>123</v>
      </c>
      <c r="B391" t="s">
        <v>10</v>
      </c>
      <c r="C391">
        <v>60</v>
      </c>
      <c r="D391" t="s">
        <v>11</v>
      </c>
      <c r="E391">
        <v>1979</v>
      </c>
      <c r="F391" t="s">
        <v>12</v>
      </c>
      <c r="G391">
        <v>13.4655</v>
      </c>
      <c r="H391">
        <v>123.6486</v>
      </c>
      <c r="I391" t="s">
        <v>26</v>
      </c>
      <c r="J391" s="2">
        <f>Table1[[#This Row],[Capacity (MW)]]*8760*0.82*10^-6</f>
        <v>0.43099199999999999</v>
      </c>
      <c r="K391">
        <f>0</f>
        <v>0</v>
      </c>
      <c r="L391">
        <f>0</f>
        <v>0</v>
      </c>
    </row>
    <row r="392" spans="1:12" x14ac:dyDescent="0.35">
      <c r="A392" t="s">
        <v>123</v>
      </c>
      <c r="B392" t="s">
        <v>21</v>
      </c>
      <c r="C392">
        <v>57</v>
      </c>
      <c r="D392" t="s">
        <v>11</v>
      </c>
      <c r="E392">
        <v>1980</v>
      </c>
      <c r="F392" t="s">
        <v>12</v>
      </c>
      <c r="G392">
        <v>13.4655</v>
      </c>
      <c r="H392">
        <v>123.6486</v>
      </c>
      <c r="I392" t="s">
        <v>26</v>
      </c>
      <c r="J392" s="2">
        <f>Table1[[#This Row],[Capacity (MW)]]*8760*0.82*10^-6</f>
        <v>0.40944239999999993</v>
      </c>
      <c r="K392">
        <f>0</f>
        <v>0</v>
      </c>
      <c r="L392">
        <f>0</f>
        <v>0</v>
      </c>
    </row>
    <row r="393" spans="1:12" x14ac:dyDescent="0.35">
      <c r="A393" t="s">
        <v>123</v>
      </c>
      <c r="B393" t="s">
        <v>10</v>
      </c>
      <c r="C393">
        <v>55</v>
      </c>
      <c r="D393" t="s">
        <v>11</v>
      </c>
      <c r="E393">
        <v>1980</v>
      </c>
      <c r="F393" t="s">
        <v>12</v>
      </c>
      <c r="G393">
        <v>13.4655</v>
      </c>
      <c r="H393">
        <v>123.6486</v>
      </c>
      <c r="I393" t="s">
        <v>26</v>
      </c>
      <c r="J393" s="2">
        <f>Table1[[#This Row],[Capacity (MW)]]*8760*0.82*10^-6</f>
        <v>0.39507599999999998</v>
      </c>
      <c r="K393">
        <f>0</f>
        <v>0</v>
      </c>
      <c r="L393">
        <f>0</f>
        <v>0</v>
      </c>
    </row>
    <row r="394" spans="1:12" x14ac:dyDescent="0.35">
      <c r="A394" t="s">
        <v>123</v>
      </c>
      <c r="B394" t="s">
        <v>21</v>
      </c>
      <c r="C394">
        <v>55</v>
      </c>
      <c r="D394" t="s">
        <v>11</v>
      </c>
      <c r="E394">
        <v>1980</v>
      </c>
      <c r="F394" t="s">
        <v>12</v>
      </c>
      <c r="G394">
        <v>13.4655</v>
      </c>
      <c r="H394">
        <v>123.6486</v>
      </c>
      <c r="I394" t="s">
        <v>26</v>
      </c>
      <c r="J394" s="2">
        <f>Table1[[#This Row],[Capacity (MW)]]*8760*0.82*10^-6</f>
        <v>0.39507599999999998</v>
      </c>
      <c r="K394">
        <f>0</f>
        <v>0</v>
      </c>
      <c r="L394">
        <f>0</f>
        <v>0</v>
      </c>
    </row>
    <row r="395" spans="1:12" x14ac:dyDescent="0.35">
      <c r="A395" t="s">
        <v>123</v>
      </c>
      <c r="B395" t="s">
        <v>21</v>
      </c>
      <c r="C395">
        <v>43</v>
      </c>
      <c r="D395" t="s">
        <v>11</v>
      </c>
      <c r="E395">
        <v>1981</v>
      </c>
      <c r="F395" t="s">
        <v>12</v>
      </c>
      <c r="G395">
        <v>13.4655</v>
      </c>
      <c r="H395">
        <v>123.6486</v>
      </c>
      <c r="I395" t="s">
        <v>26</v>
      </c>
      <c r="J395" s="2">
        <f>Table1[[#This Row],[Capacity (MW)]]*8760*0.82*10^-6</f>
        <v>0.30887759999999997</v>
      </c>
      <c r="K395">
        <f>0</f>
        <v>0</v>
      </c>
      <c r="L395">
        <f>0</f>
        <v>0</v>
      </c>
    </row>
    <row r="396" spans="1:12" x14ac:dyDescent="0.35">
      <c r="A396" t="s">
        <v>25</v>
      </c>
      <c r="B396" t="s">
        <v>21</v>
      </c>
      <c r="C396">
        <v>38</v>
      </c>
      <c r="D396" t="s">
        <v>11</v>
      </c>
      <c r="E396">
        <v>1983</v>
      </c>
      <c r="F396" t="s">
        <v>12</v>
      </c>
      <c r="G396">
        <v>11.161199999999999</v>
      </c>
      <c r="H396">
        <v>124.6371</v>
      </c>
      <c r="I396" t="s">
        <v>26</v>
      </c>
      <c r="J396" s="2">
        <f>Table1[[#This Row],[Capacity (MW)]]*8760*0.82*10^-6</f>
        <v>0.27296159999999997</v>
      </c>
      <c r="K396">
        <f>0</f>
        <v>0</v>
      </c>
      <c r="L396">
        <f>0</f>
        <v>0</v>
      </c>
    </row>
    <row r="397" spans="1:12" x14ac:dyDescent="0.35">
      <c r="A397" t="s">
        <v>25</v>
      </c>
      <c r="B397" t="s">
        <v>21</v>
      </c>
      <c r="C397">
        <v>38</v>
      </c>
      <c r="D397" t="s">
        <v>11</v>
      </c>
      <c r="E397">
        <v>1983</v>
      </c>
      <c r="F397" t="s">
        <v>12</v>
      </c>
      <c r="G397">
        <v>11.161199999999999</v>
      </c>
      <c r="H397">
        <v>124.6371</v>
      </c>
      <c r="I397" t="s">
        <v>26</v>
      </c>
      <c r="J397" s="2">
        <f>Table1[[#This Row],[Capacity (MW)]]*8760*0.82*10^-6</f>
        <v>0.27296159999999997</v>
      </c>
      <c r="K397">
        <f>0</f>
        <v>0</v>
      </c>
      <c r="L397">
        <f>0</f>
        <v>0</v>
      </c>
    </row>
    <row r="398" spans="1:12" x14ac:dyDescent="0.35">
      <c r="A398" t="s">
        <v>25</v>
      </c>
      <c r="B398" t="s">
        <v>21</v>
      </c>
      <c r="C398">
        <v>38</v>
      </c>
      <c r="D398" t="s">
        <v>11</v>
      </c>
      <c r="E398">
        <v>1983</v>
      </c>
      <c r="F398" t="s">
        <v>12</v>
      </c>
      <c r="G398">
        <v>11.161199999999999</v>
      </c>
      <c r="H398">
        <v>124.6371</v>
      </c>
      <c r="I398" t="s">
        <v>26</v>
      </c>
      <c r="J398" s="2">
        <f>Table1[[#This Row],[Capacity (MW)]]*8760*0.82*10^-6</f>
        <v>0.27296159999999997</v>
      </c>
      <c r="K398">
        <f>0</f>
        <v>0</v>
      </c>
      <c r="L398">
        <f>0</f>
        <v>0</v>
      </c>
    </row>
    <row r="399" spans="1:12" x14ac:dyDescent="0.35">
      <c r="A399" t="s">
        <v>172</v>
      </c>
      <c r="B399" t="s">
        <v>15</v>
      </c>
      <c r="C399">
        <v>49</v>
      </c>
      <c r="D399" t="s">
        <v>16</v>
      </c>
      <c r="E399">
        <v>2027</v>
      </c>
      <c r="F399" t="s">
        <v>12</v>
      </c>
      <c r="G399">
        <v>-38.083020774248403</v>
      </c>
      <c r="H399">
        <v>176.7278181716876</v>
      </c>
      <c r="I399" t="s">
        <v>112</v>
      </c>
      <c r="J399" s="2">
        <f>Table1[[#This Row],[Capacity (MW)]]*8760*0.82*10^-6</f>
        <v>0.35197679999999998</v>
      </c>
      <c r="K399">
        <f>0</f>
        <v>0</v>
      </c>
      <c r="L399">
        <f>0</f>
        <v>0</v>
      </c>
    </row>
    <row r="400" spans="1:12" x14ac:dyDescent="0.35">
      <c r="A400" t="s">
        <v>30</v>
      </c>
      <c r="B400" t="s">
        <v>31</v>
      </c>
      <c r="C400">
        <v>40</v>
      </c>
      <c r="D400" t="s">
        <v>11</v>
      </c>
      <c r="E400">
        <v>2002</v>
      </c>
      <c r="F400" t="s">
        <v>12</v>
      </c>
      <c r="G400">
        <v>43.1708</v>
      </c>
      <c r="H400">
        <v>11.039</v>
      </c>
      <c r="I400" t="s">
        <v>32</v>
      </c>
      <c r="J400" s="2">
        <f>Table1[[#This Row],[Capacity (MW)]]*8760*0.82*10^-6</f>
        <v>0.28732799999999997</v>
      </c>
      <c r="K400">
        <f>0</f>
        <v>0</v>
      </c>
      <c r="L400">
        <f>0</f>
        <v>0</v>
      </c>
    </row>
    <row r="401" spans="1:12" x14ac:dyDescent="0.35">
      <c r="A401" t="s">
        <v>74</v>
      </c>
      <c r="B401" t="s">
        <v>21</v>
      </c>
      <c r="C401">
        <v>50</v>
      </c>
      <c r="D401" t="s">
        <v>16</v>
      </c>
      <c r="E401">
        <v>2025</v>
      </c>
      <c r="F401" t="s">
        <v>12</v>
      </c>
      <c r="G401">
        <v>9.7253000000000007</v>
      </c>
      <c r="H401">
        <v>39.352200000000003</v>
      </c>
      <c r="I401" t="s">
        <v>24</v>
      </c>
      <c r="J401" s="2">
        <f>Table1[[#This Row],[Capacity (MW)]]*8760*0.82*10^-6</f>
        <v>0.35915999999999998</v>
      </c>
      <c r="K401">
        <f>0</f>
        <v>0</v>
      </c>
      <c r="L401">
        <f>0</f>
        <v>0</v>
      </c>
    </row>
    <row r="402" spans="1:12" x14ac:dyDescent="0.35">
      <c r="A402" t="s">
        <v>177</v>
      </c>
      <c r="B402" t="s">
        <v>21</v>
      </c>
      <c r="C402">
        <v>50</v>
      </c>
      <c r="D402" t="s">
        <v>16</v>
      </c>
      <c r="E402">
        <v>2025</v>
      </c>
      <c r="F402" t="s">
        <v>12</v>
      </c>
      <c r="G402">
        <v>9.7253000000000007</v>
      </c>
      <c r="H402">
        <v>39.352200000000003</v>
      </c>
      <c r="I402" t="s">
        <v>24</v>
      </c>
      <c r="J402" s="2">
        <f>Table1[[#This Row],[Capacity (MW)]]*8760*0.82*10^-6</f>
        <v>0.35915999999999998</v>
      </c>
      <c r="K402">
        <f>0</f>
        <v>0</v>
      </c>
      <c r="L402">
        <f>0</f>
        <v>0</v>
      </c>
    </row>
    <row r="403" spans="1:12" x14ac:dyDescent="0.35">
      <c r="A403" t="s">
        <v>74</v>
      </c>
      <c r="B403" t="s">
        <v>21</v>
      </c>
      <c r="C403">
        <v>25</v>
      </c>
      <c r="D403" t="s">
        <v>23</v>
      </c>
      <c r="E403" t="s">
        <v>12</v>
      </c>
      <c r="F403" t="s">
        <v>12</v>
      </c>
      <c r="G403">
        <v>9.7253000000000007</v>
      </c>
      <c r="H403">
        <v>39.352200000000003</v>
      </c>
      <c r="I403" t="s">
        <v>24</v>
      </c>
      <c r="J403" s="2">
        <f>Table1[[#This Row],[Capacity (MW)]]*8760*0.82*10^-6</f>
        <v>0.17957999999999999</v>
      </c>
      <c r="K403">
        <f>0</f>
        <v>0</v>
      </c>
      <c r="L403">
        <f>0</f>
        <v>0</v>
      </c>
    </row>
    <row r="404" spans="1:12" x14ac:dyDescent="0.35">
      <c r="A404" t="s">
        <v>177</v>
      </c>
      <c r="B404" t="s">
        <v>21</v>
      </c>
      <c r="C404">
        <v>25</v>
      </c>
      <c r="D404" t="s">
        <v>23</v>
      </c>
      <c r="E404" t="s">
        <v>12</v>
      </c>
      <c r="F404" t="s">
        <v>12</v>
      </c>
      <c r="G404">
        <v>9.7253000000000007</v>
      </c>
      <c r="H404">
        <v>39.352200000000003</v>
      </c>
      <c r="I404" t="s">
        <v>24</v>
      </c>
      <c r="J404" s="2">
        <f>Table1[[#This Row],[Capacity (MW)]]*8760*0.82*10^-6</f>
        <v>0.17957999999999999</v>
      </c>
      <c r="K404">
        <f>0</f>
        <v>0</v>
      </c>
      <c r="L404">
        <f>0</f>
        <v>0</v>
      </c>
    </row>
    <row r="405" spans="1:12" x14ac:dyDescent="0.35">
      <c r="A405" t="s">
        <v>12</v>
      </c>
      <c r="B405" t="s">
        <v>15</v>
      </c>
      <c r="C405">
        <v>37</v>
      </c>
      <c r="D405" t="s">
        <v>11</v>
      </c>
      <c r="E405">
        <v>2017</v>
      </c>
      <c r="F405" t="s">
        <v>12</v>
      </c>
      <c r="G405">
        <v>39.667000000000002</v>
      </c>
      <c r="H405">
        <v>-117.69370000000001</v>
      </c>
      <c r="I405" t="s">
        <v>39</v>
      </c>
      <c r="J405" s="2">
        <f>Table1[[#This Row],[Capacity (MW)]]*8760*0.82*10^-6</f>
        <v>0.26577839999999997</v>
      </c>
      <c r="K405">
        <f>0</f>
        <v>0</v>
      </c>
      <c r="L405">
        <f>0</f>
        <v>0</v>
      </c>
    </row>
    <row r="406" spans="1:12" x14ac:dyDescent="0.35">
      <c r="A406" t="s">
        <v>178</v>
      </c>
      <c r="B406" t="s">
        <v>21</v>
      </c>
      <c r="C406">
        <v>40</v>
      </c>
      <c r="D406" t="s">
        <v>28</v>
      </c>
      <c r="E406" t="s">
        <v>12</v>
      </c>
      <c r="F406" t="s">
        <v>12</v>
      </c>
      <c r="G406">
        <v>47.461100000000002</v>
      </c>
      <c r="H406">
        <v>19.049900000000001</v>
      </c>
      <c r="I406" t="s">
        <v>179</v>
      </c>
      <c r="J406" s="2">
        <f>Table1[[#This Row],[Capacity (MW)]]*8760*0.82*10^-6</f>
        <v>0.28732799999999997</v>
      </c>
      <c r="K406">
        <f>0</f>
        <v>0</v>
      </c>
      <c r="L406">
        <f>0</f>
        <v>0</v>
      </c>
    </row>
    <row r="407" spans="1:12" x14ac:dyDescent="0.35">
      <c r="A407" t="s">
        <v>180</v>
      </c>
      <c r="B407" t="s">
        <v>15</v>
      </c>
      <c r="C407">
        <v>30</v>
      </c>
      <c r="D407" t="s">
        <v>11</v>
      </c>
      <c r="E407">
        <v>2018</v>
      </c>
      <c r="F407" t="s">
        <v>12</v>
      </c>
      <c r="G407">
        <v>38.374953762439773</v>
      </c>
      <c r="H407">
        <v>28.507134898200039</v>
      </c>
      <c r="I407" t="s">
        <v>20</v>
      </c>
      <c r="J407" s="2">
        <f>Table1[[#This Row],[Capacity (MW)]]*8760*0.82*10^-6</f>
        <v>0.21549599999999999</v>
      </c>
      <c r="K407">
        <f>0</f>
        <v>0</v>
      </c>
      <c r="L407">
        <f>0</f>
        <v>0</v>
      </c>
    </row>
    <row r="408" spans="1:12" x14ac:dyDescent="0.35">
      <c r="A408" t="s">
        <v>180</v>
      </c>
      <c r="B408" t="s">
        <v>15</v>
      </c>
      <c r="C408">
        <v>30</v>
      </c>
      <c r="D408" t="s">
        <v>11</v>
      </c>
      <c r="E408">
        <v>2023</v>
      </c>
      <c r="F408" t="s">
        <v>12</v>
      </c>
      <c r="G408">
        <v>38.375012639600001</v>
      </c>
      <c r="H408">
        <v>28.507134898200039</v>
      </c>
      <c r="I408" t="s">
        <v>20</v>
      </c>
      <c r="J408" s="2">
        <f>Table1[[#This Row],[Capacity (MW)]]*8760*0.82*10^-6</f>
        <v>0.21549599999999999</v>
      </c>
      <c r="K408">
        <f>0</f>
        <v>0</v>
      </c>
      <c r="L408">
        <f>0</f>
        <v>0</v>
      </c>
    </row>
    <row r="409" spans="1:12" x14ac:dyDescent="0.35">
      <c r="A409" t="s">
        <v>180</v>
      </c>
      <c r="B409" t="s">
        <v>15</v>
      </c>
      <c r="C409">
        <v>30</v>
      </c>
      <c r="D409" t="s">
        <v>11</v>
      </c>
      <c r="E409">
        <v>2023</v>
      </c>
      <c r="F409" t="s">
        <v>12</v>
      </c>
      <c r="G409">
        <v>38.375012639631713</v>
      </c>
      <c r="H409">
        <v>28.50711344052776</v>
      </c>
      <c r="I409" t="s">
        <v>20</v>
      </c>
      <c r="J409" s="2">
        <f>Table1[[#This Row],[Capacity (MW)]]*8760*0.82*10^-6</f>
        <v>0.21549599999999999</v>
      </c>
      <c r="K409">
        <f>0</f>
        <v>0</v>
      </c>
      <c r="L409">
        <f>0</f>
        <v>0</v>
      </c>
    </row>
    <row r="410" spans="1:12" x14ac:dyDescent="0.35">
      <c r="A410" t="s">
        <v>180</v>
      </c>
      <c r="B410" t="s">
        <v>15</v>
      </c>
      <c r="C410">
        <v>30</v>
      </c>
      <c r="D410" t="s">
        <v>11</v>
      </c>
      <c r="E410">
        <v>2023</v>
      </c>
      <c r="F410" t="s">
        <v>12</v>
      </c>
      <c r="G410">
        <v>38.375012639631713</v>
      </c>
      <c r="H410">
        <v>28.507177813544612</v>
      </c>
      <c r="I410" t="s">
        <v>20</v>
      </c>
      <c r="J410" s="2">
        <f>Table1[[#This Row],[Capacity (MW)]]*8760*0.82*10^-6</f>
        <v>0.21549599999999999</v>
      </c>
      <c r="K410">
        <f>0</f>
        <v>0</v>
      </c>
      <c r="L410">
        <f>0</f>
        <v>0</v>
      </c>
    </row>
    <row r="411" spans="1:12" x14ac:dyDescent="0.35">
      <c r="A411" t="s">
        <v>104</v>
      </c>
      <c r="B411" t="s">
        <v>10</v>
      </c>
      <c r="C411">
        <v>55</v>
      </c>
      <c r="D411" t="s">
        <v>11</v>
      </c>
      <c r="E411">
        <v>2012</v>
      </c>
      <c r="F411" t="s">
        <v>12</v>
      </c>
      <c r="G411">
        <v>-5.3095999999999997</v>
      </c>
      <c r="H411">
        <v>104.5733</v>
      </c>
      <c r="I411" t="s">
        <v>29</v>
      </c>
      <c r="J411" s="2">
        <f>Table1[[#This Row],[Capacity (MW)]]*8760*0.82*10^-6</f>
        <v>0.39507599999999998</v>
      </c>
      <c r="K411">
        <f>0</f>
        <v>0</v>
      </c>
      <c r="L411">
        <f>0</f>
        <v>0</v>
      </c>
    </row>
    <row r="412" spans="1:12" x14ac:dyDescent="0.35">
      <c r="A412" t="s">
        <v>104</v>
      </c>
      <c r="B412" t="s">
        <v>10</v>
      </c>
      <c r="C412">
        <v>55</v>
      </c>
      <c r="D412" t="s">
        <v>11</v>
      </c>
      <c r="E412">
        <v>2012</v>
      </c>
      <c r="F412" t="s">
        <v>12</v>
      </c>
      <c r="G412">
        <v>-5.3095999999999997</v>
      </c>
      <c r="H412">
        <v>104.5733</v>
      </c>
      <c r="I412" t="s">
        <v>29</v>
      </c>
      <c r="J412" s="2">
        <f>Table1[[#This Row],[Capacity (MW)]]*8760*0.82*10^-6</f>
        <v>0.39507599999999998</v>
      </c>
      <c r="K412">
        <f>0</f>
        <v>0</v>
      </c>
      <c r="L412">
        <f>0</f>
        <v>0</v>
      </c>
    </row>
    <row r="413" spans="1:12" x14ac:dyDescent="0.35">
      <c r="A413" t="s">
        <v>104</v>
      </c>
      <c r="B413" t="s">
        <v>21</v>
      </c>
      <c r="C413">
        <v>55</v>
      </c>
      <c r="D413" t="s">
        <v>11</v>
      </c>
      <c r="E413">
        <v>2016</v>
      </c>
      <c r="F413" t="s">
        <v>12</v>
      </c>
      <c r="G413">
        <v>-5.3049999999999997</v>
      </c>
      <c r="H413">
        <v>104.5767</v>
      </c>
      <c r="I413" t="s">
        <v>29</v>
      </c>
      <c r="J413" s="2">
        <f>Table1[[#This Row],[Capacity (MW)]]*8760*0.82*10^-6</f>
        <v>0.39507599999999998</v>
      </c>
      <c r="K413">
        <f>0</f>
        <v>0</v>
      </c>
      <c r="L413">
        <f>0</f>
        <v>0</v>
      </c>
    </row>
    <row r="414" spans="1:12" x14ac:dyDescent="0.35">
      <c r="A414" t="s">
        <v>104</v>
      </c>
      <c r="B414" t="s">
        <v>21</v>
      </c>
      <c r="C414">
        <v>55</v>
      </c>
      <c r="D414" t="s">
        <v>11</v>
      </c>
      <c r="E414">
        <v>2017</v>
      </c>
      <c r="F414" t="s">
        <v>12</v>
      </c>
      <c r="G414">
        <v>-5.3049999999999997</v>
      </c>
      <c r="H414">
        <v>104.5767</v>
      </c>
      <c r="I414" t="s">
        <v>29</v>
      </c>
      <c r="J414" s="2">
        <f>Table1[[#This Row],[Capacity (MW)]]*8760*0.82*10^-6</f>
        <v>0.39507599999999998</v>
      </c>
      <c r="K414">
        <f>0</f>
        <v>0</v>
      </c>
      <c r="L414">
        <f>0</f>
        <v>0</v>
      </c>
    </row>
    <row r="415" spans="1:12" x14ac:dyDescent="0.35">
      <c r="A415" t="s">
        <v>113</v>
      </c>
      <c r="B415" t="s">
        <v>21</v>
      </c>
      <c r="C415">
        <v>55</v>
      </c>
      <c r="D415" t="s">
        <v>79</v>
      </c>
      <c r="E415">
        <v>2025</v>
      </c>
      <c r="F415" t="s">
        <v>12</v>
      </c>
      <c r="G415">
        <v>-7.1365999999999996</v>
      </c>
      <c r="H415">
        <v>110.3974</v>
      </c>
      <c r="I415" t="s">
        <v>29</v>
      </c>
      <c r="J415" s="2">
        <f>Table1[[#This Row],[Capacity (MW)]]*8760*0.82*10^-6</f>
        <v>0.39507599999999998</v>
      </c>
      <c r="K415">
        <f>0</f>
        <v>0</v>
      </c>
      <c r="L415">
        <f>0</f>
        <v>0</v>
      </c>
    </row>
    <row r="416" spans="1:12" x14ac:dyDescent="0.35">
      <c r="A416" t="s">
        <v>30</v>
      </c>
      <c r="B416" t="s">
        <v>31</v>
      </c>
      <c r="C416">
        <v>60</v>
      </c>
      <c r="D416" t="s">
        <v>11</v>
      </c>
      <c r="E416">
        <v>1991</v>
      </c>
      <c r="F416" t="s">
        <v>12</v>
      </c>
      <c r="G416">
        <v>42.236199999999997</v>
      </c>
      <c r="H416">
        <v>10.8674</v>
      </c>
      <c r="I416" t="s">
        <v>32</v>
      </c>
      <c r="J416" s="2">
        <f>Table1[[#This Row],[Capacity (MW)]]*8760*0.82*10^-6</f>
        <v>0.43099199999999999</v>
      </c>
      <c r="K416">
        <f>0</f>
        <v>0</v>
      </c>
      <c r="L416">
        <f>0</f>
        <v>0</v>
      </c>
    </row>
    <row r="417" spans="1:12" x14ac:dyDescent="0.35">
      <c r="A417" t="s">
        <v>30</v>
      </c>
      <c r="B417" t="s">
        <v>31</v>
      </c>
      <c r="C417">
        <v>60</v>
      </c>
      <c r="D417" t="s">
        <v>11</v>
      </c>
      <c r="E417">
        <v>1991</v>
      </c>
      <c r="F417" t="s">
        <v>12</v>
      </c>
      <c r="G417">
        <v>42.236199999999997</v>
      </c>
      <c r="H417">
        <v>10.8674</v>
      </c>
      <c r="I417" t="s">
        <v>32</v>
      </c>
      <c r="J417" s="2">
        <f>Table1[[#This Row],[Capacity (MW)]]*8760*0.82*10^-6</f>
        <v>0.43099199999999999</v>
      </c>
      <c r="K417">
        <f>0</f>
        <v>0</v>
      </c>
      <c r="L417">
        <f>0</f>
        <v>0</v>
      </c>
    </row>
    <row r="418" spans="1:12" x14ac:dyDescent="0.35">
      <c r="A418" t="s">
        <v>9</v>
      </c>
      <c r="B418" t="s">
        <v>21</v>
      </c>
      <c r="C418">
        <v>30</v>
      </c>
      <c r="D418" t="s">
        <v>79</v>
      </c>
      <c r="E418" t="s">
        <v>12</v>
      </c>
      <c r="F418" t="s">
        <v>12</v>
      </c>
      <c r="G418">
        <v>13.2753</v>
      </c>
      <c r="H418">
        <v>-87.846199999999996</v>
      </c>
      <c r="I418" t="s">
        <v>13</v>
      </c>
      <c r="J418" s="2">
        <f>Table1[[#This Row],[Capacity (MW)]]*8760*0.82*10^-6</f>
        <v>0.21549599999999999</v>
      </c>
      <c r="K418">
        <f>0</f>
        <v>0</v>
      </c>
      <c r="L418">
        <f>0</f>
        <v>0</v>
      </c>
    </row>
    <row r="419" spans="1:12" x14ac:dyDescent="0.35">
      <c r="A419" t="s">
        <v>64</v>
      </c>
      <c r="B419" t="s">
        <v>19</v>
      </c>
      <c r="C419">
        <v>30</v>
      </c>
      <c r="D419" t="s">
        <v>11</v>
      </c>
      <c r="E419">
        <v>1985</v>
      </c>
      <c r="F419" t="s">
        <v>12</v>
      </c>
      <c r="G419">
        <v>33.1633</v>
      </c>
      <c r="H419">
        <v>-115.61669999999999</v>
      </c>
      <c r="I419" t="s">
        <v>39</v>
      </c>
      <c r="J419" s="2">
        <f>Table1[[#This Row],[Capacity (MW)]]*8760*0.82*10^-6</f>
        <v>0.21549599999999999</v>
      </c>
      <c r="K419">
        <f>0</f>
        <v>0</v>
      </c>
      <c r="L419">
        <f>0</f>
        <v>0</v>
      </c>
    </row>
    <row r="420" spans="1:12" x14ac:dyDescent="0.35">
      <c r="A420" t="s">
        <v>155</v>
      </c>
      <c r="B420" t="s">
        <v>21</v>
      </c>
      <c r="C420">
        <v>40</v>
      </c>
      <c r="D420" t="s">
        <v>28</v>
      </c>
      <c r="E420" t="s">
        <v>12</v>
      </c>
      <c r="F420" t="s">
        <v>12</v>
      </c>
      <c r="G420">
        <v>-38.626600000000003</v>
      </c>
      <c r="H420">
        <v>176.10550000000001</v>
      </c>
      <c r="I420" t="s">
        <v>112</v>
      </c>
      <c r="J420" s="2">
        <f>Table1[[#This Row],[Capacity (MW)]]*8760*0.82*10^-6</f>
        <v>0.28732799999999997</v>
      </c>
      <c r="K420">
        <f>0</f>
        <v>0</v>
      </c>
      <c r="L420">
        <f>0</f>
        <v>0</v>
      </c>
    </row>
    <row r="421" spans="1:12" x14ac:dyDescent="0.35">
      <c r="A421" t="s">
        <v>155</v>
      </c>
      <c r="B421" t="s">
        <v>19</v>
      </c>
      <c r="C421">
        <v>30</v>
      </c>
      <c r="D421" t="s">
        <v>11</v>
      </c>
      <c r="E421">
        <v>1958</v>
      </c>
      <c r="F421">
        <v>2031</v>
      </c>
      <c r="G421">
        <v>-38.626600000000003</v>
      </c>
      <c r="H421">
        <v>176.10550000000001</v>
      </c>
      <c r="I421" t="s">
        <v>112</v>
      </c>
      <c r="J421" s="2">
        <f>Table1[[#This Row],[Capacity (MW)]]*8760*0.82*10^-6</f>
        <v>0.21549599999999999</v>
      </c>
      <c r="K421">
        <f>0</f>
        <v>0</v>
      </c>
      <c r="L421">
        <f>0</f>
        <v>0</v>
      </c>
    </row>
    <row r="422" spans="1:12" x14ac:dyDescent="0.35">
      <c r="A422" t="s">
        <v>155</v>
      </c>
      <c r="B422" t="s">
        <v>19</v>
      </c>
      <c r="C422">
        <v>30</v>
      </c>
      <c r="D422" t="s">
        <v>11</v>
      </c>
      <c r="E422">
        <v>1958</v>
      </c>
      <c r="F422">
        <v>2031</v>
      </c>
      <c r="G422">
        <v>-38.626600000000003</v>
      </c>
      <c r="H422">
        <v>176.10550000000001</v>
      </c>
      <c r="I422" t="s">
        <v>112</v>
      </c>
      <c r="J422" s="2">
        <f>Table1[[#This Row],[Capacity (MW)]]*8760*0.82*10^-6</f>
        <v>0.21549599999999999</v>
      </c>
      <c r="K422">
        <f>0</f>
        <v>0</v>
      </c>
      <c r="L422">
        <f>0</f>
        <v>0</v>
      </c>
    </row>
    <row r="423" spans="1:12" x14ac:dyDescent="0.35">
      <c r="A423" t="s">
        <v>155</v>
      </c>
      <c r="B423" t="s">
        <v>19</v>
      </c>
      <c r="C423">
        <v>30</v>
      </c>
      <c r="D423" t="s">
        <v>11</v>
      </c>
      <c r="E423">
        <v>1958</v>
      </c>
      <c r="F423">
        <v>2031</v>
      </c>
      <c r="G423">
        <v>-38.626600000000003</v>
      </c>
      <c r="H423">
        <v>176.10550000000001</v>
      </c>
      <c r="I423" t="s">
        <v>112</v>
      </c>
      <c r="J423" s="2">
        <f>Table1[[#This Row],[Capacity (MW)]]*8760*0.82*10^-6</f>
        <v>0.21549599999999999</v>
      </c>
      <c r="K423">
        <f>0</f>
        <v>0</v>
      </c>
      <c r="L423">
        <f>0</f>
        <v>0</v>
      </c>
    </row>
    <row r="424" spans="1:12" x14ac:dyDescent="0.35">
      <c r="A424" t="s">
        <v>181</v>
      </c>
      <c r="B424" t="s">
        <v>19</v>
      </c>
      <c r="C424">
        <v>46</v>
      </c>
      <c r="D424" t="s">
        <v>11</v>
      </c>
      <c r="E424">
        <v>2019</v>
      </c>
      <c r="F424" t="s">
        <v>12</v>
      </c>
      <c r="G424">
        <v>38.985900000000001</v>
      </c>
      <c r="H424">
        <v>140.5701</v>
      </c>
      <c r="I424" t="s">
        <v>101</v>
      </c>
      <c r="J424" s="2">
        <f>Table1[[#This Row],[Capacity (MW)]]*8760*0.82*10^-6</f>
        <v>0.33042719999999992</v>
      </c>
      <c r="K424">
        <f>0</f>
        <v>0</v>
      </c>
      <c r="L424">
        <f>0</f>
        <v>0</v>
      </c>
    </row>
    <row r="425" spans="1:12" x14ac:dyDescent="0.35">
      <c r="A425" t="s">
        <v>81</v>
      </c>
      <c r="B425" t="s">
        <v>21</v>
      </c>
      <c r="C425">
        <v>117</v>
      </c>
      <c r="D425" t="s">
        <v>11</v>
      </c>
      <c r="E425">
        <v>2009</v>
      </c>
      <c r="F425" t="s">
        <v>12</v>
      </c>
      <c r="G425">
        <v>-7.1966000000000001</v>
      </c>
      <c r="H425">
        <v>107.6258</v>
      </c>
      <c r="I425" t="s">
        <v>29</v>
      </c>
      <c r="J425" s="2">
        <f>Table1[[#This Row],[Capacity (MW)]]*8760*0.82*10^-6</f>
        <v>0.84043439999999991</v>
      </c>
      <c r="K425">
        <f>0</f>
        <v>0</v>
      </c>
      <c r="L425">
        <f>0</f>
        <v>0</v>
      </c>
    </row>
    <row r="426" spans="1:12" x14ac:dyDescent="0.35">
      <c r="A426" t="s">
        <v>81</v>
      </c>
      <c r="B426" t="s">
        <v>10</v>
      </c>
      <c r="C426">
        <v>110</v>
      </c>
      <c r="D426" t="s">
        <v>11</v>
      </c>
      <c r="E426">
        <v>2000</v>
      </c>
      <c r="F426" t="s">
        <v>12</v>
      </c>
      <c r="G426">
        <v>-7.1966000000000001</v>
      </c>
      <c r="H426">
        <v>107.6258</v>
      </c>
      <c r="I426" t="s">
        <v>29</v>
      </c>
      <c r="J426" s="2">
        <f>Table1[[#This Row],[Capacity (MW)]]*8760*0.82*10^-6</f>
        <v>0.79015199999999997</v>
      </c>
      <c r="K426">
        <f>0</f>
        <v>0</v>
      </c>
      <c r="L426">
        <f>0</f>
        <v>0</v>
      </c>
    </row>
    <row r="427" spans="1:12" x14ac:dyDescent="0.35">
      <c r="A427" t="s">
        <v>81</v>
      </c>
      <c r="B427" t="s">
        <v>21</v>
      </c>
      <c r="C427">
        <v>60</v>
      </c>
      <c r="D427" t="s">
        <v>93</v>
      </c>
      <c r="E427" t="s">
        <v>12</v>
      </c>
      <c r="F427" t="s">
        <v>12</v>
      </c>
      <c r="G427">
        <v>-7.1966000000000001</v>
      </c>
      <c r="H427">
        <v>107.6258</v>
      </c>
      <c r="I427" t="s">
        <v>29</v>
      </c>
      <c r="J427" s="2">
        <f>Table1[[#This Row],[Capacity (MW)]]*8760*0.82*10^-6</f>
        <v>0.43099199999999999</v>
      </c>
      <c r="K427">
        <f>0</f>
        <v>0</v>
      </c>
      <c r="L427">
        <f>0</f>
        <v>0</v>
      </c>
    </row>
    <row r="428" spans="1:12" x14ac:dyDescent="0.35">
      <c r="A428" t="s">
        <v>100</v>
      </c>
      <c r="B428" t="s">
        <v>10</v>
      </c>
      <c r="C428">
        <v>30</v>
      </c>
      <c r="D428" t="s">
        <v>11</v>
      </c>
      <c r="E428">
        <v>1995</v>
      </c>
      <c r="F428" t="s">
        <v>12</v>
      </c>
      <c r="G428">
        <v>31.190799999999999</v>
      </c>
      <c r="H428">
        <v>130.61420000000001</v>
      </c>
      <c r="I428" t="s">
        <v>101</v>
      </c>
      <c r="J428" s="2">
        <f>Table1[[#This Row],[Capacity (MW)]]*8760*0.82*10^-6</f>
        <v>0.21549599999999999</v>
      </c>
      <c r="K428">
        <f>0</f>
        <v>0</v>
      </c>
      <c r="L428">
        <f>0</f>
        <v>0</v>
      </c>
    </row>
    <row r="429" spans="1:12" x14ac:dyDescent="0.35">
      <c r="A429" t="s">
        <v>106</v>
      </c>
      <c r="B429" t="s">
        <v>10</v>
      </c>
      <c r="C429">
        <v>65</v>
      </c>
      <c r="D429" t="s">
        <v>11</v>
      </c>
      <c r="E429">
        <v>1995</v>
      </c>
      <c r="F429" t="s">
        <v>12</v>
      </c>
      <c r="G429">
        <v>37.440100000000001</v>
      </c>
      <c r="H429">
        <v>139.69399999999999</v>
      </c>
      <c r="I429" t="s">
        <v>101</v>
      </c>
      <c r="J429" s="2">
        <f>Table1[[#This Row],[Capacity (MW)]]*8760*0.82*10^-6</f>
        <v>0.46690799999999999</v>
      </c>
      <c r="K429">
        <f>0</f>
        <v>0</v>
      </c>
      <c r="L429">
        <f>0</f>
        <v>0</v>
      </c>
    </row>
    <row r="430" spans="1:12" x14ac:dyDescent="0.35">
      <c r="A430" t="s">
        <v>43</v>
      </c>
      <c r="B430" t="s">
        <v>10</v>
      </c>
      <c r="C430">
        <v>45</v>
      </c>
      <c r="D430" t="s">
        <v>11</v>
      </c>
      <c r="E430">
        <v>2017</v>
      </c>
      <c r="F430" t="s">
        <v>12</v>
      </c>
      <c r="G430">
        <v>65.8905741756178</v>
      </c>
      <c r="H430">
        <v>-16.962781080585799</v>
      </c>
      <c r="I430" t="s">
        <v>42</v>
      </c>
      <c r="J430" s="2">
        <f>Table1[[#This Row],[Capacity (MW)]]*8760*0.82*10^-6</f>
        <v>0.32324399999999998</v>
      </c>
      <c r="K430">
        <f>0</f>
        <v>0</v>
      </c>
      <c r="L430">
        <f>0</f>
        <v>0</v>
      </c>
    </row>
    <row r="431" spans="1:12" x14ac:dyDescent="0.35">
      <c r="A431" t="s">
        <v>43</v>
      </c>
      <c r="B431" t="s">
        <v>10</v>
      </c>
      <c r="C431">
        <v>45</v>
      </c>
      <c r="D431" t="s">
        <v>11</v>
      </c>
      <c r="E431">
        <v>2018</v>
      </c>
      <c r="F431" t="s">
        <v>12</v>
      </c>
      <c r="G431">
        <v>65.890564107223526</v>
      </c>
      <c r="H431">
        <v>-16.962386706238199</v>
      </c>
      <c r="I431" t="s">
        <v>42</v>
      </c>
      <c r="J431" s="2">
        <f>Table1[[#This Row],[Capacity (MW)]]*8760*0.82*10^-6</f>
        <v>0.32324399999999998</v>
      </c>
      <c r="K431">
        <f>0</f>
        <v>0</v>
      </c>
      <c r="L431">
        <f>0</f>
        <v>0</v>
      </c>
    </row>
    <row r="432" spans="1:12" x14ac:dyDescent="0.35">
      <c r="A432" t="s">
        <v>43</v>
      </c>
      <c r="B432" t="s">
        <v>21</v>
      </c>
      <c r="C432">
        <v>45</v>
      </c>
      <c r="D432" t="s">
        <v>23</v>
      </c>
      <c r="E432" t="s">
        <v>12</v>
      </c>
      <c r="F432" t="s">
        <v>12</v>
      </c>
      <c r="G432">
        <v>65.89051376519302</v>
      </c>
      <c r="H432">
        <v>-16.962386706238199</v>
      </c>
      <c r="I432" t="s">
        <v>42</v>
      </c>
      <c r="J432" s="2">
        <f>Table1[[#This Row],[Capacity (MW)]]*8760*0.82*10^-6</f>
        <v>0.32324399999999998</v>
      </c>
      <c r="K432">
        <f>0</f>
        <v>0</v>
      </c>
      <c r="L432">
        <f>0</f>
        <v>0</v>
      </c>
    </row>
    <row r="433" spans="1:12" x14ac:dyDescent="0.35">
      <c r="A433" t="s">
        <v>12</v>
      </c>
      <c r="B433" t="s">
        <v>21</v>
      </c>
      <c r="C433">
        <v>6</v>
      </c>
      <c r="D433" t="s">
        <v>11</v>
      </c>
      <c r="E433">
        <v>2023</v>
      </c>
      <c r="F433" t="s">
        <v>12</v>
      </c>
      <c r="G433">
        <v>13.920000099999999</v>
      </c>
      <c r="H433">
        <v>-89.817300000000003</v>
      </c>
      <c r="I433" t="s">
        <v>13</v>
      </c>
      <c r="J433" s="2">
        <f>Table1[[#This Row],[Capacity (MW)]]*8760*0.82*10^-6</f>
        <v>4.3099199999999997E-2</v>
      </c>
      <c r="K433">
        <f>0</f>
        <v>0</v>
      </c>
      <c r="L433">
        <f>0</f>
        <v>0</v>
      </c>
    </row>
    <row r="434" spans="1:12" x14ac:dyDescent="0.35">
      <c r="A434" t="s">
        <v>58</v>
      </c>
      <c r="B434" t="s">
        <v>21</v>
      </c>
      <c r="C434">
        <v>12</v>
      </c>
      <c r="D434" t="s">
        <v>11</v>
      </c>
      <c r="E434">
        <v>1989</v>
      </c>
      <c r="F434" t="s">
        <v>12</v>
      </c>
      <c r="G434">
        <v>38.8339</v>
      </c>
      <c r="H434">
        <v>-122.881</v>
      </c>
      <c r="I434" t="s">
        <v>39</v>
      </c>
      <c r="J434" s="2">
        <f>Table1[[#This Row],[Capacity (MW)]]*8760*0.82*10^-6</f>
        <v>8.6198399999999994E-2</v>
      </c>
      <c r="K434">
        <f>0</f>
        <v>0</v>
      </c>
      <c r="L434">
        <f>0</f>
        <v>0</v>
      </c>
    </row>
    <row r="435" spans="1:12" x14ac:dyDescent="0.35">
      <c r="A435" t="s">
        <v>58</v>
      </c>
      <c r="B435" t="s">
        <v>21</v>
      </c>
      <c r="C435">
        <v>12</v>
      </c>
      <c r="D435" t="s">
        <v>11</v>
      </c>
      <c r="E435">
        <v>1989</v>
      </c>
      <c r="F435" t="s">
        <v>12</v>
      </c>
      <c r="G435">
        <v>38.8339</v>
      </c>
      <c r="H435">
        <v>-122.881</v>
      </c>
      <c r="I435" t="s">
        <v>39</v>
      </c>
      <c r="J435" s="2">
        <f>Table1[[#This Row],[Capacity (MW)]]*8760*0.82*10^-6</f>
        <v>8.6198399999999994E-2</v>
      </c>
      <c r="K435">
        <f>0</f>
        <v>0</v>
      </c>
      <c r="L435">
        <f>0</f>
        <v>0</v>
      </c>
    </row>
    <row r="436" spans="1:12" x14ac:dyDescent="0.35">
      <c r="A436" t="s">
        <v>18</v>
      </c>
      <c r="B436" t="s">
        <v>21</v>
      </c>
      <c r="C436">
        <v>19</v>
      </c>
      <c r="D436" t="s">
        <v>23</v>
      </c>
      <c r="E436" t="s">
        <v>12</v>
      </c>
      <c r="F436" t="s">
        <v>12</v>
      </c>
      <c r="G436">
        <v>38.400199999999998</v>
      </c>
      <c r="H436">
        <v>28.431100000000001</v>
      </c>
      <c r="I436" t="s">
        <v>20</v>
      </c>
      <c r="J436" s="2">
        <f>Table1[[#This Row],[Capacity (MW)]]*8760*0.82*10^-6</f>
        <v>0.13648079999999999</v>
      </c>
      <c r="K436">
        <f>0</f>
        <v>0</v>
      </c>
      <c r="L436">
        <f>0</f>
        <v>0</v>
      </c>
    </row>
    <row r="437" spans="1:12" x14ac:dyDescent="0.35">
      <c r="A437" t="s">
        <v>18</v>
      </c>
      <c r="B437" t="s">
        <v>21</v>
      </c>
      <c r="C437">
        <v>10</v>
      </c>
      <c r="D437" t="s">
        <v>79</v>
      </c>
      <c r="E437" t="s">
        <v>12</v>
      </c>
      <c r="F437" t="s">
        <v>12</v>
      </c>
      <c r="G437">
        <v>38.3504</v>
      </c>
      <c r="H437">
        <v>28.520600000000002</v>
      </c>
      <c r="I437" t="s">
        <v>20</v>
      </c>
      <c r="J437" s="2">
        <f>Table1[[#This Row],[Capacity (MW)]]*8760*0.82*10^-6</f>
        <v>7.1831999999999993E-2</v>
      </c>
      <c r="K437">
        <f>0</f>
        <v>0</v>
      </c>
      <c r="L437">
        <f>0</f>
        <v>0</v>
      </c>
    </row>
    <row r="438" spans="1:12" x14ac:dyDescent="0.35">
      <c r="A438" t="s">
        <v>182</v>
      </c>
      <c r="B438" t="s">
        <v>21</v>
      </c>
      <c r="C438">
        <v>2</v>
      </c>
      <c r="D438" t="s">
        <v>11</v>
      </c>
      <c r="E438">
        <v>1988</v>
      </c>
      <c r="F438" t="s">
        <v>12</v>
      </c>
      <c r="G438">
        <v>40.300800000000002</v>
      </c>
      <c r="H438">
        <v>-120.105</v>
      </c>
      <c r="I438" t="s">
        <v>39</v>
      </c>
      <c r="J438" s="2">
        <f>Table1[[#This Row],[Capacity (MW)]]*8760*0.82*10^-6</f>
        <v>1.43664E-2</v>
      </c>
      <c r="K438">
        <f>0</f>
        <v>0</v>
      </c>
      <c r="L438">
        <f>0</f>
        <v>0</v>
      </c>
    </row>
    <row r="439" spans="1:12" x14ac:dyDescent="0.35">
      <c r="A439" t="s">
        <v>182</v>
      </c>
      <c r="B439" t="s">
        <v>21</v>
      </c>
      <c r="C439">
        <v>2</v>
      </c>
      <c r="D439" t="s">
        <v>11</v>
      </c>
      <c r="E439">
        <v>1988</v>
      </c>
      <c r="F439" t="s">
        <v>12</v>
      </c>
      <c r="G439">
        <v>40.300800000000002</v>
      </c>
      <c r="H439">
        <v>-120.105</v>
      </c>
      <c r="I439" t="s">
        <v>39</v>
      </c>
      <c r="J439" s="2">
        <f>Table1[[#This Row],[Capacity (MW)]]*8760*0.82*10^-6</f>
        <v>1.43664E-2</v>
      </c>
      <c r="K439">
        <f>0</f>
        <v>0</v>
      </c>
      <c r="L439">
        <f>0</f>
        <v>0</v>
      </c>
    </row>
    <row r="440" spans="1:12" x14ac:dyDescent="0.35">
      <c r="A440" t="s">
        <v>113</v>
      </c>
      <c r="B440" t="s">
        <v>21</v>
      </c>
      <c r="C440">
        <v>5</v>
      </c>
      <c r="D440" t="s">
        <v>79</v>
      </c>
      <c r="E440" t="s">
        <v>12</v>
      </c>
      <c r="F440" t="s">
        <v>12</v>
      </c>
      <c r="G440">
        <v>-8.4368999999999996</v>
      </c>
      <c r="H440">
        <v>123.46899999999999</v>
      </c>
      <c r="I440" t="s">
        <v>29</v>
      </c>
      <c r="J440" s="2">
        <f>Table1[[#This Row],[Capacity (MW)]]*8760*0.82*10^-6</f>
        <v>3.5915999999999997E-2</v>
      </c>
      <c r="K440">
        <f>0</f>
        <v>0</v>
      </c>
      <c r="L440">
        <f>0</f>
        <v>0</v>
      </c>
    </row>
    <row r="441" spans="1:12" x14ac:dyDescent="0.35">
      <c r="A441" t="s">
        <v>113</v>
      </c>
      <c r="B441" t="s">
        <v>21</v>
      </c>
      <c r="C441">
        <v>5</v>
      </c>
      <c r="D441" t="s">
        <v>79</v>
      </c>
      <c r="E441" t="s">
        <v>12</v>
      </c>
      <c r="F441" t="s">
        <v>12</v>
      </c>
      <c r="G441">
        <v>-8.4368999999999996</v>
      </c>
      <c r="H441">
        <v>123.46899999999999</v>
      </c>
      <c r="I441" t="s">
        <v>29</v>
      </c>
      <c r="J441" s="2">
        <f>Table1[[#This Row],[Capacity (MW)]]*8760*0.82*10^-6</f>
        <v>3.5915999999999997E-2</v>
      </c>
      <c r="K441">
        <f>0</f>
        <v>0</v>
      </c>
      <c r="L441">
        <f>0</f>
        <v>0</v>
      </c>
    </row>
    <row r="442" spans="1:12" x14ac:dyDescent="0.35">
      <c r="A442" t="s">
        <v>25</v>
      </c>
      <c r="B442" t="s">
        <v>21</v>
      </c>
      <c r="C442">
        <v>20</v>
      </c>
      <c r="D442" t="s">
        <v>11</v>
      </c>
      <c r="E442">
        <v>2021</v>
      </c>
      <c r="F442" t="s">
        <v>12</v>
      </c>
      <c r="G442">
        <v>13.0547</v>
      </c>
      <c r="H442">
        <v>123.9663</v>
      </c>
      <c r="I442" t="s">
        <v>26</v>
      </c>
      <c r="J442" s="2">
        <f>Table1[[#This Row],[Capacity (MW)]]*8760*0.82*10^-6</f>
        <v>0.14366399999999999</v>
      </c>
      <c r="K442">
        <f>0</f>
        <v>0</v>
      </c>
      <c r="L442">
        <f>0</f>
        <v>0</v>
      </c>
    </row>
    <row r="443" spans="1:12" x14ac:dyDescent="0.35">
      <c r="A443" t="s">
        <v>25</v>
      </c>
      <c r="B443" t="s">
        <v>21</v>
      </c>
      <c r="C443">
        <v>20</v>
      </c>
      <c r="D443" t="s">
        <v>11</v>
      </c>
      <c r="E443" t="s">
        <v>12</v>
      </c>
      <c r="F443" t="s">
        <v>12</v>
      </c>
      <c r="G443">
        <v>13.034800000000001</v>
      </c>
      <c r="H443">
        <v>123.93689999999999</v>
      </c>
      <c r="I443" t="s">
        <v>26</v>
      </c>
      <c r="J443" s="2">
        <f>Table1[[#This Row],[Capacity (MW)]]*8760*0.82*10^-6</f>
        <v>0.14366399999999999</v>
      </c>
      <c r="K443">
        <f>0</f>
        <v>0</v>
      </c>
      <c r="L443">
        <f>0</f>
        <v>0</v>
      </c>
    </row>
    <row r="444" spans="1:12" x14ac:dyDescent="0.35">
      <c r="A444" t="s">
        <v>47</v>
      </c>
      <c r="B444" t="s">
        <v>15</v>
      </c>
      <c r="C444">
        <v>4</v>
      </c>
      <c r="D444" t="s">
        <v>11</v>
      </c>
      <c r="E444">
        <v>2011</v>
      </c>
      <c r="F444" t="s">
        <v>12</v>
      </c>
      <c r="G444">
        <v>40.554699999999997</v>
      </c>
      <c r="H444">
        <v>-116.61750000000001</v>
      </c>
      <c r="I444" t="s">
        <v>39</v>
      </c>
      <c r="J444" s="2">
        <f>Table1[[#This Row],[Capacity (MW)]]*8760*0.82*10^-6</f>
        <v>2.8732799999999999E-2</v>
      </c>
      <c r="K444">
        <f>0</f>
        <v>0</v>
      </c>
      <c r="L444">
        <f>0</f>
        <v>0</v>
      </c>
    </row>
    <row r="445" spans="1:12" x14ac:dyDescent="0.35">
      <c r="A445" t="s">
        <v>47</v>
      </c>
      <c r="B445" t="s">
        <v>21</v>
      </c>
      <c r="C445">
        <v>17</v>
      </c>
      <c r="D445" t="s">
        <v>11</v>
      </c>
      <c r="E445">
        <v>1985</v>
      </c>
      <c r="F445" t="s">
        <v>12</v>
      </c>
      <c r="G445">
        <v>40.554699999999997</v>
      </c>
      <c r="H445">
        <v>-116.61750000000001</v>
      </c>
      <c r="I445" t="s">
        <v>39</v>
      </c>
      <c r="J445" s="2">
        <f>Table1[[#This Row],[Capacity (MW)]]*8760*0.82*10^-6</f>
        <v>0.12211439999999998</v>
      </c>
      <c r="K445">
        <f>0</f>
        <v>0</v>
      </c>
      <c r="L445">
        <f>0</f>
        <v>0</v>
      </c>
    </row>
    <row r="446" spans="1:12" x14ac:dyDescent="0.35">
      <c r="A446" t="s">
        <v>49</v>
      </c>
      <c r="B446" t="s">
        <v>21</v>
      </c>
      <c r="C446">
        <v>14</v>
      </c>
      <c r="D446" t="s">
        <v>11</v>
      </c>
      <c r="E446">
        <v>2007</v>
      </c>
      <c r="F446" t="s">
        <v>12</v>
      </c>
      <c r="G446">
        <v>38.488900000000001</v>
      </c>
      <c r="H446">
        <v>-112.8533</v>
      </c>
      <c r="I446" t="s">
        <v>39</v>
      </c>
      <c r="J446" s="2">
        <f>Table1[[#This Row],[Capacity (MW)]]*8760*0.82*10^-6</f>
        <v>0.10056479999999998</v>
      </c>
      <c r="K446">
        <f>0</f>
        <v>0</v>
      </c>
      <c r="L446">
        <f>0</f>
        <v>0</v>
      </c>
    </row>
    <row r="447" spans="1:12" x14ac:dyDescent="0.35">
      <c r="A447" t="s">
        <v>12</v>
      </c>
      <c r="B447" t="s">
        <v>19</v>
      </c>
      <c r="C447">
        <v>5</v>
      </c>
      <c r="D447" t="s">
        <v>11</v>
      </c>
      <c r="E447">
        <v>1986</v>
      </c>
      <c r="F447" t="s">
        <v>12</v>
      </c>
      <c r="G447">
        <v>16.127199999999998</v>
      </c>
      <c r="H447">
        <v>-61.769100000000002</v>
      </c>
      <c r="I447" t="s">
        <v>183</v>
      </c>
      <c r="J447" s="2">
        <f>Table1[[#This Row],[Capacity (MW)]]*8760*0.82*10^-6</f>
        <v>3.5915999999999997E-2</v>
      </c>
      <c r="K447">
        <f>0</f>
        <v>0</v>
      </c>
      <c r="L447">
        <f>0</f>
        <v>0</v>
      </c>
    </row>
    <row r="448" spans="1:12" x14ac:dyDescent="0.35">
      <c r="A448" t="s">
        <v>12</v>
      </c>
      <c r="B448" t="s">
        <v>19</v>
      </c>
      <c r="C448">
        <v>10</v>
      </c>
      <c r="D448" t="s">
        <v>11</v>
      </c>
      <c r="E448">
        <v>2003</v>
      </c>
      <c r="F448" t="s">
        <v>12</v>
      </c>
      <c r="G448">
        <v>16.127199999999998</v>
      </c>
      <c r="H448">
        <v>-61.769100000000002</v>
      </c>
      <c r="I448" t="s">
        <v>183</v>
      </c>
      <c r="J448" s="2">
        <f>Table1[[#This Row],[Capacity (MW)]]*8760*0.82*10^-6</f>
        <v>7.1831999999999993E-2</v>
      </c>
      <c r="K448">
        <f>0</f>
        <v>0</v>
      </c>
      <c r="L448">
        <f>0</f>
        <v>0</v>
      </c>
    </row>
    <row r="449" spans="1:12" x14ac:dyDescent="0.35">
      <c r="A449" t="s">
        <v>47</v>
      </c>
      <c r="B449" t="s">
        <v>19</v>
      </c>
      <c r="C449">
        <v>10</v>
      </c>
      <c r="D449" t="s">
        <v>16</v>
      </c>
      <c r="E449">
        <v>2025</v>
      </c>
      <c r="F449" t="s">
        <v>12</v>
      </c>
      <c r="G449">
        <v>16.127400000000002</v>
      </c>
      <c r="H449">
        <v>-61.768999999999998</v>
      </c>
      <c r="I449" t="s">
        <v>183</v>
      </c>
      <c r="J449" s="2">
        <f>Table1[[#This Row],[Capacity (MW)]]*8760*0.82*10^-6</f>
        <v>7.1831999999999993E-2</v>
      </c>
      <c r="K449">
        <f>0</f>
        <v>0</v>
      </c>
      <c r="L449">
        <f>0</f>
        <v>0</v>
      </c>
    </row>
    <row r="450" spans="1:12" x14ac:dyDescent="0.35">
      <c r="A450" t="s">
        <v>47</v>
      </c>
      <c r="B450" t="s">
        <v>19</v>
      </c>
      <c r="C450">
        <v>6</v>
      </c>
      <c r="D450" t="s">
        <v>11</v>
      </c>
      <c r="E450">
        <v>2002</v>
      </c>
      <c r="F450" t="s">
        <v>12</v>
      </c>
      <c r="G450">
        <v>39.795999999999999</v>
      </c>
      <c r="H450">
        <v>-119.01009999999999</v>
      </c>
      <c r="I450" t="s">
        <v>39</v>
      </c>
      <c r="J450" s="2">
        <f>Table1[[#This Row],[Capacity (MW)]]*8760*0.82*10^-6</f>
        <v>4.3099199999999997E-2</v>
      </c>
      <c r="K450">
        <f>0</f>
        <v>0</v>
      </c>
      <c r="L450">
        <f>0</f>
        <v>0</v>
      </c>
    </row>
    <row r="451" spans="1:12" x14ac:dyDescent="0.35">
      <c r="A451" t="s">
        <v>47</v>
      </c>
      <c r="B451" t="s">
        <v>19</v>
      </c>
      <c r="C451">
        <v>15</v>
      </c>
      <c r="D451" t="s">
        <v>11</v>
      </c>
      <c r="E451">
        <v>2018</v>
      </c>
      <c r="F451" t="s">
        <v>12</v>
      </c>
      <c r="G451">
        <v>39.795999999999999</v>
      </c>
      <c r="H451">
        <v>-119.01009999999999</v>
      </c>
      <c r="I451" t="s">
        <v>39</v>
      </c>
      <c r="J451" s="2">
        <f>Table1[[#This Row],[Capacity (MW)]]*8760*0.82*10^-6</f>
        <v>0.107748</v>
      </c>
      <c r="K451">
        <f>0</f>
        <v>0</v>
      </c>
      <c r="L451">
        <f>0</f>
        <v>0</v>
      </c>
    </row>
    <row r="452" spans="1:12" x14ac:dyDescent="0.35">
      <c r="A452" t="s">
        <v>64</v>
      </c>
      <c r="B452" t="s">
        <v>21</v>
      </c>
      <c r="C452">
        <v>12</v>
      </c>
      <c r="D452" t="s">
        <v>11</v>
      </c>
      <c r="E452">
        <v>2000</v>
      </c>
      <c r="F452" t="s">
        <v>12</v>
      </c>
      <c r="G452">
        <v>33.166899999999998</v>
      </c>
      <c r="H452">
        <v>-115.51139999999999</v>
      </c>
      <c r="I452" t="s">
        <v>39</v>
      </c>
      <c r="J452" s="2">
        <f>Table1[[#This Row],[Capacity (MW)]]*8760*0.82*10^-6</f>
        <v>8.6198399999999994E-2</v>
      </c>
      <c r="K452">
        <f>0</f>
        <v>0</v>
      </c>
      <c r="L452">
        <f>0</f>
        <v>0</v>
      </c>
    </row>
    <row r="453" spans="1:12" x14ac:dyDescent="0.35">
      <c r="A453" t="s">
        <v>157</v>
      </c>
      <c r="B453" t="s">
        <v>15</v>
      </c>
      <c r="C453">
        <v>23</v>
      </c>
      <c r="D453" t="s">
        <v>11</v>
      </c>
      <c r="E453">
        <v>2018</v>
      </c>
      <c r="F453" t="s">
        <v>12</v>
      </c>
      <c r="G453">
        <v>37.8962</v>
      </c>
      <c r="H453">
        <v>28.173100000000002</v>
      </c>
      <c r="I453" t="s">
        <v>20</v>
      </c>
      <c r="J453" s="2">
        <f>Table1[[#This Row],[Capacity (MW)]]*8760*0.82*10^-6</f>
        <v>0.16521359999999996</v>
      </c>
      <c r="K453">
        <f>0</f>
        <v>0</v>
      </c>
      <c r="L453">
        <f>0</f>
        <v>0</v>
      </c>
    </row>
    <row r="454" spans="1:12" x14ac:dyDescent="0.35">
      <c r="A454" t="s">
        <v>67</v>
      </c>
      <c r="B454" t="s">
        <v>15</v>
      </c>
      <c r="C454">
        <v>12</v>
      </c>
      <c r="D454" t="s">
        <v>11</v>
      </c>
      <c r="E454">
        <v>2017</v>
      </c>
      <c r="F454" t="s">
        <v>12</v>
      </c>
      <c r="G454">
        <v>-21.857600000000001</v>
      </c>
      <c r="H454">
        <v>-68.151499999999999</v>
      </c>
      <c r="I454" t="s">
        <v>66</v>
      </c>
      <c r="J454" s="2">
        <f>Table1[[#This Row],[Capacity (MW)]]*8760*0.82*10^-6</f>
        <v>8.6198399999999994E-2</v>
      </c>
      <c r="K454">
        <f>0</f>
        <v>0</v>
      </c>
      <c r="L454">
        <f>0</f>
        <v>0</v>
      </c>
    </row>
    <row r="455" spans="1:12" x14ac:dyDescent="0.35">
      <c r="A455" t="s">
        <v>65</v>
      </c>
      <c r="B455" t="s">
        <v>15</v>
      </c>
      <c r="C455">
        <v>12</v>
      </c>
      <c r="D455" t="s">
        <v>11</v>
      </c>
      <c r="E455">
        <v>2017</v>
      </c>
      <c r="F455" t="s">
        <v>12</v>
      </c>
      <c r="G455">
        <v>-21.857600000000001</v>
      </c>
      <c r="H455">
        <v>-68.151499999999999</v>
      </c>
      <c r="I455" t="s">
        <v>66</v>
      </c>
      <c r="J455" s="2">
        <f>Table1[[#This Row],[Capacity (MW)]]*8760*0.82*10^-6</f>
        <v>8.6198399999999994E-2</v>
      </c>
      <c r="K455">
        <f>0</f>
        <v>0</v>
      </c>
      <c r="L455">
        <f>0</f>
        <v>0</v>
      </c>
    </row>
    <row r="456" spans="1:12" x14ac:dyDescent="0.35">
      <c r="A456" t="s">
        <v>67</v>
      </c>
      <c r="B456" t="s">
        <v>15</v>
      </c>
      <c r="C456">
        <v>12</v>
      </c>
      <c r="D456" t="s">
        <v>11</v>
      </c>
      <c r="E456">
        <v>2017</v>
      </c>
      <c r="F456" t="s">
        <v>12</v>
      </c>
      <c r="G456">
        <v>-21.857600000000001</v>
      </c>
      <c r="H456">
        <v>-68.151499999999999</v>
      </c>
      <c r="I456" t="s">
        <v>66</v>
      </c>
      <c r="J456" s="2">
        <f>Table1[[#This Row],[Capacity (MW)]]*8760*0.82*10^-6</f>
        <v>8.6198399999999994E-2</v>
      </c>
      <c r="K456">
        <f>0</f>
        <v>0</v>
      </c>
      <c r="L456">
        <f>0</f>
        <v>0</v>
      </c>
    </row>
    <row r="457" spans="1:12" x14ac:dyDescent="0.35">
      <c r="A457" t="s">
        <v>65</v>
      </c>
      <c r="B457" t="s">
        <v>15</v>
      </c>
      <c r="C457">
        <v>12</v>
      </c>
      <c r="D457" t="s">
        <v>11</v>
      </c>
      <c r="E457">
        <v>2017</v>
      </c>
      <c r="F457" t="s">
        <v>12</v>
      </c>
      <c r="G457">
        <v>-21.857600000000001</v>
      </c>
      <c r="H457">
        <v>-68.151499999999999</v>
      </c>
      <c r="I457" t="s">
        <v>66</v>
      </c>
      <c r="J457" s="2">
        <f>Table1[[#This Row],[Capacity (MW)]]*8760*0.82*10^-6</f>
        <v>8.6198399999999994E-2</v>
      </c>
      <c r="K457">
        <f>0</f>
        <v>0</v>
      </c>
      <c r="L457">
        <f>0</f>
        <v>0</v>
      </c>
    </row>
    <row r="458" spans="1:12" x14ac:dyDescent="0.35">
      <c r="A458" t="s">
        <v>68</v>
      </c>
      <c r="B458" t="s">
        <v>19</v>
      </c>
      <c r="C458">
        <v>25</v>
      </c>
      <c r="D458" t="s">
        <v>11</v>
      </c>
      <c r="E458">
        <v>2000</v>
      </c>
      <c r="F458" t="s">
        <v>12</v>
      </c>
      <c r="G458">
        <v>32.391599999999997</v>
      </c>
      <c r="H458">
        <v>-115.2252</v>
      </c>
      <c r="I458" t="s">
        <v>69</v>
      </c>
      <c r="J458" s="2">
        <f>Table1[[#This Row],[Capacity (MW)]]*8760*0.82*10^-6</f>
        <v>0.17957999999999999</v>
      </c>
      <c r="K458">
        <f>0</f>
        <v>0</v>
      </c>
      <c r="L458">
        <f>0</f>
        <v>0</v>
      </c>
    </row>
    <row r="459" spans="1:12" x14ac:dyDescent="0.35">
      <c r="A459" t="s">
        <v>68</v>
      </c>
      <c r="B459" t="s">
        <v>19</v>
      </c>
      <c r="C459">
        <v>25</v>
      </c>
      <c r="D459" t="s">
        <v>11</v>
      </c>
      <c r="E459">
        <v>2000</v>
      </c>
      <c r="F459" t="s">
        <v>12</v>
      </c>
      <c r="G459">
        <v>32.391599999999997</v>
      </c>
      <c r="H459">
        <v>-115.2252</v>
      </c>
      <c r="I459" t="s">
        <v>69</v>
      </c>
      <c r="J459" s="2">
        <f>Table1[[#This Row],[Capacity (MW)]]*8760*0.82*10^-6</f>
        <v>0.17957999999999999</v>
      </c>
      <c r="K459">
        <f>0</f>
        <v>0</v>
      </c>
      <c r="L459">
        <f>0</f>
        <v>0</v>
      </c>
    </row>
    <row r="460" spans="1:12" x14ac:dyDescent="0.35">
      <c r="A460" t="s">
        <v>68</v>
      </c>
      <c r="B460" t="s">
        <v>19</v>
      </c>
      <c r="C460">
        <v>25</v>
      </c>
      <c r="D460" t="s">
        <v>11</v>
      </c>
      <c r="E460">
        <v>2000</v>
      </c>
      <c r="F460" t="s">
        <v>12</v>
      </c>
      <c r="G460">
        <v>32.391599999999997</v>
      </c>
      <c r="H460">
        <v>-115.2252</v>
      </c>
      <c r="I460" t="s">
        <v>69</v>
      </c>
      <c r="J460" s="2">
        <f>Table1[[#This Row],[Capacity (MW)]]*8760*0.82*10^-6</f>
        <v>0.17957999999999999</v>
      </c>
      <c r="K460">
        <f>0</f>
        <v>0</v>
      </c>
      <c r="L460">
        <f>0</f>
        <v>0</v>
      </c>
    </row>
    <row r="461" spans="1:12" x14ac:dyDescent="0.35">
      <c r="A461" t="s">
        <v>68</v>
      </c>
      <c r="B461" t="s">
        <v>19</v>
      </c>
      <c r="C461">
        <v>25</v>
      </c>
      <c r="D461" t="s">
        <v>11</v>
      </c>
      <c r="E461">
        <v>2000</v>
      </c>
      <c r="F461" t="s">
        <v>12</v>
      </c>
      <c r="G461">
        <v>32.391599999999997</v>
      </c>
      <c r="H461">
        <v>-115.2252</v>
      </c>
      <c r="I461" t="s">
        <v>69</v>
      </c>
      <c r="J461" s="2">
        <f>Table1[[#This Row],[Capacity (MW)]]*8760*0.82*10^-6</f>
        <v>0.17957999999999999</v>
      </c>
      <c r="K461">
        <f>0</f>
        <v>0</v>
      </c>
      <c r="L461">
        <f>0</f>
        <v>0</v>
      </c>
    </row>
    <row r="462" spans="1:12" x14ac:dyDescent="0.35">
      <c r="A462" t="s">
        <v>12</v>
      </c>
      <c r="B462" t="s">
        <v>21</v>
      </c>
      <c r="C462">
        <v>17</v>
      </c>
      <c r="D462" t="s">
        <v>23</v>
      </c>
      <c r="E462">
        <v>2026</v>
      </c>
      <c r="F462" t="s">
        <v>12</v>
      </c>
      <c r="G462">
        <v>13.513</v>
      </c>
      <c r="H462">
        <v>-88.349299999999999</v>
      </c>
      <c r="I462" t="s">
        <v>13</v>
      </c>
      <c r="J462" s="2">
        <f>Table1[[#This Row],[Capacity (MW)]]*8760*0.82*10^-6</f>
        <v>0.12211439999999998</v>
      </c>
      <c r="K462">
        <f>0</f>
        <v>0</v>
      </c>
      <c r="L462">
        <f>0</f>
        <v>0</v>
      </c>
    </row>
    <row r="463" spans="1:12" x14ac:dyDescent="0.35">
      <c r="A463" t="s">
        <v>9</v>
      </c>
      <c r="B463" t="s">
        <v>21</v>
      </c>
      <c r="C463">
        <v>20</v>
      </c>
      <c r="D463" t="s">
        <v>23</v>
      </c>
      <c r="E463">
        <v>2025</v>
      </c>
      <c r="F463" t="s">
        <v>12</v>
      </c>
      <c r="G463">
        <v>13.513</v>
      </c>
      <c r="H463">
        <v>-88.349299999999999</v>
      </c>
      <c r="I463" t="s">
        <v>13</v>
      </c>
      <c r="J463" s="2">
        <f>Table1[[#This Row],[Capacity (MW)]]*8760*0.82*10^-6</f>
        <v>0.14366399999999999</v>
      </c>
      <c r="K463">
        <f>0</f>
        <v>0</v>
      </c>
      <c r="L463">
        <f>0</f>
        <v>0</v>
      </c>
    </row>
    <row r="464" spans="1:12" x14ac:dyDescent="0.35">
      <c r="A464" t="s">
        <v>47</v>
      </c>
      <c r="B464" t="s">
        <v>15</v>
      </c>
      <c r="C464">
        <v>12</v>
      </c>
      <c r="D464" t="s">
        <v>11</v>
      </c>
      <c r="E464">
        <v>2013</v>
      </c>
      <c r="F464" t="s">
        <v>12</v>
      </c>
      <c r="G464">
        <v>38.560299999999998</v>
      </c>
      <c r="H464">
        <v>-112.58110000000001</v>
      </c>
      <c r="I464" t="s">
        <v>39</v>
      </c>
      <c r="J464" s="2">
        <f>Table1[[#This Row],[Capacity (MW)]]*8760*0.82*10^-6</f>
        <v>8.6198399999999994E-2</v>
      </c>
      <c r="K464">
        <f>0</f>
        <v>0</v>
      </c>
      <c r="L464">
        <f>0</f>
        <v>0</v>
      </c>
    </row>
    <row r="465" spans="1:12" x14ac:dyDescent="0.35">
      <c r="A465" t="s">
        <v>47</v>
      </c>
      <c r="B465" t="s">
        <v>15</v>
      </c>
      <c r="C465">
        <v>12</v>
      </c>
      <c r="D465" t="s">
        <v>11</v>
      </c>
      <c r="E465">
        <v>2013</v>
      </c>
      <c r="F465" t="s">
        <v>12</v>
      </c>
      <c r="G465">
        <v>38.560299999999998</v>
      </c>
      <c r="H465">
        <v>-112.58110000000001</v>
      </c>
      <c r="I465" t="s">
        <v>39</v>
      </c>
      <c r="J465" s="2">
        <f>Table1[[#This Row],[Capacity (MW)]]*8760*0.82*10^-6</f>
        <v>8.6198399999999994E-2</v>
      </c>
      <c r="K465">
        <f>0</f>
        <v>0</v>
      </c>
      <c r="L465">
        <f>0</f>
        <v>0</v>
      </c>
    </row>
    <row r="466" spans="1:12" x14ac:dyDescent="0.35">
      <c r="A466" t="s">
        <v>47</v>
      </c>
      <c r="B466" t="s">
        <v>21</v>
      </c>
      <c r="C466">
        <v>20</v>
      </c>
      <c r="D466" t="s">
        <v>79</v>
      </c>
      <c r="E466">
        <v>2028</v>
      </c>
      <c r="F466" t="s">
        <v>12</v>
      </c>
      <c r="G466">
        <v>38.560299999999998</v>
      </c>
      <c r="H466">
        <v>-112.58110000000001</v>
      </c>
      <c r="I466" t="s">
        <v>39</v>
      </c>
      <c r="J466" s="2">
        <f>Table1[[#This Row],[Capacity (MW)]]*8760*0.82*10^-6</f>
        <v>0.14366399999999999</v>
      </c>
      <c r="K466">
        <f>0</f>
        <v>0</v>
      </c>
      <c r="L466">
        <f>0</f>
        <v>0</v>
      </c>
    </row>
    <row r="467" spans="1:12" x14ac:dyDescent="0.35">
      <c r="A467" t="s">
        <v>12</v>
      </c>
      <c r="B467" t="s">
        <v>21</v>
      </c>
      <c r="C467">
        <v>5</v>
      </c>
      <c r="D467" t="s">
        <v>16</v>
      </c>
      <c r="E467" t="s">
        <v>12</v>
      </c>
      <c r="F467" t="s">
        <v>12</v>
      </c>
      <c r="G467">
        <v>40.595300000000002</v>
      </c>
      <c r="H467">
        <v>-104.60080000000001</v>
      </c>
      <c r="I467" t="s">
        <v>39</v>
      </c>
      <c r="J467" s="2">
        <f>Table1[[#This Row],[Capacity (MW)]]*8760*0.82*10^-6</f>
        <v>3.5915999999999997E-2</v>
      </c>
      <c r="K467">
        <f>0</f>
        <v>0</v>
      </c>
      <c r="L467">
        <f>0</f>
        <v>0</v>
      </c>
    </row>
    <row r="468" spans="1:12" x14ac:dyDescent="0.35">
      <c r="A468" t="s">
        <v>113</v>
      </c>
      <c r="B468" t="s">
        <v>21</v>
      </c>
      <c r="C468">
        <v>20</v>
      </c>
      <c r="D468" t="s">
        <v>79</v>
      </c>
      <c r="E468" t="s">
        <v>12</v>
      </c>
      <c r="F468" t="s">
        <v>12</v>
      </c>
      <c r="G468">
        <v>-4.9371999999999998</v>
      </c>
      <c r="H468">
        <v>103.8672</v>
      </c>
      <c r="I468" t="s">
        <v>29</v>
      </c>
      <c r="J468" s="2">
        <f>Table1[[#This Row],[Capacity (MW)]]*8760*0.82*10^-6</f>
        <v>0.14366399999999999</v>
      </c>
      <c r="K468">
        <f>0</f>
        <v>0</v>
      </c>
      <c r="L468">
        <f>0</f>
        <v>0</v>
      </c>
    </row>
    <row r="469" spans="1:12" x14ac:dyDescent="0.35">
      <c r="A469" t="s">
        <v>47</v>
      </c>
      <c r="B469" t="s">
        <v>15</v>
      </c>
      <c r="C469">
        <v>11</v>
      </c>
      <c r="D469" t="s">
        <v>11</v>
      </c>
      <c r="E469">
        <v>2006</v>
      </c>
      <c r="F469" t="s">
        <v>12</v>
      </c>
      <c r="G469">
        <v>39.753999999999998</v>
      </c>
      <c r="H469">
        <v>-118.95350000000001</v>
      </c>
      <c r="I469" t="s">
        <v>39</v>
      </c>
      <c r="J469" s="2">
        <f>Table1[[#This Row],[Capacity (MW)]]*8760*0.82*10^-6</f>
        <v>7.9015199999999994E-2</v>
      </c>
      <c r="K469">
        <f>0</f>
        <v>0</v>
      </c>
      <c r="L469">
        <f>0</f>
        <v>0</v>
      </c>
    </row>
    <row r="470" spans="1:12" x14ac:dyDescent="0.35">
      <c r="A470" t="s">
        <v>47</v>
      </c>
      <c r="B470" t="s">
        <v>15</v>
      </c>
      <c r="C470">
        <v>15</v>
      </c>
      <c r="D470" t="s">
        <v>11</v>
      </c>
      <c r="E470">
        <v>2006</v>
      </c>
      <c r="F470" t="s">
        <v>12</v>
      </c>
      <c r="G470">
        <v>39.753999999999998</v>
      </c>
      <c r="H470">
        <v>-118.95350000000001</v>
      </c>
      <c r="I470" t="s">
        <v>39</v>
      </c>
      <c r="J470" s="2">
        <f>Table1[[#This Row],[Capacity (MW)]]*8760*0.82*10^-6</f>
        <v>0.107748</v>
      </c>
      <c r="K470">
        <f>0</f>
        <v>0</v>
      </c>
      <c r="L470">
        <f>0</f>
        <v>0</v>
      </c>
    </row>
    <row r="471" spans="1:12" x14ac:dyDescent="0.35">
      <c r="A471" t="s">
        <v>47</v>
      </c>
      <c r="B471" t="s">
        <v>15</v>
      </c>
      <c r="C471">
        <v>12</v>
      </c>
      <c r="D471" t="s">
        <v>16</v>
      </c>
      <c r="E471" t="s">
        <v>12</v>
      </c>
      <c r="F471" t="s">
        <v>12</v>
      </c>
      <c r="G471">
        <v>39.790500000000002</v>
      </c>
      <c r="H471">
        <v>-118.0812</v>
      </c>
      <c r="I471" t="s">
        <v>39</v>
      </c>
      <c r="J471" s="2">
        <f>Table1[[#This Row],[Capacity (MW)]]*8760*0.82*10^-6</f>
        <v>8.6198399999999994E-2</v>
      </c>
      <c r="K471">
        <f>0</f>
        <v>0</v>
      </c>
      <c r="L471">
        <f>0</f>
        <v>0</v>
      </c>
    </row>
    <row r="472" spans="1:12" x14ac:dyDescent="0.35">
      <c r="A472" t="s">
        <v>12</v>
      </c>
      <c r="B472" t="s">
        <v>15</v>
      </c>
      <c r="C472">
        <v>22</v>
      </c>
      <c r="D472" t="s">
        <v>11</v>
      </c>
      <c r="E472">
        <v>2014</v>
      </c>
      <c r="F472" t="s">
        <v>12</v>
      </c>
      <c r="G472">
        <v>38.8367</v>
      </c>
      <c r="H472">
        <v>-118.32389999999999</v>
      </c>
      <c r="I472" t="s">
        <v>39</v>
      </c>
      <c r="J472" s="2">
        <f>Table1[[#This Row],[Capacity (MW)]]*8760*0.82*10^-6</f>
        <v>0.15803039999999999</v>
      </c>
      <c r="K472">
        <f>0</f>
        <v>0</v>
      </c>
      <c r="L472">
        <f>0</f>
        <v>0</v>
      </c>
    </row>
    <row r="473" spans="1:12" x14ac:dyDescent="0.35">
      <c r="A473" t="s">
        <v>12</v>
      </c>
      <c r="B473" t="s">
        <v>15</v>
      </c>
      <c r="C473">
        <v>25</v>
      </c>
      <c r="D473" t="s">
        <v>11</v>
      </c>
      <c r="E473">
        <v>2015</v>
      </c>
      <c r="F473" t="s">
        <v>12</v>
      </c>
      <c r="G473">
        <v>38.835799999999999</v>
      </c>
      <c r="H473">
        <v>-118.3253</v>
      </c>
      <c r="I473" t="s">
        <v>39</v>
      </c>
      <c r="J473" s="2">
        <f>Table1[[#This Row],[Capacity (MW)]]*8760*0.82*10^-6</f>
        <v>0.17957999999999999</v>
      </c>
      <c r="K473">
        <f>0</f>
        <v>0</v>
      </c>
      <c r="L473">
        <f>0</f>
        <v>0</v>
      </c>
    </row>
    <row r="474" spans="1:12" x14ac:dyDescent="0.35">
      <c r="A474" t="s">
        <v>85</v>
      </c>
      <c r="B474" t="s">
        <v>15</v>
      </c>
      <c r="C474">
        <v>22</v>
      </c>
      <c r="D474" t="s">
        <v>11</v>
      </c>
      <c r="E474">
        <v>2014</v>
      </c>
      <c r="F474" t="s">
        <v>12</v>
      </c>
      <c r="G474">
        <v>37.8596</v>
      </c>
      <c r="H474">
        <v>27.613199999999999</v>
      </c>
      <c r="I474" t="s">
        <v>20</v>
      </c>
      <c r="J474" s="2">
        <f>Table1[[#This Row],[Capacity (MW)]]*8760*0.82*10^-6</f>
        <v>0.15803039999999999</v>
      </c>
      <c r="K474">
        <f>0</f>
        <v>0</v>
      </c>
      <c r="L474">
        <f>0</f>
        <v>0</v>
      </c>
    </row>
    <row r="475" spans="1:12" x14ac:dyDescent="0.35">
      <c r="A475" t="s">
        <v>85</v>
      </c>
      <c r="B475" t="s">
        <v>15</v>
      </c>
      <c r="C475">
        <v>22</v>
      </c>
      <c r="D475" t="s">
        <v>11</v>
      </c>
      <c r="E475">
        <v>2014</v>
      </c>
      <c r="F475" t="s">
        <v>12</v>
      </c>
      <c r="G475">
        <v>37.867800000000003</v>
      </c>
      <c r="H475">
        <v>27.645399999999999</v>
      </c>
      <c r="I475" t="s">
        <v>20</v>
      </c>
      <c r="J475" s="2">
        <f>Table1[[#This Row],[Capacity (MW)]]*8760*0.82*10^-6</f>
        <v>0.15803039999999999</v>
      </c>
      <c r="K475">
        <f>0</f>
        <v>0</v>
      </c>
      <c r="L475">
        <f>0</f>
        <v>0</v>
      </c>
    </row>
    <row r="476" spans="1:12" x14ac:dyDescent="0.35">
      <c r="A476" t="s">
        <v>85</v>
      </c>
      <c r="B476" t="s">
        <v>15</v>
      </c>
      <c r="C476">
        <v>22</v>
      </c>
      <c r="D476" t="s">
        <v>11</v>
      </c>
      <c r="E476">
        <v>2014</v>
      </c>
      <c r="F476" t="s">
        <v>12</v>
      </c>
      <c r="G476">
        <v>37.866799999999998</v>
      </c>
      <c r="H476">
        <v>27.642900000000001</v>
      </c>
      <c r="I476" t="s">
        <v>20</v>
      </c>
      <c r="J476" s="2">
        <f>Table1[[#This Row],[Capacity (MW)]]*8760*0.82*10^-6</f>
        <v>0.15803039999999999</v>
      </c>
      <c r="K476">
        <f>0</f>
        <v>0</v>
      </c>
      <c r="L476">
        <f>0</f>
        <v>0</v>
      </c>
    </row>
    <row r="477" spans="1:12" x14ac:dyDescent="0.35">
      <c r="A477" t="s">
        <v>85</v>
      </c>
      <c r="B477" t="s">
        <v>15</v>
      </c>
      <c r="C477">
        <v>23</v>
      </c>
      <c r="D477" t="s">
        <v>11</v>
      </c>
      <c r="E477">
        <v>2017</v>
      </c>
      <c r="F477" t="s">
        <v>12</v>
      </c>
      <c r="G477">
        <v>37.883099999999999</v>
      </c>
      <c r="H477">
        <v>27.633600000000001</v>
      </c>
      <c r="I477" t="s">
        <v>20</v>
      </c>
      <c r="J477" s="2">
        <f>Table1[[#This Row],[Capacity (MW)]]*8760*0.82*10^-6</f>
        <v>0.16521359999999996</v>
      </c>
      <c r="K477">
        <f>0</f>
        <v>0</v>
      </c>
      <c r="L477">
        <f>0</f>
        <v>0</v>
      </c>
    </row>
    <row r="478" spans="1:12" x14ac:dyDescent="0.35">
      <c r="A478" t="s">
        <v>85</v>
      </c>
      <c r="B478" t="s">
        <v>15</v>
      </c>
      <c r="C478">
        <v>25</v>
      </c>
      <c r="D478" t="s">
        <v>11</v>
      </c>
      <c r="E478">
        <v>2018</v>
      </c>
      <c r="F478" t="s">
        <v>12</v>
      </c>
      <c r="G478">
        <v>37.8598</v>
      </c>
      <c r="H478">
        <v>27.615300000000001</v>
      </c>
      <c r="I478" t="s">
        <v>20</v>
      </c>
      <c r="J478" s="2">
        <f>Table1[[#This Row],[Capacity (MW)]]*8760*0.82*10^-6</f>
        <v>0.17957999999999999</v>
      </c>
      <c r="K478">
        <f>0</f>
        <v>0</v>
      </c>
      <c r="L478">
        <f>0</f>
        <v>0</v>
      </c>
    </row>
    <row r="479" spans="1:12" x14ac:dyDescent="0.35">
      <c r="A479" t="s">
        <v>88</v>
      </c>
      <c r="B479" t="s">
        <v>15</v>
      </c>
      <c r="C479">
        <v>25</v>
      </c>
      <c r="D479" t="s">
        <v>16</v>
      </c>
      <c r="E479">
        <v>2025</v>
      </c>
      <c r="F479" t="s">
        <v>12</v>
      </c>
      <c r="G479">
        <v>49.139000000000003</v>
      </c>
      <c r="H479">
        <v>-102.9849</v>
      </c>
      <c r="I479" t="s">
        <v>89</v>
      </c>
      <c r="J479" s="2">
        <f>Table1[[#This Row],[Capacity (MW)]]*8760*0.82*10^-6</f>
        <v>0.17957999999999999</v>
      </c>
      <c r="K479">
        <f>0</f>
        <v>0</v>
      </c>
      <c r="L479">
        <f>0</f>
        <v>0</v>
      </c>
    </row>
    <row r="480" spans="1:12" x14ac:dyDescent="0.35">
      <c r="A480" t="s">
        <v>88</v>
      </c>
      <c r="B480" t="s">
        <v>21</v>
      </c>
      <c r="C480">
        <v>20</v>
      </c>
      <c r="D480" t="s">
        <v>79</v>
      </c>
      <c r="E480" t="s">
        <v>12</v>
      </c>
      <c r="F480" t="s">
        <v>12</v>
      </c>
      <c r="G480">
        <v>49.139000000000003</v>
      </c>
      <c r="H480">
        <v>-102.9849</v>
      </c>
      <c r="I480" t="s">
        <v>89</v>
      </c>
      <c r="J480" s="2">
        <f>Table1[[#This Row],[Capacity (MW)]]*8760*0.82*10^-6</f>
        <v>0.14366399999999999</v>
      </c>
      <c r="K480">
        <f>0</f>
        <v>0</v>
      </c>
      <c r="L480">
        <f>0</f>
        <v>0</v>
      </c>
    </row>
    <row r="481" spans="1:12" x14ac:dyDescent="0.35">
      <c r="A481" t="s">
        <v>88</v>
      </c>
      <c r="B481" t="s">
        <v>21</v>
      </c>
      <c r="C481">
        <v>20</v>
      </c>
      <c r="D481" t="s">
        <v>79</v>
      </c>
      <c r="E481" t="s">
        <v>12</v>
      </c>
      <c r="F481" t="s">
        <v>12</v>
      </c>
      <c r="G481">
        <v>49.139000000000003</v>
      </c>
      <c r="H481">
        <v>-102.9849</v>
      </c>
      <c r="I481" t="s">
        <v>89</v>
      </c>
      <c r="J481" s="2">
        <f>Table1[[#This Row],[Capacity (MW)]]*8760*0.82*10^-6</f>
        <v>0.14366399999999999</v>
      </c>
      <c r="K481">
        <f>0</f>
        <v>0</v>
      </c>
      <c r="L481">
        <f>0</f>
        <v>0</v>
      </c>
    </row>
    <row r="482" spans="1:12" x14ac:dyDescent="0.35">
      <c r="A482" t="s">
        <v>184</v>
      </c>
      <c r="B482" t="s">
        <v>21</v>
      </c>
      <c r="C482">
        <v>3.5</v>
      </c>
      <c r="D482" t="s">
        <v>11</v>
      </c>
      <c r="E482">
        <v>2023</v>
      </c>
      <c r="F482" t="s">
        <v>12</v>
      </c>
      <c r="G482">
        <v>36.056100000000001</v>
      </c>
      <c r="H482">
        <v>-115.0091</v>
      </c>
      <c r="I482" t="s">
        <v>39</v>
      </c>
      <c r="J482" s="2">
        <f>Table1[[#This Row],[Capacity (MW)]]*8760*0.82*10^-6</f>
        <v>2.5141199999999995E-2</v>
      </c>
      <c r="K482">
        <f>0</f>
        <v>0</v>
      </c>
      <c r="L482">
        <f>0</f>
        <v>0</v>
      </c>
    </row>
    <row r="483" spans="1:12" x14ac:dyDescent="0.35">
      <c r="A483" t="s">
        <v>12</v>
      </c>
      <c r="B483" t="s">
        <v>21</v>
      </c>
      <c r="C483">
        <v>5</v>
      </c>
      <c r="D483" t="s">
        <v>16</v>
      </c>
      <c r="E483">
        <v>2025</v>
      </c>
      <c r="F483" t="s">
        <v>12</v>
      </c>
      <c r="G483">
        <v>37.860900000000001</v>
      </c>
      <c r="H483">
        <v>-118.0341</v>
      </c>
      <c r="I483" t="s">
        <v>39</v>
      </c>
      <c r="J483" s="2">
        <f>Table1[[#This Row],[Capacity (MW)]]*8760*0.82*10^-6</f>
        <v>3.5915999999999997E-2</v>
      </c>
      <c r="K483">
        <f>0</f>
        <v>0</v>
      </c>
      <c r="L483">
        <f>0</f>
        <v>0</v>
      </c>
    </row>
    <row r="484" spans="1:12" x14ac:dyDescent="0.35">
      <c r="A484" t="s">
        <v>12</v>
      </c>
      <c r="B484" t="s">
        <v>21</v>
      </c>
      <c r="C484">
        <v>5</v>
      </c>
      <c r="D484" t="s">
        <v>16</v>
      </c>
      <c r="E484">
        <v>2025</v>
      </c>
      <c r="F484" t="s">
        <v>12</v>
      </c>
      <c r="G484">
        <v>37.860900000000001</v>
      </c>
      <c r="H484">
        <v>-118.0341</v>
      </c>
      <c r="I484" t="s">
        <v>39</v>
      </c>
      <c r="J484" s="2">
        <f>Table1[[#This Row],[Capacity (MW)]]*8760*0.82*10^-6</f>
        <v>3.5915999999999997E-2</v>
      </c>
      <c r="K484">
        <f>0</f>
        <v>0</v>
      </c>
      <c r="L484">
        <f>0</f>
        <v>0</v>
      </c>
    </row>
    <row r="485" spans="1:12" x14ac:dyDescent="0.35">
      <c r="A485" t="s">
        <v>12</v>
      </c>
      <c r="B485" t="s">
        <v>21</v>
      </c>
      <c r="C485">
        <v>5</v>
      </c>
      <c r="D485" t="s">
        <v>16</v>
      </c>
      <c r="E485">
        <v>2025</v>
      </c>
      <c r="F485" t="s">
        <v>12</v>
      </c>
      <c r="G485">
        <v>37.860900000000001</v>
      </c>
      <c r="H485">
        <v>-118.0341</v>
      </c>
      <c r="I485" t="s">
        <v>39</v>
      </c>
      <c r="J485" s="2">
        <f>Table1[[#This Row],[Capacity (MW)]]*8760*0.82*10^-6</f>
        <v>3.5915999999999997E-2</v>
      </c>
      <c r="K485">
        <f>0</f>
        <v>0</v>
      </c>
      <c r="L485">
        <f>0</f>
        <v>0</v>
      </c>
    </row>
    <row r="486" spans="1:12" x14ac:dyDescent="0.35">
      <c r="A486" t="s">
        <v>12</v>
      </c>
      <c r="B486" t="s">
        <v>21</v>
      </c>
      <c r="C486">
        <v>5</v>
      </c>
      <c r="D486" t="s">
        <v>16</v>
      </c>
      <c r="E486">
        <v>2025</v>
      </c>
      <c r="F486" t="s">
        <v>12</v>
      </c>
      <c r="G486">
        <v>37.860900000000001</v>
      </c>
      <c r="H486">
        <v>-118.0341</v>
      </c>
      <c r="I486" t="s">
        <v>39</v>
      </c>
      <c r="J486" s="2">
        <f>Table1[[#This Row],[Capacity (MW)]]*8760*0.82*10^-6</f>
        <v>3.5915999999999997E-2</v>
      </c>
      <c r="K486">
        <f>0</f>
        <v>0</v>
      </c>
      <c r="L486">
        <f>0</f>
        <v>0</v>
      </c>
    </row>
    <row r="487" spans="1:12" x14ac:dyDescent="0.35">
      <c r="A487" t="s">
        <v>47</v>
      </c>
      <c r="B487" t="s">
        <v>15</v>
      </c>
      <c r="C487">
        <v>14</v>
      </c>
      <c r="D487" t="s">
        <v>11</v>
      </c>
      <c r="E487">
        <v>2007</v>
      </c>
      <c r="F487" t="s">
        <v>12</v>
      </c>
      <c r="G487">
        <v>39.373199999999997</v>
      </c>
      <c r="H487">
        <v>-119.7645</v>
      </c>
      <c r="I487" t="s">
        <v>39</v>
      </c>
      <c r="J487" s="2">
        <f>Table1[[#This Row],[Capacity (MW)]]*8760*0.82*10^-6</f>
        <v>0.10056479999999998</v>
      </c>
      <c r="K487">
        <f>0</f>
        <v>0</v>
      </c>
      <c r="L487">
        <f>0</f>
        <v>0</v>
      </c>
    </row>
    <row r="488" spans="1:12" x14ac:dyDescent="0.35">
      <c r="A488" t="s">
        <v>47</v>
      </c>
      <c r="B488" t="s">
        <v>15</v>
      </c>
      <c r="C488">
        <v>15</v>
      </c>
      <c r="D488" t="s">
        <v>11</v>
      </c>
      <c r="E488">
        <v>2008</v>
      </c>
      <c r="F488" t="s">
        <v>12</v>
      </c>
      <c r="G488">
        <v>39.3887</v>
      </c>
      <c r="H488">
        <v>-119.74890000000001</v>
      </c>
      <c r="I488" t="s">
        <v>39</v>
      </c>
      <c r="J488" s="2">
        <f>Table1[[#This Row],[Capacity (MW)]]*8760*0.82*10^-6</f>
        <v>0.107748</v>
      </c>
      <c r="K488">
        <f>0</f>
        <v>0</v>
      </c>
      <c r="L488">
        <f>0</f>
        <v>0</v>
      </c>
    </row>
    <row r="489" spans="1:12" x14ac:dyDescent="0.35">
      <c r="A489" t="s">
        <v>47</v>
      </c>
      <c r="B489" t="s">
        <v>15</v>
      </c>
      <c r="C489">
        <v>15</v>
      </c>
      <c r="D489" t="s">
        <v>11</v>
      </c>
      <c r="E489">
        <v>2008</v>
      </c>
      <c r="F489" t="s">
        <v>12</v>
      </c>
      <c r="G489">
        <v>39.3887</v>
      </c>
      <c r="H489">
        <v>-119.74890000000001</v>
      </c>
      <c r="I489" t="s">
        <v>39</v>
      </c>
      <c r="J489" s="2">
        <f>Table1[[#This Row],[Capacity (MW)]]*8760*0.82*10^-6</f>
        <v>0.107748</v>
      </c>
      <c r="K489">
        <f>0</f>
        <v>0</v>
      </c>
      <c r="L489">
        <f>0</f>
        <v>0</v>
      </c>
    </row>
    <row r="490" spans="1:12" x14ac:dyDescent="0.35">
      <c r="A490" t="s">
        <v>185</v>
      </c>
      <c r="B490" t="s">
        <v>21</v>
      </c>
      <c r="C490">
        <v>20</v>
      </c>
      <c r="D490" t="s">
        <v>79</v>
      </c>
      <c r="E490" t="s">
        <v>12</v>
      </c>
      <c r="F490" t="s">
        <v>12</v>
      </c>
      <c r="G490">
        <v>38.287700000000001</v>
      </c>
      <c r="H490">
        <v>-122.45950000000001</v>
      </c>
      <c r="I490" t="s">
        <v>39</v>
      </c>
      <c r="J490" s="2">
        <f>Table1[[#This Row],[Capacity (MW)]]*8760*0.82*10^-6</f>
        <v>0.14366399999999999</v>
      </c>
      <c r="K490">
        <f>0</f>
        <v>0</v>
      </c>
      <c r="L490">
        <f>0</f>
        <v>0</v>
      </c>
    </row>
    <row r="491" spans="1:12" x14ac:dyDescent="0.35">
      <c r="A491" t="s">
        <v>158</v>
      </c>
      <c r="B491" t="s">
        <v>21</v>
      </c>
      <c r="C491">
        <v>20</v>
      </c>
      <c r="D491" t="s">
        <v>79</v>
      </c>
      <c r="E491" t="s">
        <v>12</v>
      </c>
      <c r="F491" t="s">
        <v>12</v>
      </c>
      <c r="G491">
        <v>38.287700000000001</v>
      </c>
      <c r="H491">
        <v>-122.45950000000001</v>
      </c>
      <c r="I491" t="s">
        <v>39</v>
      </c>
      <c r="J491" s="2">
        <f>Table1[[#This Row],[Capacity (MW)]]*8760*0.82*10^-6</f>
        <v>0.14366399999999999</v>
      </c>
      <c r="K491">
        <f>0</f>
        <v>0</v>
      </c>
      <c r="L491">
        <f>0</f>
        <v>0</v>
      </c>
    </row>
    <row r="492" spans="1:12" x14ac:dyDescent="0.35">
      <c r="A492" t="s">
        <v>186</v>
      </c>
      <c r="B492" t="s">
        <v>21</v>
      </c>
      <c r="C492">
        <v>20</v>
      </c>
      <c r="D492" t="s">
        <v>79</v>
      </c>
      <c r="E492" t="s">
        <v>12</v>
      </c>
      <c r="F492" t="s">
        <v>12</v>
      </c>
      <c r="G492">
        <v>38.287700000000001</v>
      </c>
      <c r="H492">
        <v>-122.45950000000001</v>
      </c>
      <c r="I492" t="s">
        <v>39</v>
      </c>
      <c r="J492" s="2">
        <f>Table1[[#This Row],[Capacity (MW)]]*8760*0.82*10^-6</f>
        <v>0.14366399999999999</v>
      </c>
      <c r="K492">
        <f>0</f>
        <v>0</v>
      </c>
      <c r="L492">
        <f>0</f>
        <v>0</v>
      </c>
    </row>
    <row r="493" spans="1:12" x14ac:dyDescent="0.35">
      <c r="A493" t="s">
        <v>91</v>
      </c>
      <c r="B493" t="s">
        <v>21</v>
      </c>
      <c r="C493">
        <v>13</v>
      </c>
      <c r="D493" t="s">
        <v>11</v>
      </c>
      <c r="E493">
        <v>2016</v>
      </c>
      <c r="F493" t="s">
        <v>12</v>
      </c>
      <c r="G493">
        <v>37.934600000000003</v>
      </c>
      <c r="H493">
        <v>28.796900000000001</v>
      </c>
      <c r="I493" t="s">
        <v>20</v>
      </c>
      <c r="J493" s="2">
        <f>Table1[[#This Row],[Capacity (MW)]]*8760*0.82*10^-6</f>
        <v>9.3381599999999981E-2</v>
      </c>
      <c r="K493">
        <f>0</f>
        <v>0</v>
      </c>
      <c r="L493">
        <f>0</f>
        <v>0</v>
      </c>
    </row>
    <row r="494" spans="1:12" x14ac:dyDescent="0.35">
      <c r="A494" t="s">
        <v>91</v>
      </c>
      <c r="B494" t="s">
        <v>21</v>
      </c>
      <c r="C494">
        <v>13</v>
      </c>
      <c r="D494" t="s">
        <v>11</v>
      </c>
      <c r="E494">
        <v>2016</v>
      </c>
      <c r="F494" t="s">
        <v>12</v>
      </c>
      <c r="G494">
        <v>37.934600000000003</v>
      </c>
      <c r="H494">
        <v>28.796900000000001</v>
      </c>
      <c r="I494" t="s">
        <v>20</v>
      </c>
      <c r="J494" s="2">
        <f>Table1[[#This Row],[Capacity (MW)]]*8760*0.82*10^-6</f>
        <v>9.3381599999999981E-2</v>
      </c>
      <c r="K494">
        <f>0</f>
        <v>0</v>
      </c>
      <c r="L494">
        <f>0</f>
        <v>0</v>
      </c>
    </row>
    <row r="495" spans="1:12" x14ac:dyDescent="0.35">
      <c r="A495" t="s">
        <v>91</v>
      </c>
      <c r="B495" t="s">
        <v>21</v>
      </c>
      <c r="C495">
        <v>13</v>
      </c>
      <c r="D495" t="s">
        <v>11</v>
      </c>
      <c r="E495">
        <v>2016</v>
      </c>
      <c r="F495" t="s">
        <v>12</v>
      </c>
      <c r="G495">
        <v>37.934600000000003</v>
      </c>
      <c r="H495">
        <v>28.796900000000001</v>
      </c>
      <c r="I495" t="s">
        <v>20</v>
      </c>
      <c r="J495" s="2">
        <f>Table1[[#This Row],[Capacity (MW)]]*8760*0.82*10^-6</f>
        <v>9.3381599999999981E-2</v>
      </c>
      <c r="K495">
        <f>0</f>
        <v>0</v>
      </c>
      <c r="L495">
        <f>0</f>
        <v>0</v>
      </c>
    </row>
    <row r="496" spans="1:12" x14ac:dyDescent="0.35">
      <c r="A496" t="s">
        <v>91</v>
      </c>
      <c r="B496" t="s">
        <v>21</v>
      </c>
      <c r="C496">
        <v>13</v>
      </c>
      <c r="D496" t="s">
        <v>11</v>
      </c>
      <c r="E496" t="s">
        <v>12</v>
      </c>
      <c r="F496" t="s">
        <v>12</v>
      </c>
      <c r="G496">
        <v>37.934600000000003</v>
      </c>
      <c r="H496">
        <v>28.796900000000001</v>
      </c>
      <c r="I496" t="s">
        <v>20</v>
      </c>
      <c r="J496" s="2">
        <f>Table1[[#This Row],[Capacity (MW)]]*8760*0.82*10^-6</f>
        <v>9.3381599999999981E-2</v>
      </c>
      <c r="K496">
        <f>0</f>
        <v>0</v>
      </c>
      <c r="L496">
        <f>0</f>
        <v>0</v>
      </c>
    </row>
    <row r="497" spans="1:12" x14ac:dyDescent="0.35">
      <c r="A497" t="s">
        <v>91</v>
      </c>
      <c r="B497" t="s">
        <v>21</v>
      </c>
      <c r="C497">
        <v>13</v>
      </c>
      <c r="D497" t="s">
        <v>11</v>
      </c>
      <c r="E497" t="s">
        <v>12</v>
      </c>
      <c r="F497" t="s">
        <v>12</v>
      </c>
      <c r="G497">
        <v>37.934600000000003</v>
      </c>
      <c r="H497">
        <v>28.796900000000001</v>
      </c>
      <c r="I497" t="s">
        <v>20</v>
      </c>
      <c r="J497" s="2">
        <f>Table1[[#This Row],[Capacity (MW)]]*8760*0.82*10^-6</f>
        <v>9.3381599999999981E-2</v>
      </c>
      <c r="K497">
        <f>0</f>
        <v>0</v>
      </c>
      <c r="L497">
        <f>0</f>
        <v>0</v>
      </c>
    </row>
    <row r="498" spans="1:12" x14ac:dyDescent="0.35">
      <c r="A498" t="s">
        <v>91</v>
      </c>
      <c r="B498" t="s">
        <v>21</v>
      </c>
      <c r="C498">
        <v>23</v>
      </c>
      <c r="D498" t="s">
        <v>11</v>
      </c>
      <c r="E498" t="s">
        <v>12</v>
      </c>
      <c r="F498" t="s">
        <v>12</v>
      </c>
      <c r="G498">
        <v>37.934600000000003</v>
      </c>
      <c r="H498">
        <v>28.796900000000001</v>
      </c>
      <c r="I498" t="s">
        <v>20</v>
      </c>
      <c r="J498" s="2">
        <f>Table1[[#This Row],[Capacity (MW)]]*8760*0.82*10^-6</f>
        <v>0.16521359999999996</v>
      </c>
      <c r="K498">
        <f>0</f>
        <v>0</v>
      </c>
      <c r="L498">
        <f>0</f>
        <v>0</v>
      </c>
    </row>
    <row r="499" spans="1:12" x14ac:dyDescent="0.35">
      <c r="A499" t="s">
        <v>91</v>
      </c>
      <c r="B499" t="s">
        <v>21</v>
      </c>
      <c r="C499">
        <v>26</v>
      </c>
      <c r="D499" t="s">
        <v>11</v>
      </c>
      <c r="E499">
        <v>2020</v>
      </c>
      <c r="F499" t="s">
        <v>12</v>
      </c>
      <c r="G499">
        <v>37.934600000000003</v>
      </c>
      <c r="H499">
        <v>28.796900000000001</v>
      </c>
      <c r="I499" t="s">
        <v>20</v>
      </c>
      <c r="J499" s="2">
        <f>Table1[[#This Row],[Capacity (MW)]]*8760*0.82*10^-6</f>
        <v>0.18676319999999996</v>
      </c>
      <c r="K499">
        <f>0</f>
        <v>0</v>
      </c>
      <c r="L499">
        <f>0</f>
        <v>0</v>
      </c>
    </row>
    <row r="500" spans="1:12" x14ac:dyDescent="0.35">
      <c r="A500" t="s">
        <v>113</v>
      </c>
      <c r="B500" t="s">
        <v>21</v>
      </c>
      <c r="C500">
        <v>5</v>
      </c>
      <c r="D500" t="s">
        <v>79</v>
      </c>
      <c r="E500" t="s">
        <v>12</v>
      </c>
      <c r="F500" t="s">
        <v>12</v>
      </c>
      <c r="G500">
        <v>-8.5168999999999997</v>
      </c>
      <c r="H500">
        <v>124.13339999999999</v>
      </c>
      <c r="I500" t="s">
        <v>29</v>
      </c>
      <c r="J500" s="2">
        <f>Table1[[#This Row],[Capacity (MW)]]*8760*0.82*10^-6</f>
        <v>3.5915999999999997E-2</v>
      </c>
      <c r="K500">
        <f>0</f>
        <v>0</v>
      </c>
      <c r="L500">
        <f>0</f>
        <v>0</v>
      </c>
    </row>
    <row r="501" spans="1:12" x14ac:dyDescent="0.35">
      <c r="A501" t="s">
        <v>47</v>
      </c>
      <c r="B501" t="s">
        <v>15</v>
      </c>
      <c r="C501">
        <v>8</v>
      </c>
      <c r="D501" t="s">
        <v>11</v>
      </c>
      <c r="E501">
        <v>2010</v>
      </c>
      <c r="F501" t="s">
        <v>12</v>
      </c>
      <c r="G501">
        <v>40.180799999999998</v>
      </c>
      <c r="H501">
        <v>-117.4739</v>
      </c>
      <c r="I501" t="s">
        <v>39</v>
      </c>
      <c r="J501" s="2">
        <f>Table1[[#This Row],[Capacity (MW)]]*8760*0.82*10^-6</f>
        <v>5.7465599999999999E-2</v>
      </c>
      <c r="K501">
        <f>0</f>
        <v>0</v>
      </c>
      <c r="L501">
        <f>0</f>
        <v>0</v>
      </c>
    </row>
    <row r="502" spans="1:12" x14ac:dyDescent="0.35">
      <c r="A502" t="s">
        <v>47</v>
      </c>
      <c r="B502" t="s">
        <v>15</v>
      </c>
      <c r="C502">
        <v>16</v>
      </c>
      <c r="D502" t="s">
        <v>11</v>
      </c>
      <c r="E502">
        <v>2010</v>
      </c>
      <c r="F502" t="s">
        <v>12</v>
      </c>
      <c r="G502">
        <v>40.180799999999998</v>
      </c>
      <c r="H502">
        <v>-117.4739</v>
      </c>
      <c r="I502" t="s">
        <v>39</v>
      </c>
      <c r="J502" s="2">
        <f>Table1[[#This Row],[Capacity (MW)]]*8760*0.82*10^-6</f>
        <v>0.1149312</v>
      </c>
      <c r="K502">
        <f>0</f>
        <v>0</v>
      </c>
      <c r="L502">
        <f>0</f>
        <v>0</v>
      </c>
    </row>
    <row r="503" spans="1:12" x14ac:dyDescent="0.35">
      <c r="A503" t="s">
        <v>18</v>
      </c>
      <c r="B503" t="s">
        <v>10</v>
      </c>
      <c r="C503">
        <v>15</v>
      </c>
      <c r="D503" t="s">
        <v>11</v>
      </c>
      <c r="E503">
        <v>2013</v>
      </c>
      <c r="F503" t="s">
        <v>12</v>
      </c>
      <c r="G503">
        <v>37.9499</v>
      </c>
      <c r="H503">
        <v>28.8354</v>
      </c>
      <c r="I503" t="s">
        <v>20</v>
      </c>
      <c r="J503" s="2">
        <f>Table1[[#This Row],[Capacity (MW)]]*8760*0.82*10^-6</f>
        <v>0.107748</v>
      </c>
      <c r="K503">
        <f>0</f>
        <v>0</v>
      </c>
      <c r="L503">
        <f>0</f>
        <v>0</v>
      </c>
    </row>
    <row r="504" spans="1:12" x14ac:dyDescent="0.35">
      <c r="A504" t="s">
        <v>104</v>
      </c>
      <c r="B504" t="s">
        <v>10</v>
      </c>
      <c r="C504">
        <v>20</v>
      </c>
      <c r="D504" t="s">
        <v>11</v>
      </c>
      <c r="E504">
        <v>2016</v>
      </c>
      <c r="F504" t="s">
        <v>12</v>
      </c>
      <c r="G504">
        <v>1.174549122044996</v>
      </c>
      <c r="H504">
        <v>124.79538467877779</v>
      </c>
      <c r="I504" t="s">
        <v>29</v>
      </c>
      <c r="J504" s="2">
        <f>Table1[[#This Row],[Capacity (MW)]]*8760*0.82*10^-6</f>
        <v>0.14366399999999999</v>
      </c>
      <c r="K504">
        <f>0</f>
        <v>0</v>
      </c>
      <c r="L504">
        <f>0</f>
        <v>0</v>
      </c>
    </row>
    <row r="505" spans="1:12" x14ac:dyDescent="0.35">
      <c r="A505" t="s">
        <v>104</v>
      </c>
      <c r="B505" t="s">
        <v>10</v>
      </c>
      <c r="C505">
        <v>20</v>
      </c>
      <c r="D505" t="s">
        <v>11</v>
      </c>
      <c r="E505">
        <v>2016</v>
      </c>
      <c r="F505" t="s">
        <v>12</v>
      </c>
      <c r="G505">
        <v>1.1745450574300651</v>
      </c>
      <c r="H505">
        <v>124.79538467877779</v>
      </c>
      <c r="I505" t="s">
        <v>29</v>
      </c>
      <c r="J505" s="2">
        <f>Table1[[#This Row],[Capacity (MW)]]*8760*0.82*10^-6</f>
        <v>0.14366399999999999</v>
      </c>
      <c r="K505">
        <f>0</f>
        <v>0</v>
      </c>
      <c r="L505">
        <f>0</f>
        <v>0</v>
      </c>
    </row>
    <row r="506" spans="1:12" x14ac:dyDescent="0.35">
      <c r="A506" t="s">
        <v>104</v>
      </c>
      <c r="B506" t="s">
        <v>21</v>
      </c>
      <c r="C506">
        <v>20</v>
      </c>
      <c r="D506" t="s">
        <v>11</v>
      </c>
      <c r="E506">
        <v>2001</v>
      </c>
      <c r="F506" t="s">
        <v>12</v>
      </c>
      <c r="G506">
        <v>1.2542</v>
      </c>
      <c r="H506">
        <v>124.8199</v>
      </c>
      <c r="I506" t="s">
        <v>29</v>
      </c>
      <c r="J506" s="2">
        <f>Table1[[#This Row],[Capacity (MW)]]*8760*0.82*10^-6</f>
        <v>0.14366399999999999</v>
      </c>
      <c r="K506">
        <f>0</f>
        <v>0</v>
      </c>
      <c r="L506">
        <f>0</f>
        <v>0</v>
      </c>
    </row>
    <row r="507" spans="1:12" x14ac:dyDescent="0.35">
      <c r="A507" t="s">
        <v>104</v>
      </c>
      <c r="B507" t="s">
        <v>21</v>
      </c>
      <c r="C507">
        <v>20</v>
      </c>
      <c r="D507" t="s">
        <v>11</v>
      </c>
      <c r="E507">
        <v>2007</v>
      </c>
      <c r="F507" t="s">
        <v>12</v>
      </c>
      <c r="G507">
        <v>1.2542</v>
      </c>
      <c r="H507">
        <v>124.8199</v>
      </c>
      <c r="I507" t="s">
        <v>29</v>
      </c>
      <c r="J507" s="2">
        <f>Table1[[#This Row],[Capacity (MW)]]*8760*0.82*10^-6</f>
        <v>0.14366399999999999</v>
      </c>
      <c r="K507">
        <f>0</f>
        <v>0</v>
      </c>
      <c r="L507">
        <f>0</f>
        <v>0</v>
      </c>
    </row>
    <row r="508" spans="1:12" x14ac:dyDescent="0.35">
      <c r="A508" t="s">
        <v>104</v>
      </c>
      <c r="B508" t="s">
        <v>21</v>
      </c>
      <c r="C508">
        <v>20</v>
      </c>
      <c r="D508" t="s">
        <v>11</v>
      </c>
      <c r="E508">
        <v>2009</v>
      </c>
      <c r="F508" t="s">
        <v>12</v>
      </c>
      <c r="G508">
        <v>1.2712000000000001</v>
      </c>
      <c r="H508">
        <v>124.83540000000001</v>
      </c>
      <c r="I508" t="s">
        <v>29</v>
      </c>
      <c r="J508" s="2">
        <f>Table1[[#This Row],[Capacity (MW)]]*8760*0.82*10^-6</f>
        <v>0.14366399999999999</v>
      </c>
      <c r="K508">
        <f>0</f>
        <v>0</v>
      </c>
      <c r="L508">
        <f>0</f>
        <v>0</v>
      </c>
    </row>
    <row r="509" spans="1:12" x14ac:dyDescent="0.35">
      <c r="A509" t="s">
        <v>104</v>
      </c>
      <c r="B509" t="s">
        <v>21</v>
      </c>
      <c r="C509">
        <v>20</v>
      </c>
      <c r="D509" t="s">
        <v>11</v>
      </c>
      <c r="E509">
        <v>2011</v>
      </c>
      <c r="F509" t="s">
        <v>12</v>
      </c>
      <c r="G509">
        <v>1.2712000000000001</v>
      </c>
      <c r="H509">
        <v>124.83540000000001</v>
      </c>
      <c r="I509" t="s">
        <v>29</v>
      </c>
      <c r="J509" s="2">
        <f>Table1[[#This Row],[Capacity (MW)]]*8760*0.82*10^-6</f>
        <v>0.14366399999999999</v>
      </c>
      <c r="K509">
        <f>0</f>
        <v>0</v>
      </c>
      <c r="L509">
        <f>0</f>
        <v>0</v>
      </c>
    </row>
    <row r="510" spans="1:12" x14ac:dyDescent="0.35">
      <c r="A510" t="s">
        <v>187</v>
      </c>
      <c r="B510" t="s">
        <v>15</v>
      </c>
      <c r="C510">
        <v>1</v>
      </c>
      <c r="D510" t="s">
        <v>11</v>
      </c>
      <c r="E510">
        <v>2013</v>
      </c>
      <c r="F510" t="s">
        <v>12</v>
      </c>
      <c r="G510">
        <v>32.1447</v>
      </c>
      <c r="H510">
        <v>-108.8383</v>
      </c>
      <c r="I510" t="s">
        <v>39</v>
      </c>
      <c r="J510" s="2">
        <f>Table1[[#This Row],[Capacity (MW)]]*8760*0.82*10^-6</f>
        <v>7.1831999999999998E-3</v>
      </c>
      <c r="K510">
        <f>0</f>
        <v>0</v>
      </c>
      <c r="L510">
        <f>0</f>
        <v>0</v>
      </c>
    </row>
    <row r="511" spans="1:12" x14ac:dyDescent="0.35">
      <c r="A511" t="s">
        <v>187</v>
      </c>
      <c r="B511" t="s">
        <v>15</v>
      </c>
      <c r="C511">
        <v>1</v>
      </c>
      <c r="D511" t="s">
        <v>11</v>
      </c>
      <c r="E511">
        <v>2013</v>
      </c>
      <c r="F511" t="s">
        <v>12</v>
      </c>
      <c r="G511">
        <v>32.1447</v>
      </c>
      <c r="H511">
        <v>-108.8383</v>
      </c>
      <c r="I511" t="s">
        <v>39</v>
      </c>
      <c r="J511" s="2">
        <f>Table1[[#This Row],[Capacity (MW)]]*8760*0.82*10^-6</f>
        <v>7.1831999999999998E-3</v>
      </c>
      <c r="K511">
        <f>0</f>
        <v>0</v>
      </c>
      <c r="L511">
        <f>0</f>
        <v>0</v>
      </c>
    </row>
    <row r="512" spans="1:12" x14ac:dyDescent="0.35">
      <c r="A512" t="s">
        <v>187</v>
      </c>
      <c r="B512" t="s">
        <v>15</v>
      </c>
      <c r="C512">
        <v>1</v>
      </c>
      <c r="D512" t="s">
        <v>11</v>
      </c>
      <c r="E512">
        <v>2013</v>
      </c>
      <c r="F512" t="s">
        <v>12</v>
      </c>
      <c r="G512">
        <v>32.1447</v>
      </c>
      <c r="H512">
        <v>-108.8383</v>
      </c>
      <c r="I512" t="s">
        <v>39</v>
      </c>
      <c r="J512" s="2">
        <f>Table1[[#This Row],[Capacity (MW)]]*8760*0.82*10^-6</f>
        <v>7.1831999999999998E-3</v>
      </c>
      <c r="K512">
        <f>0</f>
        <v>0</v>
      </c>
      <c r="L512">
        <f>0</f>
        <v>0</v>
      </c>
    </row>
    <row r="513" spans="1:12" x14ac:dyDescent="0.35">
      <c r="A513" t="s">
        <v>187</v>
      </c>
      <c r="B513" t="s">
        <v>15</v>
      </c>
      <c r="C513">
        <v>1</v>
      </c>
      <c r="D513" t="s">
        <v>11</v>
      </c>
      <c r="E513">
        <v>2013</v>
      </c>
      <c r="F513" t="s">
        <v>12</v>
      </c>
      <c r="G513">
        <v>32.1447</v>
      </c>
      <c r="H513">
        <v>-108.8383</v>
      </c>
      <c r="I513" t="s">
        <v>39</v>
      </c>
      <c r="J513" s="2">
        <f>Table1[[#This Row],[Capacity (MW)]]*8760*0.82*10^-6</f>
        <v>7.1831999999999998E-3</v>
      </c>
      <c r="K513">
        <f>0</f>
        <v>0</v>
      </c>
      <c r="L513">
        <f>0</f>
        <v>0</v>
      </c>
    </row>
    <row r="514" spans="1:12" x14ac:dyDescent="0.35">
      <c r="A514" t="s">
        <v>187</v>
      </c>
      <c r="B514" t="s">
        <v>15</v>
      </c>
      <c r="C514">
        <v>15</v>
      </c>
      <c r="D514" t="s">
        <v>11</v>
      </c>
      <c r="E514">
        <v>2018</v>
      </c>
      <c r="F514" t="s">
        <v>12</v>
      </c>
      <c r="G514">
        <v>32.1447</v>
      </c>
      <c r="H514">
        <v>-108.8383</v>
      </c>
      <c r="I514" t="s">
        <v>39</v>
      </c>
      <c r="J514" s="2">
        <f>Table1[[#This Row],[Capacity (MW)]]*8760*0.82*10^-6</f>
        <v>0.107748</v>
      </c>
      <c r="K514">
        <f>0</f>
        <v>0</v>
      </c>
      <c r="L514">
        <f>0</f>
        <v>0</v>
      </c>
    </row>
    <row r="515" spans="1:12" x14ac:dyDescent="0.35">
      <c r="A515" t="s">
        <v>68</v>
      </c>
      <c r="B515" t="s">
        <v>10</v>
      </c>
      <c r="C515">
        <v>26</v>
      </c>
      <c r="D515" t="s">
        <v>11</v>
      </c>
      <c r="E515" t="s">
        <v>12</v>
      </c>
      <c r="F515" t="s">
        <v>12</v>
      </c>
      <c r="G515">
        <v>19.790400000000002</v>
      </c>
      <c r="H515">
        <v>-100.66670000000001</v>
      </c>
      <c r="I515" t="s">
        <v>69</v>
      </c>
      <c r="J515" s="2">
        <f>Table1[[#This Row],[Capacity (MW)]]*8760*0.82*10^-6</f>
        <v>0.18676319999999996</v>
      </c>
      <c r="K515">
        <f>0</f>
        <v>0</v>
      </c>
      <c r="L515">
        <f>0</f>
        <v>0</v>
      </c>
    </row>
    <row r="516" spans="1:12" x14ac:dyDescent="0.35">
      <c r="A516" t="s">
        <v>68</v>
      </c>
      <c r="B516" t="s">
        <v>10</v>
      </c>
      <c r="C516">
        <v>26</v>
      </c>
      <c r="D516" t="s">
        <v>11</v>
      </c>
      <c r="E516" t="s">
        <v>12</v>
      </c>
      <c r="F516" t="s">
        <v>12</v>
      </c>
      <c r="G516">
        <v>19.790400000000002</v>
      </c>
      <c r="H516">
        <v>-100.66670000000001</v>
      </c>
      <c r="I516" t="s">
        <v>69</v>
      </c>
      <c r="J516" s="2">
        <f>Table1[[#This Row],[Capacity (MW)]]*8760*0.82*10^-6</f>
        <v>0.18676319999999996</v>
      </c>
      <c r="K516">
        <f>0</f>
        <v>0</v>
      </c>
      <c r="L516">
        <f>0</f>
        <v>0</v>
      </c>
    </row>
    <row r="517" spans="1:12" x14ac:dyDescent="0.35">
      <c r="A517" t="s">
        <v>68</v>
      </c>
      <c r="B517" t="s">
        <v>10</v>
      </c>
      <c r="C517">
        <v>26</v>
      </c>
      <c r="D517" t="s">
        <v>11</v>
      </c>
      <c r="E517" t="s">
        <v>12</v>
      </c>
      <c r="F517" t="s">
        <v>12</v>
      </c>
      <c r="G517">
        <v>19.790400000000002</v>
      </c>
      <c r="H517">
        <v>-100.66670000000001</v>
      </c>
      <c r="I517" t="s">
        <v>69</v>
      </c>
      <c r="J517" s="2">
        <f>Table1[[#This Row],[Capacity (MW)]]*8760*0.82*10^-6</f>
        <v>0.18676319999999996</v>
      </c>
      <c r="K517">
        <f>0</f>
        <v>0</v>
      </c>
      <c r="L517">
        <f>0</f>
        <v>0</v>
      </c>
    </row>
    <row r="518" spans="1:12" x14ac:dyDescent="0.35">
      <c r="A518" t="s">
        <v>68</v>
      </c>
      <c r="B518" t="s">
        <v>10</v>
      </c>
      <c r="C518">
        <v>27</v>
      </c>
      <c r="D518" t="s">
        <v>11</v>
      </c>
      <c r="E518" t="s">
        <v>12</v>
      </c>
      <c r="F518" t="s">
        <v>12</v>
      </c>
      <c r="G518">
        <v>19.790400000000002</v>
      </c>
      <c r="H518">
        <v>-100.66670000000001</v>
      </c>
      <c r="I518" t="s">
        <v>69</v>
      </c>
      <c r="J518" s="2">
        <f>Table1[[#This Row],[Capacity (MW)]]*8760*0.82*10^-6</f>
        <v>0.19394639999999999</v>
      </c>
      <c r="K518">
        <f>0</f>
        <v>0</v>
      </c>
      <c r="L518">
        <f>0</f>
        <v>0</v>
      </c>
    </row>
    <row r="519" spans="1:12" x14ac:dyDescent="0.35">
      <c r="A519" t="s">
        <v>68</v>
      </c>
      <c r="B519" t="s">
        <v>21</v>
      </c>
      <c r="C519">
        <v>5</v>
      </c>
      <c r="D519" t="s">
        <v>11</v>
      </c>
      <c r="E519" t="s">
        <v>12</v>
      </c>
      <c r="F519" t="s">
        <v>12</v>
      </c>
      <c r="G519">
        <v>19.790400000000002</v>
      </c>
      <c r="H519">
        <v>-100.66670000000001</v>
      </c>
      <c r="I519" t="s">
        <v>69</v>
      </c>
      <c r="J519" s="2">
        <f>Table1[[#This Row],[Capacity (MW)]]*8760*0.82*10^-6</f>
        <v>3.5915999999999997E-2</v>
      </c>
      <c r="K519">
        <f>0</f>
        <v>0</v>
      </c>
      <c r="L519">
        <f>0</f>
        <v>0</v>
      </c>
    </row>
    <row r="520" spans="1:12" x14ac:dyDescent="0.35">
      <c r="A520" t="s">
        <v>68</v>
      </c>
      <c r="B520" t="s">
        <v>21</v>
      </c>
      <c r="C520">
        <v>25</v>
      </c>
      <c r="D520" t="s">
        <v>11</v>
      </c>
      <c r="E520" t="s">
        <v>12</v>
      </c>
      <c r="F520" t="s">
        <v>12</v>
      </c>
      <c r="G520">
        <v>19.671279999999999</v>
      </c>
      <c r="H520">
        <v>-97.455664600000006</v>
      </c>
      <c r="I520" t="s">
        <v>69</v>
      </c>
      <c r="J520" s="2">
        <f>Table1[[#This Row],[Capacity (MW)]]*8760*0.82*10^-6</f>
        <v>0.17957999999999999</v>
      </c>
      <c r="K520">
        <f>0</f>
        <v>0</v>
      </c>
      <c r="L520">
        <f>0</f>
        <v>0</v>
      </c>
    </row>
    <row r="521" spans="1:12" x14ac:dyDescent="0.35">
      <c r="A521" t="s">
        <v>68</v>
      </c>
      <c r="B521" t="s">
        <v>21</v>
      </c>
      <c r="C521">
        <v>25</v>
      </c>
      <c r="D521" t="s">
        <v>11</v>
      </c>
      <c r="E521" t="s">
        <v>12</v>
      </c>
      <c r="F521" t="s">
        <v>12</v>
      </c>
      <c r="G521">
        <v>19.671279999999999</v>
      </c>
      <c r="H521">
        <v>-97.455664600000006</v>
      </c>
      <c r="I521" t="s">
        <v>69</v>
      </c>
      <c r="J521" s="2">
        <f>Table1[[#This Row],[Capacity (MW)]]*8760*0.82*10^-6</f>
        <v>0.17957999999999999</v>
      </c>
      <c r="K521">
        <f>0</f>
        <v>0</v>
      </c>
      <c r="L521">
        <f>0</f>
        <v>0</v>
      </c>
    </row>
    <row r="522" spans="1:12" x14ac:dyDescent="0.35">
      <c r="A522" t="s">
        <v>68</v>
      </c>
      <c r="B522" t="s">
        <v>10</v>
      </c>
      <c r="C522">
        <v>25</v>
      </c>
      <c r="D522" t="s">
        <v>11</v>
      </c>
      <c r="E522">
        <v>2017</v>
      </c>
      <c r="F522" t="s">
        <v>12</v>
      </c>
      <c r="G522">
        <v>19.6465</v>
      </c>
      <c r="H522">
        <v>-97.4375</v>
      </c>
      <c r="I522" t="s">
        <v>69</v>
      </c>
      <c r="J522" s="2">
        <f>Table1[[#This Row],[Capacity (MW)]]*8760*0.82*10^-6</f>
        <v>0.17957999999999999</v>
      </c>
      <c r="K522">
        <f>0</f>
        <v>0</v>
      </c>
      <c r="L522">
        <f>0</f>
        <v>0</v>
      </c>
    </row>
    <row r="523" spans="1:12" x14ac:dyDescent="0.35">
      <c r="A523" t="s">
        <v>68</v>
      </c>
      <c r="B523" t="s">
        <v>10</v>
      </c>
      <c r="C523">
        <v>25</v>
      </c>
      <c r="D523" t="s">
        <v>51</v>
      </c>
      <c r="E523" t="s">
        <v>12</v>
      </c>
      <c r="F523" t="s">
        <v>12</v>
      </c>
      <c r="G523">
        <v>19.6465</v>
      </c>
      <c r="H523">
        <v>-97.4375</v>
      </c>
      <c r="I523" t="s">
        <v>69</v>
      </c>
      <c r="J523" s="2">
        <f>Table1[[#This Row],[Capacity (MW)]]*8760*0.82*10^-6</f>
        <v>0.17957999999999999</v>
      </c>
      <c r="K523">
        <f>0</f>
        <v>0</v>
      </c>
      <c r="L523">
        <f>0</f>
        <v>0</v>
      </c>
    </row>
    <row r="524" spans="1:12" x14ac:dyDescent="0.35">
      <c r="A524" t="s">
        <v>25</v>
      </c>
      <c r="B524" t="s">
        <v>15</v>
      </c>
      <c r="C524">
        <v>28</v>
      </c>
      <c r="D524" t="s">
        <v>79</v>
      </c>
      <c r="E524" t="s">
        <v>12</v>
      </c>
      <c r="F524" t="s">
        <v>12</v>
      </c>
      <c r="G524">
        <v>11.1309</v>
      </c>
      <c r="H524">
        <v>124.6695</v>
      </c>
      <c r="I524" t="s">
        <v>26</v>
      </c>
      <c r="J524" s="2">
        <f>Table1[[#This Row],[Capacity (MW)]]*8760*0.82*10^-6</f>
        <v>0.20112959999999996</v>
      </c>
      <c r="K524">
        <f>0</f>
        <v>0</v>
      </c>
      <c r="L524">
        <f>0</f>
        <v>0</v>
      </c>
    </row>
    <row r="525" spans="1:12" x14ac:dyDescent="0.35">
      <c r="A525" t="s">
        <v>188</v>
      </c>
      <c r="B525" t="s">
        <v>21</v>
      </c>
      <c r="C525">
        <v>12</v>
      </c>
      <c r="D525" t="s">
        <v>11</v>
      </c>
      <c r="E525">
        <v>2018</v>
      </c>
      <c r="F525" t="s">
        <v>12</v>
      </c>
      <c r="G525">
        <v>14.138199999999999</v>
      </c>
      <c r="H525">
        <v>121.16549999999999</v>
      </c>
      <c r="I525" t="s">
        <v>26</v>
      </c>
      <c r="J525" s="2">
        <f>Table1[[#This Row],[Capacity (MW)]]*8760*0.82*10^-6</f>
        <v>8.6198399999999994E-2</v>
      </c>
      <c r="K525">
        <f>0</f>
        <v>0</v>
      </c>
      <c r="L525">
        <f>0</f>
        <v>0</v>
      </c>
    </row>
    <row r="526" spans="1:12" x14ac:dyDescent="0.35">
      <c r="A526" t="s">
        <v>188</v>
      </c>
      <c r="B526" t="s">
        <v>21</v>
      </c>
      <c r="C526">
        <v>20</v>
      </c>
      <c r="D526" t="s">
        <v>11</v>
      </c>
      <c r="E526">
        <v>2014</v>
      </c>
      <c r="F526" t="s">
        <v>12</v>
      </c>
      <c r="G526">
        <v>14.138199999999999</v>
      </c>
      <c r="H526">
        <v>121.16549999999999</v>
      </c>
      <c r="I526" t="s">
        <v>26</v>
      </c>
      <c r="J526" s="2">
        <f>Table1[[#This Row],[Capacity (MW)]]*8760*0.82*10^-6</f>
        <v>0.14366399999999999</v>
      </c>
      <c r="K526">
        <f>0</f>
        <v>0</v>
      </c>
      <c r="L526">
        <f>0</f>
        <v>0</v>
      </c>
    </row>
    <row r="527" spans="1:12" x14ac:dyDescent="0.35">
      <c r="A527" t="s">
        <v>188</v>
      </c>
      <c r="B527" t="s">
        <v>21</v>
      </c>
      <c r="C527">
        <v>20</v>
      </c>
      <c r="D527" t="s">
        <v>79</v>
      </c>
      <c r="E527">
        <v>2025</v>
      </c>
      <c r="F527" t="s">
        <v>12</v>
      </c>
      <c r="G527">
        <v>14.138199999999999</v>
      </c>
      <c r="H527">
        <v>121.16549999999999</v>
      </c>
      <c r="I527" t="s">
        <v>26</v>
      </c>
      <c r="J527" s="2">
        <f>Table1[[#This Row],[Capacity (MW)]]*8760*0.82*10^-6</f>
        <v>0.14366399999999999</v>
      </c>
      <c r="K527">
        <f>0</f>
        <v>0</v>
      </c>
      <c r="L527">
        <f>0</f>
        <v>0</v>
      </c>
    </row>
    <row r="528" spans="1:12" x14ac:dyDescent="0.35">
      <c r="A528" t="s">
        <v>47</v>
      </c>
      <c r="B528" t="s">
        <v>15</v>
      </c>
      <c r="C528">
        <v>5</v>
      </c>
      <c r="D528" t="s">
        <v>11</v>
      </c>
      <c r="E528">
        <v>1984</v>
      </c>
      <c r="F528" t="s">
        <v>12</v>
      </c>
      <c r="G528">
        <v>37.645099999999999</v>
      </c>
      <c r="H528">
        <v>-118.9143</v>
      </c>
      <c r="I528" t="s">
        <v>39</v>
      </c>
      <c r="J528" s="2">
        <f>Table1[[#This Row],[Capacity (MW)]]*8760*0.82*10^-6</f>
        <v>3.5915999999999997E-2</v>
      </c>
      <c r="K528">
        <f>0</f>
        <v>0</v>
      </c>
      <c r="L528">
        <f>0</f>
        <v>0</v>
      </c>
    </row>
    <row r="529" spans="1:12" x14ac:dyDescent="0.35">
      <c r="A529" t="s">
        <v>47</v>
      </c>
      <c r="B529" t="s">
        <v>15</v>
      </c>
      <c r="C529">
        <v>5</v>
      </c>
      <c r="D529" t="s">
        <v>11</v>
      </c>
      <c r="E529">
        <v>1984</v>
      </c>
      <c r="F529" t="s">
        <v>12</v>
      </c>
      <c r="G529">
        <v>37.645099999999999</v>
      </c>
      <c r="H529">
        <v>-118.9143</v>
      </c>
      <c r="I529" t="s">
        <v>39</v>
      </c>
      <c r="J529" s="2">
        <f>Table1[[#This Row],[Capacity (MW)]]*8760*0.82*10^-6</f>
        <v>3.5915999999999997E-2</v>
      </c>
      <c r="K529">
        <f>0</f>
        <v>0</v>
      </c>
      <c r="L529">
        <f>0</f>
        <v>0</v>
      </c>
    </row>
    <row r="530" spans="1:12" x14ac:dyDescent="0.35">
      <c r="A530" t="s">
        <v>47</v>
      </c>
      <c r="B530" t="s">
        <v>15</v>
      </c>
      <c r="C530">
        <v>5</v>
      </c>
      <c r="D530" t="s">
        <v>11</v>
      </c>
      <c r="E530">
        <v>1990</v>
      </c>
      <c r="F530" t="s">
        <v>12</v>
      </c>
      <c r="G530">
        <v>37.6464</v>
      </c>
      <c r="H530">
        <v>-118.9092</v>
      </c>
      <c r="I530" t="s">
        <v>39</v>
      </c>
      <c r="J530" s="2">
        <f>Table1[[#This Row],[Capacity (MW)]]*8760*0.82*10^-6</f>
        <v>3.5915999999999997E-2</v>
      </c>
      <c r="K530">
        <f>0</f>
        <v>0</v>
      </c>
      <c r="L530">
        <f>0</f>
        <v>0</v>
      </c>
    </row>
    <row r="531" spans="1:12" x14ac:dyDescent="0.35">
      <c r="A531" t="s">
        <v>47</v>
      </c>
      <c r="B531" t="s">
        <v>15</v>
      </c>
      <c r="C531">
        <v>5</v>
      </c>
      <c r="D531" t="s">
        <v>11</v>
      </c>
      <c r="E531">
        <v>1990</v>
      </c>
      <c r="F531" t="s">
        <v>12</v>
      </c>
      <c r="G531">
        <v>37.6464</v>
      </c>
      <c r="H531">
        <v>-118.9092</v>
      </c>
      <c r="I531" t="s">
        <v>39</v>
      </c>
      <c r="J531" s="2">
        <f>Table1[[#This Row],[Capacity (MW)]]*8760*0.82*10^-6</f>
        <v>3.5915999999999997E-2</v>
      </c>
      <c r="K531">
        <f>0</f>
        <v>0</v>
      </c>
      <c r="L531">
        <f>0</f>
        <v>0</v>
      </c>
    </row>
    <row r="532" spans="1:12" x14ac:dyDescent="0.35">
      <c r="A532" t="s">
        <v>47</v>
      </c>
      <c r="B532" t="s">
        <v>15</v>
      </c>
      <c r="C532">
        <v>5</v>
      </c>
      <c r="D532" t="s">
        <v>11</v>
      </c>
      <c r="E532">
        <v>1990</v>
      </c>
      <c r="F532" t="s">
        <v>12</v>
      </c>
      <c r="G532">
        <v>37.6464</v>
      </c>
      <c r="H532">
        <v>-118.9092</v>
      </c>
      <c r="I532" t="s">
        <v>39</v>
      </c>
      <c r="J532" s="2">
        <f>Table1[[#This Row],[Capacity (MW)]]*8760*0.82*10^-6</f>
        <v>3.5915999999999997E-2</v>
      </c>
      <c r="K532">
        <f>0</f>
        <v>0</v>
      </c>
      <c r="L532">
        <f>0</f>
        <v>0</v>
      </c>
    </row>
    <row r="533" spans="1:12" x14ac:dyDescent="0.35">
      <c r="A533" t="s">
        <v>47</v>
      </c>
      <c r="B533" t="s">
        <v>15</v>
      </c>
      <c r="C533">
        <v>5</v>
      </c>
      <c r="D533" t="s">
        <v>11</v>
      </c>
      <c r="E533">
        <v>1990</v>
      </c>
      <c r="F533" t="s">
        <v>12</v>
      </c>
      <c r="G533">
        <v>37.645499999999998</v>
      </c>
      <c r="H533">
        <v>-118.9096</v>
      </c>
      <c r="I533" t="s">
        <v>39</v>
      </c>
      <c r="J533" s="2">
        <f>Table1[[#This Row],[Capacity (MW)]]*8760*0.82*10^-6</f>
        <v>3.5915999999999997E-2</v>
      </c>
      <c r="K533">
        <f>0</f>
        <v>0</v>
      </c>
      <c r="L533">
        <f>0</f>
        <v>0</v>
      </c>
    </row>
    <row r="534" spans="1:12" x14ac:dyDescent="0.35">
      <c r="A534" t="s">
        <v>47</v>
      </c>
      <c r="B534" t="s">
        <v>15</v>
      </c>
      <c r="C534">
        <v>5</v>
      </c>
      <c r="D534" t="s">
        <v>11</v>
      </c>
      <c r="E534">
        <v>1990</v>
      </c>
      <c r="F534" t="s">
        <v>12</v>
      </c>
      <c r="G534">
        <v>37.645499999999998</v>
      </c>
      <c r="H534">
        <v>-118.9096</v>
      </c>
      <c r="I534" t="s">
        <v>39</v>
      </c>
      <c r="J534" s="2">
        <f>Table1[[#This Row],[Capacity (MW)]]*8760*0.82*10^-6</f>
        <v>3.5915999999999997E-2</v>
      </c>
      <c r="K534">
        <f>0</f>
        <v>0</v>
      </c>
      <c r="L534">
        <f>0</f>
        <v>0</v>
      </c>
    </row>
    <row r="535" spans="1:12" x14ac:dyDescent="0.35">
      <c r="A535" t="s">
        <v>47</v>
      </c>
      <c r="B535" t="s">
        <v>15</v>
      </c>
      <c r="C535">
        <v>5</v>
      </c>
      <c r="D535" t="s">
        <v>11</v>
      </c>
      <c r="E535">
        <v>1990</v>
      </c>
      <c r="F535" t="s">
        <v>12</v>
      </c>
      <c r="G535">
        <v>37.645499999999998</v>
      </c>
      <c r="H535">
        <v>-118.9096</v>
      </c>
      <c r="I535" t="s">
        <v>39</v>
      </c>
      <c r="J535" s="2">
        <f>Table1[[#This Row],[Capacity (MW)]]*8760*0.82*10^-6</f>
        <v>3.5915999999999997E-2</v>
      </c>
      <c r="K535">
        <f>0</f>
        <v>0</v>
      </c>
      <c r="L535">
        <f>0</f>
        <v>0</v>
      </c>
    </row>
    <row r="536" spans="1:12" x14ac:dyDescent="0.35">
      <c r="A536" t="s">
        <v>12</v>
      </c>
      <c r="B536" t="s">
        <v>21</v>
      </c>
      <c r="C536">
        <v>2</v>
      </c>
      <c r="D536" t="s">
        <v>11</v>
      </c>
      <c r="E536" t="s">
        <v>12</v>
      </c>
      <c r="F536" t="s">
        <v>12</v>
      </c>
      <c r="G536">
        <v>-8.8331999999999997</v>
      </c>
      <c r="H536">
        <v>121.0611</v>
      </c>
      <c r="I536" t="s">
        <v>29</v>
      </c>
      <c r="J536" s="2">
        <f>Table1[[#This Row],[Capacity (MW)]]*8760*0.82*10^-6</f>
        <v>1.43664E-2</v>
      </c>
      <c r="K536">
        <f>0</f>
        <v>0</v>
      </c>
      <c r="L536">
        <f>0</f>
        <v>0</v>
      </c>
    </row>
    <row r="537" spans="1:12" x14ac:dyDescent="0.35">
      <c r="A537" t="s">
        <v>12</v>
      </c>
      <c r="B537" t="s">
        <v>15</v>
      </c>
      <c r="C537">
        <v>4</v>
      </c>
      <c r="D537" t="s">
        <v>11</v>
      </c>
      <c r="E537">
        <v>2022</v>
      </c>
      <c r="F537" t="s">
        <v>12</v>
      </c>
      <c r="G537">
        <v>7.0126999999999997</v>
      </c>
      <c r="H537">
        <v>125.21980000000001</v>
      </c>
      <c r="I537" t="s">
        <v>26</v>
      </c>
      <c r="J537" s="2">
        <f>Table1[[#This Row],[Capacity (MW)]]*8760*0.82*10^-6</f>
        <v>2.8732799999999999E-2</v>
      </c>
      <c r="K537">
        <f>0</f>
        <v>0</v>
      </c>
      <c r="L537">
        <f>0</f>
        <v>0</v>
      </c>
    </row>
    <row r="538" spans="1:12" x14ac:dyDescent="0.35">
      <c r="A538" t="s">
        <v>12</v>
      </c>
      <c r="B538" t="s">
        <v>15</v>
      </c>
      <c r="C538">
        <v>19</v>
      </c>
      <c r="D538" t="s">
        <v>11</v>
      </c>
      <c r="E538">
        <v>2004</v>
      </c>
      <c r="F538" t="s">
        <v>12</v>
      </c>
      <c r="G538">
        <v>10.7181</v>
      </c>
      <c r="H538">
        <v>-85.181399999999996</v>
      </c>
      <c r="I538" t="s">
        <v>53</v>
      </c>
      <c r="J538" s="2">
        <f>Table1[[#This Row],[Capacity (MW)]]*8760*0.82*10^-6</f>
        <v>0.13648079999999999</v>
      </c>
      <c r="K538">
        <f>0</f>
        <v>0</v>
      </c>
      <c r="L538">
        <f>0</f>
        <v>0</v>
      </c>
    </row>
    <row r="539" spans="1:12" x14ac:dyDescent="0.35">
      <c r="A539" t="s">
        <v>12</v>
      </c>
      <c r="B539" t="s">
        <v>10</v>
      </c>
      <c r="C539">
        <v>29</v>
      </c>
      <c r="D539" t="s">
        <v>11</v>
      </c>
      <c r="E539">
        <v>2000</v>
      </c>
      <c r="F539" t="s">
        <v>12</v>
      </c>
      <c r="G539">
        <v>10.7181</v>
      </c>
      <c r="H539">
        <v>-85.181399999999996</v>
      </c>
      <c r="I539" t="s">
        <v>53</v>
      </c>
      <c r="J539" s="2">
        <f>Table1[[#This Row],[Capacity (MW)]]*8760*0.82*10^-6</f>
        <v>0.20831279999999999</v>
      </c>
      <c r="K539">
        <f>0</f>
        <v>0</v>
      </c>
      <c r="L539">
        <f>0</f>
        <v>0</v>
      </c>
    </row>
    <row r="540" spans="1:12" x14ac:dyDescent="0.35">
      <c r="A540" t="s">
        <v>12</v>
      </c>
      <c r="B540" t="s">
        <v>21</v>
      </c>
      <c r="C540">
        <v>2</v>
      </c>
      <c r="D540" t="s">
        <v>16</v>
      </c>
      <c r="E540" t="s">
        <v>12</v>
      </c>
      <c r="F540" t="s">
        <v>12</v>
      </c>
      <c r="G540">
        <v>16.748200000000001</v>
      </c>
      <c r="H540">
        <v>-62.210099999999997</v>
      </c>
      <c r="I540" t="s">
        <v>189</v>
      </c>
      <c r="J540" s="2">
        <f>Table1[[#This Row],[Capacity (MW)]]*8760*0.82*10^-6</f>
        <v>1.43664E-2</v>
      </c>
      <c r="K540">
        <f>0</f>
        <v>0</v>
      </c>
      <c r="L540">
        <f>0</f>
        <v>0</v>
      </c>
    </row>
    <row r="541" spans="1:12" x14ac:dyDescent="0.35">
      <c r="A541" t="s">
        <v>190</v>
      </c>
      <c r="B541" t="s">
        <v>19</v>
      </c>
      <c r="C541">
        <v>25</v>
      </c>
      <c r="D541" t="s">
        <v>11</v>
      </c>
      <c r="E541">
        <v>1982</v>
      </c>
      <c r="F541" t="s">
        <v>12</v>
      </c>
      <c r="G541">
        <v>42.133099999999999</v>
      </c>
      <c r="H541">
        <v>140.45529999999999</v>
      </c>
      <c r="I541" t="s">
        <v>101</v>
      </c>
      <c r="J541" s="2">
        <f>Table1[[#This Row],[Capacity (MW)]]*8760*0.82*10^-6</f>
        <v>0.17957999999999999</v>
      </c>
      <c r="K541">
        <f>0</f>
        <v>0</v>
      </c>
      <c r="L541">
        <f>0</f>
        <v>0</v>
      </c>
    </row>
    <row r="542" spans="1:12" x14ac:dyDescent="0.35">
      <c r="A542" t="s">
        <v>191</v>
      </c>
      <c r="B542" t="s">
        <v>15</v>
      </c>
      <c r="C542">
        <v>11</v>
      </c>
      <c r="D542" t="s">
        <v>11</v>
      </c>
      <c r="E542">
        <v>2012</v>
      </c>
      <c r="F542" t="s">
        <v>12</v>
      </c>
      <c r="G542">
        <v>44.023099999999999</v>
      </c>
      <c r="H542">
        <v>-117.46810000000001</v>
      </c>
      <c r="I542" t="s">
        <v>39</v>
      </c>
      <c r="J542" s="2">
        <f>Table1[[#This Row],[Capacity (MW)]]*8760*0.82*10^-6</f>
        <v>7.9015199999999994E-2</v>
      </c>
      <c r="K542">
        <f>0</f>
        <v>0</v>
      </c>
      <c r="L542">
        <f>0</f>
        <v>0</v>
      </c>
    </row>
    <row r="543" spans="1:12" x14ac:dyDescent="0.35">
      <c r="A543" t="s">
        <v>191</v>
      </c>
      <c r="B543" t="s">
        <v>15</v>
      </c>
      <c r="C543">
        <v>11</v>
      </c>
      <c r="D543" t="s">
        <v>11</v>
      </c>
      <c r="E543">
        <v>2012</v>
      </c>
      <c r="F543" t="s">
        <v>12</v>
      </c>
      <c r="G543">
        <v>44.023099999999999</v>
      </c>
      <c r="H543">
        <v>-117.46810000000001</v>
      </c>
      <c r="I543" t="s">
        <v>39</v>
      </c>
      <c r="J543" s="2">
        <f>Table1[[#This Row],[Capacity (MW)]]*8760*0.82*10^-6</f>
        <v>7.9015199999999994E-2</v>
      </c>
      <c r="K543">
        <f>0</f>
        <v>0</v>
      </c>
      <c r="L543">
        <f>0</f>
        <v>0</v>
      </c>
    </row>
    <row r="544" spans="1:12" x14ac:dyDescent="0.35">
      <c r="A544" t="s">
        <v>191</v>
      </c>
      <c r="B544" t="s">
        <v>15</v>
      </c>
      <c r="C544">
        <v>11</v>
      </c>
      <c r="D544" t="s">
        <v>11</v>
      </c>
      <c r="E544">
        <v>2012</v>
      </c>
      <c r="F544" t="s">
        <v>12</v>
      </c>
      <c r="G544">
        <v>44.023099999999999</v>
      </c>
      <c r="H544">
        <v>-117.46810000000001</v>
      </c>
      <c r="I544" t="s">
        <v>39</v>
      </c>
      <c r="J544" s="2">
        <f>Table1[[#This Row],[Capacity (MW)]]*8760*0.82*10^-6</f>
        <v>7.9015199999999994E-2</v>
      </c>
      <c r="K544">
        <f>0</f>
        <v>0</v>
      </c>
      <c r="L544">
        <f>0</f>
        <v>0</v>
      </c>
    </row>
    <row r="545" spans="1:12" x14ac:dyDescent="0.35">
      <c r="A545" t="s">
        <v>18</v>
      </c>
      <c r="B545" t="s">
        <v>21</v>
      </c>
      <c r="C545">
        <v>25</v>
      </c>
      <c r="D545" t="s">
        <v>93</v>
      </c>
      <c r="E545" t="s">
        <v>12</v>
      </c>
      <c r="F545" t="s">
        <v>12</v>
      </c>
      <c r="G545">
        <v>37.765099999999997</v>
      </c>
      <c r="H545">
        <v>38.269599999999997</v>
      </c>
      <c r="I545" t="s">
        <v>20</v>
      </c>
      <c r="J545" s="2">
        <f>Table1[[#This Row],[Capacity (MW)]]*8760*0.82*10^-6</f>
        <v>0.17957999999999999</v>
      </c>
      <c r="K545">
        <f>0</f>
        <v>0</v>
      </c>
      <c r="L545">
        <f>0</f>
        <v>0</v>
      </c>
    </row>
    <row r="546" spans="1:12" x14ac:dyDescent="0.35">
      <c r="A546" t="s">
        <v>12</v>
      </c>
      <c r="B546" t="s">
        <v>60</v>
      </c>
      <c r="C546">
        <v>20</v>
      </c>
      <c r="D546" t="s">
        <v>79</v>
      </c>
      <c r="E546">
        <v>2028</v>
      </c>
      <c r="F546" t="s">
        <v>12</v>
      </c>
      <c r="G546">
        <v>39.7012</v>
      </c>
      <c r="H546">
        <v>-118.9434</v>
      </c>
      <c r="I546" t="s">
        <v>39</v>
      </c>
      <c r="J546" s="2">
        <f>Table1[[#This Row],[Capacity (MW)]]*8760*0.82*10^-6</f>
        <v>0.14366399999999999</v>
      </c>
      <c r="K546">
        <f>0</f>
        <v>0</v>
      </c>
      <c r="L546">
        <f>0</f>
        <v>0</v>
      </c>
    </row>
    <row r="547" spans="1:12" x14ac:dyDescent="0.35">
      <c r="A547" t="s">
        <v>144</v>
      </c>
      <c r="B547" t="s">
        <v>21</v>
      </c>
      <c r="C547">
        <v>5</v>
      </c>
      <c r="D547" t="s">
        <v>16</v>
      </c>
      <c r="E547" t="s">
        <v>12</v>
      </c>
      <c r="F547" t="s">
        <v>12</v>
      </c>
      <c r="G547">
        <v>17.142099999999999</v>
      </c>
      <c r="H547">
        <v>-62.606200000000001</v>
      </c>
      <c r="I547" t="s">
        <v>145</v>
      </c>
      <c r="J547" s="2">
        <f>Table1[[#This Row],[Capacity (MW)]]*8760*0.82*10^-6</f>
        <v>3.5915999999999997E-2</v>
      </c>
      <c r="K547">
        <f>0</f>
        <v>0</v>
      </c>
      <c r="L547">
        <f>0</f>
        <v>0</v>
      </c>
    </row>
    <row r="548" spans="1:12" x14ac:dyDescent="0.35">
      <c r="A548" t="s">
        <v>146</v>
      </c>
      <c r="B548" t="s">
        <v>21</v>
      </c>
      <c r="C548">
        <v>5</v>
      </c>
      <c r="D548" t="s">
        <v>16</v>
      </c>
      <c r="E548" t="s">
        <v>12</v>
      </c>
      <c r="F548" t="s">
        <v>12</v>
      </c>
      <c r="G548">
        <v>17.142099999999999</v>
      </c>
      <c r="H548">
        <v>-62.606200000000001</v>
      </c>
      <c r="I548" t="s">
        <v>145</v>
      </c>
      <c r="J548" s="2">
        <f>Table1[[#This Row],[Capacity (MW)]]*8760*0.82*10^-6</f>
        <v>3.5915999999999997E-2</v>
      </c>
      <c r="K548">
        <f>0</f>
        <v>0</v>
      </c>
      <c r="L548">
        <f>0</f>
        <v>0</v>
      </c>
    </row>
    <row r="549" spans="1:12" x14ac:dyDescent="0.35">
      <c r="A549" t="s">
        <v>149</v>
      </c>
      <c r="B549" t="s">
        <v>15</v>
      </c>
      <c r="C549">
        <v>20.5</v>
      </c>
      <c r="D549" t="s">
        <v>11</v>
      </c>
      <c r="E549">
        <v>2013</v>
      </c>
      <c r="F549" t="s">
        <v>12</v>
      </c>
      <c r="G549">
        <v>-38.573099999999997</v>
      </c>
      <c r="H549">
        <v>176.1953</v>
      </c>
      <c r="I549" t="s">
        <v>112</v>
      </c>
      <c r="J549" s="2">
        <f>Table1[[#This Row],[Capacity (MW)]]*8760*0.82*10^-6</f>
        <v>0.14725559999999996</v>
      </c>
      <c r="K549">
        <f>0</f>
        <v>0</v>
      </c>
      <c r="L549">
        <f>0</f>
        <v>0</v>
      </c>
    </row>
    <row r="550" spans="1:12" x14ac:dyDescent="0.35">
      <c r="A550" t="s">
        <v>149</v>
      </c>
      <c r="B550" t="s">
        <v>15</v>
      </c>
      <c r="C550">
        <v>20.5</v>
      </c>
      <c r="D550" t="s">
        <v>11</v>
      </c>
      <c r="E550">
        <v>2013</v>
      </c>
      <c r="F550" t="s">
        <v>12</v>
      </c>
      <c r="G550">
        <v>-38.573099999999997</v>
      </c>
      <c r="H550">
        <v>176.1953</v>
      </c>
      <c r="I550" t="s">
        <v>112</v>
      </c>
      <c r="J550" s="2">
        <f>Table1[[#This Row],[Capacity (MW)]]*8760*0.82*10^-6</f>
        <v>0.14725559999999996</v>
      </c>
      <c r="K550">
        <f>0</f>
        <v>0</v>
      </c>
      <c r="L550">
        <f>0</f>
        <v>0</v>
      </c>
    </row>
    <row r="551" spans="1:12" x14ac:dyDescent="0.35">
      <c r="A551" t="s">
        <v>149</v>
      </c>
      <c r="B551" t="s">
        <v>15</v>
      </c>
      <c r="C551">
        <v>20.5</v>
      </c>
      <c r="D551" t="s">
        <v>11</v>
      </c>
      <c r="E551">
        <v>2013</v>
      </c>
      <c r="F551" t="s">
        <v>12</v>
      </c>
      <c r="G551">
        <v>-38.573099999999997</v>
      </c>
      <c r="H551">
        <v>176.1953</v>
      </c>
      <c r="I551" t="s">
        <v>112</v>
      </c>
      <c r="J551" s="2">
        <f>Table1[[#This Row],[Capacity (MW)]]*8760*0.82*10^-6</f>
        <v>0.14725559999999996</v>
      </c>
      <c r="K551">
        <f>0</f>
        <v>0</v>
      </c>
      <c r="L551">
        <f>0</f>
        <v>0</v>
      </c>
    </row>
    <row r="552" spans="1:12" x14ac:dyDescent="0.35">
      <c r="A552" t="s">
        <v>149</v>
      </c>
      <c r="B552" t="s">
        <v>15</v>
      </c>
      <c r="C552">
        <v>20.5</v>
      </c>
      <c r="D552" t="s">
        <v>11</v>
      </c>
      <c r="E552">
        <v>2013</v>
      </c>
      <c r="F552" t="s">
        <v>12</v>
      </c>
      <c r="G552">
        <v>-38.573099999999997</v>
      </c>
      <c r="H552">
        <v>176.1953</v>
      </c>
      <c r="I552" t="s">
        <v>112</v>
      </c>
      <c r="J552" s="2">
        <f>Table1[[#This Row],[Capacity (MW)]]*8760*0.82*10^-6</f>
        <v>0.14725559999999996</v>
      </c>
      <c r="K552">
        <f>0</f>
        <v>0</v>
      </c>
      <c r="L552">
        <f>0</f>
        <v>0</v>
      </c>
    </row>
    <row r="553" spans="1:12" x14ac:dyDescent="0.35">
      <c r="A553" t="s">
        <v>47</v>
      </c>
      <c r="B553" t="s">
        <v>15</v>
      </c>
      <c r="C553">
        <v>25</v>
      </c>
      <c r="D553" t="s">
        <v>11</v>
      </c>
      <c r="E553">
        <v>2023</v>
      </c>
      <c r="F553" t="s">
        <v>12</v>
      </c>
      <c r="G553">
        <v>40.372900000000001</v>
      </c>
      <c r="H553">
        <v>-119.46250000000001</v>
      </c>
      <c r="I553" t="s">
        <v>39</v>
      </c>
      <c r="J553" s="2">
        <f>Table1[[#This Row],[Capacity (MW)]]*8760*0.82*10^-6</f>
        <v>0.17957999999999999</v>
      </c>
      <c r="K553">
        <f>0</f>
        <v>0</v>
      </c>
      <c r="L553">
        <f>0</f>
        <v>0</v>
      </c>
    </row>
    <row r="554" spans="1:12" x14ac:dyDescent="0.35">
      <c r="A554" t="s">
        <v>113</v>
      </c>
      <c r="B554" t="s">
        <v>21</v>
      </c>
      <c r="C554">
        <v>5</v>
      </c>
      <c r="D554" t="s">
        <v>79</v>
      </c>
      <c r="E554" t="s">
        <v>12</v>
      </c>
      <c r="F554" t="s">
        <v>12</v>
      </c>
      <c r="G554">
        <v>-8.3109000000000002</v>
      </c>
      <c r="H554">
        <v>122.9693</v>
      </c>
      <c r="I554" t="s">
        <v>29</v>
      </c>
      <c r="J554" s="2">
        <f>Table1[[#This Row],[Capacity (MW)]]*8760*0.82*10^-6</f>
        <v>3.5915999999999997E-2</v>
      </c>
      <c r="K554">
        <f>0</f>
        <v>0</v>
      </c>
      <c r="L554">
        <f>0</f>
        <v>0</v>
      </c>
    </row>
    <row r="555" spans="1:12" x14ac:dyDescent="0.35">
      <c r="A555" t="s">
        <v>113</v>
      </c>
      <c r="B555" t="s">
        <v>21</v>
      </c>
      <c r="C555">
        <v>5</v>
      </c>
      <c r="D555" t="s">
        <v>79</v>
      </c>
      <c r="E555" t="s">
        <v>12</v>
      </c>
      <c r="F555" t="s">
        <v>12</v>
      </c>
      <c r="G555">
        <v>-8.3109000000000002</v>
      </c>
      <c r="H555">
        <v>122.9693</v>
      </c>
      <c r="I555" t="s">
        <v>29</v>
      </c>
      <c r="J555" s="2">
        <f>Table1[[#This Row],[Capacity (MW)]]*8760*0.82*10^-6</f>
        <v>3.5915999999999997E-2</v>
      </c>
      <c r="K555">
        <f>0</f>
        <v>0</v>
      </c>
      <c r="L555">
        <f>0</f>
        <v>0</v>
      </c>
    </row>
    <row r="556" spans="1:12" x14ac:dyDescent="0.35">
      <c r="A556" t="s">
        <v>156</v>
      </c>
      <c r="B556" t="s">
        <v>21</v>
      </c>
      <c r="C556">
        <v>21</v>
      </c>
      <c r="D556" t="s">
        <v>23</v>
      </c>
      <c r="E556">
        <v>2025</v>
      </c>
      <c r="F556" t="s">
        <v>12</v>
      </c>
      <c r="G556">
        <v>-0.88929999999999998</v>
      </c>
      <c r="H556">
        <v>36.255699999999997</v>
      </c>
      <c r="I556" t="s">
        <v>17</v>
      </c>
      <c r="J556" s="2">
        <f>Table1[[#This Row],[Capacity (MW)]]*8760*0.82*10^-6</f>
        <v>0.15084719999999999</v>
      </c>
      <c r="K556">
        <f>0</f>
        <v>0</v>
      </c>
      <c r="L556">
        <f>0</f>
        <v>0</v>
      </c>
    </row>
    <row r="557" spans="1:12" x14ac:dyDescent="0.35">
      <c r="A557" t="s">
        <v>156</v>
      </c>
      <c r="B557" t="s">
        <v>21</v>
      </c>
      <c r="C557">
        <v>21</v>
      </c>
      <c r="D557" t="s">
        <v>23</v>
      </c>
      <c r="E557">
        <v>2025</v>
      </c>
      <c r="F557" t="s">
        <v>12</v>
      </c>
      <c r="G557">
        <v>-0.88929999999999998</v>
      </c>
      <c r="H557">
        <v>36.255699999999997</v>
      </c>
      <c r="I557" t="s">
        <v>17</v>
      </c>
      <c r="J557" s="2">
        <f>Table1[[#This Row],[Capacity (MW)]]*8760*0.82*10^-6</f>
        <v>0.15084719999999999</v>
      </c>
      <c r="K557">
        <f>0</f>
        <v>0</v>
      </c>
      <c r="L557">
        <f>0</f>
        <v>0</v>
      </c>
    </row>
    <row r="558" spans="1:12" x14ac:dyDescent="0.35">
      <c r="A558" t="s">
        <v>156</v>
      </c>
      <c r="B558" t="s">
        <v>21</v>
      </c>
      <c r="C558">
        <v>21</v>
      </c>
      <c r="D558" t="s">
        <v>23</v>
      </c>
      <c r="E558">
        <v>2025</v>
      </c>
      <c r="F558" t="s">
        <v>12</v>
      </c>
      <c r="G558">
        <v>-0.88929999999999998</v>
      </c>
      <c r="H558">
        <v>36.255699999999997</v>
      </c>
      <c r="I558" t="s">
        <v>17</v>
      </c>
      <c r="J558" s="2">
        <f>Table1[[#This Row],[Capacity (MW)]]*8760*0.82*10^-6</f>
        <v>0.15084719999999999</v>
      </c>
      <c r="K558">
        <f>0</f>
        <v>0</v>
      </c>
      <c r="L558">
        <f>0</f>
        <v>0</v>
      </c>
    </row>
    <row r="559" spans="1:12" x14ac:dyDescent="0.35">
      <c r="A559" t="s">
        <v>47</v>
      </c>
      <c r="B559" t="s">
        <v>21</v>
      </c>
      <c r="C559">
        <v>26</v>
      </c>
      <c r="D559" t="s">
        <v>11</v>
      </c>
      <c r="E559">
        <v>2014</v>
      </c>
      <c r="F559" t="s">
        <v>12</v>
      </c>
      <c r="G559">
        <v>-0.88900000000000001</v>
      </c>
      <c r="H559">
        <v>36.2562</v>
      </c>
      <c r="I559" t="s">
        <v>17</v>
      </c>
      <c r="J559" s="2">
        <f>Table1[[#This Row],[Capacity (MW)]]*8760*0.82*10^-6</f>
        <v>0.18676319999999996</v>
      </c>
      <c r="K559">
        <f>0</f>
        <v>0</v>
      </c>
      <c r="L559">
        <f>0</f>
        <v>0</v>
      </c>
    </row>
    <row r="560" spans="1:12" x14ac:dyDescent="0.35">
      <c r="A560" t="s">
        <v>47</v>
      </c>
      <c r="B560" t="s">
        <v>21</v>
      </c>
      <c r="C560">
        <v>26</v>
      </c>
      <c r="D560" t="s">
        <v>11</v>
      </c>
      <c r="E560">
        <v>2016</v>
      </c>
      <c r="F560" t="s">
        <v>12</v>
      </c>
      <c r="G560">
        <v>-0.88900000000000001</v>
      </c>
      <c r="H560">
        <v>36.2562</v>
      </c>
      <c r="I560" t="s">
        <v>17</v>
      </c>
      <c r="J560" s="2">
        <f>Table1[[#This Row],[Capacity (MW)]]*8760*0.82*10^-6</f>
        <v>0.18676319999999996</v>
      </c>
      <c r="K560">
        <f>0</f>
        <v>0</v>
      </c>
      <c r="L560">
        <f>0</f>
        <v>0</v>
      </c>
    </row>
    <row r="561" spans="1:12" x14ac:dyDescent="0.35">
      <c r="A561" t="s">
        <v>25</v>
      </c>
      <c r="B561" t="s">
        <v>15</v>
      </c>
      <c r="C561">
        <v>29</v>
      </c>
      <c r="D561" t="s">
        <v>11</v>
      </c>
      <c r="E561">
        <v>2023</v>
      </c>
      <c r="F561" t="s">
        <v>12</v>
      </c>
      <c r="G561">
        <v>13.059169833204461</v>
      </c>
      <c r="H561">
        <v>123.92703650677571</v>
      </c>
      <c r="I561" t="s">
        <v>26</v>
      </c>
      <c r="J561" s="2">
        <f>Table1[[#This Row],[Capacity (MW)]]*8760*0.82*10^-6</f>
        <v>0.20831279999999999</v>
      </c>
      <c r="K561">
        <f>0</f>
        <v>0</v>
      </c>
      <c r="L561">
        <f>0</f>
        <v>0</v>
      </c>
    </row>
    <row r="562" spans="1:12" x14ac:dyDescent="0.35">
      <c r="A562" t="s">
        <v>157</v>
      </c>
      <c r="B562" t="s">
        <v>15</v>
      </c>
      <c r="C562">
        <v>22</v>
      </c>
      <c r="D562" t="s">
        <v>11</v>
      </c>
      <c r="E562">
        <v>2013</v>
      </c>
      <c r="F562" t="s">
        <v>12</v>
      </c>
      <c r="G562">
        <v>37.916699999999999</v>
      </c>
      <c r="H562">
        <v>28.5305</v>
      </c>
      <c r="I562" t="s">
        <v>20</v>
      </c>
      <c r="J562" s="2">
        <f>Table1[[#This Row],[Capacity (MW)]]*8760*0.82*10^-6</f>
        <v>0.15803039999999999</v>
      </c>
      <c r="K562">
        <f>0</f>
        <v>0</v>
      </c>
      <c r="L562">
        <f>0</f>
        <v>0</v>
      </c>
    </row>
    <row r="563" spans="1:12" x14ac:dyDescent="0.35">
      <c r="A563" t="s">
        <v>157</v>
      </c>
      <c r="B563" t="s">
        <v>15</v>
      </c>
      <c r="C563">
        <v>22</v>
      </c>
      <c r="D563" t="s">
        <v>11</v>
      </c>
      <c r="E563">
        <v>2013</v>
      </c>
      <c r="F563" t="s">
        <v>12</v>
      </c>
      <c r="G563">
        <v>37.916699999999999</v>
      </c>
      <c r="H563">
        <v>28.5305</v>
      </c>
      <c r="I563" t="s">
        <v>20</v>
      </c>
      <c r="J563" s="2">
        <f>Table1[[#This Row],[Capacity (MW)]]*8760*0.82*10^-6</f>
        <v>0.15803039999999999</v>
      </c>
      <c r="K563">
        <f>0</f>
        <v>0</v>
      </c>
      <c r="L563">
        <f>0</f>
        <v>0</v>
      </c>
    </row>
    <row r="564" spans="1:12" x14ac:dyDescent="0.35">
      <c r="A564" t="s">
        <v>157</v>
      </c>
      <c r="B564" t="s">
        <v>15</v>
      </c>
      <c r="C564">
        <v>22</v>
      </c>
      <c r="D564" t="s">
        <v>11</v>
      </c>
      <c r="E564">
        <v>2013</v>
      </c>
      <c r="F564" t="s">
        <v>12</v>
      </c>
      <c r="G564">
        <v>37.916699999999999</v>
      </c>
      <c r="H564">
        <v>28.5305</v>
      </c>
      <c r="I564" t="s">
        <v>20</v>
      </c>
      <c r="J564" s="2">
        <f>Table1[[#This Row],[Capacity (MW)]]*8760*0.82*10^-6</f>
        <v>0.15803039999999999</v>
      </c>
      <c r="K564">
        <f>0</f>
        <v>0</v>
      </c>
      <c r="L564">
        <f>0</f>
        <v>0</v>
      </c>
    </row>
    <row r="565" spans="1:12" x14ac:dyDescent="0.35">
      <c r="A565" t="s">
        <v>157</v>
      </c>
      <c r="B565" t="s">
        <v>15</v>
      </c>
      <c r="C565">
        <v>22</v>
      </c>
      <c r="D565" t="s">
        <v>11</v>
      </c>
      <c r="E565">
        <v>2018</v>
      </c>
      <c r="F565" t="s">
        <v>12</v>
      </c>
      <c r="G565">
        <v>37.916699999999999</v>
      </c>
      <c r="H565">
        <v>28.5305</v>
      </c>
      <c r="I565" t="s">
        <v>20</v>
      </c>
      <c r="J565" s="2">
        <f>Table1[[#This Row],[Capacity (MW)]]*8760*0.82*10^-6</f>
        <v>0.15803039999999999</v>
      </c>
      <c r="K565">
        <f>0</f>
        <v>0</v>
      </c>
      <c r="L565">
        <f>0</f>
        <v>0</v>
      </c>
    </row>
    <row r="566" spans="1:12" x14ac:dyDescent="0.35">
      <c r="A566" t="s">
        <v>157</v>
      </c>
      <c r="B566" t="s">
        <v>15</v>
      </c>
      <c r="C566">
        <v>22</v>
      </c>
      <c r="D566" t="s">
        <v>11</v>
      </c>
      <c r="E566">
        <v>2020</v>
      </c>
      <c r="F566" t="s">
        <v>12</v>
      </c>
      <c r="G566">
        <v>37.916699999999999</v>
      </c>
      <c r="H566">
        <v>28.5305</v>
      </c>
      <c r="I566" t="s">
        <v>20</v>
      </c>
      <c r="J566" s="2">
        <f>Table1[[#This Row],[Capacity (MW)]]*8760*0.82*10^-6</f>
        <v>0.15803039999999999</v>
      </c>
      <c r="K566">
        <f>0</f>
        <v>0</v>
      </c>
      <c r="L566">
        <f>0</f>
        <v>0</v>
      </c>
    </row>
    <row r="567" spans="1:12" x14ac:dyDescent="0.35">
      <c r="A567" t="s">
        <v>192</v>
      </c>
      <c r="B567" t="s">
        <v>15</v>
      </c>
      <c r="C567">
        <v>10</v>
      </c>
      <c r="D567" t="s">
        <v>11</v>
      </c>
      <c r="E567" t="s">
        <v>12</v>
      </c>
      <c r="F567" t="s">
        <v>12</v>
      </c>
      <c r="G567">
        <v>37.802100000000003</v>
      </c>
      <c r="H567">
        <v>-25.5059</v>
      </c>
      <c r="I567" t="s">
        <v>193</v>
      </c>
      <c r="J567" s="2">
        <f>Table1[[#This Row],[Capacity (MW)]]*8760*0.82*10^-6</f>
        <v>7.1831999999999993E-2</v>
      </c>
      <c r="K567">
        <f>0</f>
        <v>0</v>
      </c>
      <c r="L567">
        <f>0</f>
        <v>0</v>
      </c>
    </row>
    <row r="568" spans="1:12" x14ac:dyDescent="0.35">
      <c r="A568" t="s">
        <v>192</v>
      </c>
      <c r="B568" t="s">
        <v>15</v>
      </c>
      <c r="C568">
        <v>10</v>
      </c>
      <c r="D568" t="s">
        <v>16</v>
      </c>
      <c r="E568">
        <v>2025</v>
      </c>
      <c r="F568" t="s">
        <v>12</v>
      </c>
      <c r="G568">
        <v>37.802100000000003</v>
      </c>
      <c r="H568">
        <v>-25.5059</v>
      </c>
      <c r="I568" t="s">
        <v>193</v>
      </c>
      <c r="J568" s="2">
        <f>Table1[[#This Row],[Capacity (MW)]]*8760*0.82*10^-6</f>
        <v>7.1831999999999993E-2</v>
      </c>
      <c r="K568">
        <f>0</f>
        <v>0</v>
      </c>
      <c r="L568">
        <f>0</f>
        <v>0</v>
      </c>
    </row>
    <row r="569" spans="1:12" x14ac:dyDescent="0.35">
      <c r="A569" t="s">
        <v>12</v>
      </c>
      <c r="B569" t="s">
        <v>21</v>
      </c>
      <c r="C569">
        <v>6</v>
      </c>
      <c r="D569" t="s">
        <v>16</v>
      </c>
      <c r="E569">
        <v>2028</v>
      </c>
      <c r="F569" t="s">
        <v>12</v>
      </c>
      <c r="G569">
        <v>49.002299999999998</v>
      </c>
      <c r="H569">
        <v>21.318899999999999</v>
      </c>
      <c r="I569" t="s">
        <v>194</v>
      </c>
      <c r="J569" s="2">
        <f>Table1[[#This Row],[Capacity (MW)]]*8760*0.82*10^-6</f>
        <v>4.3099199999999997E-2</v>
      </c>
      <c r="K569">
        <f>0</f>
        <v>0</v>
      </c>
      <c r="L569">
        <f>0</f>
        <v>0</v>
      </c>
    </row>
    <row r="570" spans="1:12" x14ac:dyDescent="0.35">
      <c r="A570" t="s">
        <v>160</v>
      </c>
      <c r="B570" t="s">
        <v>15</v>
      </c>
      <c r="C570">
        <v>8</v>
      </c>
      <c r="D570" t="s">
        <v>16</v>
      </c>
      <c r="E570" t="s">
        <v>12</v>
      </c>
      <c r="F570" t="s">
        <v>12</v>
      </c>
      <c r="G570">
        <v>19.476700000000001</v>
      </c>
      <c r="H570">
        <v>-154.89080000000001</v>
      </c>
      <c r="I570" t="s">
        <v>39</v>
      </c>
      <c r="J570" s="2">
        <f>Table1[[#This Row],[Capacity (MW)]]*8760*0.82*10^-6</f>
        <v>5.7465599999999999E-2</v>
      </c>
      <c r="K570">
        <f>0</f>
        <v>0</v>
      </c>
      <c r="L570">
        <f>0</f>
        <v>0</v>
      </c>
    </row>
    <row r="571" spans="1:12" x14ac:dyDescent="0.35">
      <c r="A571" t="s">
        <v>160</v>
      </c>
      <c r="B571" t="s">
        <v>21</v>
      </c>
      <c r="C571">
        <v>14</v>
      </c>
      <c r="D571" t="s">
        <v>16</v>
      </c>
      <c r="E571" t="s">
        <v>12</v>
      </c>
      <c r="F571" t="s">
        <v>12</v>
      </c>
      <c r="G571">
        <v>19.476700000000001</v>
      </c>
      <c r="H571">
        <v>-154.89080000000001</v>
      </c>
      <c r="I571" t="s">
        <v>39</v>
      </c>
      <c r="J571" s="2">
        <f>Table1[[#This Row],[Capacity (MW)]]*8760*0.82*10^-6</f>
        <v>0.10056479999999998</v>
      </c>
      <c r="K571">
        <f>0</f>
        <v>0</v>
      </c>
      <c r="L571">
        <f>0</f>
        <v>0</v>
      </c>
    </row>
    <row r="572" spans="1:12" x14ac:dyDescent="0.35">
      <c r="A572" t="s">
        <v>191</v>
      </c>
      <c r="B572" t="s">
        <v>15</v>
      </c>
      <c r="C572">
        <v>18</v>
      </c>
      <c r="D572" t="s">
        <v>11</v>
      </c>
      <c r="E572">
        <v>2008</v>
      </c>
      <c r="F572" t="s">
        <v>12</v>
      </c>
      <c r="G572">
        <v>42.099400000000003</v>
      </c>
      <c r="H572">
        <v>-113.38249999999999</v>
      </c>
      <c r="I572" t="s">
        <v>39</v>
      </c>
      <c r="J572" s="2">
        <f>Table1[[#This Row],[Capacity (MW)]]*8760*0.82*10^-6</f>
        <v>0.12929759999999998</v>
      </c>
      <c r="K572">
        <f>0</f>
        <v>0</v>
      </c>
      <c r="L572">
        <f>0</f>
        <v>0</v>
      </c>
    </row>
    <row r="573" spans="1:12" x14ac:dyDescent="0.35">
      <c r="A573" t="s">
        <v>12</v>
      </c>
      <c r="B573" t="s">
        <v>15</v>
      </c>
      <c r="C573">
        <v>5</v>
      </c>
      <c r="D573" t="s">
        <v>11</v>
      </c>
      <c r="E573">
        <v>1994</v>
      </c>
      <c r="F573" t="s">
        <v>12</v>
      </c>
      <c r="G573">
        <v>37.783299999999997</v>
      </c>
      <c r="H573">
        <v>-25.500599999999999</v>
      </c>
      <c r="I573" t="s">
        <v>193</v>
      </c>
      <c r="J573" s="2">
        <f>Table1[[#This Row],[Capacity (MW)]]*8760*0.82*10^-6</f>
        <v>3.5915999999999997E-2</v>
      </c>
      <c r="K573">
        <f>0</f>
        <v>0</v>
      </c>
      <c r="L573">
        <f>0</f>
        <v>0</v>
      </c>
    </row>
    <row r="574" spans="1:12" x14ac:dyDescent="0.35">
      <c r="A574" t="s">
        <v>12</v>
      </c>
      <c r="B574" t="s">
        <v>15</v>
      </c>
      <c r="C574">
        <v>9</v>
      </c>
      <c r="D574" t="s">
        <v>11</v>
      </c>
      <c r="E574">
        <v>1998</v>
      </c>
      <c r="F574" t="s">
        <v>12</v>
      </c>
      <c r="G574">
        <v>37.783299999999997</v>
      </c>
      <c r="H574">
        <v>-25.500599999999999</v>
      </c>
      <c r="I574" t="s">
        <v>193</v>
      </c>
      <c r="J574" s="2">
        <f>Table1[[#This Row],[Capacity (MW)]]*8760*0.82*10^-6</f>
        <v>6.4648799999999992E-2</v>
      </c>
      <c r="K574">
        <f>0</f>
        <v>0</v>
      </c>
      <c r="L574">
        <f>0</f>
        <v>0</v>
      </c>
    </row>
    <row r="575" spans="1:12" x14ac:dyDescent="0.35">
      <c r="A575" t="s">
        <v>47</v>
      </c>
      <c r="B575" t="s">
        <v>15</v>
      </c>
      <c r="C575">
        <v>15</v>
      </c>
      <c r="D575" t="s">
        <v>11</v>
      </c>
      <c r="E575">
        <v>2005</v>
      </c>
      <c r="F575" t="s">
        <v>12</v>
      </c>
      <c r="G575">
        <v>39.390799999999999</v>
      </c>
      <c r="H575">
        <v>-119.7546</v>
      </c>
      <c r="I575" t="s">
        <v>39</v>
      </c>
      <c r="J575" s="2">
        <f>Table1[[#This Row],[Capacity (MW)]]*8760*0.82*10^-6</f>
        <v>0.107748</v>
      </c>
      <c r="K575">
        <f>0</f>
        <v>0</v>
      </c>
      <c r="L575">
        <f>0</f>
        <v>0</v>
      </c>
    </row>
    <row r="576" spans="1:12" x14ac:dyDescent="0.35">
      <c r="A576" t="s">
        <v>47</v>
      </c>
      <c r="B576" t="s">
        <v>15</v>
      </c>
      <c r="C576">
        <v>15</v>
      </c>
      <c r="D576" t="s">
        <v>11</v>
      </c>
      <c r="E576">
        <v>2005</v>
      </c>
      <c r="F576" t="s">
        <v>12</v>
      </c>
      <c r="G576">
        <v>39.390799999999999</v>
      </c>
      <c r="H576">
        <v>-119.7546</v>
      </c>
      <c r="I576" t="s">
        <v>39</v>
      </c>
      <c r="J576" s="2">
        <f>Table1[[#This Row],[Capacity (MW)]]*8760*0.82*10^-6</f>
        <v>0.107748</v>
      </c>
      <c r="K576">
        <f>0</f>
        <v>0</v>
      </c>
      <c r="L576">
        <f>0</f>
        <v>0</v>
      </c>
    </row>
    <row r="577" spans="1:12" x14ac:dyDescent="0.35">
      <c r="A577" t="s">
        <v>12</v>
      </c>
      <c r="B577" t="s">
        <v>21</v>
      </c>
      <c r="C577">
        <v>10</v>
      </c>
      <c r="D577" t="s">
        <v>23</v>
      </c>
      <c r="E577" t="s">
        <v>12</v>
      </c>
      <c r="F577" t="s">
        <v>12</v>
      </c>
      <c r="G577">
        <v>15.3001</v>
      </c>
      <c r="H577">
        <v>-61.369100000000003</v>
      </c>
      <c r="I577" t="s">
        <v>164</v>
      </c>
      <c r="J577" s="2">
        <f>Table1[[#This Row],[Capacity (MW)]]*8760*0.82*10^-6</f>
        <v>7.1831999999999993E-2</v>
      </c>
      <c r="K577">
        <f>0</f>
        <v>0</v>
      </c>
      <c r="L577">
        <f>0</f>
        <v>0</v>
      </c>
    </row>
    <row r="578" spans="1:12" x14ac:dyDescent="0.35">
      <c r="A578" t="s">
        <v>47</v>
      </c>
      <c r="B578" t="s">
        <v>15</v>
      </c>
      <c r="C578">
        <v>12</v>
      </c>
      <c r="D578" t="s">
        <v>11</v>
      </c>
      <c r="E578">
        <v>2009</v>
      </c>
      <c r="F578" t="s">
        <v>12</v>
      </c>
      <c r="G578">
        <v>39.294400000000003</v>
      </c>
      <c r="H578">
        <v>-118.57250000000001</v>
      </c>
      <c r="I578" t="s">
        <v>39</v>
      </c>
      <c r="J578" s="2">
        <f>Table1[[#This Row],[Capacity (MW)]]*8760*0.82*10^-6</f>
        <v>8.6198399999999994E-2</v>
      </c>
      <c r="K578">
        <f>0</f>
        <v>0</v>
      </c>
      <c r="L578">
        <f>0</f>
        <v>0</v>
      </c>
    </row>
    <row r="579" spans="1:12" x14ac:dyDescent="0.35">
      <c r="A579" t="s">
        <v>47</v>
      </c>
      <c r="B579" t="s">
        <v>15</v>
      </c>
      <c r="C579">
        <v>12</v>
      </c>
      <c r="D579" t="s">
        <v>11</v>
      </c>
      <c r="E579">
        <v>2009</v>
      </c>
      <c r="F579" t="s">
        <v>12</v>
      </c>
      <c r="G579">
        <v>39.294400000000003</v>
      </c>
      <c r="H579">
        <v>-118.57250000000001</v>
      </c>
      <c r="I579" t="s">
        <v>39</v>
      </c>
      <c r="J579" s="2">
        <f>Table1[[#This Row],[Capacity (MW)]]*8760*0.82*10^-6</f>
        <v>8.6198399999999994E-2</v>
      </c>
      <c r="K579">
        <f>0</f>
        <v>0</v>
      </c>
      <c r="L579">
        <f>0</f>
        <v>0</v>
      </c>
    </row>
    <row r="580" spans="1:12" x14ac:dyDescent="0.35">
      <c r="A580" t="s">
        <v>64</v>
      </c>
      <c r="B580" t="s">
        <v>21</v>
      </c>
      <c r="C580">
        <v>4</v>
      </c>
      <c r="D580" t="s">
        <v>11</v>
      </c>
      <c r="E580">
        <v>1990</v>
      </c>
      <c r="F580" t="s">
        <v>12</v>
      </c>
      <c r="G580">
        <v>33.158900000000003</v>
      </c>
      <c r="H580">
        <v>-115.6455</v>
      </c>
      <c r="I580" t="s">
        <v>39</v>
      </c>
      <c r="J580" s="2">
        <f>Table1[[#This Row],[Capacity (MW)]]*8760*0.82*10^-6</f>
        <v>2.8732799999999999E-2</v>
      </c>
      <c r="K580">
        <f>0</f>
        <v>0</v>
      </c>
      <c r="L580">
        <f>0</f>
        <v>0</v>
      </c>
    </row>
    <row r="581" spans="1:12" x14ac:dyDescent="0.35">
      <c r="A581" t="s">
        <v>64</v>
      </c>
      <c r="B581" t="s">
        <v>21</v>
      </c>
      <c r="C581">
        <v>5</v>
      </c>
      <c r="D581" t="s">
        <v>11</v>
      </c>
      <c r="E581">
        <v>1990</v>
      </c>
      <c r="F581" t="s">
        <v>12</v>
      </c>
      <c r="G581">
        <v>33.158900000000003</v>
      </c>
      <c r="H581">
        <v>-115.6455</v>
      </c>
      <c r="I581" t="s">
        <v>39</v>
      </c>
      <c r="J581" s="2">
        <f>Table1[[#This Row],[Capacity (MW)]]*8760*0.82*10^-6</f>
        <v>3.5915999999999997E-2</v>
      </c>
      <c r="K581">
        <f>0</f>
        <v>0</v>
      </c>
      <c r="L581">
        <f>0</f>
        <v>0</v>
      </c>
    </row>
    <row r="582" spans="1:12" x14ac:dyDescent="0.35">
      <c r="A582" t="s">
        <v>64</v>
      </c>
      <c r="B582" t="s">
        <v>21</v>
      </c>
      <c r="C582">
        <v>10</v>
      </c>
      <c r="D582" t="s">
        <v>11</v>
      </c>
      <c r="E582">
        <v>1982</v>
      </c>
      <c r="F582" t="s">
        <v>12</v>
      </c>
      <c r="G582">
        <v>33.158000000000001</v>
      </c>
      <c r="H582">
        <v>-115.64749999999999</v>
      </c>
      <c r="I582" t="s">
        <v>39</v>
      </c>
      <c r="J582" s="2">
        <f>Table1[[#This Row],[Capacity (MW)]]*8760*0.82*10^-6</f>
        <v>7.1831999999999993E-2</v>
      </c>
      <c r="K582">
        <f>0</f>
        <v>0</v>
      </c>
      <c r="L582">
        <f>0</f>
        <v>0</v>
      </c>
    </row>
    <row r="583" spans="1:12" x14ac:dyDescent="0.35">
      <c r="A583" t="s">
        <v>64</v>
      </c>
      <c r="B583" t="s">
        <v>21</v>
      </c>
      <c r="C583">
        <v>12</v>
      </c>
      <c r="D583" t="s">
        <v>11</v>
      </c>
      <c r="E583">
        <v>1990</v>
      </c>
      <c r="F583" t="s">
        <v>12</v>
      </c>
      <c r="G583">
        <v>33.158900000000003</v>
      </c>
      <c r="H583">
        <v>-115.6455</v>
      </c>
      <c r="I583" t="s">
        <v>39</v>
      </c>
      <c r="J583" s="2">
        <f>Table1[[#This Row],[Capacity (MW)]]*8760*0.82*10^-6</f>
        <v>8.6198399999999994E-2</v>
      </c>
      <c r="K583">
        <f>0</f>
        <v>0</v>
      </c>
      <c r="L583">
        <f>0</f>
        <v>0</v>
      </c>
    </row>
    <row r="584" spans="1:12" x14ac:dyDescent="0.35">
      <c r="A584" t="s">
        <v>195</v>
      </c>
      <c r="B584" t="s">
        <v>21</v>
      </c>
      <c r="C584">
        <v>12</v>
      </c>
      <c r="D584" t="s">
        <v>11</v>
      </c>
      <c r="E584">
        <v>2012</v>
      </c>
      <c r="F584" t="s">
        <v>12</v>
      </c>
      <c r="G584">
        <v>40.380600000000001</v>
      </c>
      <c r="H584">
        <v>-119.3997</v>
      </c>
      <c r="I584" t="s">
        <v>39</v>
      </c>
      <c r="J584" s="2">
        <f>Table1[[#This Row],[Capacity (MW)]]*8760*0.82*10^-6</f>
        <v>8.6198399999999994E-2</v>
      </c>
      <c r="K584">
        <f>0</f>
        <v>0</v>
      </c>
      <c r="L584">
        <f>0</f>
        <v>0</v>
      </c>
    </row>
    <row r="585" spans="1:12" x14ac:dyDescent="0.35">
      <c r="A585" t="s">
        <v>9</v>
      </c>
      <c r="B585" t="s">
        <v>21</v>
      </c>
      <c r="C585">
        <v>10</v>
      </c>
      <c r="D585" t="s">
        <v>23</v>
      </c>
      <c r="E585">
        <v>2025</v>
      </c>
      <c r="F585" t="s">
        <v>12</v>
      </c>
      <c r="G585">
        <v>13.6419</v>
      </c>
      <c r="H585">
        <v>-88.782499999999999</v>
      </c>
      <c r="I585" t="s">
        <v>13</v>
      </c>
      <c r="J585" s="2">
        <f>Table1[[#This Row],[Capacity (MW)]]*8760*0.82*10^-6</f>
        <v>7.1831999999999993E-2</v>
      </c>
      <c r="K585">
        <f>0</f>
        <v>0</v>
      </c>
      <c r="L585">
        <f>0</f>
        <v>0</v>
      </c>
    </row>
    <row r="586" spans="1:12" x14ac:dyDescent="0.35">
      <c r="A586" t="s">
        <v>12</v>
      </c>
      <c r="B586" t="s">
        <v>21</v>
      </c>
      <c r="C586">
        <v>17</v>
      </c>
      <c r="D586" t="s">
        <v>23</v>
      </c>
      <c r="E586">
        <v>2026</v>
      </c>
      <c r="F586" t="s">
        <v>12</v>
      </c>
      <c r="G586">
        <v>13.6419</v>
      </c>
      <c r="H586">
        <v>-88.782499999999999</v>
      </c>
      <c r="I586" t="s">
        <v>13</v>
      </c>
      <c r="J586" s="2">
        <f>Table1[[#This Row],[Capacity (MW)]]*8760*0.82*10^-6</f>
        <v>0.12211439999999998</v>
      </c>
      <c r="K586">
        <f>0</f>
        <v>0</v>
      </c>
      <c r="L586">
        <f>0</f>
        <v>0</v>
      </c>
    </row>
    <row r="587" spans="1:12" x14ac:dyDescent="0.35">
      <c r="A587" t="s">
        <v>196</v>
      </c>
      <c r="B587" t="s">
        <v>15</v>
      </c>
      <c r="C587">
        <v>16</v>
      </c>
      <c r="D587" t="s">
        <v>11</v>
      </c>
      <c r="E587">
        <v>2006</v>
      </c>
      <c r="F587" t="s">
        <v>12</v>
      </c>
      <c r="G587">
        <v>32.714399999999998</v>
      </c>
      <c r="H587">
        <v>-115.5356</v>
      </c>
      <c r="I587" t="s">
        <v>39</v>
      </c>
      <c r="J587" s="2">
        <f>Table1[[#This Row],[Capacity (MW)]]*8760*0.82*10^-6</f>
        <v>0.1149312</v>
      </c>
      <c r="K587">
        <f>0</f>
        <v>0</v>
      </c>
      <c r="L587">
        <f>0</f>
        <v>0</v>
      </c>
    </row>
    <row r="588" spans="1:12" x14ac:dyDescent="0.35">
      <c r="A588" t="s">
        <v>196</v>
      </c>
      <c r="B588" t="s">
        <v>15</v>
      </c>
      <c r="C588">
        <v>16</v>
      </c>
      <c r="D588" t="s">
        <v>11</v>
      </c>
      <c r="E588">
        <v>2008</v>
      </c>
      <c r="F588" t="s">
        <v>12</v>
      </c>
      <c r="G588">
        <v>32.714399999999998</v>
      </c>
      <c r="H588">
        <v>-115.5356</v>
      </c>
      <c r="I588" t="s">
        <v>39</v>
      </c>
      <c r="J588" s="2">
        <f>Table1[[#This Row],[Capacity (MW)]]*8760*0.82*10^-6</f>
        <v>0.1149312</v>
      </c>
      <c r="K588">
        <f>0</f>
        <v>0</v>
      </c>
      <c r="L588">
        <f>0</f>
        <v>0</v>
      </c>
    </row>
    <row r="589" spans="1:12" x14ac:dyDescent="0.35">
      <c r="A589" t="s">
        <v>196</v>
      </c>
      <c r="B589" t="s">
        <v>15</v>
      </c>
      <c r="C589">
        <v>16</v>
      </c>
      <c r="D589" t="s">
        <v>11</v>
      </c>
      <c r="E589">
        <v>2022</v>
      </c>
      <c r="F589" t="s">
        <v>12</v>
      </c>
      <c r="G589">
        <v>32.714399999999998</v>
      </c>
      <c r="H589">
        <v>-115.5356</v>
      </c>
      <c r="I589" t="s">
        <v>39</v>
      </c>
      <c r="J589" s="2">
        <f>Table1[[#This Row],[Capacity (MW)]]*8760*0.82*10^-6</f>
        <v>0.1149312</v>
      </c>
      <c r="K589">
        <f>0</f>
        <v>0</v>
      </c>
      <c r="L589">
        <f>0</f>
        <v>0</v>
      </c>
    </row>
    <row r="590" spans="1:12" x14ac:dyDescent="0.35">
      <c r="A590" t="s">
        <v>196</v>
      </c>
      <c r="B590" t="s">
        <v>15</v>
      </c>
      <c r="C590">
        <v>26</v>
      </c>
      <c r="D590" t="s">
        <v>11</v>
      </c>
      <c r="E590">
        <v>2022</v>
      </c>
      <c r="F590" t="s">
        <v>12</v>
      </c>
      <c r="G590">
        <v>32.714399999999998</v>
      </c>
      <c r="H590">
        <v>-115.5356</v>
      </c>
      <c r="I590" t="s">
        <v>39</v>
      </c>
      <c r="J590" s="2">
        <f>Table1[[#This Row],[Capacity (MW)]]*8760*0.82*10^-6</f>
        <v>0.18676319999999996</v>
      </c>
      <c r="K590">
        <f>0</f>
        <v>0</v>
      </c>
      <c r="L590">
        <f>0</f>
        <v>0</v>
      </c>
    </row>
    <row r="591" spans="1:12" x14ac:dyDescent="0.35">
      <c r="A591" t="s">
        <v>104</v>
      </c>
      <c r="B591" t="s">
        <v>21</v>
      </c>
      <c r="C591">
        <v>10</v>
      </c>
      <c r="D591" t="s">
        <v>11</v>
      </c>
      <c r="E591" t="s">
        <v>12</v>
      </c>
      <c r="F591" t="s">
        <v>12</v>
      </c>
      <c r="G591">
        <v>3.2265999999999999</v>
      </c>
      <c r="H591">
        <v>98.500399999999999</v>
      </c>
      <c r="I591" t="s">
        <v>29</v>
      </c>
      <c r="J591" s="2">
        <f>Table1[[#This Row],[Capacity (MW)]]*8760*0.82*10^-6</f>
        <v>7.1831999999999993E-2</v>
      </c>
      <c r="K591">
        <f>0</f>
        <v>0</v>
      </c>
      <c r="L591">
        <f>0</f>
        <v>0</v>
      </c>
    </row>
    <row r="592" spans="1:12" x14ac:dyDescent="0.35">
      <c r="A592" t="s">
        <v>18</v>
      </c>
      <c r="B592" t="s">
        <v>21</v>
      </c>
      <c r="C592">
        <v>25</v>
      </c>
      <c r="D592" t="s">
        <v>79</v>
      </c>
      <c r="E592" t="s">
        <v>12</v>
      </c>
      <c r="F592" t="s">
        <v>12</v>
      </c>
      <c r="G592">
        <v>39.422400000000003</v>
      </c>
      <c r="H592">
        <v>29.988900000000001</v>
      </c>
      <c r="I592" t="s">
        <v>20</v>
      </c>
      <c r="J592" s="2">
        <f>Table1[[#This Row],[Capacity (MW)]]*8760*0.82*10^-6</f>
        <v>0.17957999999999999</v>
      </c>
      <c r="K592">
        <f>0</f>
        <v>0</v>
      </c>
      <c r="L592">
        <f>0</f>
        <v>0</v>
      </c>
    </row>
    <row r="593" spans="1:12" x14ac:dyDescent="0.35">
      <c r="A593" t="s">
        <v>197</v>
      </c>
      <c r="B593" t="s">
        <v>15</v>
      </c>
      <c r="C593">
        <v>26</v>
      </c>
      <c r="D593" t="s">
        <v>11</v>
      </c>
      <c r="E593">
        <v>2019</v>
      </c>
      <c r="F593" t="s">
        <v>12</v>
      </c>
      <c r="G593">
        <v>39.554499999999997</v>
      </c>
      <c r="H593">
        <v>-118.8501</v>
      </c>
      <c r="I593" t="s">
        <v>39</v>
      </c>
      <c r="J593" s="2">
        <f>Table1[[#This Row],[Capacity (MW)]]*8760*0.82*10^-6</f>
        <v>0.18676319999999996</v>
      </c>
      <c r="K593">
        <f>0</f>
        <v>0</v>
      </c>
      <c r="L593">
        <f>0</f>
        <v>0</v>
      </c>
    </row>
    <row r="594" spans="1:12" x14ac:dyDescent="0.35">
      <c r="A594" t="s">
        <v>12</v>
      </c>
      <c r="B594" t="s">
        <v>21</v>
      </c>
      <c r="C594">
        <v>3</v>
      </c>
      <c r="D594" t="s">
        <v>11</v>
      </c>
      <c r="E594" t="s">
        <v>12</v>
      </c>
      <c r="F594" t="s">
        <v>12</v>
      </c>
      <c r="G594">
        <v>-8.7937999999999992</v>
      </c>
      <c r="H594">
        <v>121.7662</v>
      </c>
      <c r="I594" t="s">
        <v>29</v>
      </c>
      <c r="J594" s="2">
        <f>Table1[[#This Row],[Capacity (MW)]]*8760*0.82*10^-6</f>
        <v>2.1549599999999999E-2</v>
      </c>
      <c r="K594">
        <f>0</f>
        <v>0</v>
      </c>
      <c r="L594">
        <f>0</f>
        <v>0</v>
      </c>
    </row>
    <row r="595" spans="1:12" x14ac:dyDescent="0.35">
      <c r="A595" t="s">
        <v>12</v>
      </c>
      <c r="B595" t="s">
        <v>21</v>
      </c>
      <c r="C595">
        <v>3</v>
      </c>
      <c r="D595" t="s">
        <v>11</v>
      </c>
      <c r="E595" t="s">
        <v>12</v>
      </c>
      <c r="F595" t="s">
        <v>12</v>
      </c>
      <c r="G595">
        <v>-8.7937999999999992</v>
      </c>
      <c r="H595">
        <v>121.7662</v>
      </c>
      <c r="I595" t="s">
        <v>29</v>
      </c>
      <c r="J595" s="2">
        <f>Table1[[#This Row],[Capacity (MW)]]*8760*0.82*10^-6</f>
        <v>2.1549599999999999E-2</v>
      </c>
      <c r="K595">
        <f>0</f>
        <v>0</v>
      </c>
      <c r="L595">
        <f>0</f>
        <v>0</v>
      </c>
    </row>
    <row r="596" spans="1:12" x14ac:dyDescent="0.35">
      <c r="A596" t="s">
        <v>113</v>
      </c>
      <c r="B596" t="s">
        <v>21</v>
      </c>
      <c r="C596">
        <v>5</v>
      </c>
      <c r="D596" t="s">
        <v>79</v>
      </c>
      <c r="E596" t="s">
        <v>12</v>
      </c>
      <c r="F596" t="s">
        <v>12</v>
      </c>
      <c r="G596">
        <v>-0.54220000000000002</v>
      </c>
      <c r="H596">
        <v>127.5245</v>
      </c>
      <c r="I596" t="s">
        <v>29</v>
      </c>
      <c r="J596" s="2">
        <f>Table1[[#This Row],[Capacity (MW)]]*8760*0.82*10^-6</f>
        <v>3.5915999999999997E-2</v>
      </c>
      <c r="K596">
        <f>0</f>
        <v>0</v>
      </c>
      <c r="L596">
        <f>0</f>
        <v>0</v>
      </c>
    </row>
    <row r="597" spans="1:12" x14ac:dyDescent="0.35">
      <c r="A597" t="s">
        <v>113</v>
      </c>
      <c r="B597" t="s">
        <v>21</v>
      </c>
      <c r="C597">
        <v>5</v>
      </c>
      <c r="D597" t="s">
        <v>79</v>
      </c>
      <c r="E597" t="s">
        <v>12</v>
      </c>
      <c r="F597" t="s">
        <v>12</v>
      </c>
      <c r="G597">
        <v>-0.54220000000000002</v>
      </c>
      <c r="H597">
        <v>127.5245</v>
      </c>
      <c r="I597" t="s">
        <v>29</v>
      </c>
      <c r="J597" s="2">
        <f>Table1[[#This Row],[Capacity (MW)]]*8760*0.82*10^-6</f>
        <v>3.5915999999999997E-2</v>
      </c>
      <c r="K597">
        <f>0</f>
        <v>0</v>
      </c>
      <c r="L597">
        <f>0</f>
        <v>0</v>
      </c>
    </row>
    <row r="598" spans="1:12" x14ac:dyDescent="0.35">
      <c r="A598" t="s">
        <v>12</v>
      </c>
      <c r="B598" t="s">
        <v>15</v>
      </c>
      <c r="C598">
        <v>3</v>
      </c>
      <c r="D598" t="s">
        <v>11</v>
      </c>
      <c r="E598">
        <v>2022</v>
      </c>
      <c r="F598" t="s">
        <v>12</v>
      </c>
      <c r="G598">
        <v>40.5321</v>
      </c>
      <c r="H598">
        <v>-118.27200000000001</v>
      </c>
      <c r="I598" t="s">
        <v>39</v>
      </c>
      <c r="J598" s="2">
        <f>Table1[[#This Row],[Capacity (MW)]]*8760*0.82*10^-6</f>
        <v>2.1549599999999999E-2</v>
      </c>
      <c r="K598">
        <f>0</f>
        <v>0</v>
      </c>
      <c r="L598">
        <f>0</f>
        <v>0</v>
      </c>
    </row>
    <row r="599" spans="1:12" x14ac:dyDescent="0.35">
      <c r="A599" t="s">
        <v>12</v>
      </c>
      <c r="B599" t="s">
        <v>15</v>
      </c>
      <c r="C599">
        <v>4</v>
      </c>
      <c r="D599" t="s">
        <v>11</v>
      </c>
      <c r="E599">
        <v>2022</v>
      </c>
      <c r="F599" t="s">
        <v>12</v>
      </c>
      <c r="G599">
        <v>40.5321</v>
      </c>
      <c r="H599">
        <v>-118.27200000000001</v>
      </c>
      <c r="I599" t="s">
        <v>39</v>
      </c>
      <c r="J599" s="2">
        <f>Table1[[#This Row],[Capacity (MW)]]*8760*0.82*10^-6</f>
        <v>2.8732799999999999E-2</v>
      </c>
      <c r="K599">
        <f>0</f>
        <v>0</v>
      </c>
      <c r="L599">
        <f>0</f>
        <v>0</v>
      </c>
    </row>
    <row r="600" spans="1:12" x14ac:dyDescent="0.35">
      <c r="A600" t="s">
        <v>12</v>
      </c>
      <c r="B600" t="s">
        <v>15</v>
      </c>
      <c r="C600">
        <v>5</v>
      </c>
      <c r="D600" t="s">
        <v>11</v>
      </c>
      <c r="E600">
        <v>2022</v>
      </c>
      <c r="F600" t="s">
        <v>12</v>
      </c>
      <c r="G600">
        <v>40.5321</v>
      </c>
      <c r="H600">
        <v>-118.27200000000001</v>
      </c>
      <c r="I600" t="s">
        <v>39</v>
      </c>
      <c r="J600" s="2">
        <f>Table1[[#This Row],[Capacity (MW)]]*8760*0.82*10^-6</f>
        <v>3.5915999999999997E-2</v>
      </c>
      <c r="K600">
        <f>0</f>
        <v>0</v>
      </c>
      <c r="L600">
        <f>0</f>
        <v>0</v>
      </c>
    </row>
    <row r="601" spans="1:12" x14ac:dyDescent="0.35">
      <c r="A601" t="s">
        <v>12</v>
      </c>
      <c r="B601" t="s">
        <v>15</v>
      </c>
      <c r="C601">
        <v>5</v>
      </c>
      <c r="D601" t="s">
        <v>11</v>
      </c>
      <c r="E601">
        <v>2022</v>
      </c>
      <c r="F601" t="s">
        <v>12</v>
      </c>
      <c r="G601">
        <v>40.5321</v>
      </c>
      <c r="H601">
        <v>-118.27200000000001</v>
      </c>
      <c r="I601" t="s">
        <v>39</v>
      </c>
      <c r="J601" s="2">
        <f>Table1[[#This Row],[Capacity (MW)]]*8760*0.82*10^-6</f>
        <v>3.5915999999999997E-2</v>
      </c>
      <c r="K601">
        <f>0</f>
        <v>0</v>
      </c>
      <c r="L601">
        <f>0</f>
        <v>0</v>
      </c>
    </row>
    <row r="602" spans="1:12" x14ac:dyDescent="0.35">
      <c r="A602" t="s">
        <v>12</v>
      </c>
      <c r="B602" t="s">
        <v>15</v>
      </c>
      <c r="C602">
        <v>5</v>
      </c>
      <c r="D602" t="s">
        <v>11</v>
      </c>
      <c r="E602">
        <v>2022</v>
      </c>
      <c r="F602" t="s">
        <v>12</v>
      </c>
      <c r="G602">
        <v>40.5321</v>
      </c>
      <c r="H602">
        <v>-118.27200000000001</v>
      </c>
      <c r="I602" t="s">
        <v>39</v>
      </c>
      <c r="J602" s="2">
        <f>Table1[[#This Row],[Capacity (MW)]]*8760*0.82*10^-6</f>
        <v>3.5915999999999997E-2</v>
      </c>
      <c r="K602">
        <f>0</f>
        <v>0</v>
      </c>
      <c r="L602">
        <f>0</f>
        <v>0</v>
      </c>
    </row>
    <row r="603" spans="1:12" x14ac:dyDescent="0.35">
      <c r="A603" t="s">
        <v>198</v>
      </c>
      <c r="B603" t="s">
        <v>15</v>
      </c>
      <c r="C603">
        <v>9</v>
      </c>
      <c r="D603" t="s">
        <v>11</v>
      </c>
      <c r="E603">
        <v>1992</v>
      </c>
      <c r="F603" t="s">
        <v>12</v>
      </c>
      <c r="G603">
        <v>39.395600000000002</v>
      </c>
      <c r="H603">
        <v>-119.74679999999999</v>
      </c>
      <c r="I603" t="s">
        <v>39</v>
      </c>
      <c r="J603" s="2">
        <f>Table1[[#This Row],[Capacity (MW)]]*8760*0.82*10^-6</f>
        <v>6.4648799999999992E-2</v>
      </c>
      <c r="K603">
        <f>0</f>
        <v>0</v>
      </c>
      <c r="L603">
        <f>0</f>
        <v>0</v>
      </c>
    </row>
    <row r="604" spans="1:12" x14ac:dyDescent="0.35">
      <c r="A604" t="s">
        <v>198</v>
      </c>
      <c r="B604" t="s">
        <v>15</v>
      </c>
      <c r="C604">
        <v>9</v>
      </c>
      <c r="D604" t="s">
        <v>11</v>
      </c>
      <c r="E604">
        <v>1992</v>
      </c>
      <c r="F604" t="s">
        <v>12</v>
      </c>
      <c r="G604">
        <v>39.395600000000002</v>
      </c>
      <c r="H604">
        <v>-119.74679999999999</v>
      </c>
      <c r="I604" t="s">
        <v>39</v>
      </c>
      <c r="J604" s="2">
        <f>Table1[[#This Row],[Capacity (MW)]]*8760*0.82*10^-6</f>
        <v>6.4648799999999992E-2</v>
      </c>
      <c r="K604">
        <f>0</f>
        <v>0</v>
      </c>
      <c r="L604">
        <f>0</f>
        <v>0</v>
      </c>
    </row>
    <row r="605" spans="1:12" x14ac:dyDescent="0.35">
      <c r="A605" t="s">
        <v>198</v>
      </c>
      <c r="B605" t="s">
        <v>15</v>
      </c>
      <c r="C605">
        <v>9</v>
      </c>
      <c r="D605" t="s">
        <v>11</v>
      </c>
      <c r="E605">
        <v>1992</v>
      </c>
      <c r="F605" t="s">
        <v>12</v>
      </c>
      <c r="G605">
        <v>39.394399999999997</v>
      </c>
      <c r="H605">
        <v>-119.7475</v>
      </c>
      <c r="I605" t="s">
        <v>39</v>
      </c>
      <c r="J605" s="2">
        <f>Table1[[#This Row],[Capacity (MW)]]*8760*0.82*10^-6</f>
        <v>6.4648799999999992E-2</v>
      </c>
      <c r="K605">
        <f>0</f>
        <v>0</v>
      </c>
      <c r="L605">
        <f>0</f>
        <v>0</v>
      </c>
    </row>
    <row r="606" spans="1:12" x14ac:dyDescent="0.35">
      <c r="A606" t="s">
        <v>198</v>
      </c>
      <c r="B606" t="s">
        <v>15</v>
      </c>
      <c r="C606">
        <v>9</v>
      </c>
      <c r="D606" t="s">
        <v>11</v>
      </c>
      <c r="E606">
        <v>1992</v>
      </c>
      <c r="F606" t="s">
        <v>12</v>
      </c>
      <c r="G606">
        <v>39.394399999999997</v>
      </c>
      <c r="H606">
        <v>-119.7475</v>
      </c>
      <c r="I606" t="s">
        <v>39</v>
      </c>
      <c r="J606" s="2">
        <f>Table1[[#This Row],[Capacity (MW)]]*8760*0.82*10^-6</f>
        <v>6.4648799999999992E-2</v>
      </c>
      <c r="K606">
        <f>0</f>
        <v>0</v>
      </c>
      <c r="L606">
        <f>0</f>
        <v>0</v>
      </c>
    </row>
    <row r="607" spans="1:12" x14ac:dyDescent="0.35">
      <c r="A607" t="s">
        <v>47</v>
      </c>
      <c r="B607" t="s">
        <v>15</v>
      </c>
      <c r="C607">
        <v>6</v>
      </c>
      <c r="D607" t="s">
        <v>11</v>
      </c>
      <c r="E607">
        <v>2020</v>
      </c>
      <c r="F607" t="s">
        <v>12</v>
      </c>
      <c r="G607">
        <v>39.370100000000001</v>
      </c>
      <c r="H607">
        <v>-119.76690000000001</v>
      </c>
      <c r="I607" t="s">
        <v>39</v>
      </c>
      <c r="J607" s="2">
        <f>Table1[[#This Row],[Capacity (MW)]]*8760*0.82*10^-6</f>
        <v>4.3099199999999997E-2</v>
      </c>
      <c r="K607">
        <f>0</f>
        <v>0</v>
      </c>
      <c r="L607">
        <f>0</f>
        <v>0</v>
      </c>
    </row>
    <row r="608" spans="1:12" x14ac:dyDescent="0.35">
      <c r="A608" t="s">
        <v>47</v>
      </c>
      <c r="B608" t="s">
        <v>15</v>
      </c>
      <c r="C608">
        <v>26</v>
      </c>
      <c r="D608" t="s">
        <v>11</v>
      </c>
      <c r="E608">
        <v>2020</v>
      </c>
      <c r="F608" t="s">
        <v>12</v>
      </c>
      <c r="G608">
        <v>39.370100000000001</v>
      </c>
      <c r="H608">
        <v>-119.76690000000001</v>
      </c>
      <c r="I608" t="s">
        <v>39</v>
      </c>
      <c r="J608" s="2">
        <f>Table1[[#This Row],[Capacity (MW)]]*8760*0.82*10^-6</f>
        <v>0.18676319999999996</v>
      </c>
      <c r="K608">
        <f>0</f>
        <v>0</v>
      </c>
      <c r="L608">
        <f>0</f>
        <v>0</v>
      </c>
    </row>
    <row r="609" spans="1:12" x14ac:dyDescent="0.35">
      <c r="A609" t="s">
        <v>86</v>
      </c>
      <c r="B609" t="s">
        <v>50</v>
      </c>
      <c r="C609">
        <v>22</v>
      </c>
      <c r="D609" t="s">
        <v>23</v>
      </c>
      <c r="E609" t="s">
        <v>12</v>
      </c>
      <c r="F609" t="s">
        <v>12</v>
      </c>
      <c r="G609">
        <v>63.878799999999998</v>
      </c>
      <c r="H609">
        <v>-22.433199999999999</v>
      </c>
      <c r="I609" t="s">
        <v>42</v>
      </c>
      <c r="J609" s="2">
        <f>Table1[[#This Row],[Capacity (MW)]]*8760*0.82*10^-6</f>
        <v>0.15803039999999999</v>
      </c>
      <c r="K609">
        <f>0</f>
        <v>0</v>
      </c>
      <c r="L609">
        <f>0</f>
        <v>0</v>
      </c>
    </row>
    <row r="610" spans="1:12" x14ac:dyDescent="0.35">
      <c r="A610" t="s">
        <v>12</v>
      </c>
      <c r="B610" t="s">
        <v>50</v>
      </c>
      <c r="C610">
        <v>20</v>
      </c>
      <c r="D610" t="s">
        <v>11</v>
      </c>
      <c r="E610">
        <v>2024</v>
      </c>
      <c r="F610" t="s">
        <v>12</v>
      </c>
      <c r="G610">
        <v>13.02816329347524</v>
      </c>
      <c r="H610">
        <v>123.9194166337236</v>
      </c>
      <c r="I610" t="s">
        <v>26</v>
      </c>
      <c r="J610" s="2">
        <f>Table1[[#This Row],[Capacity (MW)]]*8760*0.82*10^-6</f>
        <v>0.14366399999999999</v>
      </c>
      <c r="K610">
        <f>0</f>
        <v>0</v>
      </c>
      <c r="L610">
        <f>0</f>
        <v>0</v>
      </c>
    </row>
    <row r="611" spans="1:12" x14ac:dyDescent="0.35">
      <c r="A611" t="s">
        <v>172</v>
      </c>
      <c r="B611" t="s">
        <v>15</v>
      </c>
      <c r="C611">
        <v>13</v>
      </c>
      <c r="D611" t="s">
        <v>11</v>
      </c>
      <c r="E611">
        <v>2018</v>
      </c>
      <c r="F611" t="s">
        <v>12</v>
      </c>
      <c r="G611">
        <v>-38.063142599999999</v>
      </c>
      <c r="H611">
        <v>176.70225629999999</v>
      </c>
      <c r="I611" t="s">
        <v>112</v>
      </c>
      <c r="J611" s="2">
        <f>Table1[[#This Row],[Capacity (MW)]]*8760*0.82*10^-6</f>
        <v>9.3381599999999981E-2</v>
      </c>
      <c r="K611">
        <f>0</f>
        <v>0</v>
      </c>
      <c r="L611">
        <f>0</f>
        <v>0</v>
      </c>
    </row>
    <row r="612" spans="1:12" x14ac:dyDescent="0.35">
      <c r="A612" t="s">
        <v>199</v>
      </c>
      <c r="B612" t="s">
        <v>15</v>
      </c>
      <c r="C612">
        <v>13</v>
      </c>
      <c r="D612" t="s">
        <v>11</v>
      </c>
      <c r="E612">
        <v>2018</v>
      </c>
      <c r="F612" t="s">
        <v>12</v>
      </c>
      <c r="G612">
        <v>-38.063142599999999</v>
      </c>
      <c r="H612">
        <v>176.70225629999999</v>
      </c>
      <c r="I612" t="s">
        <v>112</v>
      </c>
      <c r="J612" s="2">
        <f>Table1[[#This Row],[Capacity (MW)]]*8760*0.82*10^-6</f>
        <v>9.3381599999999981E-2</v>
      </c>
      <c r="K612">
        <f>0</f>
        <v>0</v>
      </c>
      <c r="L612">
        <f>0</f>
        <v>0</v>
      </c>
    </row>
    <row r="613" spans="1:12" x14ac:dyDescent="0.35">
      <c r="A613" t="s">
        <v>47</v>
      </c>
      <c r="B613" t="s">
        <v>15</v>
      </c>
      <c r="C613">
        <v>6</v>
      </c>
      <c r="D613" t="s">
        <v>11</v>
      </c>
      <c r="E613">
        <v>2012</v>
      </c>
      <c r="F613" t="s">
        <v>12</v>
      </c>
      <c r="G613">
        <v>39.966299999999997</v>
      </c>
      <c r="H613">
        <v>-117.8557</v>
      </c>
      <c r="I613" t="s">
        <v>39</v>
      </c>
      <c r="J613" s="2">
        <f>Table1[[#This Row],[Capacity (MW)]]*8760*0.82*10^-6</f>
        <v>4.3099199999999997E-2</v>
      </c>
      <c r="K613">
        <f>0</f>
        <v>0</v>
      </c>
      <c r="L613">
        <f>0</f>
        <v>0</v>
      </c>
    </row>
    <row r="614" spans="1:12" x14ac:dyDescent="0.35">
      <c r="A614" t="s">
        <v>200</v>
      </c>
      <c r="B614" t="s">
        <v>15</v>
      </c>
      <c r="C614">
        <v>14</v>
      </c>
      <c r="D614" t="s">
        <v>11</v>
      </c>
      <c r="E614">
        <v>2013</v>
      </c>
      <c r="F614" t="s">
        <v>12</v>
      </c>
      <c r="G614">
        <v>38.160699999999999</v>
      </c>
      <c r="H614">
        <v>-113.19450000000001</v>
      </c>
      <c r="I614" t="s">
        <v>39</v>
      </c>
      <c r="J614" s="2">
        <f>Table1[[#This Row],[Capacity (MW)]]*8760*0.82*10^-6</f>
        <v>0.10056479999999998</v>
      </c>
      <c r="K614">
        <f>0</f>
        <v>0</v>
      </c>
      <c r="L614">
        <f>0</f>
        <v>0</v>
      </c>
    </row>
    <row r="615" spans="1:12" x14ac:dyDescent="0.35">
      <c r="A615" t="s">
        <v>12</v>
      </c>
      <c r="B615" t="s">
        <v>15</v>
      </c>
      <c r="C615">
        <v>17</v>
      </c>
      <c r="D615" t="s">
        <v>11</v>
      </c>
      <c r="E615">
        <v>2023</v>
      </c>
      <c r="F615" t="s">
        <v>12</v>
      </c>
      <c r="G615">
        <v>13.4597</v>
      </c>
      <c r="H615">
        <v>123.63930000000001</v>
      </c>
      <c r="I615" t="s">
        <v>26</v>
      </c>
      <c r="J615" s="2">
        <f>Table1[[#This Row],[Capacity (MW)]]*8760*0.82*10^-6</f>
        <v>0.12211439999999998</v>
      </c>
      <c r="K615">
        <f>0</f>
        <v>0</v>
      </c>
      <c r="L615">
        <f>0</f>
        <v>0</v>
      </c>
    </row>
    <row r="616" spans="1:12" x14ac:dyDescent="0.35">
      <c r="A616" t="s">
        <v>172</v>
      </c>
      <c r="B616" t="s">
        <v>15</v>
      </c>
      <c r="C616">
        <v>24</v>
      </c>
      <c r="D616" t="s">
        <v>11</v>
      </c>
      <c r="E616">
        <v>2013</v>
      </c>
      <c r="F616" t="s">
        <v>12</v>
      </c>
      <c r="G616">
        <v>-38.060834360924801</v>
      </c>
      <c r="H616">
        <v>176.72183067814399</v>
      </c>
      <c r="I616" t="s">
        <v>112</v>
      </c>
      <c r="J616" s="2">
        <f>Table1[[#This Row],[Capacity (MW)]]*8760*0.82*10^-6</f>
        <v>0.17239679999999999</v>
      </c>
      <c r="K616">
        <f>0</f>
        <v>0</v>
      </c>
      <c r="L616">
        <f>0</f>
        <v>0</v>
      </c>
    </row>
    <row r="617" spans="1:12" x14ac:dyDescent="0.35">
      <c r="A617" t="s">
        <v>201</v>
      </c>
      <c r="B617" t="s">
        <v>15</v>
      </c>
      <c r="C617">
        <v>10</v>
      </c>
      <c r="D617" t="s">
        <v>23</v>
      </c>
      <c r="E617">
        <v>2026</v>
      </c>
      <c r="F617" t="s">
        <v>12</v>
      </c>
      <c r="G617">
        <v>58.770099999999999</v>
      </c>
      <c r="H617">
        <v>-122.65989999999999</v>
      </c>
      <c r="I617" t="s">
        <v>89</v>
      </c>
      <c r="J617" s="2">
        <f>Table1[[#This Row],[Capacity (MW)]]*8760*0.82*10^-6</f>
        <v>7.1831999999999993E-2</v>
      </c>
      <c r="K617">
        <f>0</f>
        <v>0</v>
      </c>
      <c r="L617">
        <f>0</f>
        <v>0</v>
      </c>
    </row>
    <row r="618" spans="1:12" x14ac:dyDescent="0.35">
      <c r="A618" t="s">
        <v>113</v>
      </c>
      <c r="B618" t="s">
        <v>21</v>
      </c>
      <c r="C618">
        <v>20</v>
      </c>
      <c r="D618" t="s">
        <v>79</v>
      </c>
      <c r="E618" t="s">
        <v>12</v>
      </c>
      <c r="F618" t="s">
        <v>12</v>
      </c>
      <c r="G618">
        <v>-3.6238000000000001</v>
      </c>
      <c r="H618">
        <v>128.14859999999999</v>
      </c>
      <c r="I618" t="s">
        <v>29</v>
      </c>
      <c r="J618" s="2">
        <f>Table1[[#This Row],[Capacity (MW)]]*8760*0.82*10^-6</f>
        <v>0.14366399999999999</v>
      </c>
      <c r="K618">
        <f>0</f>
        <v>0</v>
      </c>
      <c r="L618">
        <f>0</f>
        <v>0</v>
      </c>
    </row>
    <row r="619" spans="1:12" x14ac:dyDescent="0.35">
      <c r="A619" t="s">
        <v>202</v>
      </c>
      <c r="B619" t="s">
        <v>15</v>
      </c>
      <c r="C619">
        <v>26</v>
      </c>
      <c r="D619" t="s">
        <v>11</v>
      </c>
      <c r="E619">
        <v>2022</v>
      </c>
      <c r="F619" t="s">
        <v>12</v>
      </c>
      <c r="G619">
        <v>39.667000000000002</v>
      </c>
      <c r="H619">
        <v>-117.69370000000001</v>
      </c>
      <c r="I619" t="s">
        <v>39</v>
      </c>
      <c r="J619" s="2">
        <f>Table1[[#This Row],[Capacity (MW)]]*8760*0.82*10^-6</f>
        <v>0.18676319999999996</v>
      </c>
      <c r="K619">
        <f>0</f>
        <v>0</v>
      </c>
      <c r="L619">
        <f>0</f>
        <v>0</v>
      </c>
    </row>
    <row r="620" spans="1:12" x14ac:dyDescent="0.35">
      <c r="A620" t="s">
        <v>180</v>
      </c>
      <c r="B620" t="s">
        <v>21</v>
      </c>
      <c r="C620">
        <v>24</v>
      </c>
      <c r="D620" t="s">
        <v>11</v>
      </c>
      <c r="E620" t="s">
        <v>12</v>
      </c>
      <c r="F620" t="s">
        <v>12</v>
      </c>
      <c r="G620">
        <v>38.404589126351972</v>
      </c>
      <c r="H620">
        <v>28.429055355874429</v>
      </c>
      <c r="I620" t="s">
        <v>20</v>
      </c>
      <c r="J620" s="2">
        <f>Table1[[#This Row],[Capacity (MW)]]*8760*0.82*10^-6</f>
        <v>0.17239679999999999</v>
      </c>
      <c r="K620">
        <f>0</f>
        <v>0</v>
      </c>
      <c r="L620">
        <f>0</f>
        <v>0</v>
      </c>
    </row>
    <row r="621" spans="1:12" x14ac:dyDescent="0.35">
      <c r="A621" t="s">
        <v>180</v>
      </c>
      <c r="B621" t="s">
        <v>21</v>
      </c>
      <c r="C621">
        <v>24</v>
      </c>
      <c r="D621" t="s">
        <v>11</v>
      </c>
      <c r="E621" t="s">
        <v>12</v>
      </c>
      <c r="F621" t="s">
        <v>12</v>
      </c>
      <c r="G621">
        <v>38.404647979420652</v>
      </c>
      <c r="H621">
        <v>28.428883694496161</v>
      </c>
      <c r="I621" t="s">
        <v>20</v>
      </c>
      <c r="J621" s="2">
        <f>Table1[[#This Row],[Capacity (MW)]]*8760*0.82*10^-6</f>
        <v>0.17239679999999999</v>
      </c>
      <c r="K621">
        <f>0</f>
        <v>0</v>
      </c>
      <c r="L621">
        <f>0</f>
        <v>0</v>
      </c>
    </row>
    <row r="622" spans="1:12" x14ac:dyDescent="0.35">
      <c r="A622" t="s">
        <v>47</v>
      </c>
      <c r="B622" t="s">
        <v>15</v>
      </c>
      <c r="C622">
        <v>16</v>
      </c>
      <c r="D622" t="s">
        <v>11</v>
      </c>
      <c r="E622">
        <v>2012</v>
      </c>
      <c r="F622" t="s">
        <v>12</v>
      </c>
      <c r="G622">
        <v>41.482799999999997</v>
      </c>
      <c r="H622">
        <v>-116.1511</v>
      </c>
      <c r="I622" t="s">
        <v>39</v>
      </c>
      <c r="J622" s="2">
        <f>Table1[[#This Row],[Capacity (MW)]]*8760*0.82*10^-6</f>
        <v>0.1149312</v>
      </c>
      <c r="K622">
        <f>0</f>
        <v>0</v>
      </c>
      <c r="L622">
        <f>0</f>
        <v>0</v>
      </c>
    </row>
    <row r="623" spans="1:12" x14ac:dyDescent="0.35">
      <c r="A623" t="s">
        <v>47</v>
      </c>
      <c r="B623" t="s">
        <v>15</v>
      </c>
      <c r="C623">
        <v>16</v>
      </c>
      <c r="D623" t="s">
        <v>11</v>
      </c>
      <c r="E623">
        <v>2012</v>
      </c>
      <c r="F623" t="s">
        <v>12</v>
      </c>
      <c r="G623">
        <v>41.482799999999997</v>
      </c>
      <c r="H623">
        <v>-116.1511</v>
      </c>
      <c r="I623" t="s">
        <v>39</v>
      </c>
      <c r="J623" s="2">
        <f>Table1[[#This Row],[Capacity (MW)]]*8760*0.82*10^-6</f>
        <v>0.1149312</v>
      </c>
      <c r="K623">
        <f>0</f>
        <v>0</v>
      </c>
      <c r="L623">
        <f>0</f>
        <v>0</v>
      </c>
    </row>
    <row r="624" spans="1:12" x14ac:dyDescent="0.35">
      <c r="A624" t="s">
        <v>12</v>
      </c>
      <c r="B624" t="s">
        <v>21</v>
      </c>
      <c r="C624">
        <v>2</v>
      </c>
      <c r="D624" t="s">
        <v>11</v>
      </c>
      <c r="E624" t="s">
        <v>12</v>
      </c>
      <c r="F624" t="s">
        <v>12</v>
      </c>
      <c r="G624">
        <v>-5.3090000000000002</v>
      </c>
      <c r="H624">
        <v>104.57340000000001</v>
      </c>
      <c r="I624" t="s">
        <v>29</v>
      </c>
      <c r="J624" s="2">
        <f>Table1[[#This Row],[Capacity (MW)]]*8760*0.82*10^-6</f>
        <v>1.43664E-2</v>
      </c>
      <c r="K624">
        <f>0</f>
        <v>0</v>
      </c>
      <c r="L624">
        <f>0</f>
        <v>0</v>
      </c>
    </row>
    <row r="625" spans="1:12" x14ac:dyDescent="0.35">
      <c r="A625" t="s">
        <v>12</v>
      </c>
      <c r="B625" t="s">
        <v>21</v>
      </c>
      <c r="C625">
        <v>2</v>
      </c>
      <c r="D625" t="s">
        <v>11</v>
      </c>
      <c r="E625" t="s">
        <v>12</v>
      </c>
      <c r="F625" t="s">
        <v>12</v>
      </c>
      <c r="G625">
        <v>-5.3090000000000002</v>
      </c>
      <c r="H625">
        <v>104.57340000000001</v>
      </c>
      <c r="I625" t="s">
        <v>29</v>
      </c>
      <c r="J625" s="2">
        <f>Table1[[#This Row],[Capacity (MW)]]*8760*0.82*10^-6</f>
        <v>1.43664E-2</v>
      </c>
      <c r="K625">
        <f>0</f>
        <v>0</v>
      </c>
      <c r="L625">
        <f>0</f>
        <v>0</v>
      </c>
    </row>
    <row r="626" spans="1:12" x14ac:dyDescent="0.35">
      <c r="A626" t="s">
        <v>12</v>
      </c>
      <c r="B626" t="s">
        <v>21</v>
      </c>
      <c r="C626">
        <v>2</v>
      </c>
      <c r="D626" t="s">
        <v>11</v>
      </c>
      <c r="E626" t="s">
        <v>12</v>
      </c>
      <c r="F626" t="s">
        <v>12</v>
      </c>
      <c r="G626">
        <v>-5.3057999999999996</v>
      </c>
      <c r="H626">
        <v>104.577</v>
      </c>
      <c r="I626" t="s">
        <v>29</v>
      </c>
      <c r="J626" s="2">
        <f>Table1[[#This Row],[Capacity (MW)]]*8760*0.82*10^-6</f>
        <v>1.43664E-2</v>
      </c>
      <c r="K626">
        <f>0</f>
        <v>0</v>
      </c>
      <c r="L626">
        <f>0</f>
        <v>0</v>
      </c>
    </row>
    <row r="627" spans="1:12" x14ac:dyDescent="0.35">
      <c r="A627" t="s">
        <v>12</v>
      </c>
      <c r="B627" t="s">
        <v>21</v>
      </c>
      <c r="C627">
        <v>2</v>
      </c>
      <c r="D627" t="s">
        <v>11</v>
      </c>
      <c r="E627" t="s">
        <v>12</v>
      </c>
      <c r="F627" t="s">
        <v>12</v>
      </c>
      <c r="G627">
        <v>-5.3057999999999996</v>
      </c>
      <c r="H627">
        <v>104.577</v>
      </c>
      <c r="I627" t="s">
        <v>29</v>
      </c>
      <c r="J627" s="2">
        <f>Table1[[#This Row],[Capacity (MW)]]*8760*0.82*10^-6</f>
        <v>1.43664E-2</v>
      </c>
      <c r="K627">
        <f>0</f>
        <v>0</v>
      </c>
      <c r="L627">
        <f>0</f>
        <v>0</v>
      </c>
    </row>
    <row r="628" spans="1:12" x14ac:dyDescent="0.35">
      <c r="A628" t="s">
        <v>12</v>
      </c>
      <c r="B628" t="s">
        <v>21</v>
      </c>
      <c r="C628">
        <v>25</v>
      </c>
      <c r="D628" t="s">
        <v>23</v>
      </c>
      <c r="E628">
        <v>2024</v>
      </c>
      <c r="F628" t="s">
        <v>12</v>
      </c>
      <c r="G628">
        <v>50.229100000000003</v>
      </c>
      <c r="H628">
        <v>-5.1660000000000004</v>
      </c>
      <c r="I628" t="s">
        <v>203</v>
      </c>
      <c r="J628" s="2">
        <f>Table1[[#This Row],[Capacity (MW)]]*8760*0.82*10^-6</f>
        <v>0.17957999999999999</v>
      </c>
      <c r="K628">
        <f>0</f>
        <v>0</v>
      </c>
      <c r="L628">
        <f>0</f>
        <v>0</v>
      </c>
    </row>
    <row r="629" spans="1:12" x14ac:dyDescent="0.35">
      <c r="A629" t="s">
        <v>64</v>
      </c>
      <c r="B629" t="s">
        <v>21</v>
      </c>
      <c r="C629">
        <v>10</v>
      </c>
      <c r="D629" t="s">
        <v>11</v>
      </c>
      <c r="E629">
        <v>1985</v>
      </c>
      <c r="F629" t="s">
        <v>12</v>
      </c>
      <c r="G629">
        <v>33.1633</v>
      </c>
      <c r="H629">
        <v>-115.61669999999999</v>
      </c>
      <c r="I629" t="s">
        <v>39</v>
      </c>
      <c r="J629" s="2">
        <f>Table1[[#This Row],[Capacity (MW)]]*8760*0.82*10^-6</f>
        <v>7.1831999999999993E-2</v>
      </c>
      <c r="K629">
        <f>0</f>
        <v>0</v>
      </c>
      <c r="L629">
        <f>0</f>
        <v>0</v>
      </c>
    </row>
    <row r="630" spans="1:12" x14ac:dyDescent="0.35">
      <c r="A630" t="s">
        <v>204</v>
      </c>
      <c r="B630" t="s">
        <v>15</v>
      </c>
      <c r="C630">
        <v>2</v>
      </c>
      <c r="D630" t="s">
        <v>11</v>
      </c>
      <c r="E630">
        <v>2018</v>
      </c>
      <c r="F630" t="s">
        <v>12</v>
      </c>
      <c r="G630">
        <v>39.1633</v>
      </c>
      <c r="H630">
        <v>-119.18049999999999</v>
      </c>
      <c r="I630" t="s">
        <v>39</v>
      </c>
      <c r="J630" s="2">
        <f>Table1[[#This Row],[Capacity (MW)]]*8760*0.82*10^-6</f>
        <v>1.43664E-2</v>
      </c>
      <c r="K630">
        <f>0</f>
        <v>0</v>
      </c>
      <c r="L630">
        <f>0</f>
        <v>0</v>
      </c>
    </row>
    <row r="631" spans="1:12" x14ac:dyDescent="0.35">
      <c r="A631" t="s">
        <v>204</v>
      </c>
      <c r="B631" t="s">
        <v>15</v>
      </c>
      <c r="C631">
        <v>2</v>
      </c>
      <c r="D631" t="s">
        <v>11</v>
      </c>
      <c r="E631">
        <v>2018</v>
      </c>
      <c r="F631" t="s">
        <v>12</v>
      </c>
      <c r="G631">
        <v>39.1633</v>
      </c>
      <c r="H631">
        <v>-119.18049999999999</v>
      </c>
      <c r="I631" t="s">
        <v>39</v>
      </c>
      <c r="J631" s="2">
        <f>Table1[[#This Row],[Capacity (MW)]]*8760*0.82*10^-6</f>
        <v>1.43664E-2</v>
      </c>
      <c r="K631">
        <f>0</f>
        <v>0</v>
      </c>
      <c r="L631">
        <f>0</f>
        <v>0</v>
      </c>
    </row>
    <row r="632" spans="1:12" x14ac:dyDescent="0.35">
      <c r="A632" t="s">
        <v>12</v>
      </c>
      <c r="B632" t="s">
        <v>21</v>
      </c>
      <c r="C632">
        <v>6</v>
      </c>
      <c r="D632" t="s">
        <v>79</v>
      </c>
      <c r="E632">
        <v>2025</v>
      </c>
      <c r="F632" t="s">
        <v>12</v>
      </c>
      <c r="G632">
        <v>39.1633</v>
      </c>
      <c r="H632">
        <v>-119.18049999999999</v>
      </c>
      <c r="I632" t="s">
        <v>39</v>
      </c>
      <c r="J632" s="2">
        <f>Table1[[#This Row],[Capacity (MW)]]*8760*0.82*10^-6</f>
        <v>4.3099199999999997E-2</v>
      </c>
      <c r="K632">
        <f>0</f>
        <v>0</v>
      </c>
      <c r="L632">
        <f>0</f>
        <v>0</v>
      </c>
    </row>
    <row r="633" spans="1:12" x14ac:dyDescent="0.35">
      <c r="A633" t="s">
        <v>12</v>
      </c>
      <c r="B633" t="s">
        <v>21</v>
      </c>
      <c r="C633">
        <v>20</v>
      </c>
      <c r="D633" t="s">
        <v>16</v>
      </c>
      <c r="E633">
        <v>2026</v>
      </c>
      <c r="F633" t="s">
        <v>12</v>
      </c>
      <c r="G633">
        <v>48.571100000000001</v>
      </c>
      <c r="H633">
        <v>18.844799999999999</v>
      </c>
      <c r="I633" t="s">
        <v>194</v>
      </c>
      <c r="J633" s="2">
        <f>Table1[[#This Row],[Capacity (MW)]]*8760*0.82*10^-6</f>
        <v>0.14366399999999999</v>
      </c>
      <c r="K633">
        <f>0</f>
        <v>0</v>
      </c>
      <c r="L633">
        <f>0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F527841002E948AA43A42680DB1ED3" ma:contentTypeVersion="10" ma:contentTypeDescription="Opret et nyt dokument." ma:contentTypeScope="" ma:versionID="e66463715d7003f18d00284f63861ffd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1bcafa8cbe111a90691f1c0e9f8ba6ab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B50095-C6FF-4756-9BBD-34C576083C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6685C0-7352-46BA-8DBE-33BCFF7C038E}">
  <ds:schemaRefs>
    <ds:schemaRef ds:uri="6012bb88-c444-42f6-a967-44e660fee95b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82f74820-4832-4a7b-b1de-17ca2cd8370c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09E44CC-E339-40BA-BDA6-B79073AB96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12bb88-c444-42f6-a967-44e660fee95b"/>
    <ds:schemaRef ds:uri="82f74820-4832-4a7b-b1de-17ca2cd83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Geothermal_Data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Mariana Trindade</cp:lastModifiedBy>
  <cp:revision/>
  <dcterms:created xsi:type="dcterms:W3CDTF">2025-04-07T08:28:34Z</dcterms:created>
  <dcterms:modified xsi:type="dcterms:W3CDTF">2025-04-07T18:36:48Z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  <property fmtid="{D5CDD505-2E9C-101B-9397-08002B2CF9AE}" pid="3" name="MediaServiceImageTags">
    <vt:lpwstr/>
  </property>
</Properties>
</file>